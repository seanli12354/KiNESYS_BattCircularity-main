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40" yWindow="120" windowWidth="14940" windowHeight="7510" tabRatio="600" firstSheet="4" activeTab="11" autoFilterDateGrouping="1"/>
  </bookViews>
  <sheets>
    <sheet name="TechSelection" sheetId="1" state="visible" r:id="rId1"/>
    <sheet name="InvCost_for_packManufacturing" sheetId="2" state="visible" r:id="rId2"/>
    <sheet name="Revised__InvCost" sheetId="3" state="visible" r:id="rId3"/>
    <sheet name="Road transport" sheetId="4" state="visible" r:id="rId4"/>
    <sheet name="RoadTra_BY" sheetId="5" state="visible" r:id="rId5"/>
    <sheet name="added_EnergyUse_for_Manu" sheetId="6" state="visible" r:id="rId6"/>
    <sheet name="added_energyUse_for_US_1.0" sheetId="7" state="visible" r:id="rId7"/>
    <sheet name="added_energyUse_for_CN_1.0" sheetId="8" state="visible" r:id="rId8"/>
    <sheet name="Move_from_SceDemandProj" sheetId="9" state="visible" r:id="rId9"/>
    <sheet name="Attached_sourcedAlumina_and" sheetId="10" state="visible" r:id="rId10"/>
    <sheet name="EVehicleCAPEX-CNCheap" sheetId="11" state="visible" r:id="rId11"/>
    <sheet name="Storage_trans" sheetId="12" state="visible" r:id="rId12"/>
    <sheet name="Update_EV_COST" sheetId="13" state="visible" r:id="rId13"/>
    <sheet name="Rep_CAPEX" sheetId="14" state="visible" r:id="rId14"/>
  </sheets>
  <externalReferences>
    <externalReference r:id="rId15"/>
    <externalReference r:id="rId16"/>
    <externalReference r:id="rId17"/>
    <externalReference r:id="rId18"/>
  </externalReferences>
  <definedNames>
    <definedName name="FID_1">[1]AGR_Fuels!$A$2</definedName>
    <definedName name="GROWTH">'[2]TechRep-Doc'!#REF!</definedName>
    <definedName name="DISCRATE">'[2]TechRep-Doc'!#REF!</definedName>
    <definedName name="FuelList">#REF!</definedName>
  </definedNames>
  <calcPr calcId="191029" fullCalcOnLoad="1"/>
</workbook>
</file>

<file path=xl/styles.xml><?xml version="1.0" encoding="utf-8"?>
<styleSheet xmlns="http://schemas.openxmlformats.org/spreadsheetml/2006/main">
  <numFmts count="8">
    <numFmt numFmtId="164" formatCode="0.0"/>
    <numFmt numFmtId="165" formatCode="0.0000"/>
    <numFmt numFmtId="166" formatCode="#,##0.000"/>
    <numFmt numFmtId="167" formatCode="0.00_);[Red]\(0.00\)"/>
    <numFmt numFmtId="168" formatCode="0.000"/>
    <numFmt numFmtId="169" formatCode="0.00000"/>
    <numFmt numFmtId="170" formatCode="_-&quot;$&quot;* #,##0.00_-;\-&quot;$&quot;* #,##0.00_-;_-&quot;$&quot;* \-??_-;_-@_-"/>
    <numFmt numFmtId="171" formatCode="_-&quot;$&quot;* #,##0_-;\-&quot;$&quot;* #,##0_-;_-&quot;$&quot;* &quot;-&quot;_-;_-@_-"/>
  </numFmts>
  <fonts count="60">
    <font>
      <name val="Arial"/>
      <charset val="134"/>
      <family val="2"/>
      <sz val="10"/>
    </font>
    <font>
      <name val="Arial"/>
      <family val="2"/>
      <color theme="1"/>
      <sz val="10"/>
    </font>
    <font>
      <name val="Calibri"/>
      <charset val="134"/>
      <family val="2"/>
      <color theme="1"/>
      <sz val="11"/>
      <scheme val="minor"/>
    </font>
    <font>
      <name val="Arial"/>
      <charset val="134"/>
      <family val="2"/>
      <color rgb="FFFF0000"/>
      <sz val="10"/>
    </font>
    <font>
      <name val="Calibri"/>
      <charset val="134"/>
      <family val="2"/>
      <b val="1"/>
      <color theme="3"/>
      <sz val="11"/>
      <scheme val="minor"/>
    </font>
    <font>
      <name val="Calibri"/>
      <charset val="134"/>
      <family val="2"/>
      <b val="1"/>
      <color theme="1"/>
      <sz val="11"/>
      <scheme val="minor"/>
    </font>
    <font>
      <name val="Arial"/>
      <charset val="134"/>
      <family val="2"/>
      <b val="1"/>
      <color rgb="FFFF0000"/>
      <sz val="10"/>
    </font>
    <font>
      <name val="Segoe UI"/>
      <charset val="134"/>
      <family val="2"/>
      <color rgb="FF212529"/>
      <sz val="10.2"/>
    </font>
    <font>
      <name val="Arial"/>
      <charset val="134"/>
      <family val="2"/>
      <b val="1"/>
      <sz val="10"/>
    </font>
    <font>
      <name val="Aptos Narrow"/>
      <charset val="134"/>
      <family val="2"/>
      <color rgb="FF000000"/>
      <sz val="12"/>
    </font>
    <font>
      <name val="Aptos Narrow"/>
      <charset val="134"/>
      <family val="2"/>
      <b val="1"/>
      <i val="1"/>
      <color rgb="FF000000"/>
      <sz val="24"/>
      <u val="single"/>
    </font>
    <font>
      <name val="Arial"/>
      <charset val="134"/>
      <family val="2"/>
      <i val="1"/>
      <sz val="10"/>
      <u val="single"/>
    </font>
    <font>
      <name val="Calibri"/>
      <charset val="134"/>
      <family val="2"/>
      <b val="1"/>
      <color rgb="FF000000"/>
      <sz val="11"/>
      <scheme val="minor"/>
    </font>
    <font>
      <name val="Calibri"/>
      <charset val="134"/>
      <family val="2"/>
      <b val="1"/>
      <color indexed="8"/>
      <sz val="11"/>
    </font>
    <font>
      <name val="Calibri"/>
      <charset val="134"/>
      <family val="2"/>
      <color rgb="FF000000"/>
      <sz val="11"/>
      <scheme val="minor"/>
    </font>
    <font>
      <name val="Calibri"/>
      <charset val="134"/>
      <family val="2"/>
      <color rgb="FF000000"/>
      <sz val="12"/>
      <scheme val="minor"/>
    </font>
    <font>
      <name val="Arial"/>
      <charset val="134"/>
      <family val="2"/>
      <sz val="9"/>
    </font>
    <font>
      <name val="Arial"/>
      <charset val="134"/>
      <family val="2"/>
      <b val="1"/>
      <sz val="9"/>
    </font>
    <font>
      <name val="Calibri"/>
      <charset val="134"/>
      <family val="2"/>
      <color rgb="FF000000"/>
      <sz val="11"/>
    </font>
    <font>
      <name val="Segoe UI"/>
      <charset val="134"/>
      <family val="2"/>
      <color rgb="FF3974D2"/>
      <sz val="8"/>
    </font>
    <font>
      <name val="Arial"/>
      <charset val="134"/>
      <family val="2"/>
      <color rgb="FF3D3D3A"/>
      <sz val="8.25"/>
    </font>
    <font>
      <name val="Arial"/>
      <charset val="134"/>
      <family val="2"/>
      <color rgb="FF3D3D3A"/>
      <sz val="7.5"/>
    </font>
    <font>
      <name val="Arial"/>
      <charset val="134"/>
      <family val="2"/>
      <color rgb="FF141413"/>
      <sz val="8.25"/>
    </font>
    <font>
      <name val="Arial"/>
      <charset val="134"/>
      <family val="2"/>
      <color rgb="FF141413"/>
      <sz val="9"/>
    </font>
    <font>
      <name val="Arial"/>
      <charset val="134"/>
      <family val="2"/>
      <color rgb="FF73726C"/>
      <sz val="9"/>
    </font>
    <font>
      <name val="Arial"/>
      <charset val="134"/>
      <family val="2"/>
      <color rgb="FF3D3D3A"/>
      <sz val="9"/>
    </font>
    <font>
      <name val="Calibri"/>
      <charset val="134"/>
      <family val="2"/>
      <color theme="1"/>
      <sz val="12"/>
      <scheme val="minor"/>
    </font>
    <font>
      <name val="Calibri"/>
      <charset val="1"/>
      <family val="2"/>
      <color theme="1"/>
      <sz val="11"/>
    </font>
    <font>
      <name val="Arial"/>
      <charset val="1"/>
      <family val="2"/>
      <b val="1"/>
      <sz val="14"/>
    </font>
    <font>
      <name val="Arial"/>
      <charset val="1"/>
      <family val="2"/>
      <i val="1"/>
      <color rgb="FF595959"/>
      <sz val="9"/>
    </font>
    <font>
      <name val="Arial"/>
      <charset val="1"/>
      <family val="2"/>
      <b val="1"/>
      <color rgb="FF1F4E79"/>
      <sz val="11"/>
    </font>
    <font>
      <name val="Arial"/>
      <charset val="1"/>
      <family val="2"/>
      <b val="1"/>
      <color rgb="FFFFFFFF"/>
      <sz val="9"/>
    </font>
    <font>
      <name val="Arial"/>
      <charset val="1"/>
      <family val="2"/>
      <color rgb="FF0000FF"/>
      <sz val="10"/>
    </font>
    <font>
      <name val="Arial"/>
      <charset val="1"/>
      <family val="2"/>
      <b val="1"/>
      <color rgb="FFC00000"/>
      <sz val="10"/>
    </font>
    <font>
      <name val="Calibri"/>
      <charset val="134"/>
      <family val="2"/>
      <color rgb="FFFF0000"/>
      <sz val="11"/>
      <scheme val="minor"/>
    </font>
    <font>
      <name val="Calibri"/>
      <charset val="134"/>
      <family val="2"/>
      <i val="1"/>
      <color theme="1"/>
      <sz val="11"/>
      <scheme val="minor"/>
    </font>
    <font>
      <name val="Calibri"/>
      <charset val="134"/>
      <family val="2"/>
      <i val="1"/>
      <color theme="1"/>
      <sz val="11"/>
      <u val="single"/>
      <scheme val="minor"/>
    </font>
    <font>
      <name val="Calibri"/>
      <charset val="134"/>
      <family val="2"/>
      <color theme="5"/>
      <sz val="11"/>
      <scheme val="minor"/>
    </font>
    <font>
      <name val="Calibri"/>
      <charset val="134"/>
      <family val="2"/>
      <i val="1"/>
      <color rgb="FFFF0000"/>
      <sz val="11"/>
      <scheme val="minor"/>
    </font>
    <font>
      <name val="Arial"/>
      <charset val="134"/>
      <family val="2"/>
      <color theme="5"/>
      <sz val="10"/>
    </font>
    <font>
      <name val="Calibri"/>
      <charset val="134"/>
      <family val="2"/>
      <color rgb="FF0000FF"/>
      <sz val="11"/>
      <u val="single"/>
      <scheme val="minor"/>
    </font>
    <font>
      <name val="Calibri"/>
      <charset val="134"/>
      <family val="2"/>
      <color rgb="FF800080"/>
      <sz val="11"/>
      <u val="single"/>
      <scheme val="minor"/>
    </font>
    <font>
      <name val="Calibri"/>
      <charset val="134"/>
      <family val="2"/>
      <b val="1"/>
      <color theme="3"/>
      <sz val="18"/>
      <scheme val="minor"/>
    </font>
    <font>
      <name val="Calibri"/>
      <charset val="134"/>
      <family val="2"/>
      <i val="1"/>
      <color rgb="FF7F7F7F"/>
      <sz val="11"/>
      <scheme val="minor"/>
    </font>
    <font>
      <name val="Calibri"/>
      <charset val="134"/>
      <family val="2"/>
      <b val="1"/>
      <color theme="3"/>
      <sz val="15"/>
      <scheme val="minor"/>
    </font>
    <font>
      <name val="Calibri"/>
      <charset val="134"/>
      <family val="2"/>
      <b val="1"/>
      <color theme="3"/>
      <sz val="13"/>
      <scheme val="minor"/>
    </font>
    <font>
      <name val="Calibri"/>
      <charset val="134"/>
      <family val="2"/>
      <color rgb="FF3F3F76"/>
      <sz val="11"/>
      <scheme val="minor"/>
    </font>
    <font>
      <name val="Calibri"/>
      <charset val="134"/>
      <family val="2"/>
      <b val="1"/>
      <color rgb="FF3F3F3F"/>
      <sz val="11"/>
      <scheme val="minor"/>
    </font>
    <font>
      <name val="Calibri"/>
      <charset val="134"/>
      <family val="2"/>
      <b val="1"/>
      <color rgb="FFFA7D00"/>
      <sz val="11"/>
      <scheme val="minor"/>
    </font>
    <font>
      <name val="Calibri"/>
      <charset val="134"/>
      <family val="2"/>
      <b val="1"/>
      <color rgb="FFFFFFFF"/>
      <sz val="11"/>
      <scheme val="minor"/>
    </font>
    <font>
      <name val="Calibri"/>
      <charset val="134"/>
      <family val="2"/>
      <color rgb="FFFA7D00"/>
      <sz val="11"/>
      <scheme val="minor"/>
    </font>
    <font>
      <name val="Calibri"/>
      <charset val="134"/>
      <family val="2"/>
      <color rgb="FF006100"/>
      <sz val="11"/>
      <scheme val="minor"/>
    </font>
    <font>
      <name val="Calibri"/>
      <charset val="134"/>
      <family val="2"/>
      <color rgb="FF9C0006"/>
      <sz val="11"/>
      <scheme val="minor"/>
    </font>
    <font>
      <name val="Calibri"/>
      <charset val="134"/>
      <family val="2"/>
      <color rgb="FF9C6500"/>
      <sz val="11"/>
      <scheme val="minor"/>
    </font>
    <font>
      <name val="Calibri"/>
      <charset val="134"/>
      <family val="2"/>
      <color theme="0"/>
      <sz val="11"/>
      <scheme val="minor"/>
    </font>
    <font>
      <name val="Tahoma"/>
      <charset val="1"/>
      <family val="2"/>
      <sz val="9"/>
    </font>
    <font>
      <name val="Times New Roman"/>
      <charset val="134"/>
      <family val="2"/>
      <b val="1"/>
      <sz val="9"/>
    </font>
    <font>
      <name val="Times New Roman"/>
      <charset val="134"/>
      <family val="2"/>
      <sz val="9"/>
    </font>
    <font>
      <name val="SimSun"/>
      <charset val="134"/>
      <family val="2"/>
      <sz val="10"/>
    </font>
    <font>
      <name val="Tahoma"/>
      <charset val="1"/>
      <family val="2"/>
      <b val="1"/>
      <sz val="9"/>
    </font>
  </fonts>
  <fills count="57">
    <fill>
      <patternFill/>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79984760284"/>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799979984760284"/>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799979984760284"/>
        <bgColor indexed="64"/>
      </patternFill>
    </fill>
    <fill>
      <patternFill patternType="solid">
        <fgColor theme="9" tint="0.599990010261536"/>
        <bgColor indexed="64"/>
      </patternFill>
    </fill>
    <fill>
      <patternFill patternType="solid">
        <fgColor theme="9" tint="0.399980008602142"/>
        <bgColor indexed="64"/>
      </patternFill>
    </fill>
    <fill>
      <patternFill patternType="solid">
        <fgColor rgb="FFFFFF00"/>
        <bgColor indexed="64"/>
      </patternFill>
    </fill>
    <fill>
      <patternFill patternType="solid">
        <fgColor theme="0" tint="-0.349990010261536"/>
        <bgColor indexed="64"/>
      </patternFill>
    </fill>
    <fill>
      <patternFill patternType="solid">
        <fgColor rgb="FFFFC000"/>
        <bgColor indexed="64"/>
      </patternFill>
    </fill>
    <fill>
      <patternFill patternType="solid">
        <fgColor theme="0" tint="-0.349979996681213"/>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0" tint="-0.149979993700981"/>
        <bgColor indexed="64"/>
      </patternFill>
    </fill>
    <fill>
      <patternFill patternType="solid">
        <fgColor theme="2"/>
        <bgColor indexed="64"/>
      </patternFill>
    </fill>
    <fill>
      <patternFill patternType="solid">
        <fgColor rgb="FFFF0000"/>
        <bgColor indexed="64"/>
      </patternFill>
    </fill>
    <fill>
      <patternFill patternType="solid">
        <fgColor theme="0" tint="-0.249980002641678"/>
        <bgColor indexed="64"/>
      </patternFill>
    </fill>
    <fill>
      <patternFill patternType="solid">
        <fgColor theme="0" tint="-0.499980002641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3"/>
        <bgColor indexed="64"/>
      </patternFill>
    </fill>
    <fill>
      <patternFill patternType="solid">
        <fgColor rgb="FF1F4E79"/>
        <bgColor indexed="64"/>
      </patternFill>
    </fill>
    <fill>
      <patternFill patternType="solid">
        <fgColor rgb="FFFFFF00"/>
        <bgColor indexed="64"/>
      </patternFill>
    </fill>
    <fill>
      <patternFill patternType="solid">
        <fgColor rgb="FFDDEBF7"/>
        <bgColor indexed="64"/>
      </patternFill>
    </fill>
    <fill>
      <patternFill patternType="solid">
        <fgColor rgb="FFFFFF00"/>
        <bgColor indexed="64"/>
      </patternFill>
    </fill>
    <fill>
      <patternFill patternType="solid">
        <fgColor theme="4" tint="0.800000011920929"/>
        <bgColor indexed="64"/>
      </patternFill>
    </fill>
    <fill>
      <patternFill patternType="solid">
        <fgColor rgb="00FFF2CC"/>
        <bgColor rgb="00FFF2CC"/>
      </patternFill>
    </fill>
  </fills>
  <borders count="13">
    <border>
      <left/>
      <right/>
      <top/>
      <bottom/>
      <diagonal/>
    </border>
    <border>
      <left style="thin">
        <color rgb="FFB2B2B2"/>
      </left>
      <right style="thin">
        <color rgb="FFB2B2B2"/>
      </right>
      <top style="thin">
        <color rgb="FFB2B2B2"/>
      </top>
      <bottom style="thin">
        <color rgb="FFB2B2B2"/>
      </bottom>
    </border>
    <border>
      <left/>
      <right/>
      <top/>
      <bottom style="medium">
        <color theme="4"/>
      </bottom>
    </border>
    <border>
      <left/>
      <right/>
      <top/>
      <bottom style="medium">
        <color theme="4" tint="0.49998000264167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left/>
      <right/>
      <top/>
      <bottom style="double">
        <color rgb="FFFF8001"/>
      </bottom>
    </border>
    <border>
      <left/>
      <right/>
      <top style="thin">
        <color theme="4"/>
      </top>
      <bottom style="double">
        <color theme="4"/>
      </bottom>
    </border>
    <border>
      <left style="thin">
        <color auto="1"/>
      </left>
      <right style="thin">
        <color auto="1"/>
      </right>
      <top style="thin">
        <color auto="1"/>
      </top>
      <bottom style="thin">
        <color auto="1"/>
      </bottom>
    </border>
    <border>
      <left/>
      <right/>
      <top/>
      <bottom style="medium">
        <color theme="4" tint="0.399760007858276"/>
      </bottom>
    </border>
    <border>
      <left style="thin">
        <color auto="1"/>
      </left>
      <right style="thin">
        <color auto="1"/>
      </right>
      <top style="thin">
        <color auto="1"/>
      </top>
      <bottom/>
    </border>
    <border>
      <left style="thin">
        <color rgb="FFBFBFBF"/>
      </left>
      <right style="thin">
        <color rgb="FFBFBFBF"/>
      </right>
      <top style="thin">
        <color rgb="FFBFBFBF"/>
      </top>
      <bottom style="thin">
        <color rgb="FFBFBFBF"/>
      </bottom>
    </border>
  </borders>
  <cellStyleXfs count="53">
    <xf numFmtId="0" fontId="0" fillId="0" borderId="0"/>
    <xf numFmtId="9" fontId="2" fillId="0" borderId="0"/>
    <xf numFmtId="170" fontId="2" fillId="0" borderId="0"/>
    <xf numFmtId="171" fontId="2" fillId="0" borderId="0"/>
    <xf numFmtId="43" fontId="2" fillId="0" borderId="0"/>
    <xf numFmtId="41" fontId="2" fillId="0" borderId="0"/>
    <xf numFmtId="0" fontId="40" fillId="0" borderId="0"/>
    <xf numFmtId="0" fontId="41" fillId="0" borderId="0"/>
    <xf numFmtId="0" fontId="2" fillId="2" borderId="1"/>
    <xf numFmtId="0" fontId="34" fillId="0" borderId="0"/>
    <xf numFmtId="0" fontId="42" fillId="0" borderId="0"/>
    <xf numFmtId="0" fontId="43" fillId="0" borderId="0"/>
    <xf numFmtId="0" fontId="44" fillId="0" borderId="2"/>
    <xf numFmtId="0" fontId="45" fillId="0" borderId="2"/>
    <xf numFmtId="0" fontId="4" fillId="0" borderId="3"/>
    <xf numFmtId="0" fontId="4" fillId="0" borderId="0"/>
    <xf numFmtId="0" fontId="46" fillId="3" borderId="4"/>
    <xf numFmtId="0" fontId="47" fillId="4" borderId="5"/>
    <xf numFmtId="0" fontId="48" fillId="4" borderId="4"/>
    <xf numFmtId="0" fontId="49" fillId="5" borderId="6"/>
    <xf numFmtId="0" fontId="50" fillId="0" borderId="7"/>
    <xf numFmtId="0" fontId="5" fillId="0" borderId="8"/>
    <xf numFmtId="0" fontId="51" fillId="6" borderId="0"/>
    <xf numFmtId="0" fontId="52" fillId="7" borderId="0"/>
    <xf numFmtId="0" fontId="53" fillId="8" borderId="0"/>
    <xf numFmtId="0" fontId="54" fillId="9" borderId="0"/>
    <xf numFmtId="0" fontId="2" fillId="10" borderId="0"/>
    <xf numFmtId="0" fontId="2" fillId="11" borderId="0"/>
    <xf numFmtId="0" fontId="54" fillId="12" borderId="0"/>
    <xf numFmtId="0" fontId="54" fillId="13" borderId="0"/>
    <xf numFmtId="0" fontId="2" fillId="14" borderId="0"/>
    <xf numFmtId="0" fontId="2" fillId="15" borderId="0"/>
    <xf numFmtId="0" fontId="54" fillId="16" borderId="0"/>
    <xf numFmtId="0" fontId="54" fillId="17" borderId="0"/>
    <xf numFmtId="0" fontId="2" fillId="18" borderId="0"/>
    <xf numFmtId="0" fontId="2" fillId="19" borderId="0"/>
    <xf numFmtId="0" fontId="54" fillId="20" borderId="0"/>
    <xf numFmtId="0" fontId="54" fillId="21" borderId="0"/>
    <xf numFmtId="0" fontId="2" fillId="22" borderId="0"/>
    <xf numFmtId="0" fontId="2" fillId="23" borderId="0"/>
    <xf numFmtId="0" fontId="54" fillId="24" borderId="0"/>
    <xf numFmtId="0" fontId="54" fillId="25" borderId="0"/>
    <xf numFmtId="0" fontId="2" fillId="26" borderId="0"/>
    <xf numFmtId="0" fontId="2" fillId="27" borderId="0"/>
    <xf numFmtId="0" fontId="54" fillId="28" borderId="0"/>
    <xf numFmtId="0" fontId="54" fillId="29" borderId="0"/>
    <xf numFmtId="0" fontId="2" fillId="30" borderId="0"/>
    <xf numFmtId="0" fontId="2" fillId="31" borderId="0"/>
    <xf numFmtId="0" fontId="54" fillId="32" borderId="0"/>
    <xf numFmtId="0" fontId="0" fillId="0" borderId="0"/>
    <xf numFmtId="0" fontId="0" fillId="0" borderId="0"/>
    <xf numFmtId="0" fontId="0" fillId="0" borderId="0"/>
    <xf numFmtId="0" fontId="2" fillId="0" borderId="0"/>
  </cellStyleXfs>
  <cellXfs count="253">
    <xf numFmtId="0" fontId="0" fillId="0" borderId="0" pivotButton="0" quotePrefix="0" xfId="0"/>
    <xf numFmtId="0" fontId="2" fillId="0" borderId="0" pivotButton="0" quotePrefix="0" xfId="0"/>
    <xf numFmtId="0" fontId="0" fillId="0" borderId="0" pivotButton="0" quotePrefix="0" xfId="63"/>
    <xf numFmtId="0" fontId="0" fillId="0" borderId="9" pivotButton="0" quotePrefix="0" xfId="63"/>
    <xf numFmtId="0" fontId="0" fillId="0" borderId="0" pivotButton="0" quotePrefix="0" xfId="0"/>
    <xf numFmtId="0" fontId="0" fillId="0" borderId="0" applyAlignment="1" pivotButton="0" quotePrefix="0" xfId="63">
      <alignment horizontal="center"/>
    </xf>
    <xf numFmtId="0" fontId="2" fillId="0" borderId="0" applyAlignment="1" pivotButton="0" quotePrefix="0" xfId="0">
      <alignment vertical="center"/>
    </xf>
    <xf numFmtId="0" fontId="3" fillId="0" borderId="0" applyAlignment="1" pivotButton="0" quotePrefix="0" xfId="63">
      <alignment horizontal="center"/>
    </xf>
    <xf numFmtId="1" fontId="2" fillId="0" borderId="0" pivotButton="0" quotePrefix="0" xfId="0"/>
    <xf numFmtId="0" fontId="4" fillId="0" borderId="10" pivotButton="0" quotePrefix="0" xfId="28"/>
    <xf numFmtId="0" fontId="5" fillId="0" borderId="0" pivotButton="0" quotePrefix="0" xfId="0"/>
    <xf numFmtId="1" fontId="5" fillId="0" borderId="0" pivotButton="0" quotePrefix="0" xfId="0"/>
    <xf numFmtId="10" fontId="2" fillId="0" borderId="0" applyAlignment="1" pivotButton="0" quotePrefix="0" xfId="0">
      <alignment vertical="center"/>
    </xf>
    <xf numFmtId="1" fontId="2" fillId="33" borderId="0" pivotButton="0" quotePrefix="0" xfId="0"/>
    <xf numFmtId="0" fontId="0" fillId="34" borderId="0" pivotButton="0" quotePrefix="0" xfId="0"/>
    <xf numFmtId="0" fontId="6" fillId="33" borderId="0" applyAlignment="1" pivotButton="0" quotePrefix="0" xfId="0">
      <alignment horizontal="center"/>
    </xf>
    <xf numFmtId="0" fontId="0" fillId="0" borderId="0" pivotButton="0" quotePrefix="0" xfId="0"/>
    <xf numFmtId="0" fontId="7" fillId="0" borderId="0" pivotButton="0" quotePrefix="0" xfId="0"/>
    <xf numFmtId="0" fontId="5" fillId="0" borderId="0" applyAlignment="1" pivotButton="0" quotePrefix="0" xfId="0">
      <alignment horizontal="right"/>
    </xf>
    <xf numFmtId="0" fontId="0" fillId="9" borderId="0" pivotButton="0" quotePrefix="0" xfId="0"/>
    <xf numFmtId="2" fontId="2" fillId="35" borderId="0" pivotButton="0" quotePrefix="0" xfId="0"/>
    <xf numFmtId="0" fontId="8" fillId="0" borderId="0" applyAlignment="1" pivotButton="0" quotePrefix="0" xfId="0">
      <alignment horizontal="center" wrapText="1"/>
    </xf>
    <xf numFmtId="0" fontId="8" fillId="0" borderId="0" applyAlignment="1" pivotButton="0" quotePrefix="0" xfId="0">
      <alignment horizontal="right" wrapText="1"/>
    </xf>
    <xf numFmtId="0" fontId="0" fillId="0" borderId="0" applyAlignment="1" pivotButton="0" quotePrefix="0" xfId="0">
      <alignment wrapText="1"/>
    </xf>
    <xf numFmtId="0" fontId="0" fillId="0" borderId="0" applyAlignment="1" pivotButton="0" quotePrefix="0" xfId="0">
      <alignment horizontal="right" wrapText="1"/>
    </xf>
    <xf numFmtId="0" fontId="8" fillId="0" borderId="0" applyAlignment="1" pivotButton="0" quotePrefix="0" xfId="0">
      <alignment wrapText="1"/>
    </xf>
    <xf numFmtId="3" fontId="0" fillId="0" borderId="0" applyAlignment="1" pivotButton="0" quotePrefix="0" xfId="0">
      <alignment horizontal="right" wrapText="1"/>
    </xf>
    <xf numFmtId="3" fontId="8" fillId="0" borderId="0" applyAlignment="1" pivotButton="0" quotePrefix="0" xfId="0">
      <alignment horizontal="right" wrapText="1"/>
    </xf>
    <xf numFmtId="3" fontId="0" fillId="0" borderId="0" applyAlignment="1" pivotButton="0" quotePrefix="0" xfId="0">
      <alignment wrapText="1"/>
    </xf>
    <xf numFmtId="3" fontId="8" fillId="0" borderId="0" applyAlignment="1" pivotButton="0" quotePrefix="0" xfId="0">
      <alignment wrapText="1"/>
    </xf>
    <xf numFmtId="0" fontId="0" fillId="36" borderId="0" pivotButton="0" quotePrefix="0" xfId="0"/>
    <xf numFmtId="0" fontId="0" fillId="37" borderId="0" pivotButton="0" quotePrefix="0" xfId="0"/>
    <xf numFmtId="0" fontId="0" fillId="0" borderId="0" pivotButton="0" quotePrefix="0" xfId="0"/>
    <xf numFmtId="0" fontId="9" fillId="0" borderId="0" applyAlignment="1" pivotButton="0" quotePrefix="0" xfId="0">
      <alignment horizontal="center"/>
    </xf>
    <xf numFmtId="0" fontId="9" fillId="0" borderId="0" pivotButton="0" quotePrefix="0" xfId="0"/>
    <xf numFmtId="0" fontId="9" fillId="38" borderId="0" applyAlignment="1" pivotButton="0" quotePrefix="0" xfId="0">
      <alignment horizontal="center" wrapText="1"/>
    </xf>
    <xf numFmtId="0" fontId="10" fillId="0" borderId="0" pivotButton="0" quotePrefix="0" xfId="0"/>
    <xf numFmtId="0" fontId="9" fillId="39" borderId="0" pivotButton="0" quotePrefix="0" xfId="0"/>
    <xf numFmtId="0" fontId="9" fillId="40" borderId="0" pivotButton="0" quotePrefix="0" xfId="0"/>
    <xf numFmtId="0" fontId="9" fillId="41" borderId="0" pivotButton="0" quotePrefix="0" xfId="0"/>
    <xf numFmtId="0" fontId="9" fillId="38" borderId="0" pivotButton="0" quotePrefix="0" xfId="0"/>
    <xf numFmtId="0" fontId="9" fillId="0" borderId="0" applyProtection="1" pivotButton="0" quotePrefix="0" xfId="0">
      <protection locked="0" hidden="0"/>
    </xf>
    <xf numFmtId="164" fontId="9" fillId="39" borderId="0" pivotButton="0" quotePrefix="0" xfId="0"/>
    <xf numFmtId="0" fontId="11" fillId="42" borderId="0" applyAlignment="1" pivotButton="0" quotePrefix="0" xfId="0">
      <alignment horizontal="center"/>
    </xf>
    <xf numFmtId="164" fontId="9" fillId="0" borderId="0" pivotButton="0" quotePrefix="0" xfId="0"/>
    <xf numFmtId="164" fontId="9" fillId="30" borderId="0" pivotButton="0" quotePrefix="0" xfId="0"/>
    <xf numFmtId="164" fontId="9" fillId="38" borderId="0" pivotButton="0" quotePrefix="0" xfId="0"/>
    <xf numFmtId="0" fontId="11" fillId="0" borderId="0" applyAlignment="1" pivotButton="0" quotePrefix="0" xfId="0">
      <alignment horizontal="center"/>
    </xf>
    <xf numFmtId="0" fontId="12" fillId="0" borderId="0" pivotButton="0" quotePrefix="0" xfId="0"/>
    <xf numFmtId="2" fontId="13" fillId="0" borderId="9" pivotButton="0" quotePrefix="0" xfId="0"/>
    <xf numFmtId="0" fontId="9" fillId="9" borderId="0" pivotButton="0" quotePrefix="0" xfId="0"/>
    <xf numFmtId="0" fontId="14" fillId="26" borderId="0" pivotButton="0" quotePrefix="0" xfId="0"/>
    <xf numFmtId="0" fontId="15" fillId="26" borderId="0" pivotButton="0" quotePrefix="0" xfId="0"/>
    <xf numFmtId="2" fontId="13" fillId="37" borderId="9" pivotButton="0" quotePrefix="0" xfId="0"/>
    <xf numFmtId="0" fontId="9" fillId="26" borderId="0" pivotButton="0" quotePrefix="0" xfId="0"/>
    <xf numFmtId="0" fontId="9" fillId="9" borderId="0" applyAlignment="1" pivotButton="0" quotePrefix="0" xfId="0">
      <alignment horizontal="center"/>
    </xf>
    <xf numFmtId="0" fontId="2" fillId="9" borderId="0" pivotButton="0" quotePrefix="0" xfId="0"/>
    <xf numFmtId="0" fontId="0" fillId="0" borderId="0" pivotButton="0" quotePrefix="0" xfId="0"/>
    <xf numFmtId="0" fontId="13" fillId="9" borderId="9" pivotButton="0" quotePrefix="0" xfId="0"/>
    <xf numFmtId="0" fontId="2" fillId="9" borderId="9" pivotButton="0" quotePrefix="0" xfId="0"/>
    <xf numFmtId="2" fontId="13" fillId="9" borderId="9" pivotButton="0" quotePrefix="0" xfId="0"/>
    <xf numFmtId="0" fontId="7" fillId="9" borderId="0" pivotButton="0" quotePrefix="0" xfId="0"/>
    <xf numFmtId="165" fontId="13" fillId="9" borderId="9" pivotButton="0" quotePrefix="0" xfId="0"/>
    <xf numFmtId="165" fontId="2" fillId="9" borderId="0" pivotButton="0" quotePrefix="0" xfId="0"/>
    <xf numFmtId="0" fontId="13" fillId="0" borderId="9" pivotButton="0" quotePrefix="0" xfId="0"/>
    <xf numFmtId="0" fontId="2" fillId="0" borderId="9" pivotButton="0" quotePrefix="0" xfId="0"/>
    <xf numFmtId="0" fontId="7" fillId="0" borderId="0" pivotButton="0" quotePrefix="0" xfId="0"/>
    <xf numFmtId="166" fontId="2" fillId="9" borderId="9" pivotButton="0" quotePrefix="0" xfId="0"/>
    <xf numFmtId="166" fontId="0" fillId="0" borderId="0" pivotButton="0" quotePrefix="0" xfId="0"/>
    <xf numFmtId="0" fontId="9" fillId="10" borderId="0" applyAlignment="1" pivotButton="0" quotePrefix="0" xfId="0">
      <alignment horizontal="center"/>
    </xf>
    <xf numFmtId="0" fontId="9" fillId="10" borderId="0" pivotButton="0" quotePrefix="0" xfId="0"/>
    <xf numFmtId="0" fontId="9" fillId="10" borderId="0" applyProtection="1" pivotButton="0" quotePrefix="0" xfId="0">
      <protection locked="0" hidden="0"/>
    </xf>
    <xf numFmtId="164" fontId="9" fillId="10" borderId="0" pivotButton="0" quotePrefix="0" xfId="0"/>
    <xf numFmtId="0" fontId="2" fillId="0" borderId="0" applyAlignment="1" pivotButton="0" quotePrefix="0" xfId="0">
      <alignment horizontal="center"/>
    </xf>
    <xf numFmtId="164" fontId="2" fillId="43" borderId="0" applyAlignment="1" pivotButton="0" quotePrefix="0" xfId="0">
      <alignment horizontal="center"/>
    </xf>
    <xf numFmtId="164" fontId="2" fillId="0" borderId="0" applyAlignment="1" pivotButton="0" quotePrefix="0" xfId="0">
      <alignment horizontal="center"/>
    </xf>
    <xf numFmtId="0" fontId="9" fillId="0" borderId="0" applyAlignment="1" applyProtection="1" pivotButton="0" quotePrefix="0" xfId="0">
      <alignment horizontal="center"/>
      <protection locked="0" hidden="0"/>
    </xf>
    <xf numFmtId="0" fontId="2" fillId="43" borderId="0" pivotButton="0" quotePrefix="0" xfId="0"/>
    <xf numFmtId="0" fontId="0" fillId="0" borderId="0" pivotButton="0" quotePrefix="0" xfId="0"/>
    <xf numFmtId="0" fontId="0" fillId="9" borderId="0" pivotButton="0" quotePrefix="0" xfId="0"/>
    <xf numFmtId="0" fontId="0" fillId="35" borderId="0" pivotButton="0" quotePrefix="0" xfId="63"/>
    <xf numFmtId="0" fontId="0" fillId="35" borderId="0" pivotButton="0" quotePrefix="0" xfId="0"/>
    <xf numFmtId="0" fontId="0" fillId="44" borderId="0" pivotButton="0" quotePrefix="0" xfId="0"/>
    <xf numFmtId="0" fontId="0" fillId="45" borderId="0" pivotButton="0" quotePrefix="0" xfId="0"/>
    <xf numFmtId="0" fontId="0" fillId="33" borderId="0" pivotButton="0" quotePrefix="0" xfId="0"/>
    <xf numFmtId="0" fontId="16" fillId="0" borderId="0" pivotButton="0" quotePrefix="0" xfId="0"/>
    <xf numFmtId="0" fontId="0" fillId="46" borderId="0" pivotButton="0" quotePrefix="0" xfId="0"/>
    <xf numFmtId="0" fontId="17" fillId="0" borderId="0" pivotButton="0" quotePrefix="0" xfId="0"/>
    <xf numFmtId="0" fontId="0" fillId="47" borderId="0" pivotButton="0" quotePrefix="0" xfId="0"/>
    <xf numFmtId="164" fontId="0" fillId="0" borderId="0" pivotButton="0" quotePrefix="0" xfId="0"/>
    <xf numFmtId="3" fontId="0" fillId="0" borderId="0" pivotButton="0" quotePrefix="0" xfId="0"/>
    <xf numFmtId="0" fontId="0" fillId="34" borderId="9" pivotButton="0" quotePrefix="0" xfId="63"/>
    <xf numFmtId="0" fontId="0" fillId="33" borderId="0" pivotButton="0" quotePrefix="0" xfId="63"/>
    <xf numFmtId="0" fontId="0" fillId="35" borderId="9" pivotButton="0" quotePrefix="0" xfId="63"/>
    <xf numFmtId="0" fontId="0" fillId="34" borderId="0" pivotButton="0" quotePrefix="0" xfId="63"/>
    <xf numFmtId="0" fontId="0" fillId="35" borderId="9" pivotButton="0" quotePrefix="0" xfId="0"/>
    <xf numFmtId="0" fontId="0" fillId="34" borderId="9" pivotButton="0" quotePrefix="0" xfId="0"/>
    <xf numFmtId="0" fontId="18" fillId="33" borderId="0" pivotButton="0" quotePrefix="0" xfId="0"/>
    <xf numFmtId="0" fontId="19" fillId="0" borderId="0" pivotButton="0" quotePrefix="0" xfId="0"/>
    <xf numFmtId="0" fontId="18" fillId="34" borderId="0" pivotButton="0" quotePrefix="0" xfId="0"/>
    <xf numFmtId="0" fontId="18" fillId="44" borderId="0" pivotButton="0" quotePrefix="0" xfId="0"/>
    <xf numFmtId="0" fontId="0" fillId="44" borderId="0" pivotButton="0" quotePrefix="0" xfId="63"/>
    <xf numFmtId="0" fontId="6" fillId="44" borderId="0" pivotButton="0" quotePrefix="0" xfId="0"/>
    <xf numFmtId="0" fontId="0" fillId="44" borderId="9" pivotButton="0" quotePrefix="0" xfId="0"/>
    <xf numFmtId="0" fontId="7" fillId="34" borderId="0" pivotButton="0" quotePrefix="0" xfId="0"/>
    <xf numFmtId="0" fontId="8" fillId="33" borderId="0" pivotButton="0" quotePrefix="0" xfId="63"/>
    <xf numFmtId="0" fontId="8" fillId="35" borderId="0" pivotButton="0" quotePrefix="0" xfId="0"/>
    <xf numFmtId="0" fontId="6" fillId="35" borderId="0" pivotButton="0" quotePrefix="0" xfId="0"/>
    <xf numFmtId="0" fontId="8" fillId="34" borderId="0" pivotButton="0" quotePrefix="0" xfId="63"/>
    <xf numFmtId="0" fontId="18" fillId="45" borderId="0" pivotButton="0" quotePrefix="0" xfId="0"/>
    <xf numFmtId="0" fontId="7" fillId="45" borderId="0" pivotButton="0" quotePrefix="0" xfId="0"/>
    <xf numFmtId="0" fontId="0" fillId="45" borderId="0" pivotButton="0" quotePrefix="0" xfId="63"/>
    <xf numFmtId="0" fontId="3" fillId="45" borderId="0" pivotButton="0" quotePrefix="0" xfId="0"/>
    <xf numFmtId="0" fontId="0" fillId="45" borderId="9" pivotButton="0" quotePrefix="0" xfId="0"/>
    <xf numFmtId="0" fontId="0" fillId="48" borderId="0" pivotButton="0" quotePrefix="0" xfId="0"/>
    <xf numFmtId="0" fontId="20" fillId="0" borderId="0" applyAlignment="1" pivotButton="0" quotePrefix="0" xfId="0">
      <alignment horizontal="left"/>
    </xf>
    <xf numFmtId="0" fontId="20" fillId="0" borderId="0" applyAlignment="1" pivotButton="0" quotePrefix="0" xfId="0">
      <alignment horizontal="right"/>
    </xf>
    <xf numFmtId="0" fontId="21" fillId="0" borderId="0" applyAlignment="1" pivotButton="0" quotePrefix="0" xfId="0">
      <alignment horizontal="left"/>
    </xf>
    <xf numFmtId="0" fontId="21" fillId="0" borderId="0" applyAlignment="1" pivotButton="0" quotePrefix="0" xfId="0">
      <alignment horizontal="right"/>
    </xf>
    <xf numFmtId="0" fontId="22" fillId="0" borderId="0" applyAlignment="1" pivotButton="0" quotePrefix="0" xfId="0">
      <alignment horizontal="left"/>
    </xf>
    <xf numFmtId="0" fontId="23" fillId="0" borderId="0" applyAlignment="1" pivotButton="0" quotePrefix="0" xfId="0">
      <alignment horizontal="left"/>
    </xf>
    <xf numFmtId="0" fontId="24" fillId="0" borderId="0" applyAlignment="1" pivotButton="0" quotePrefix="0" xfId="0">
      <alignment horizontal="right"/>
    </xf>
    <xf numFmtId="0" fontId="22" fillId="0" borderId="0" applyAlignment="1" pivotButton="0" quotePrefix="0" xfId="0">
      <alignment horizontal="right"/>
    </xf>
    <xf numFmtId="0" fontId="22" fillId="33" borderId="0" applyAlignment="1" pivotButton="0" quotePrefix="0" xfId="0">
      <alignment horizontal="right"/>
    </xf>
    <xf numFmtId="167" fontId="22" fillId="0" borderId="0" applyAlignment="1" pivotButton="0" quotePrefix="0" xfId="0">
      <alignment horizontal="right"/>
    </xf>
    <xf numFmtId="167" fontId="20" fillId="0" borderId="0" applyAlignment="1" pivotButton="0" quotePrefix="0" xfId="0">
      <alignment horizontal="right"/>
    </xf>
    <xf numFmtId="0" fontId="23" fillId="0" borderId="0" applyAlignment="1" pivotButton="0" quotePrefix="0" xfId="0">
      <alignment horizontal="right"/>
    </xf>
    <xf numFmtId="3" fontId="23" fillId="0" borderId="0" applyAlignment="1" pivotButton="0" quotePrefix="0" xfId="0">
      <alignment horizontal="right"/>
    </xf>
    <xf numFmtId="3" fontId="22" fillId="0" borderId="0" applyAlignment="1" pivotButton="0" quotePrefix="0" xfId="0">
      <alignment horizontal="right"/>
    </xf>
    <xf numFmtId="0" fontId="2" fillId="34" borderId="0" pivotButton="0" quotePrefix="0" xfId="0"/>
    <xf numFmtId="0" fontId="0" fillId="49" borderId="9" pivotButton="0" quotePrefix="0" xfId="63"/>
    <xf numFmtId="0" fontId="0" fillId="0" borderId="0" pivotButton="0" quotePrefix="0" xfId="0"/>
    <xf numFmtId="0" fontId="0" fillId="0" borderId="9" applyAlignment="1" pivotButton="0" quotePrefix="0" xfId="0">
      <alignment horizontal="center"/>
    </xf>
    <xf numFmtId="0" fontId="0" fillId="0" borderId="0" pivotButton="0" quotePrefix="0" xfId="63"/>
    <xf numFmtId="168" fontId="0" fillId="49" borderId="9" pivotButton="0" quotePrefix="0" xfId="63"/>
    <xf numFmtId="3" fontId="20" fillId="0" borderId="0" applyAlignment="1" pivotButton="0" quotePrefix="0" xfId="0">
      <alignment horizontal="right"/>
    </xf>
    <xf numFmtId="0" fontId="25" fillId="0" borderId="0" applyAlignment="1" pivotButton="0" quotePrefix="0" xfId="0">
      <alignment horizontal="left"/>
    </xf>
    <xf numFmtId="0" fontId="25" fillId="0" borderId="0" applyAlignment="1" pivotButton="0" quotePrefix="0" xfId="0">
      <alignment horizontal="right"/>
    </xf>
    <xf numFmtId="3" fontId="25" fillId="0" borderId="0" applyAlignment="1" pivotButton="0" quotePrefix="0" xfId="0">
      <alignment horizontal="right"/>
    </xf>
    <xf numFmtId="0" fontId="0" fillId="49" borderId="11" pivotButton="0" quotePrefix="0" xfId="63"/>
    <xf numFmtId="0" fontId="0" fillId="0" borderId="0" pivotButton="0" quotePrefix="0" xfId="0"/>
    <xf numFmtId="0" fontId="0" fillId="0" borderId="0" pivotButton="0" quotePrefix="0" xfId="63"/>
    <xf numFmtId="0" fontId="0" fillId="49" borderId="0" pivotButton="0" quotePrefix="0" xfId="63"/>
    <xf numFmtId="168" fontId="0" fillId="34" borderId="9" pivotButton="0" quotePrefix="0" xfId="63"/>
    <xf numFmtId="0" fontId="0" fillId="34" borderId="11" pivotButton="0" quotePrefix="0" xfId="63"/>
    <xf numFmtId="0" fontId="7" fillId="33" borderId="0" pivotButton="0" quotePrefix="0" xfId="0"/>
    <xf numFmtId="0" fontId="0" fillId="13" borderId="0" pivotButton="0" quotePrefix="0" xfId="0"/>
    <xf numFmtId="0" fontId="2" fillId="13" borderId="0" applyAlignment="1" pivotButton="0" quotePrefix="0" xfId="0">
      <alignment vertical="center"/>
    </xf>
    <xf numFmtId="0" fontId="26" fillId="0" borderId="0" pivotButton="0" quotePrefix="0" xfId="0"/>
    <xf numFmtId="0" fontId="0" fillId="50" borderId="0" pivotButton="0" quotePrefix="0" xfId="0"/>
    <xf numFmtId="0" fontId="27" fillId="0" borderId="0" pivotButton="0" quotePrefix="0" xfId="0"/>
    <xf numFmtId="0" fontId="28" fillId="0" borderId="0" pivotButton="0" quotePrefix="0" xfId="0"/>
    <xf numFmtId="0" fontId="29" fillId="0" borderId="0" pivotButton="0" quotePrefix="0" xfId="0"/>
    <xf numFmtId="0" fontId="30" fillId="0" borderId="0" pivotButton="0" quotePrefix="0" xfId="0"/>
    <xf numFmtId="0" fontId="31" fillId="51" borderId="12" applyAlignment="1" pivotButton="0" quotePrefix="0" xfId="0">
      <alignment horizontal="center" vertical="center" wrapText="1"/>
    </xf>
    <xf numFmtId="0" fontId="32" fillId="0" borderId="12" pivotButton="0" quotePrefix="0" xfId="0"/>
    <xf numFmtId="168" fontId="32" fillId="0" borderId="12" pivotButton="0" quotePrefix="0" xfId="0"/>
    <xf numFmtId="168" fontId="32" fillId="52" borderId="12" pivotButton="0" quotePrefix="0" xfId="0"/>
    <xf numFmtId="168" fontId="0" fillId="0" borderId="12" pivotButton="0" quotePrefix="0" xfId="0"/>
    <xf numFmtId="0" fontId="0" fillId="0" borderId="12" pivotButton="0" quotePrefix="0" xfId="0"/>
    <xf numFmtId="165" fontId="32" fillId="52" borderId="12" pivotButton="0" quotePrefix="0" xfId="0"/>
    <xf numFmtId="0" fontId="8" fillId="0" borderId="0" pivotButton="0" quotePrefix="0" xfId="0"/>
    <xf numFmtId="165" fontId="0" fillId="0" borderId="12" pivotButton="0" quotePrefix="0" xfId="0"/>
    <xf numFmtId="169" fontId="32" fillId="52" borderId="12" pivotButton="0" quotePrefix="0" xfId="0"/>
    <xf numFmtId="0" fontId="29" fillId="0" borderId="12" pivotButton="0" quotePrefix="0" xfId="0"/>
    <xf numFmtId="0" fontId="0" fillId="53" borderId="12" pivotButton="0" quotePrefix="0" xfId="0"/>
    <xf numFmtId="0" fontId="32" fillId="53" borderId="12" pivotButton="0" quotePrefix="0" xfId="0"/>
    <xf numFmtId="165" fontId="0" fillId="53" borderId="12" pivotButton="0" quotePrefix="0" xfId="0"/>
    <xf numFmtId="0" fontId="0" fillId="33" borderId="12" pivotButton="0" quotePrefix="0" xfId="0"/>
    <xf numFmtId="0" fontId="32" fillId="33" borderId="12" pivotButton="0" quotePrefix="0" xfId="0"/>
    <xf numFmtId="165" fontId="0" fillId="33" borderId="12" pivotButton="0" quotePrefix="0" xfId="0"/>
    <xf numFmtId="0" fontId="0" fillId="54" borderId="12" pivotButton="0" quotePrefix="0" xfId="0"/>
    <xf numFmtId="0" fontId="32" fillId="54" borderId="12" pivotButton="0" quotePrefix="0" xfId="0"/>
    <xf numFmtId="0" fontId="33" fillId="50" borderId="0" pivotButton="0" quotePrefix="0" xfId="0"/>
    <xf numFmtId="0" fontId="27" fillId="50" borderId="0" pivotButton="0" quotePrefix="0" xfId="0"/>
    <xf numFmtId="0" fontId="31" fillId="50" borderId="12" applyAlignment="1" pivotButton="0" quotePrefix="0" xfId="0">
      <alignment horizontal="center" vertical="center" wrapText="1"/>
    </xf>
    <xf numFmtId="0" fontId="0" fillId="50" borderId="12" pivotButton="0" quotePrefix="0" xfId="0"/>
    <xf numFmtId="0" fontId="0" fillId="50" borderId="12" applyAlignment="1" pivotButton="0" quotePrefix="0" xfId="0">
      <alignment horizontal="center"/>
    </xf>
    <xf numFmtId="165" fontId="0" fillId="50" borderId="12" pivotButton="0" quotePrefix="0" xfId="0"/>
    <xf numFmtId="0" fontId="33" fillId="0" borderId="0" pivotButton="0" quotePrefix="0" xfId="0"/>
    <xf numFmtId="0" fontId="0" fillId="53" borderId="12" applyAlignment="1" pivotButton="0" quotePrefix="0" xfId="0">
      <alignment horizontal="center"/>
    </xf>
    <xf numFmtId="0" fontId="0" fillId="0" borderId="12" applyAlignment="1" pivotButton="0" quotePrefix="0" xfId="0">
      <alignment horizontal="center"/>
    </xf>
    <xf numFmtId="0" fontId="33" fillId="52" borderId="0" applyAlignment="1" pivotButton="0" quotePrefix="0" xfId="0">
      <alignment vertical="top" wrapText="1"/>
    </xf>
    <xf numFmtId="0" fontId="0" fillId="0" borderId="0" applyAlignment="1" pivotButton="0" quotePrefix="0" xfId="0">
      <alignment vertical="top" wrapText="1"/>
    </xf>
    <xf numFmtId="0" fontId="34" fillId="0" borderId="0" pivotButton="0" quotePrefix="0" xfId="0"/>
    <xf numFmtId="0" fontId="35" fillId="46" borderId="0" pivotButton="0" quotePrefix="0" xfId="0"/>
    <xf numFmtId="0" fontId="27" fillId="0" borderId="0" pivotButton="0" quotePrefix="0" xfId="0"/>
    <xf numFmtId="0" fontId="36" fillId="0" borderId="0" applyAlignment="1" pivotButton="0" quotePrefix="0" xfId="0">
      <alignment vertical="center"/>
    </xf>
    <xf numFmtId="0" fontId="0" fillId="9" borderId="0" applyAlignment="1" pivotButton="0" quotePrefix="0" xfId="63">
      <alignment horizontal="center"/>
    </xf>
    <xf numFmtId="0" fontId="37" fillId="0" borderId="0" pivotButton="0" quotePrefix="0" xfId="0"/>
    <xf numFmtId="0" fontId="2" fillId="55" borderId="0" applyAlignment="1" pivotButton="0" quotePrefix="0" xfId="0">
      <alignment vertical="center"/>
    </xf>
    <xf numFmtId="0" fontId="2" fillId="55" borderId="0" applyAlignment="1" pivotButton="0" quotePrefix="0" xfId="0">
      <alignment vertical="center"/>
    </xf>
    <xf numFmtId="0" fontId="36" fillId="0" borderId="0" applyAlignment="1" pivotButton="0" quotePrefix="0" xfId="0">
      <alignment vertical="center"/>
    </xf>
    <xf numFmtId="0" fontId="0" fillId="43" borderId="9" pivotButton="0" quotePrefix="0" xfId="63"/>
    <xf numFmtId="0" fontId="0" fillId="43" borderId="0" pivotButton="0" quotePrefix="0" xfId="63"/>
    <xf numFmtId="0" fontId="0" fillId="9" borderId="9" pivotButton="0" quotePrefix="0" xfId="63"/>
    <xf numFmtId="0" fontId="2" fillId="0" borderId="0" applyAlignment="1" pivotButton="0" quotePrefix="0" xfId="0">
      <alignment wrapText="1"/>
    </xf>
    <xf numFmtId="0" fontId="31" fillId="0" borderId="0" applyAlignment="1" pivotButton="0" quotePrefix="0" xfId="0">
      <alignment horizontal="center" vertical="center" wrapText="1"/>
    </xf>
    <xf numFmtId="168" fontId="0" fillId="0" borderId="0" pivotButton="0" quotePrefix="0" xfId="0"/>
    <xf numFmtId="0" fontId="3" fillId="9" borderId="0" applyAlignment="1" pivotButton="0" quotePrefix="0" xfId="63">
      <alignment horizontal="center"/>
    </xf>
    <xf numFmtId="0" fontId="0" fillId="0" borderId="0" applyAlignment="1" pivotButton="0" quotePrefix="0" xfId="63">
      <alignment horizontal="center"/>
    </xf>
    <xf numFmtId="0" fontId="0" fillId="0" borderId="9" pivotButton="0" quotePrefix="0" xfId="63"/>
    <xf numFmtId="0" fontId="35" fillId="0" borderId="0" pivotButton="0" quotePrefix="0" xfId="0"/>
    <xf numFmtId="0" fontId="0" fillId="0" borderId="0" applyAlignment="1" pivotButton="0" quotePrefix="0" xfId="63">
      <alignment horizontal="center"/>
    </xf>
    <xf numFmtId="0" fontId="38" fillId="0" borderId="0" pivotButton="0" quotePrefix="0" xfId="0"/>
    <xf numFmtId="0" fontId="29" fillId="0" borderId="0" pivotButton="0" quotePrefix="0" xfId="0"/>
    <xf numFmtId="165" fontId="0" fillId="0" borderId="0" pivotButton="0" quotePrefix="0" xfId="0"/>
    <xf numFmtId="0" fontId="2" fillId="55" borderId="0" pivotButton="0" quotePrefix="0" xfId="0"/>
    <xf numFmtId="0" fontId="2" fillId="0" borderId="0" pivotButton="0" quotePrefix="0" xfId="0"/>
    <xf numFmtId="0" fontId="0" fillId="0" borderId="0" applyAlignment="1" pivotButton="0" quotePrefix="0" xfId="63">
      <alignment horizontal="center"/>
    </xf>
    <xf numFmtId="0" fontId="39" fillId="0" borderId="0" applyAlignment="1" pivotButton="0" quotePrefix="0" xfId="63">
      <alignment horizontal="center"/>
    </xf>
    <xf numFmtId="0" fontId="34" fillId="9" borderId="0" pivotButton="0" quotePrefix="0" xfId="0"/>
    <xf numFmtId="0" fontId="33" fillId="0" borderId="0" pivotButton="0" quotePrefix="0" xfId="0"/>
    <xf numFmtId="0" fontId="0" fillId="0" borderId="0" pivotButton="0" quotePrefix="0" xfId="0"/>
    <xf numFmtId="0" fontId="0" fillId="0" borderId="0" applyAlignment="1" pivotButton="0" quotePrefix="0" xfId="0">
      <alignment horizontal="center"/>
    </xf>
    <xf numFmtId="0" fontId="0" fillId="17" borderId="0" applyAlignment="1" pivotButton="0" quotePrefix="0" xfId="63">
      <alignment horizontal="center"/>
    </xf>
    <xf numFmtId="0" fontId="2" fillId="17" borderId="0" pivotButton="0" quotePrefix="0" xfId="0"/>
    <xf numFmtId="0" fontId="2" fillId="17" borderId="0" pivotButton="0" quotePrefix="0" xfId="0"/>
    <xf numFmtId="0" fontId="30" fillId="0" borderId="0" pivotButton="0" quotePrefix="0" xfId="0"/>
    <xf numFmtId="0" fontId="33" fillId="0" borderId="0" applyAlignment="1" pivotButton="0" quotePrefix="0" xfId="0">
      <alignment vertical="top" wrapText="1"/>
    </xf>
    <xf numFmtId="0" fontId="8" fillId="0" borderId="0" pivotButton="0" quotePrefix="0" xfId="0"/>
    <xf numFmtId="0" fontId="32" fillId="0" borderId="0" pivotButton="0" quotePrefix="0" xfId="0"/>
    <xf numFmtId="0" fontId="16" fillId="0" borderId="0" pivotButton="0" quotePrefix="0" xfId="64"/>
    <xf numFmtId="0" fontId="0" fillId="0" borderId="0" pivotButton="0" quotePrefix="1" xfId="0"/>
    <xf numFmtId="0" fontId="0" fillId="36" borderId="0" pivotButton="0" quotePrefix="1" xfId="0"/>
    <xf numFmtId="168" fontId="0" fillId="0" borderId="0" pivotButton="0" quotePrefix="0" xfId="0"/>
    <xf numFmtId="165" fontId="0" fillId="0" borderId="0" pivotButton="0" quotePrefix="0" xfId="0"/>
    <xf numFmtId="168" fontId="32" fillId="0" borderId="12" pivotButton="0" quotePrefix="0" xfId="0"/>
    <xf numFmtId="168" fontId="32" fillId="56" borderId="12" pivotButton="0" quotePrefix="0" xfId="0"/>
    <xf numFmtId="168" fontId="0" fillId="0" borderId="12" pivotButton="0" quotePrefix="0" xfId="0"/>
    <xf numFmtId="168" fontId="32" fillId="52" borderId="12" pivotButton="0" quotePrefix="0" xfId="0"/>
    <xf numFmtId="165" fontId="32" fillId="52" borderId="12" pivotButton="0" quotePrefix="0" xfId="0"/>
    <xf numFmtId="165" fontId="0" fillId="0" borderId="12" pivotButton="0" quotePrefix="0" xfId="0"/>
    <xf numFmtId="169" fontId="32" fillId="52" borderId="12" pivotButton="0" quotePrefix="0" xfId="0"/>
    <xf numFmtId="165" fontId="0" fillId="53" borderId="12" pivotButton="0" quotePrefix="0" xfId="0"/>
    <xf numFmtId="165" fontId="0" fillId="33" borderId="12" pivotButton="0" quotePrefix="0" xfId="0"/>
    <xf numFmtId="165" fontId="0" fillId="50" borderId="12" pivotButton="0" quotePrefix="0" xfId="0"/>
    <xf numFmtId="164" fontId="0" fillId="0" borderId="0" pivotButton="0" quotePrefix="0" xfId="0"/>
    <xf numFmtId="167" fontId="22" fillId="0" borderId="0" applyAlignment="1" pivotButton="0" quotePrefix="0" xfId="0">
      <alignment horizontal="right"/>
    </xf>
    <xf numFmtId="167" fontId="20" fillId="0" borderId="0" applyAlignment="1" pivotButton="0" quotePrefix="0" xfId="0">
      <alignment horizontal="right"/>
    </xf>
    <xf numFmtId="168" fontId="0" fillId="49" borderId="9" pivotButton="0" quotePrefix="0" xfId="63"/>
    <xf numFmtId="168" fontId="0" fillId="34" borderId="9" pivotButton="0" quotePrefix="0" xfId="63"/>
    <xf numFmtId="165" fontId="13" fillId="9" borderId="9" pivotButton="0" quotePrefix="0" xfId="0"/>
    <xf numFmtId="165" fontId="2" fillId="9" borderId="0" pivotButton="0" quotePrefix="0" xfId="0"/>
    <xf numFmtId="166" fontId="2" fillId="9" borderId="9" pivotButton="0" quotePrefix="0" xfId="0"/>
    <xf numFmtId="166" fontId="0" fillId="0" borderId="0" pivotButton="0" quotePrefix="0" xfId="0"/>
    <xf numFmtId="164" fontId="9" fillId="10" borderId="0" pivotButton="0" quotePrefix="0" xfId="0"/>
    <xf numFmtId="164" fontId="2" fillId="43" borderId="0" applyAlignment="1" pivotButton="0" quotePrefix="0" xfId="0">
      <alignment horizontal="center"/>
    </xf>
    <xf numFmtId="164" fontId="2" fillId="0" borderId="0" applyAlignment="1" pivotButton="0" quotePrefix="0" xfId="0">
      <alignment horizontal="center"/>
    </xf>
    <xf numFmtId="164" fontId="9" fillId="39" borderId="0" pivotButton="0" quotePrefix="0" xfId="0"/>
    <xf numFmtId="164" fontId="9" fillId="0" borderId="0" pivotButton="0" quotePrefix="0" xfId="0"/>
    <xf numFmtId="164" fontId="9" fillId="30" borderId="0" pivotButton="0" quotePrefix="0" xfId="0"/>
    <xf numFmtId="164" fontId="9" fillId="38" borderId="0" pivotButton="0" quotePrefix="0" xfId="0"/>
  </cellXfs>
  <cellStyles count="53">
    <cellStyle name="Normal" xfId="0" builtinId="0"/>
    <cellStyle name="Percent" xfId="1" builtinId="5"/>
    <cellStyle name="Currency" xfId="2" builtinId="4"/>
    <cellStyle name="Currency [0]" xfId="3" builtinId="7"/>
    <cellStyle name="Comma" xfId="4" builtinId="3"/>
    <cellStyle name="Comma [0]" xfId="5" builtinId="6"/>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externalLink" Target="/xl/externalLinks/externalLink1.xml" Id="rId15" /><Relationship Type="http://schemas.openxmlformats.org/officeDocument/2006/relationships/externalLink" Target="/xl/externalLinks/externalLink2.xml" Id="rId16" /><Relationship Type="http://schemas.openxmlformats.org/officeDocument/2006/relationships/externalLink" Target="/xl/externalLinks/externalLink3.xml" Id="rId17" /><Relationship Type="http://schemas.openxmlformats.org/officeDocument/2006/relationships/externalLink" Target="/xl/externalLinks/externalLink4.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xli9</author>
  </authors>
  <commentList>
    <comment ref="BD1" authorId="0" shapeId="0">
      <text>
        <t>xli9:
Cell conversion/manufacturing: 65–75%/70% Pack integration/assembly: 25–35%</t>
      </text>
    </comment>
    <comment ref="F3" authorId="0" shapeId="0">
      <text>
        <t>xli9:
The capacity is GWh rather than GW; Amit’s defination has wrong unit. It seems Amit has quantified the electric car CAPEX which includes BAT manufacturing costs</t>
      </text>
    </comment>
    <comment ref="AW11" authorId="0" shapeId="0">
      <text>
        <t>xli9:
at the factory (conversion) level</t>
      </text>
    </comment>
    <comment ref="AW24" authorId="0" shapeId="0">
      <text>
        <t>xli9:
at the factory (conversion) level</t>
      </text>
    </comment>
    <comment ref="B33" authorId="0" shapeId="0">
      <text>
        <t>xli9: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text>
    </comment>
    <comment ref="AW39" authorId="0" shapeId="0">
      <text>
        <t>xli9:
at the factory (conversion) level</t>
      </text>
    </comment>
    <comment ref="AG41" authorId="0" shapeId="0">
      <text>
        <t>xli9:
same as recycling facilities 
JUST REMOVE IT BCZ ACT_COST ALREADY INCLUDE</t>
      </text>
    </comment>
    <comment ref="AW53" authorId="0" shapeId="0">
      <text>
        <t>xli9:
at the factory (conversion) level</t>
      </text>
    </comment>
    <comment ref="B55" authorId="0" shapeId="0">
      <text>
        <t>xli9:
at the factory (conversion) level</t>
      </text>
    </comment>
    <comment ref="AW67" authorId="0" shapeId="0">
      <text>
        <t>xli9:
at the factory (conversion) level</t>
      </text>
    </comment>
    <comment ref="AW83" authorId="0" shapeId="0">
      <text>
        <t>xli9:
at the factory (conversion) level</t>
      </text>
    </comment>
    <comment ref="AW96" authorId="0" shapeId="0">
      <text>
        <t>xli9:
at the factory (conversion) level</t>
      </text>
    </comment>
    <comment ref="AW113" authorId="0" shapeId="0">
      <text>
        <t>xli9:
at the factory (conversion) level</t>
      </text>
    </comment>
  </commentList>
</comments>
</file>

<file path=xl/comments/comment2.xml><?xml version="1.0" encoding="utf-8"?>
<comments xmlns="http://schemas.openxmlformats.org/spreadsheetml/2006/main">
  <authors>
    <author>xli9</author>
  </authors>
  <commentList>
    <comment ref="C50" authorId="0" shapeId="0">
      <text>
        <t>xli9:
Manually adjusted</t>
      </text>
    </comment>
    <comment ref="C53" authorId="0" shapeId="0">
      <text>
        <t>xli9:
Manually adjusted</t>
      </text>
    </comment>
    <comment ref="C56" authorId="0" shapeId="0">
      <text>
        <t>xli9:
Manually adjusted</t>
      </text>
    </comment>
    <comment ref="A139" authorId="0" shapeId="0">
      <text>
        <t>xli9:
Cell conversion/manufacturing: 65–75%/70% Pack integration/assembly: 25–35%</t>
      </text>
    </comment>
  </commentList>
</comments>
</file>

<file path=xl/comments/comment3.xml><?xml version="1.0" encoding="utf-8"?>
<comments xmlns="http://schemas.openxmlformats.org/spreadsheetml/2006/main">
  <authors>
    <author>xli9</author>
    <author>Xiao Li</author>
  </authors>
  <commentList>
    <comment ref="P2" authorId="0" shapeId="0">
      <text>
        <t>xli9:
Because we considered V2G in another independent process, so we ignore this tag</t>
      </text>
    </comment>
    <comment ref="F12" authorId="0" shapeId="0">
      <text>
        <t>xli9:
I just shorten it from 25 to 15, which is more real</t>
      </text>
    </comment>
    <comment ref="F15" authorId="0" shapeId="0">
      <text>
        <t>xli9:
This does not make sense; for the same vehicle technology, EFF should be the same whether it uses gasoline or bio-gasoline (BGS).</t>
      </text>
    </comment>
    <comment ref="CW63" authorId="0" shapeId="0">
      <text>
        <t>xli9:
We removed it , see below</t>
      </text>
    </comment>
    <comment ref="M71" authorId="0" shapeId="0">
      <text>
        <t>xli9:
https://www.lightmetalage.com/news/industry-news/smelting/decline-of-u-s-primary-aluminum-production-and-the-growth-of-secondary-aluminum/?utm_source=chatgpt.com</t>
      </text>
    </comment>
    <comment ref="AA71" authorId="0" shapeId="0">
      <text>
        <t>xli9:
US750 ktonne, CAN 2.9 Mtonne: https://en.wikipedia.org/wiki/Aluminum_industry_in_the_United_States?utm_source=chatgpt.com; https://www.statista.com/statistics/312839/primary-aluminum-production-in-the-united-states/?utm_source=chatgpt.com</t>
      </text>
    </comment>
    <comment ref="B85" authorId="0" shapeId="0">
      <text>
        <t>xli9:
We have already predefine in PASTI, and this block is wrong, without focusing on battery scopes</t>
      </text>
    </comment>
    <comment ref="D90" authorId="0" shapeId="0">
      <text>
        <t/>
      </text>
    </comment>
    <comment ref="D101" authorId="0" shapeId="0">
      <text>
        <t>xli9:
Bca its cap with unit of GW, which means this block defines how many costs for recycling 1Gwh of EV-Bat so do not need to multiplyy ktonne/GWh</t>
      </text>
    </comment>
    <comment ref="E104" authorId="1" shapeId="0">
      <text>
        <t>Xiao Li:
unit is m$/ktonne, so we use ACT_COST</t>
      </text>
    </comment>
    <comment ref="C129" authorId="0" shapeId="0">
      <text>
        <t>xli9:
SHOULD REMOVE THERE IS NO EVIDENCE</t>
      </text>
    </comment>
    <comment ref="B178" authorId="0" shapeId="0">
      <text>
        <t>xli9:
WE DELETE FUTURE BOUNDS TO AVOID THE ROUND LOGIC, AND ALSO AVOIDING FIXED multiply factors</t>
      </text>
    </comment>
    <comment ref="B208" authorId="0" shapeId="0">
      <text>
        <t>xli9:
this is the observed mining intensity
MOVE TO BY</t>
      </text>
    </comment>
    <comment ref="B280" authorId="0" shapeId="0">
      <text>
        <t>We remove this bcz there exists a constraint to balance battery amounts with car amounts... so we just set start year for them two processes as base year and remove this existing stocks 
xli9:
Since we hope to make CAPEX, EFF=1 all align with actual production capacity, so we translated original capacity to the real production capacity</t>
      </text>
    </comment>
    <comment ref="B283" authorId="0" shapeId="0">
      <text>
        <t>xli9:
we then add it back but revise with balanced number
MOVE TO BY</t>
      </text>
    </comment>
  </commentList>
</comments>
</file>

<file path=xl/comments/comment4.xml><?xml version="1.0" encoding="utf-8"?>
<comments xmlns="http://schemas.openxmlformats.org/spreadsheetml/2006/main">
  <authors>
    <author>xli9</author>
  </authors>
  <commentList>
    <comment ref="M10" authorId="0" shapeId="0">
      <text>
        <t>xli9:
I need to set 70% because original CAPEX include batteries but should be deducted</t>
      </text>
    </comment>
  </commentList>
</comments>
</file>

<file path=xl/comments/comment5.xml><?xml version="1.0" encoding="utf-8"?>
<comments xmlns="http://schemas.openxmlformats.org/spreadsheetml/2006/main">
  <authors>
    <author>xli9</author>
  </authors>
  <commentList>
    <comment ref="G35" authorId="0" shapeId="0">
      <text>
        <t>xli9:
Amit data based on 2019 so this number original is 2000, but we start from 2020 so we revise it to be 2020 excluding 2000</t>
      </text>
    </comment>
    <comment ref="D54" authorId="0" shapeId="0">
      <text>
        <t>xli9:
Amit data based on 2019 so this number original is 2000, but we start from 2020 so we revise it to be 2020 excluding 2000</t>
      </text>
    </comment>
  </commentList>
</comments>
</file>

<file path=xl/comments/comment6.xml><?xml version="1.0" encoding="utf-8"?>
<comments xmlns="http://schemas.openxmlformats.org/spreadsheetml/2006/main">
  <authors>
    <author>xli9</author>
  </authors>
  <commentList>
    <comment ref="AJ165" authorId="0" shapeId="0">
      <text>
        <t>xli9:
I need to set 70% because original CAPEX include batteries but should be deducted</t>
      </text>
    </comment>
  </commentList>
</comments>
</file>

<file path=xl/externalLinks/_rels/externalLink1.xml.rels><Relationships xmlns="http://schemas.openxmlformats.org/package/2006/relationships"><Relationship Type="http://schemas.openxmlformats.org/officeDocument/2006/relationships/externalLinkPath" Target="file:///F:\TMPL_RES.xls" TargetMode="External" Id="rId1" /></Relationships>
</file>

<file path=xl/externalLinks/_rels/externalLink2.xml.rels><Relationships xmlns="http://schemas.openxmlformats.org/package/2006/relationships"><Relationship Type="http://schemas.openxmlformats.org/officeDocument/2006/relationships/externalLinkPath" Target="\SAGE\saic_technology\ResCOM\New%20Microsoft%20Excel%20Worksheet.xls" TargetMode="External" Id="rId1" /></Relationships>
</file>

<file path=xl/externalLinks/_rels/externalLink3.xml.rels><Relationships xmlns="http://schemas.openxmlformats.org/package/2006/relationships"><Relationship Type="http://schemas.openxmlformats.org/officeDocument/2006/relationships/externalLinkPath" Target="SubRES_Transport.xlsx" TargetMode="External" Id="rId1" /></Relationships>
</file>

<file path=xl/externalLinks/_rels/externalLink4.xml.rels><Relationships xmlns="http://schemas.openxmlformats.org/package/2006/relationships"><Relationship Type="http://schemas.openxmlformats.org/officeDocument/2006/relationships/externalLinkPath" Target="\Users\xli9\OneDrive%20-%20McGill%20University\Desktop\manu11_Battery_ISIE\KiNESYS_BattCircularity-main\KiNESYS_BattCircularity-main-AK_July\BY_Tran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Relationships xmlns="http://schemas.openxmlformats.org/package/2006/relationships"><Relationship Type="http://schemas.openxmlformats.org/officeDocument/2006/relationships/hyperlink" Target="https://atb.nrel.gov/transportation/2024/battery_electric_vehicle_assumptions"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2.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codeName="Sheet6">
    <outlinePr summaryBelow="1" summaryRight="1"/>
    <pageSetUpPr/>
  </sheetPr>
  <dimension ref="A3:AA281"/>
  <sheetViews>
    <sheetView topLeftCell="A1" zoomScale="80" zoomScaleNormal="80" workbookViewId="0">
      <selection pane="topLeft" activeCell="E12" sqref="E12"/>
    </sheetView>
  </sheetViews>
  <sheetFormatPr baseColWidth="8" defaultColWidth="9.094285714285711" defaultRowHeight="11.5"/>
  <cols>
    <col width="15" customWidth="1" style="222" min="1" max="1"/>
    <col width="8.857142857142859" customWidth="1" style="222" min="2" max="2"/>
    <col width="4.71428571428571" customWidth="1" style="222" min="3" max="3"/>
    <col width="8.857142857142859" customWidth="1" style="222" min="4" max="4"/>
    <col width="4.42857142857143" customWidth="1" style="222" min="5" max="5"/>
    <col width="4.28571428571429" customWidth="1" style="222" min="6" max="6"/>
    <col width="4.42857142857143" customWidth="1" style="222" min="7" max="7"/>
    <col width="4.57142857142857" customWidth="1" style="222" min="8" max="8"/>
    <col width="4" customWidth="1" style="222" min="9" max="9"/>
    <col width="4.42857142857143" customWidth="1" style="222" min="10" max="10"/>
    <col width="4.57142857142857" customWidth="1" style="222" min="11" max="11"/>
    <col width="4.42857142857143" customWidth="1" style="222" min="12" max="12"/>
    <col width="4" customWidth="1" style="222" min="13" max="13"/>
    <col width="4.28571428571429" customWidth="1" style="222" min="14" max="14"/>
    <col width="4.42857142857143" customWidth="1" style="222" min="15" max="16"/>
    <col width="4.57142857142857" customWidth="1" style="222" min="17" max="18"/>
    <col width="4.42857142857143" customWidth="1" style="222" min="19" max="19"/>
    <col width="5" customWidth="1" style="222" min="20" max="20"/>
    <col width="11.7142857142857" customWidth="1" style="222" min="21" max="21"/>
    <col width="10.7142857142857" customWidth="1" style="222" min="22" max="22"/>
    <col width="13.1428571428571" customWidth="1" style="222" min="23" max="23"/>
    <col width="11.4285714285714" customWidth="1" style="222" min="24" max="259"/>
    <col width="9.142857142857141" customWidth="1" style="222" min="260" max="16384"/>
  </cols>
  <sheetData>
    <row r="1" ht="12.5" customHeight="1" s="213"/>
    <row r="2" ht="12.5" customHeight="1" s="213"/>
    <row r="3" ht="12.5" customHeight="1" s="213">
      <c r="A3" t="inlineStr">
        <is>
          <t>~TFM_AVA</t>
        </is>
      </c>
      <c r="V3" s="85" t="n"/>
      <c r="W3" s="85" t="n"/>
      <c r="X3" s="85" t="n"/>
      <c r="Y3" s="85" t="n"/>
      <c r="Z3" s="85" t="n"/>
      <c r="AA3" s="85" t="n"/>
    </row>
    <row r="4" ht="12.5" customHeight="1" s="213">
      <c r="A4" t="inlineStr">
        <is>
          <t>Region</t>
        </is>
      </c>
      <c r="B4" t="inlineStr">
        <is>
          <t>Process</t>
        </is>
      </c>
      <c r="V4" s="85" t="n"/>
      <c r="W4" s="85" t="n"/>
      <c r="X4" s="85" t="n"/>
      <c r="Y4" s="85" t="n"/>
      <c r="Z4" s="85" t="n"/>
      <c r="AA4" s="85" t="n"/>
    </row>
    <row r="5" ht="12.5" customHeight="1" s="213">
      <c r="A5" t="inlineStr">
        <is>
          <t>Africa_North</t>
        </is>
      </c>
      <c r="B5" t="inlineStr">
        <is>
          <t>*</t>
        </is>
      </c>
      <c r="V5" s="85" t="n"/>
      <c r="W5" s="85" t="n"/>
      <c r="X5" s="85" t="n"/>
      <c r="Y5" s="85" t="n"/>
      <c r="Z5" s="85" t="n"/>
      <c r="AA5" s="85" t="n"/>
    </row>
    <row r="6" ht="12.5" customHeight="1" s="213">
      <c r="A6" t="inlineStr">
        <is>
          <t>Africa_Other</t>
        </is>
      </c>
      <c r="B6" t="inlineStr">
        <is>
          <t>*</t>
        </is>
      </c>
      <c r="V6" s="85" t="n"/>
      <c r="W6" s="85" t="n"/>
      <c r="X6" s="85" t="n"/>
      <c r="Y6" s="85" t="n"/>
      <c r="Z6" s="85" t="n"/>
      <c r="AA6" s="85" t="n"/>
    </row>
    <row r="7" ht="12.5" customHeight="1" s="213">
      <c r="A7" t="inlineStr">
        <is>
          <t>Australia</t>
        </is>
      </c>
      <c r="B7" t="inlineStr">
        <is>
          <t>*</t>
        </is>
      </c>
      <c r="V7" s="85" t="n"/>
      <c r="W7" s="85" t="n"/>
      <c r="X7" s="85" t="n"/>
      <c r="Y7" s="85" t="n"/>
      <c r="Z7" s="85" t="n"/>
      <c r="AA7" s="85" t="n"/>
    </row>
    <row r="8" ht="12.5" customHeight="1" s="213">
      <c r="A8" t="inlineStr">
        <is>
          <t>Austria</t>
        </is>
      </c>
      <c r="B8" t="inlineStr">
        <is>
          <t>*</t>
        </is>
      </c>
      <c r="V8" s="85" t="n"/>
      <c r="W8" s="85" t="n"/>
      <c r="X8" s="85" t="n"/>
      <c r="Y8" s="85" t="n"/>
      <c r="Z8" s="85" t="n"/>
      <c r="AA8" s="85" t="n"/>
    </row>
    <row r="9" ht="12.5" customHeight="1" s="213">
      <c r="A9" t="inlineStr">
        <is>
          <t>Baltics</t>
        </is>
      </c>
      <c r="B9" t="inlineStr">
        <is>
          <t>*</t>
        </is>
      </c>
      <c r="V9" s="85" t="n"/>
      <c r="W9" s="85" t="n"/>
      <c r="X9" s="85" t="n"/>
      <c r="Y9" s="85" t="n"/>
      <c r="Z9" s="85" t="n"/>
      <c r="AA9" s="85" t="n"/>
    </row>
    <row r="10" ht="12.5" customHeight="1" s="213">
      <c r="A10" t="inlineStr">
        <is>
          <t>BeNeLux</t>
        </is>
      </c>
      <c r="B10" t="inlineStr">
        <is>
          <t>*</t>
        </is>
      </c>
      <c r="V10" s="85" t="n"/>
      <c r="W10" s="85" t="n"/>
      <c r="X10" s="85" t="n"/>
      <c r="Y10" s="85" t="n"/>
      <c r="Z10" s="85" t="n"/>
      <c r="AA10" s="85" t="n"/>
    </row>
    <row r="11" ht="12.5" customHeight="1" s="213">
      <c r="A11" t="inlineStr">
        <is>
          <t>Brazil</t>
        </is>
      </c>
      <c r="B11" t="inlineStr">
        <is>
          <t>*</t>
        </is>
      </c>
      <c r="V11" s="85" t="n"/>
      <c r="W11" s="85" t="n"/>
      <c r="X11" s="85" t="n"/>
      <c r="Y11" s="85" t="n"/>
      <c r="Z11" s="85" t="n"/>
      <c r="AA11" s="85" t="n"/>
    </row>
    <row r="12" ht="12.5" customHeight="1" s="213">
      <c r="A12" t="inlineStr">
        <is>
          <t>China</t>
        </is>
      </c>
      <c r="B12" t="inlineStr">
        <is>
          <t>*</t>
        </is>
      </c>
      <c r="V12" s="85" t="n"/>
      <c r="W12" s="85" t="n"/>
      <c r="X12" s="85" t="n"/>
      <c r="Y12" s="85" t="n"/>
      <c r="Z12" s="85" t="n"/>
      <c r="AA12" s="85" t="n"/>
    </row>
    <row r="13" ht="12.5" customHeight="1" s="213">
      <c r="A13" t="inlineStr">
        <is>
          <t>CroSloven</t>
        </is>
      </c>
      <c r="B13" t="inlineStr">
        <is>
          <t>*</t>
        </is>
      </c>
      <c r="V13" s="85" t="n"/>
      <c r="W13" s="85" t="n"/>
      <c r="X13" s="85" t="n"/>
      <c r="Y13" s="85" t="n"/>
      <c r="Z13" s="85" t="n"/>
      <c r="AA13" s="85" t="n"/>
    </row>
    <row r="14" ht="12.5" customHeight="1" s="213">
      <c r="A14" t="inlineStr">
        <is>
          <t>CzechSlovak</t>
        </is>
      </c>
      <c r="B14" t="inlineStr">
        <is>
          <t>*</t>
        </is>
      </c>
      <c r="V14" s="85" t="n"/>
      <c r="W14" s="85" t="n"/>
      <c r="X14" s="85" t="n"/>
      <c r="Y14" s="85" t="n"/>
      <c r="Z14" s="85" t="n"/>
      <c r="AA14" s="85" t="n"/>
    </row>
    <row r="15" ht="12.5" customHeight="1" s="213">
      <c r="A15" t="inlineStr">
        <is>
          <t>France</t>
        </is>
      </c>
      <c r="B15" t="inlineStr">
        <is>
          <t>*</t>
        </is>
      </c>
      <c r="V15" s="85" t="n"/>
      <c r="W15" s="85" t="n"/>
      <c r="X15" s="85" t="n"/>
      <c r="Y15" s="85" t="n"/>
      <c r="Z15" s="85" t="n"/>
      <c r="AA15" s="85" t="n"/>
    </row>
    <row r="16" ht="12.5" customHeight="1" s="213">
      <c r="A16" t="inlineStr">
        <is>
          <t>Germany</t>
        </is>
      </c>
      <c r="B16" t="inlineStr">
        <is>
          <t>*</t>
        </is>
      </c>
      <c r="V16" s="85" t="n"/>
      <c r="W16" s="85" t="n"/>
      <c r="X16" s="85" t="n"/>
      <c r="Y16" s="85" t="n"/>
      <c r="Z16" s="85" t="n"/>
      <c r="AA16" s="85" t="n"/>
    </row>
    <row r="17" ht="12.5" customHeight="1" s="213">
      <c r="A17" t="inlineStr">
        <is>
          <t>GreeceCyp</t>
        </is>
      </c>
      <c r="B17" t="inlineStr">
        <is>
          <t>*</t>
        </is>
      </c>
      <c r="V17" s="85" t="n"/>
      <c r="W17" s="85" t="n"/>
      <c r="X17" s="85" t="n"/>
      <c r="Y17" s="85" t="n"/>
      <c r="Z17" s="85" t="n"/>
      <c r="AA17" s="85" t="n"/>
    </row>
    <row r="18" ht="12.5" customHeight="1" s="213">
      <c r="A18" t="inlineStr">
        <is>
          <t>HunRomBul</t>
        </is>
      </c>
      <c r="B18" t="inlineStr">
        <is>
          <t>*</t>
        </is>
      </c>
      <c r="V18" s="85" t="n"/>
      <c r="W18" s="85" t="n"/>
      <c r="X18" s="85" t="n"/>
      <c r="Y18" s="85" t="n"/>
      <c r="Z18" s="85" t="n"/>
      <c r="AA18" s="85" t="n"/>
    </row>
    <row r="19" ht="12.5" customHeight="1" s="213">
      <c r="A19" t="inlineStr">
        <is>
          <t>Iceland</t>
        </is>
      </c>
      <c r="B19" t="inlineStr">
        <is>
          <t>*</t>
        </is>
      </c>
      <c r="V19" s="85" t="n"/>
      <c r="W19" s="85" t="n"/>
      <c r="X19" s="85" t="n"/>
      <c r="Y19" s="85" t="n"/>
      <c r="Z19" s="85" t="n"/>
      <c r="AA19" s="85" t="n"/>
    </row>
    <row r="20" ht="12.5" customHeight="1" s="213">
      <c r="A20" t="inlineStr">
        <is>
          <t>India</t>
        </is>
      </c>
      <c r="B20" t="inlineStr">
        <is>
          <t>*</t>
        </is>
      </c>
      <c r="V20" s="85" t="n"/>
      <c r="W20" s="85" t="n"/>
      <c r="X20" s="85" t="n"/>
      <c r="Y20" s="85" t="n"/>
      <c r="Z20" s="85" t="n"/>
      <c r="AA20" s="85" t="n"/>
    </row>
    <row r="21" ht="12.5" customHeight="1" s="213">
      <c r="A21" t="inlineStr">
        <is>
          <t>Ireland</t>
        </is>
      </c>
      <c r="B21" t="inlineStr">
        <is>
          <t>*</t>
        </is>
      </c>
      <c r="V21" s="85" t="n"/>
      <c r="W21" s="85" t="n"/>
      <c r="X21" s="85" t="n"/>
      <c r="Y21" s="85" t="n"/>
      <c r="Z21" s="85" t="n"/>
      <c r="AA21" s="85" t="n"/>
    </row>
    <row r="22" ht="12.5" customHeight="1" s="213">
      <c r="A22" t="inlineStr">
        <is>
          <t>ItalyMal</t>
        </is>
      </c>
      <c r="B22" t="inlineStr">
        <is>
          <t>*</t>
        </is>
      </c>
      <c r="V22" s="85" t="n"/>
      <c r="W22" s="85" t="n"/>
      <c r="X22" s="85" t="n"/>
      <c r="Y22" s="85" t="n"/>
      <c r="Z22" s="85" t="n"/>
      <c r="AA22" s="85" t="n"/>
    </row>
    <row r="23" ht="12.5" customHeight="1" s="213">
      <c r="A23" t="inlineStr">
        <is>
          <t>Japan</t>
        </is>
      </c>
      <c r="B23" t="inlineStr">
        <is>
          <t>*</t>
        </is>
      </c>
      <c r="V23" s="85" t="n"/>
      <c r="W23" s="85" t="n"/>
      <c r="X23" s="85" t="n"/>
      <c r="Y23" s="85" t="n"/>
      <c r="Z23" s="85" t="n"/>
      <c r="AA23" s="85" t="n"/>
    </row>
    <row r="24" ht="12.5" customHeight="1" s="213">
      <c r="A24" t="inlineStr">
        <is>
          <t>LatAm</t>
        </is>
      </c>
      <c r="B24" t="inlineStr">
        <is>
          <t>*</t>
        </is>
      </c>
      <c r="V24" s="85" t="n"/>
      <c r="W24" s="85" t="n"/>
      <c r="X24" s="85" t="n"/>
      <c r="Y24" s="85" t="n"/>
      <c r="Z24" s="85" t="n"/>
      <c r="AA24" s="85" t="n"/>
    </row>
    <row r="25" ht="12.5" customHeight="1" s="213">
      <c r="A25" t="inlineStr">
        <is>
          <t>MidEast</t>
        </is>
      </c>
      <c r="B25" t="inlineStr">
        <is>
          <t>*</t>
        </is>
      </c>
      <c r="V25" s="85" t="n"/>
      <c r="W25" s="85" t="n"/>
      <c r="X25" s="85" t="n"/>
      <c r="Y25" s="85" t="n"/>
      <c r="Z25" s="85" t="n"/>
      <c r="AA25" s="85" t="n"/>
    </row>
    <row r="26" ht="12.5" customHeight="1" s="213">
      <c r="A26" t="inlineStr">
        <is>
          <t>NorthAm</t>
        </is>
      </c>
      <c r="B26" t="inlineStr">
        <is>
          <t>*</t>
        </is>
      </c>
      <c r="V26" s="85" t="n"/>
      <c r="W26" s="85" t="n"/>
      <c r="X26" s="85" t="n"/>
      <c r="Y26" s="85" t="n"/>
      <c r="Z26" s="85" t="n"/>
      <c r="AA26" s="85" t="n"/>
    </row>
    <row r="27" ht="12.5" customHeight="1" s="213">
      <c r="A27" t="inlineStr">
        <is>
          <t>Norway</t>
        </is>
      </c>
      <c r="B27" t="inlineStr">
        <is>
          <t>*</t>
        </is>
      </c>
      <c r="V27" s="85" t="n"/>
      <c r="W27" s="85" t="n"/>
      <c r="X27" s="85" t="n"/>
      <c r="Y27" s="85" t="n"/>
      <c r="Z27" s="85" t="n"/>
      <c r="AA27" s="85" t="n"/>
    </row>
    <row r="28" ht="12.5" customHeight="1" s="213">
      <c r="A28" t="inlineStr">
        <is>
          <t>Poland</t>
        </is>
      </c>
      <c r="B28" t="inlineStr">
        <is>
          <t>*</t>
        </is>
      </c>
      <c r="V28" s="85" t="n"/>
      <c r="W28" s="85" t="n"/>
      <c r="X28" s="85" t="n"/>
      <c r="Y28" s="85" t="n"/>
      <c r="Z28" s="85" t="n"/>
      <c r="AA28" s="85" t="n"/>
    </row>
    <row r="29" ht="12.5" customHeight="1" s="213">
      <c r="A29" t="inlineStr">
        <is>
          <t>ROW</t>
        </is>
      </c>
      <c r="B29" t="inlineStr">
        <is>
          <t>*</t>
        </is>
      </c>
      <c r="V29" s="85" t="n"/>
      <c r="W29" s="85" t="n"/>
      <c r="X29" s="85" t="n"/>
      <c r="Y29" s="85" t="n"/>
      <c r="Z29" s="85" t="n"/>
      <c r="AA29" s="85" t="n"/>
    </row>
    <row r="30" ht="12.5" customHeight="1" s="213">
      <c r="A30" t="inlineStr">
        <is>
          <t>Russia</t>
        </is>
      </c>
      <c r="B30" t="inlineStr">
        <is>
          <t>*</t>
        </is>
      </c>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row>
    <row r="31" ht="12.5" customHeight="1" s="213">
      <c r="A31" t="inlineStr">
        <is>
          <t>SaudiArabia</t>
        </is>
      </c>
      <c r="B31" t="inlineStr">
        <is>
          <t>*</t>
        </is>
      </c>
      <c r="H31" s="85" t="n"/>
      <c r="I31" s="85" t="n"/>
      <c r="J31" s="85" t="n"/>
      <c r="K31" s="85" t="n"/>
      <c r="L31" s="85" t="n"/>
      <c r="M31" s="85" t="n"/>
      <c r="N31" s="85" t="n"/>
      <c r="O31" s="85" t="n"/>
      <c r="P31" s="85" t="n"/>
      <c r="Q31" s="85" t="n"/>
      <c r="R31" s="85" t="n"/>
      <c r="S31" s="85" t="n"/>
      <c r="T31" s="85" t="n"/>
      <c r="U31" s="85" t="n"/>
      <c r="V31" s="85" t="n"/>
      <c r="W31" s="85" t="n"/>
      <c r="X31" s="85" t="n"/>
      <c r="Y31" s="85" t="n"/>
      <c r="Z31" s="85" t="n"/>
      <c r="AA31" s="85" t="n"/>
    </row>
    <row r="32" ht="12.5" customHeight="1" s="213">
      <c r="A32" t="inlineStr">
        <is>
          <t>SouthAfrica</t>
        </is>
      </c>
      <c r="B32" t="inlineStr">
        <is>
          <t>*</t>
        </is>
      </c>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row>
    <row r="33" ht="12.5" customHeight="1" s="213">
      <c r="A33" t="inlineStr">
        <is>
          <t>SpainPor</t>
        </is>
      </c>
      <c r="B33" t="inlineStr">
        <is>
          <t>*</t>
        </is>
      </c>
      <c r="H33" s="85" t="n"/>
      <c r="I33" s="85" t="n"/>
      <c r="J33" s="85" t="n"/>
      <c r="K33" s="85" t="n"/>
      <c r="L33" s="85" t="n"/>
      <c r="M33" s="85" t="n"/>
      <c r="N33" s="85" t="n"/>
      <c r="O33" s="85" t="n"/>
      <c r="P33" s="85" t="n"/>
      <c r="Q33" s="85" t="n"/>
      <c r="R33" s="85" t="n"/>
      <c r="S33" s="85" t="n"/>
      <c r="T33" s="85" t="n"/>
      <c r="U33" s="85" t="n"/>
      <c r="V33" s="85" t="n"/>
      <c r="W33" s="85" t="n"/>
      <c r="X33" s="85" t="n"/>
      <c r="Y33" s="85" t="n"/>
      <c r="Z33" s="85" t="n"/>
      <c r="AA33" s="85" t="n"/>
    </row>
    <row r="34" ht="12.5" customHeight="1" s="213">
      <c r="A34" t="inlineStr">
        <is>
          <t>SweFinDen</t>
        </is>
      </c>
      <c r="B34" t="inlineStr">
        <is>
          <t>*</t>
        </is>
      </c>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row>
    <row r="35" ht="12.5" customHeight="1" s="213">
      <c r="A35" s="222" t="inlineStr">
        <is>
          <t>Switzerland</t>
        </is>
      </c>
      <c r="B35" t="inlineStr">
        <is>
          <t>*</t>
        </is>
      </c>
      <c r="H35" s="85" t="n"/>
      <c r="I35" s="85" t="n"/>
      <c r="J35" s="85" t="n"/>
      <c r="K35" s="85" t="n"/>
      <c r="L35" s="85" t="n"/>
      <c r="M35" s="85" t="n"/>
      <c r="N35" s="85" t="n"/>
      <c r="O35" s="85" t="n"/>
      <c r="P35" s="85" t="n"/>
      <c r="Q35" s="85" t="n"/>
      <c r="R35" s="85" t="n"/>
      <c r="S35" s="85" t="n"/>
      <c r="T35" s="85" t="n"/>
      <c r="U35" s="85" t="n"/>
      <c r="V35" s="85" t="n"/>
      <c r="W35" s="85" t="n"/>
      <c r="X35" s="85" t="n"/>
      <c r="Y35" s="85" t="n"/>
      <c r="Z35" s="85" t="n"/>
      <c r="AA35" s="85" t="n"/>
    </row>
    <row r="36" ht="12.5" customHeight="1" s="213">
      <c r="A36" s="222" t="inlineStr">
        <is>
          <t>Turkey</t>
        </is>
      </c>
      <c r="B36" t="inlineStr">
        <is>
          <t>*</t>
        </is>
      </c>
      <c r="H36" s="85" t="n"/>
      <c r="I36" s="85" t="n"/>
      <c r="J36" s="85" t="n"/>
      <c r="K36" s="85" t="n"/>
      <c r="L36" s="85" t="n"/>
      <c r="M36" s="85" t="n"/>
      <c r="N36" s="85" t="n"/>
      <c r="O36" s="85" t="n"/>
      <c r="P36" s="85" t="n"/>
      <c r="Q36" s="85" t="n"/>
      <c r="R36" s="85" t="n"/>
      <c r="S36" s="85" t="n"/>
      <c r="T36" s="85" t="n"/>
      <c r="U36" s="85" t="n"/>
      <c r="V36" s="85" t="n"/>
      <c r="W36" s="85" t="n"/>
      <c r="X36" s="85" t="n"/>
      <c r="Y36" s="85" t="n"/>
      <c r="Z36" s="85" t="n"/>
      <c r="AA36" s="85" t="n"/>
    </row>
    <row r="37" ht="12.5" customHeight="1" s="213">
      <c r="A37" s="222" t="inlineStr">
        <is>
          <t>UK</t>
        </is>
      </c>
      <c r="B37" t="inlineStr">
        <is>
          <t>*</t>
        </is>
      </c>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row>
    <row r="38" ht="12.5" customHeight="1" s="213">
      <c r="A38" s="222" t="inlineStr">
        <is>
          <t>Ukraine</t>
        </is>
      </c>
      <c r="B38" t="inlineStr">
        <is>
          <t>*</t>
        </is>
      </c>
      <c r="H38" s="85" t="n"/>
      <c r="I38" s="85" t="n"/>
      <c r="J38" s="85" t="n"/>
      <c r="K38" s="85" t="n"/>
      <c r="L38" s="85" t="n"/>
      <c r="M38" s="85" t="n"/>
      <c r="N38" s="85" t="n"/>
      <c r="O38" s="85" t="n"/>
      <c r="P38" s="85" t="n"/>
      <c r="Q38" s="85" t="n"/>
      <c r="R38" s="85" t="n"/>
      <c r="S38" s="85" t="n"/>
      <c r="T38" s="85" t="n"/>
      <c r="U38" s="85" t="n"/>
      <c r="V38" s="85" t="n"/>
      <c r="W38" s="85" t="n"/>
      <c r="X38" s="85" t="n"/>
      <c r="Y38" s="85" t="n"/>
      <c r="Z38" s="85" t="n"/>
      <c r="AA38" s="85" t="n"/>
    </row>
    <row r="39" ht="12.5" customHeight="1" s="213">
      <c r="A39" s="222" t="inlineStr">
        <is>
          <t>WestBalkans</t>
        </is>
      </c>
      <c r="B39" t="inlineStr">
        <is>
          <t>*</t>
        </is>
      </c>
      <c r="H39" s="85" t="n"/>
      <c r="I39" s="85" t="n"/>
      <c r="J39" s="85" t="n"/>
      <c r="K39" s="85" t="n"/>
      <c r="L39" s="85" t="n"/>
      <c r="M39" s="85" t="n"/>
      <c r="N39" s="85" t="n"/>
      <c r="O39" s="85" t="n"/>
      <c r="P39" s="85" t="n"/>
      <c r="Q39" s="85" t="n"/>
      <c r="R39" s="85" t="n"/>
      <c r="S39" s="85" t="n"/>
      <c r="T39" s="85" t="n"/>
      <c r="U39" s="85" t="n"/>
      <c r="V39" s="85" t="n"/>
      <c r="W39" s="85" t="n"/>
      <c r="X39" s="85" t="n"/>
      <c r="Y39" s="85" t="n"/>
      <c r="Z39" s="85" t="n"/>
      <c r="AA39" s="85" t="n"/>
    </row>
    <row r="40" ht="11.5" customHeight="1" s="213">
      <c r="H40" s="85" t="n"/>
      <c r="I40" s="85" t="n"/>
      <c r="J40" s="85" t="n"/>
      <c r="K40" s="85" t="n"/>
      <c r="L40" s="85" t="n"/>
      <c r="M40" s="85" t="n"/>
      <c r="N40" s="85" t="n"/>
      <c r="O40" s="85" t="n"/>
      <c r="P40" s="85" t="n"/>
      <c r="Q40" s="85" t="n"/>
      <c r="R40" s="85" t="n"/>
      <c r="S40" s="85" t="n"/>
      <c r="T40" s="85" t="n"/>
      <c r="U40" s="85" t="n"/>
      <c r="V40" s="85" t="n"/>
      <c r="W40" s="85" t="n"/>
      <c r="X40" s="85" t="n"/>
      <c r="Y40" s="85" t="n"/>
      <c r="Z40" s="85" t="n"/>
      <c r="AA40" s="85" t="n"/>
    </row>
    <row r="41" ht="11.5" customHeight="1" s="213">
      <c r="H41" s="85" t="n"/>
      <c r="I41" s="85" t="n"/>
      <c r="J41" s="85" t="n"/>
      <c r="K41" s="85" t="n"/>
      <c r="L41" s="85" t="n"/>
      <c r="M41" s="85" t="n"/>
      <c r="N41" s="85" t="n"/>
      <c r="O41" s="85" t="n"/>
      <c r="P41" s="85" t="n"/>
      <c r="Q41" s="85" t="n"/>
      <c r="R41" s="85" t="n"/>
      <c r="S41" s="85" t="n"/>
      <c r="T41" s="85" t="n"/>
      <c r="U41" s="85" t="n"/>
      <c r="V41" s="85" t="n"/>
      <c r="W41" s="85" t="n"/>
      <c r="X41" s="85" t="n"/>
      <c r="Y41" s="85" t="n"/>
      <c r="Z41" s="85" t="n"/>
      <c r="AA41" s="85" t="n"/>
    </row>
    <row r="42" ht="11.5" customHeight="1" s="213">
      <c r="H42" s="85" t="n"/>
      <c r="I42" s="85" t="n"/>
      <c r="J42" s="85" t="n"/>
      <c r="K42" s="85" t="n"/>
      <c r="L42" s="85" t="n"/>
      <c r="M42" s="85" t="n"/>
      <c r="N42" s="85" t="n"/>
      <c r="O42" s="85" t="n"/>
      <c r="P42" s="85" t="n"/>
      <c r="Q42" s="85" t="n"/>
      <c r="R42" s="85" t="n"/>
      <c r="S42" s="85" t="n"/>
      <c r="T42" s="85" t="n"/>
      <c r="U42" s="85" t="n"/>
      <c r="V42" s="85" t="n"/>
      <c r="W42" s="85" t="n"/>
      <c r="X42" s="85" t="n"/>
      <c r="Y42" s="85" t="n"/>
      <c r="Z42" s="85" t="n"/>
      <c r="AA42" s="85" t="n"/>
    </row>
    <row r="43" ht="11.5" customHeight="1" s="213">
      <c r="H43" s="85" t="n"/>
      <c r="I43" s="85" t="n"/>
      <c r="J43" s="85" t="n"/>
      <c r="K43" s="85" t="n"/>
      <c r="L43" s="85" t="n"/>
      <c r="M43" s="85" t="n"/>
      <c r="N43" s="85" t="n"/>
      <c r="O43" s="85" t="n"/>
      <c r="P43" s="85" t="n"/>
      <c r="Q43" s="85" t="n"/>
      <c r="R43" s="85" t="n"/>
      <c r="S43" s="85" t="n"/>
      <c r="T43" s="85" t="n"/>
      <c r="U43" s="85" t="n"/>
      <c r="V43" s="85" t="n"/>
      <c r="W43" s="85" t="n"/>
      <c r="X43" s="85" t="n"/>
      <c r="Y43" s="85" t="n"/>
      <c r="Z43" s="85" t="n"/>
      <c r="AA43" s="85" t="n"/>
    </row>
    <row r="44" ht="11.5" customHeight="1" s="213">
      <c r="H44" s="85" t="n"/>
      <c r="I44" s="85" t="n"/>
      <c r="J44" s="85" t="n"/>
      <c r="K44" s="85" t="n"/>
      <c r="L44" s="85" t="n"/>
      <c r="M44" s="85" t="n"/>
      <c r="N44" s="85" t="n"/>
      <c r="O44" s="85" t="n"/>
      <c r="P44" s="85" t="n"/>
      <c r="Q44" s="85" t="n"/>
      <c r="R44" s="85" t="n"/>
      <c r="S44" s="85" t="n"/>
      <c r="T44" s="85" t="n"/>
      <c r="U44" s="85" t="n"/>
      <c r="V44" s="85" t="n"/>
      <c r="W44" s="85" t="n"/>
      <c r="X44" s="85" t="n"/>
      <c r="Y44" s="85" t="n"/>
      <c r="Z44" s="85" t="n"/>
      <c r="AA44" s="85" t="n"/>
    </row>
    <row r="45" ht="11.5" customHeight="1" s="213">
      <c r="H45" s="85" t="n"/>
      <c r="I45" s="85" t="n"/>
      <c r="J45" s="85" t="n"/>
      <c r="K45" s="85" t="n"/>
      <c r="L45" s="85" t="n"/>
      <c r="M45" s="85" t="n"/>
      <c r="N45" s="85" t="n"/>
      <c r="O45" s="85" t="n"/>
      <c r="P45" s="85" t="n"/>
      <c r="Q45" s="85" t="n"/>
      <c r="R45" s="85" t="n"/>
      <c r="S45" s="85" t="n"/>
      <c r="T45" s="85" t="n"/>
      <c r="U45" s="85" t="n"/>
      <c r="V45" s="85" t="n"/>
      <c r="W45" s="85" t="n"/>
      <c r="X45" s="85" t="n"/>
      <c r="Y45" s="85" t="n"/>
      <c r="Z45" s="85" t="n"/>
      <c r="AA45" s="85" t="n"/>
    </row>
    <row r="46" ht="11.5" customHeight="1" s="213">
      <c r="H46" s="85" t="n"/>
      <c r="I46" s="85" t="n"/>
      <c r="J46" s="85" t="n"/>
      <c r="K46" s="85" t="n"/>
      <c r="L46" s="85" t="n"/>
      <c r="M46" s="85" t="n"/>
      <c r="N46" s="85" t="n"/>
      <c r="O46" s="85" t="n"/>
      <c r="P46" s="85" t="n"/>
      <c r="Q46" s="85" t="n"/>
      <c r="R46" s="85" t="n"/>
      <c r="S46" s="85" t="n"/>
      <c r="T46" s="85" t="n"/>
      <c r="U46" s="85" t="n"/>
      <c r="V46" s="85" t="n"/>
      <c r="W46" s="85" t="n"/>
      <c r="X46" s="85" t="n"/>
      <c r="Y46" s="85" t="n"/>
      <c r="Z46" s="85" t="n"/>
      <c r="AA46" s="85" t="n"/>
    </row>
    <row r="47" ht="11.5" customHeight="1" s="213">
      <c r="H47" s="85" t="n"/>
      <c r="I47" s="85" t="n"/>
      <c r="J47" s="85" t="n"/>
      <c r="K47" s="85" t="n"/>
      <c r="L47" s="85" t="n"/>
      <c r="M47" s="85" t="n"/>
      <c r="N47" s="85" t="n"/>
      <c r="O47" s="85" t="n"/>
      <c r="P47" s="85" t="n"/>
      <c r="Q47" s="85" t="n"/>
      <c r="R47" s="85" t="n"/>
      <c r="S47" s="85" t="n"/>
      <c r="T47" s="85" t="n"/>
      <c r="U47" s="85" t="n"/>
      <c r="V47" s="85" t="n"/>
      <c r="W47" s="85" t="n"/>
      <c r="X47" s="85" t="n"/>
      <c r="Y47" s="85" t="n"/>
      <c r="Z47" s="85" t="n"/>
      <c r="AA47" s="85" t="n"/>
    </row>
    <row r="48" ht="11.5" customHeight="1" s="213">
      <c r="H48" s="85" t="n"/>
      <c r="I48" s="85" t="n"/>
      <c r="J48" s="85" t="n"/>
      <c r="K48" s="85" t="n"/>
      <c r="L48" s="85" t="n"/>
      <c r="M48" s="85" t="n"/>
      <c r="N48" s="85" t="n"/>
      <c r="O48" s="85" t="n"/>
      <c r="P48" s="85" t="n"/>
      <c r="Q48" s="85" t="n"/>
      <c r="R48" s="85" t="n"/>
      <c r="S48" s="85" t="n"/>
      <c r="T48" s="85" t="n"/>
      <c r="U48" s="85" t="n"/>
      <c r="V48" s="85" t="n"/>
      <c r="W48" s="85" t="n"/>
      <c r="X48" s="85" t="n"/>
      <c r="Y48" s="85" t="n"/>
      <c r="Z48" s="85" t="n"/>
      <c r="AA48" s="85" t="n"/>
    </row>
    <row r="49" ht="11.5" customHeight="1" s="213">
      <c r="H49" s="85" t="n"/>
      <c r="I49" s="85" t="n"/>
      <c r="J49" s="85" t="n"/>
      <c r="K49" s="85" t="n"/>
      <c r="L49" s="85" t="n"/>
      <c r="M49" s="85" t="n"/>
      <c r="N49" s="85" t="n"/>
      <c r="O49" s="85" t="n"/>
      <c r="P49" s="85" t="n"/>
      <c r="Q49" s="85" t="n"/>
      <c r="R49" s="85" t="n"/>
      <c r="S49" s="85" t="n"/>
      <c r="T49" s="85" t="n"/>
      <c r="U49" s="85" t="n"/>
      <c r="V49" s="85" t="n"/>
      <c r="W49" s="85" t="n"/>
      <c r="X49" s="85" t="n"/>
      <c r="Y49" s="85" t="n"/>
      <c r="Z49" s="85" t="n"/>
      <c r="AA49" s="85" t="n"/>
    </row>
    <row r="50" ht="11.5" customHeight="1" s="213">
      <c r="H50" s="85" t="n"/>
      <c r="I50" s="85" t="n"/>
      <c r="J50" s="85" t="n"/>
      <c r="K50" s="85" t="n"/>
      <c r="L50" s="85" t="n"/>
      <c r="M50" s="85" t="n"/>
      <c r="N50" s="85" t="n"/>
      <c r="O50" s="85" t="n"/>
      <c r="P50" s="85" t="n"/>
      <c r="Q50" s="85" t="n"/>
      <c r="R50" s="85" t="n"/>
      <c r="S50" s="85" t="n"/>
      <c r="T50" s="85" t="n"/>
      <c r="U50" s="85" t="n"/>
      <c r="V50" s="85" t="n"/>
      <c r="W50" s="85" t="n"/>
      <c r="X50" s="85" t="n"/>
      <c r="Y50" s="85" t="n"/>
      <c r="Z50" s="85" t="n"/>
      <c r="AA50" s="85" t="n"/>
    </row>
    <row r="51" ht="11.5" customHeight="1" s="213">
      <c r="H51" s="85" t="n"/>
      <c r="I51" s="85" t="n"/>
      <c r="J51" s="85" t="n"/>
      <c r="K51" s="85" t="n"/>
      <c r="L51" s="85" t="n"/>
      <c r="M51" s="85" t="n"/>
      <c r="N51" s="85" t="n"/>
      <c r="O51" s="85" t="n"/>
      <c r="P51" s="85" t="n"/>
      <c r="Q51" s="85" t="n"/>
      <c r="R51" s="85" t="n"/>
      <c r="S51" s="85" t="n"/>
      <c r="T51" s="85" t="n"/>
      <c r="U51" s="85" t="n"/>
      <c r="V51" s="85" t="n"/>
      <c r="W51" s="85" t="n"/>
      <c r="X51" s="85" t="n"/>
      <c r="Y51" s="85" t="n"/>
      <c r="Z51" s="85" t="n"/>
      <c r="AA51" s="85" t="n"/>
    </row>
    <row r="52" ht="11.5" customHeight="1" s="213">
      <c r="H52" s="85" t="n"/>
      <c r="I52" s="85" t="n"/>
      <c r="J52" s="85" t="n"/>
      <c r="K52" s="85" t="n"/>
      <c r="L52" s="85" t="n"/>
      <c r="M52" s="85" t="n"/>
      <c r="N52" s="85" t="n"/>
      <c r="O52" s="85" t="n"/>
      <c r="P52" s="85" t="n"/>
      <c r="Q52" s="85" t="n"/>
      <c r="R52" s="85" t="n"/>
      <c r="S52" s="85" t="n"/>
      <c r="T52" s="85" t="n"/>
      <c r="U52" s="85" t="n"/>
      <c r="V52" s="85" t="n"/>
      <c r="W52" s="85" t="n"/>
      <c r="X52" s="85" t="n"/>
      <c r="Y52" s="85" t="n"/>
      <c r="Z52" s="85" t="n"/>
      <c r="AA52" s="85" t="n"/>
    </row>
    <row r="53" ht="11.5" customHeight="1" s="213">
      <c r="H53" s="85" t="n"/>
      <c r="I53" s="85" t="n"/>
      <c r="J53" s="85" t="n"/>
      <c r="K53" s="85" t="n"/>
      <c r="L53" s="85" t="n"/>
      <c r="M53" s="85" t="n"/>
      <c r="N53" s="85" t="n"/>
      <c r="O53" s="85" t="n"/>
      <c r="P53" s="85" t="n"/>
      <c r="Q53" s="85" t="n"/>
      <c r="R53" s="85" t="n"/>
      <c r="S53" s="85" t="n"/>
      <c r="T53" s="85" t="n"/>
      <c r="U53" s="85" t="n"/>
      <c r="V53" s="85" t="n"/>
      <c r="W53" s="85" t="n"/>
      <c r="X53" s="85" t="n"/>
      <c r="Y53" s="85" t="n"/>
      <c r="Z53" s="85" t="n"/>
      <c r="AA53" s="85" t="n"/>
    </row>
    <row r="54" ht="11.5" customHeight="1" s="213">
      <c r="H54" s="85" t="n"/>
      <c r="I54" s="85" t="n"/>
      <c r="J54" s="85" t="n"/>
      <c r="K54" s="85" t="n"/>
      <c r="L54" s="85" t="n"/>
      <c r="M54" s="85" t="n"/>
      <c r="N54" s="85" t="n"/>
      <c r="O54" s="85" t="n"/>
      <c r="P54" s="85" t="n"/>
      <c r="Q54" s="85" t="n"/>
      <c r="R54" s="85" t="n"/>
      <c r="S54" s="85" t="n"/>
      <c r="T54" s="85" t="n"/>
      <c r="U54" s="85" t="n"/>
      <c r="V54" s="85" t="n"/>
      <c r="W54" s="85" t="n"/>
      <c r="X54" s="85" t="n"/>
      <c r="Y54" s="85" t="n"/>
      <c r="Z54" s="85" t="n"/>
      <c r="AA54" s="85" t="n"/>
    </row>
    <row r="55" ht="11.5" customHeight="1" s="213">
      <c r="H55" s="85" t="n"/>
      <c r="I55" s="85" t="n"/>
      <c r="J55" s="85" t="n"/>
      <c r="K55" s="85" t="n"/>
      <c r="L55" s="85" t="n"/>
      <c r="M55" s="85" t="n"/>
      <c r="N55" s="85" t="n"/>
      <c r="O55" s="85" t="n"/>
      <c r="P55" s="85" t="n"/>
      <c r="Q55" s="85" t="n"/>
      <c r="R55" s="85" t="n"/>
      <c r="S55" s="85" t="n"/>
      <c r="T55" s="85" t="n"/>
      <c r="U55" s="85" t="n"/>
      <c r="V55" s="85" t="n"/>
      <c r="W55" s="85" t="n"/>
      <c r="X55" s="85" t="n"/>
      <c r="Y55" s="85" t="n"/>
      <c r="Z55" s="85" t="n"/>
      <c r="AA55" s="85" t="n"/>
    </row>
    <row r="56" ht="11.5" customHeight="1" s="213">
      <c r="H56" s="85" t="n"/>
      <c r="I56" s="85" t="n"/>
      <c r="J56" s="85" t="n"/>
      <c r="K56" s="85" t="n"/>
      <c r="L56" s="85" t="n"/>
      <c r="M56" s="85" t="n"/>
      <c r="N56" s="85" t="n"/>
      <c r="O56" s="85" t="n"/>
      <c r="P56" s="85" t="n"/>
      <c r="Q56" s="85" t="n"/>
      <c r="R56" s="85" t="n"/>
      <c r="S56" s="85" t="n"/>
      <c r="T56" s="85" t="n"/>
      <c r="U56" s="85" t="n"/>
      <c r="V56" s="85" t="n"/>
      <c r="W56" s="85" t="n"/>
      <c r="X56" s="85" t="n"/>
      <c r="Y56" s="85" t="n"/>
      <c r="Z56" s="85" t="n"/>
      <c r="AA56" s="85" t="n"/>
    </row>
    <row r="57" ht="11.5" customHeight="1" s="213">
      <c r="H57" s="85" t="n"/>
      <c r="I57" s="85" t="n"/>
      <c r="J57" s="85" t="n"/>
      <c r="K57" s="85" t="n"/>
      <c r="L57" s="85" t="n"/>
      <c r="M57" s="85" t="n"/>
      <c r="N57" s="85" t="n"/>
      <c r="O57" s="85" t="n"/>
      <c r="P57" s="85" t="n"/>
      <c r="Q57" s="85" t="n"/>
      <c r="R57" s="85" t="n"/>
      <c r="S57" s="85" t="n"/>
      <c r="T57" s="85" t="n"/>
      <c r="U57" s="85" t="n"/>
      <c r="V57" s="85" t="n"/>
      <c r="W57" s="85" t="n"/>
      <c r="X57" s="85" t="n"/>
      <c r="Y57" s="85" t="n"/>
      <c r="Z57" s="85" t="n"/>
      <c r="AA57" s="85" t="n"/>
    </row>
    <row r="58" ht="11.5" customHeight="1" s="213">
      <c r="H58" s="85" t="n"/>
      <c r="I58" s="85" t="n"/>
      <c r="J58" s="85" t="n"/>
      <c r="K58" s="85" t="n"/>
      <c r="L58" s="85" t="n"/>
      <c r="M58" s="85" t="n"/>
      <c r="N58" s="85" t="n"/>
      <c r="O58" s="85" t="n"/>
      <c r="P58" s="85" t="n"/>
      <c r="Q58" s="85" t="n"/>
      <c r="R58" s="85" t="n"/>
      <c r="S58" s="85" t="n"/>
      <c r="T58" s="85" t="n"/>
      <c r="U58" s="85" t="n"/>
      <c r="V58" s="85" t="n"/>
      <c r="W58" s="85" t="n"/>
      <c r="X58" s="85" t="n"/>
      <c r="Y58" s="85" t="n"/>
      <c r="Z58" s="85" t="n"/>
      <c r="AA58" s="85" t="n"/>
    </row>
    <row r="59" ht="11.5" customHeight="1" s="213">
      <c r="H59" s="85" t="n"/>
      <c r="I59" s="85" t="n"/>
      <c r="J59" s="85" t="n"/>
      <c r="K59" s="85" t="n"/>
      <c r="L59" s="85" t="n"/>
      <c r="M59" s="85" t="n"/>
      <c r="N59" s="85" t="n"/>
      <c r="O59" s="85" t="n"/>
      <c r="P59" s="85" t="n"/>
      <c r="Q59" s="85" t="n"/>
      <c r="R59" s="85" t="n"/>
      <c r="S59" s="85" t="n"/>
      <c r="T59" s="85" t="n"/>
      <c r="U59" s="85" t="n"/>
      <c r="V59" s="85" t="n"/>
      <c r="W59" s="85" t="n"/>
      <c r="X59" s="85" t="n"/>
      <c r="Y59" s="85" t="n"/>
      <c r="Z59" s="85" t="n"/>
      <c r="AA59" s="85" t="n"/>
    </row>
    <row r="60" ht="11.5" customHeight="1" s="213">
      <c r="H60" s="85" t="n"/>
      <c r="I60" s="85" t="n"/>
      <c r="J60" s="85" t="n"/>
      <c r="K60" s="85" t="n"/>
      <c r="L60" s="85" t="n"/>
      <c r="M60" s="85" t="n"/>
      <c r="N60" s="85" t="n"/>
      <c r="O60" s="85" t="n"/>
      <c r="P60" s="85" t="n"/>
      <c r="Q60" s="85" t="n"/>
      <c r="R60" s="85" t="n"/>
      <c r="S60" s="85" t="n"/>
      <c r="T60" s="85" t="n"/>
      <c r="U60" s="85" t="n"/>
      <c r="V60" s="85" t="n"/>
      <c r="W60" s="85" t="n"/>
      <c r="X60" s="85" t="n"/>
      <c r="Y60" s="85" t="n"/>
      <c r="Z60" s="85" t="n"/>
      <c r="AA60" s="85" t="n"/>
    </row>
    <row r="61" ht="11.5" customHeight="1" s="213">
      <c r="H61" s="85" t="n"/>
      <c r="I61" s="85" t="n"/>
      <c r="J61" s="85" t="n"/>
      <c r="K61" s="85" t="n"/>
      <c r="L61" s="85" t="n"/>
      <c r="M61" s="85" t="n"/>
      <c r="N61" s="85" t="n"/>
      <c r="O61" s="85" t="n"/>
      <c r="P61" s="85" t="n"/>
      <c r="Q61" s="85" t="n"/>
      <c r="R61" s="85" t="n"/>
      <c r="S61" s="85" t="n"/>
      <c r="T61" s="85" t="n"/>
      <c r="U61" s="85" t="n"/>
      <c r="V61" s="85" t="n"/>
      <c r="W61" s="85" t="n"/>
      <c r="X61" s="85" t="n"/>
      <c r="Y61" s="85" t="n"/>
      <c r="Z61" s="85" t="n"/>
      <c r="AA61" s="85" t="n"/>
    </row>
    <row r="62" ht="11.5" customHeight="1" s="213">
      <c r="H62" s="85" t="n"/>
      <c r="I62" s="85" t="n"/>
      <c r="J62" s="85" t="n"/>
      <c r="K62" s="85" t="n"/>
      <c r="L62" s="85" t="n"/>
      <c r="M62" s="85" t="n"/>
      <c r="N62" s="85" t="n"/>
      <c r="O62" s="85" t="n"/>
      <c r="P62" s="85" t="n"/>
      <c r="Q62" s="85" t="n"/>
      <c r="R62" s="85" t="n"/>
      <c r="S62" s="85" t="n"/>
      <c r="T62" s="85" t="n"/>
      <c r="U62" s="85" t="n"/>
      <c r="V62" s="85" t="n"/>
      <c r="W62" s="85" t="n"/>
      <c r="X62" s="85" t="n"/>
      <c r="Y62" s="85" t="n"/>
      <c r="Z62" s="85" t="n"/>
      <c r="AA62" s="85" t="n"/>
    </row>
    <row r="63" ht="11.5" customHeight="1" s="213">
      <c r="H63" s="85" t="n"/>
      <c r="I63" s="85" t="n"/>
      <c r="J63" s="85" t="n"/>
      <c r="K63" s="85" t="n"/>
      <c r="L63" s="85" t="n"/>
      <c r="M63" s="85" t="n"/>
      <c r="N63" s="85" t="n"/>
      <c r="O63" s="85" t="n"/>
      <c r="P63" s="85" t="n"/>
      <c r="Q63" s="85" t="n"/>
      <c r="R63" s="85" t="n"/>
      <c r="S63" s="85" t="n"/>
      <c r="T63" s="85" t="n"/>
      <c r="U63" s="85" t="n"/>
      <c r="V63" s="85" t="n"/>
      <c r="W63" s="85" t="n"/>
      <c r="X63" s="85" t="n"/>
      <c r="Y63" s="85" t="n"/>
      <c r="Z63" s="85" t="n"/>
      <c r="AA63" s="85" t="n"/>
    </row>
    <row r="64" ht="11.5" customHeight="1" s="213">
      <c r="H64" s="85" t="n"/>
      <c r="I64" s="85" t="n"/>
      <c r="J64" s="85" t="n"/>
      <c r="K64" s="85" t="n"/>
      <c r="L64" s="85" t="n"/>
      <c r="M64" s="85" t="n"/>
      <c r="N64" s="85" t="n"/>
      <c r="O64" s="85" t="n"/>
      <c r="P64" s="85" t="n"/>
      <c r="Q64" s="85" t="n"/>
      <c r="R64" s="85" t="n"/>
      <c r="S64" s="85" t="n"/>
      <c r="T64" s="85" t="n"/>
      <c r="U64" s="85" t="n"/>
      <c r="V64" s="85" t="n"/>
      <c r="W64" s="85" t="n"/>
      <c r="X64" s="85" t="n"/>
      <c r="Y64" s="85" t="n"/>
      <c r="Z64" s="85" t="n"/>
      <c r="AA64" s="85" t="n"/>
    </row>
    <row r="65" ht="11.5" customHeight="1" s="213">
      <c r="H65" s="85" t="n"/>
      <c r="I65" s="85" t="n"/>
      <c r="J65" s="85" t="n"/>
      <c r="K65" s="85" t="n"/>
      <c r="L65" s="85" t="n"/>
      <c r="M65" s="85" t="n"/>
      <c r="N65" s="85" t="n"/>
      <c r="O65" s="85" t="n"/>
      <c r="P65" s="85" t="n"/>
      <c r="Q65" s="85" t="n"/>
      <c r="R65" s="85" t="n"/>
      <c r="S65" s="85" t="n"/>
      <c r="T65" s="85" t="n"/>
      <c r="U65" s="85" t="n"/>
      <c r="V65" s="85" t="n"/>
      <c r="W65" s="85" t="n"/>
      <c r="X65" s="85" t="n"/>
      <c r="Y65" s="85" t="n"/>
      <c r="Z65" s="85" t="n"/>
      <c r="AA65" s="85" t="n"/>
    </row>
    <row r="66" ht="11.5" customHeight="1" s="213">
      <c r="H66" s="85" t="n"/>
      <c r="I66" s="85" t="n"/>
      <c r="J66" s="85" t="n"/>
      <c r="K66" s="85" t="n"/>
      <c r="L66" s="85" t="n"/>
      <c r="M66" s="85" t="n"/>
      <c r="N66" s="85" t="n"/>
      <c r="O66" s="85" t="n"/>
      <c r="P66" s="85" t="n"/>
      <c r="Q66" s="85" t="n"/>
      <c r="R66" s="85" t="n"/>
      <c r="S66" s="85" t="n"/>
      <c r="T66" s="85" t="n"/>
      <c r="U66" s="85" t="n"/>
      <c r="V66" s="85" t="n"/>
      <c r="W66" s="85" t="n"/>
      <c r="X66" s="85" t="n"/>
      <c r="Y66" s="85" t="n"/>
      <c r="Z66" s="85" t="n"/>
      <c r="AA66" s="85" t="n"/>
    </row>
    <row r="67" ht="11.5" customHeight="1" s="213">
      <c r="H67" s="85" t="n"/>
      <c r="I67" s="85" t="n"/>
      <c r="J67" s="85" t="n"/>
      <c r="K67" s="85" t="n"/>
      <c r="L67" s="85" t="n"/>
      <c r="M67" s="85" t="n"/>
      <c r="N67" s="85" t="n"/>
      <c r="O67" s="85" t="n"/>
      <c r="P67" s="85" t="n"/>
      <c r="Q67" s="85" t="n"/>
      <c r="R67" s="85" t="n"/>
      <c r="S67" s="85" t="n"/>
      <c r="T67" s="85" t="n"/>
      <c r="U67" s="85" t="n"/>
      <c r="V67" s="85" t="n"/>
      <c r="W67" s="85" t="n"/>
      <c r="X67" s="85" t="n"/>
      <c r="Y67" s="85" t="n"/>
      <c r="Z67" s="85" t="n"/>
      <c r="AA67" s="85" t="n"/>
    </row>
    <row r="68" ht="11.5" customHeight="1" s="213">
      <c r="H68" s="85" t="n"/>
      <c r="I68" s="85" t="n"/>
      <c r="J68" s="85" t="n"/>
      <c r="K68" s="85" t="n"/>
      <c r="L68" s="85" t="n"/>
      <c r="M68" s="85" t="n"/>
      <c r="N68" s="85" t="n"/>
      <c r="O68" s="85" t="n"/>
      <c r="P68" s="85" t="n"/>
      <c r="Q68" s="85" t="n"/>
      <c r="R68" s="85" t="n"/>
      <c r="S68" s="85" t="n"/>
      <c r="T68" s="85" t="n"/>
      <c r="U68" s="85" t="n"/>
      <c r="V68" s="85" t="n"/>
      <c r="W68" s="85" t="n"/>
      <c r="X68" s="85" t="n"/>
      <c r="Y68" s="85" t="n"/>
      <c r="Z68" s="85" t="n"/>
      <c r="AA68" s="85" t="n"/>
    </row>
    <row r="69" ht="11.5" customHeight="1" s="213">
      <c r="H69" s="85" t="n"/>
      <c r="I69" s="85" t="n"/>
      <c r="J69" s="85" t="n"/>
      <c r="K69" s="85" t="n"/>
      <c r="L69" s="85" t="n"/>
      <c r="M69" s="85" t="n"/>
      <c r="N69" s="85" t="n"/>
      <c r="O69" s="85" t="n"/>
      <c r="P69" s="85" t="n"/>
      <c r="Q69" s="85" t="n"/>
      <c r="R69" s="85" t="n"/>
      <c r="S69" s="85" t="n"/>
      <c r="T69" s="85" t="n"/>
      <c r="U69" s="85" t="n"/>
      <c r="V69" s="85" t="n"/>
      <c r="W69" s="85" t="n"/>
      <c r="X69" s="85" t="n"/>
      <c r="Y69" s="85" t="n"/>
      <c r="Z69" s="85" t="n"/>
      <c r="AA69" s="85" t="n"/>
    </row>
    <row r="70" ht="11.5" customHeight="1" s="213">
      <c r="H70" s="85" t="n"/>
      <c r="I70" s="85" t="n"/>
      <c r="J70" s="85" t="n"/>
      <c r="K70" s="85" t="n"/>
      <c r="L70" s="85" t="n"/>
      <c r="M70" s="85" t="n"/>
      <c r="N70" s="85" t="n"/>
      <c r="O70" s="85" t="n"/>
      <c r="P70" s="85" t="n"/>
      <c r="Q70" s="85" t="n"/>
      <c r="R70" s="85" t="n"/>
      <c r="S70" s="85" t="n"/>
      <c r="T70" s="85" t="n"/>
      <c r="U70" s="85" t="n"/>
      <c r="V70" s="85" t="n"/>
      <c r="W70" s="85" t="n"/>
      <c r="X70" s="85" t="n"/>
      <c r="Y70" s="85" t="n"/>
      <c r="Z70" s="85" t="n"/>
      <c r="AA70" s="85" t="n"/>
    </row>
    <row r="71" ht="11.5" customHeight="1" s="213">
      <c r="H71" s="85" t="n"/>
      <c r="I71" s="85" t="n"/>
      <c r="J71" s="85" t="n"/>
      <c r="K71" s="85" t="n"/>
      <c r="L71" s="85" t="n"/>
      <c r="M71" s="85" t="n"/>
      <c r="N71" s="85" t="n"/>
      <c r="O71" s="85" t="n"/>
      <c r="P71" s="85" t="n"/>
      <c r="Q71" s="85" t="n"/>
      <c r="R71" s="85" t="n"/>
      <c r="S71" s="85" t="n"/>
      <c r="T71" s="85" t="n"/>
      <c r="U71" s="85" t="n"/>
      <c r="V71" s="85" t="n"/>
      <c r="W71" s="85" t="n"/>
      <c r="X71" s="85" t="n"/>
      <c r="Y71" s="85" t="n"/>
      <c r="Z71" s="85" t="n"/>
      <c r="AA71" s="85" t="n"/>
    </row>
    <row r="72" ht="11.5" customHeight="1" s="213">
      <c r="H72" s="85" t="n"/>
      <c r="I72" s="85" t="n"/>
      <c r="J72" s="85" t="n"/>
      <c r="K72" s="85" t="n"/>
      <c r="L72" s="85" t="n"/>
      <c r="M72" s="85" t="n"/>
      <c r="N72" s="85" t="n"/>
      <c r="O72" s="85" t="n"/>
      <c r="P72" s="85" t="n"/>
      <c r="Q72" s="85" t="n"/>
      <c r="R72" s="85" t="n"/>
      <c r="S72" s="85" t="n"/>
      <c r="T72" s="85" t="n"/>
      <c r="U72" s="85" t="n"/>
      <c r="V72" s="85" t="n"/>
      <c r="W72" s="85" t="n"/>
      <c r="X72" s="85" t="n"/>
      <c r="Y72" s="85" t="n"/>
      <c r="Z72" s="85" t="n"/>
      <c r="AA72" s="85" t="n"/>
    </row>
    <row r="73" ht="11.5" customHeight="1" s="213">
      <c r="H73" s="85" t="n"/>
      <c r="I73" s="85" t="n"/>
      <c r="J73" s="85" t="n"/>
      <c r="K73" s="85" t="n"/>
      <c r="L73" s="85" t="n"/>
      <c r="M73" s="85" t="n"/>
      <c r="N73" s="85" t="n"/>
      <c r="O73" s="85" t="n"/>
      <c r="P73" s="85" t="n"/>
      <c r="Q73" s="85" t="n"/>
      <c r="R73" s="85" t="n"/>
      <c r="S73" s="85" t="n"/>
      <c r="T73" s="85" t="n"/>
      <c r="U73" s="85" t="n"/>
      <c r="V73" s="85" t="n"/>
      <c r="W73" s="85" t="n"/>
      <c r="X73" s="85" t="n"/>
      <c r="Y73" s="85" t="n"/>
      <c r="Z73" s="85" t="n"/>
      <c r="AA73" s="85" t="n"/>
    </row>
    <row r="74" ht="11.5" customHeight="1" s="213">
      <c r="H74" s="85" t="n"/>
      <c r="I74" s="85" t="n"/>
      <c r="J74" s="85" t="n"/>
      <c r="K74" s="85" t="n"/>
      <c r="L74" s="85" t="n"/>
      <c r="M74" s="85" t="n"/>
      <c r="N74" s="85" t="n"/>
      <c r="O74" s="85" t="n"/>
      <c r="P74" s="85" t="n"/>
      <c r="Q74" s="85" t="n"/>
      <c r="R74" s="85" t="n"/>
      <c r="S74" s="85" t="n"/>
      <c r="T74" s="85" t="n"/>
      <c r="U74" s="85" t="n"/>
      <c r="V74" s="85" t="n"/>
      <c r="W74" s="85" t="n"/>
      <c r="X74" s="85" t="n"/>
      <c r="Y74" s="85" t="n"/>
      <c r="Z74" s="85" t="n"/>
      <c r="AA74" s="85" t="n"/>
    </row>
    <row r="75" ht="11.5" customHeight="1" s="213">
      <c r="H75" s="85" t="n"/>
      <c r="I75" s="85" t="n"/>
      <c r="J75" s="85" t="n"/>
      <c r="K75" s="85" t="n"/>
      <c r="L75" s="85" t="n"/>
      <c r="M75" s="85" t="n"/>
      <c r="N75" s="85" t="n"/>
      <c r="O75" s="85" t="n"/>
      <c r="P75" s="85" t="n"/>
      <c r="Q75" s="85" t="n"/>
      <c r="R75" s="85" t="n"/>
      <c r="S75" s="85" t="n"/>
      <c r="T75" s="85" t="n"/>
      <c r="U75" s="85" t="n"/>
      <c r="V75" s="85" t="n"/>
      <c r="W75" s="85" t="n"/>
      <c r="X75" s="85" t="n"/>
      <c r="Y75" s="85" t="n"/>
      <c r="Z75" s="85" t="n"/>
      <c r="AA75" s="85" t="n"/>
    </row>
    <row r="76" ht="11.5" customHeight="1" s="213">
      <c r="H76" s="85" t="n"/>
      <c r="I76" s="85" t="n"/>
      <c r="J76" s="85" t="n"/>
      <c r="K76" s="85" t="n"/>
      <c r="L76" s="85" t="n"/>
      <c r="M76" s="85" t="n"/>
      <c r="N76" s="85" t="n"/>
      <c r="O76" s="85" t="n"/>
      <c r="P76" s="85" t="n"/>
      <c r="Q76" s="85" t="n"/>
      <c r="R76" s="85" t="n"/>
      <c r="S76" s="85" t="n"/>
      <c r="T76" s="85" t="n"/>
      <c r="U76" s="85" t="n"/>
      <c r="V76" s="85" t="n"/>
      <c r="W76" s="85" t="n"/>
      <c r="X76" s="85" t="n"/>
      <c r="Y76" s="85" t="n"/>
      <c r="Z76" s="85" t="n"/>
      <c r="AA76" s="85" t="n"/>
    </row>
    <row r="77" ht="11.5" customHeight="1" s="213">
      <c r="H77" s="85" t="n"/>
      <c r="I77" s="85" t="n"/>
      <c r="J77" s="85" t="n"/>
      <c r="K77" s="85" t="n"/>
      <c r="L77" s="85" t="n"/>
      <c r="M77" s="85" t="n"/>
      <c r="N77" s="85" t="n"/>
      <c r="O77" s="85" t="n"/>
      <c r="P77" s="85" t="n"/>
      <c r="Q77" s="85" t="n"/>
      <c r="R77" s="85" t="n"/>
      <c r="S77" s="85" t="n"/>
      <c r="T77" s="85" t="n"/>
      <c r="U77" s="85" t="n"/>
      <c r="V77" s="85" t="n"/>
      <c r="W77" s="85" t="n"/>
      <c r="X77" s="85" t="n"/>
      <c r="Y77" s="85" t="n"/>
      <c r="Z77" s="85" t="n"/>
      <c r="AA77" s="85" t="n"/>
    </row>
    <row r="78" ht="11.5" customHeight="1" s="213">
      <c r="H78" s="85" t="n"/>
      <c r="I78" s="85" t="n"/>
      <c r="J78" s="85" t="n"/>
      <c r="K78" s="85" t="n"/>
      <c r="L78" s="85" t="n"/>
      <c r="M78" s="85" t="n"/>
      <c r="N78" s="85" t="n"/>
      <c r="O78" s="85" t="n"/>
      <c r="P78" s="85" t="n"/>
      <c r="Q78" s="85" t="n"/>
      <c r="R78" s="85" t="n"/>
      <c r="S78" s="85" t="n"/>
      <c r="T78" s="85" t="n"/>
      <c r="U78" s="85" t="n"/>
      <c r="V78" s="85" t="n"/>
      <c r="W78" s="85" t="n"/>
      <c r="X78" s="85" t="n"/>
      <c r="Y78" s="85" t="n"/>
      <c r="Z78" s="85" t="n"/>
      <c r="AA78" s="85" t="n"/>
    </row>
    <row r="79" ht="11.5" customHeight="1" s="213">
      <c r="H79" s="85" t="n"/>
      <c r="I79" s="85" t="n"/>
      <c r="J79" s="85" t="n"/>
      <c r="K79" s="85" t="n"/>
      <c r="L79" s="85" t="n"/>
      <c r="M79" s="85" t="n"/>
      <c r="N79" s="85" t="n"/>
      <c r="O79" s="85" t="n"/>
      <c r="P79" s="85" t="n"/>
      <c r="Q79" s="85" t="n"/>
      <c r="R79" s="85" t="n"/>
      <c r="S79" s="85" t="n"/>
      <c r="T79" s="85" t="n"/>
      <c r="U79" s="85" t="n"/>
      <c r="V79" s="85" t="n"/>
      <c r="W79" s="85" t="n"/>
      <c r="X79" s="85" t="n"/>
      <c r="Y79" s="85" t="n"/>
      <c r="Z79" s="85" t="n"/>
      <c r="AA79" s="85" t="n"/>
    </row>
    <row r="80" ht="11.5" customHeight="1" s="213">
      <c r="H80" s="85" t="n"/>
      <c r="I80" s="85" t="n"/>
      <c r="J80" s="85" t="n"/>
      <c r="K80" s="85" t="n"/>
      <c r="L80" s="85" t="n"/>
      <c r="M80" s="85" t="n"/>
      <c r="N80" s="85" t="n"/>
      <c r="O80" s="85" t="n"/>
      <c r="P80" s="85" t="n"/>
      <c r="Q80" s="85" t="n"/>
      <c r="R80" s="85" t="n"/>
      <c r="S80" s="85" t="n"/>
      <c r="T80" s="85" t="n"/>
      <c r="U80" s="85" t="n"/>
      <c r="V80" s="85" t="n"/>
      <c r="W80" s="85" t="n"/>
      <c r="X80" s="85" t="n"/>
      <c r="Y80" s="85" t="n"/>
      <c r="Z80" s="85" t="n"/>
      <c r="AA80" s="85" t="n"/>
    </row>
    <row r="81" ht="11.5" customHeight="1" s="213">
      <c r="H81" s="85" t="n"/>
      <c r="I81" s="85" t="n"/>
      <c r="J81" s="85" t="n"/>
      <c r="K81" s="85" t="n"/>
      <c r="L81" s="85" t="n"/>
      <c r="M81" s="85" t="n"/>
      <c r="N81" s="85" t="n"/>
      <c r="O81" s="85" t="n"/>
      <c r="P81" s="85" t="n"/>
      <c r="Q81" s="85" t="n"/>
      <c r="R81" s="85" t="n"/>
      <c r="S81" s="85" t="n"/>
      <c r="T81" s="85" t="n"/>
      <c r="U81" s="85" t="n"/>
      <c r="V81" s="85" t="n"/>
      <c r="W81" s="85" t="n"/>
      <c r="X81" s="85" t="n"/>
      <c r="Y81" s="85" t="n"/>
      <c r="Z81" s="85" t="n"/>
      <c r="AA81" s="85" t="n"/>
    </row>
    <row r="82" ht="11.5" customHeight="1" s="213">
      <c r="H82" s="85" t="n"/>
      <c r="I82" s="85" t="n"/>
      <c r="J82" s="85" t="n"/>
      <c r="K82" s="85" t="n"/>
      <c r="L82" s="85" t="n"/>
      <c r="M82" s="85" t="n"/>
      <c r="N82" s="85" t="n"/>
      <c r="O82" s="85" t="n"/>
      <c r="P82" s="85" t="n"/>
      <c r="Q82" s="85" t="n"/>
      <c r="R82" s="85" t="n"/>
      <c r="S82" s="85" t="n"/>
      <c r="T82" s="85" t="n"/>
      <c r="U82" s="85" t="n"/>
      <c r="V82" s="85" t="n"/>
      <c r="W82" s="85" t="n"/>
      <c r="X82" s="85" t="n"/>
      <c r="Y82" s="85" t="n"/>
      <c r="Z82" s="85" t="n"/>
      <c r="AA82" s="85" t="n"/>
    </row>
    <row r="83" ht="11.5" customHeight="1" s="213">
      <c r="H83" s="85" t="n"/>
      <c r="I83" s="85" t="n"/>
      <c r="J83" s="85" t="n"/>
      <c r="K83" s="85" t="n"/>
      <c r="L83" s="85" t="n"/>
      <c r="M83" s="85" t="n"/>
      <c r="N83" s="85" t="n"/>
      <c r="O83" s="85" t="n"/>
      <c r="P83" s="85" t="n"/>
      <c r="Q83" s="85" t="n"/>
      <c r="R83" s="85" t="n"/>
      <c r="S83" s="85" t="n"/>
      <c r="T83" s="85" t="n"/>
      <c r="U83" s="85" t="n"/>
      <c r="V83" s="85" t="n"/>
      <c r="W83" s="85" t="n"/>
      <c r="X83" s="85" t="n"/>
      <c r="Y83" s="85" t="n"/>
      <c r="Z83" s="85" t="n"/>
      <c r="AA83" s="85" t="n"/>
    </row>
    <row r="84" ht="11.5" customHeight="1" s="213">
      <c r="H84" s="85" t="n"/>
      <c r="I84" s="85" t="n"/>
      <c r="J84" s="85" t="n"/>
      <c r="K84" s="85" t="n"/>
      <c r="L84" s="85" t="n"/>
      <c r="M84" s="85" t="n"/>
      <c r="N84" s="85" t="n"/>
      <c r="O84" s="85" t="n"/>
      <c r="P84" s="85" t="n"/>
      <c r="Q84" s="85" t="n"/>
      <c r="R84" s="85" t="n"/>
      <c r="S84" s="85" t="n"/>
      <c r="T84" s="85" t="n"/>
      <c r="U84" s="85" t="n"/>
      <c r="V84" s="85" t="n"/>
      <c r="W84" s="85" t="n"/>
      <c r="X84" s="85" t="n"/>
      <c r="Y84" s="85" t="n"/>
      <c r="Z84" s="85" t="n"/>
      <c r="AA84" s="85" t="n"/>
    </row>
    <row r="85" ht="11.5" customHeight="1" s="213">
      <c r="H85" s="85" t="n"/>
      <c r="I85" s="85" t="n"/>
      <c r="J85" s="85" t="n"/>
      <c r="K85" s="85" t="n"/>
      <c r="L85" s="85" t="n"/>
      <c r="M85" s="85" t="n"/>
      <c r="N85" s="85" t="n"/>
      <c r="O85" s="85" t="n"/>
      <c r="P85" s="85" t="n"/>
      <c r="Q85" s="85" t="n"/>
      <c r="R85" s="85" t="n"/>
      <c r="S85" s="85" t="n"/>
      <c r="T85" s="85" t="n"/>
      <c r="U85" s="85" t="n"/>
      <c r="V85" s="85" t="n"/>
      <c r="W85" s="85" t="n"/>
      <c r="X85" s="85" t="n"/>
      <c r="Y85" s="85" t="n"/>
      <c r="Z85" s="85" t="n"/>
      <c r="AA85" s="85" t="n"/>
    </row>
    <row r="86" ht="11.5" customHeight="1" s="213">
      <c r="H86" s="85" t="n"/>
      <c r="I86" s="85" t="n"/>
      <c r="J86" s="85" t="n"/>
      <c r="K86" s="85" t="n"/>
      <c r="L86" s="85" t="n"/>
      <c r="M86" s="85" t="n"/>
      <c r="N86" s="85" t="n"/>
      <c r="O86" s="85" t="n"/>
      <c r="P86" s="85" t="n"/>
      <c r="Q86" s="85" t="n"/>
      <c r="R86" s="85" t="n"/>
      <c r="S86" s="85" t="n"/>
      <c r="T86" s="85" t="n"/>
      <c r="U86" s="85" t="n"/>
      <c r="V86" s="85" t="n"/>
      <c r="W86" s="85" t="n"/>
      <c r="X86" s="85" t="n"/>
      <c r="Y86" s="85" t="n"/>
      <c r="Z86" s="85" t="n"/>
      <c r="AA86" s="85" t="n"/>
    </row>
    <row r="87" ht="11.5" customHeight="1" s="213">
      <c r="H87" s="85" t="n"/>
      <c r="I87" s="85" t="n"/>
      <c r="J87" s="85" t="n"/>
      <c r="K87" s="85" t="n"/>
      <c r="L87" s="85" t="n"/>
      <c r="M87" s="85" t="n"/>
      <c r="N87" s="85" t="n"/>
      <c r="O87" s="85" t="n"/>
      <c r="P87" s="85" t="n"/>
      <c r="Q87" s="85" t="n"/>
      <c r="R87" s="85" t="n"/>
      <c r="S87" s="85" t="n"/>
      <c r="T87" s="85" t="n"/>
      <c r="U87" s="85" t="n"/>
      <c r="V87" s="85" t="n"/>
      <c r="W87" s="85" t="n"/>
      <c r="X87" s="85" t="n"/>
      <c r="Y87" s="85" t="n"/>
      <c r="Z87" s="85" t="n"/>
      <c r="AA87" s="85" t="n"/>
    </row>
    <row r="88" ht="11.5" customHeight="1" s="213">
      <c r="H88" s="85" t="n"/>
      <c r="I88" s="85" t="n"/>
      <c r="J88" s="85" t="n"/>
      <c r="K88" s="85" t="n"/>
      <c r="L88" s="85" t="n"/>
      <c r="M88" s="85" t="n"/>
      <c r="N88" s="85" t="n"/>
      <c r="O88" s="85" t="n"/>
      <c r="P88" s="85" t="n"/>
      <c r="Q88" s="85" t="n"/>
      <c r="R88" s="85" t="n"/>
      <c r="S88" s="85" t="n"/>
      <c r="T88" s="85" t="n"/>
      <c r="U88" s="85" t="n"/>
      <c r="V88" s="85" t="n"/>
      <c r="W88" s="85" t="n"/>
      <c r="X88" s="85" t="n"/>
      <c r="Y88" s="85" t="n"/>
      <c r="Z88" s="85" t="n"/>
      <c r="AA88" s="85" t="n"/>
    </row>
    <row r="89" ht="11.5" customHeight="1" s="213">
      <c r="H89" s="85" t="n"/>
      <c r="I89" s="85" t="n"/>
      <c r="J89" s="85" t="n"/>
      <c r="K89" s="85" t="n"/>
      <c r="L89" s="85" t="n"/>
      <c r="M89" s="85" t="n"/>
      <c r="N89" s="85" t="n"/>
      <c r="O89" s="85" t="n"/>
      <c r="P89" s="85" t="n"/>
      <c r="Q89" s="85" t="n"/>
      <c r="R89" s="85" t="n"/>
      <c r="S89" s="85" t="n"/>
      <c r="T89" s="85" t="n"/>
      <c r="U89" s="85" t="n"/>
      <c r="V89" s="85" t="n"/>
      <c r="W89" s="85" t="n"/>
      <c r="X89" s="85" t="n"/>
      <c r="Y89" s="85" t="n"/>
      <c r="Z89" s="85" t="n"/>
      <c r="AA89" s="85" t="n"/>
    </row>
    <row r="90" ht="11.5" customHeight="1" s="213">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row>
    <row r="91" ht="11.5" customHeight="1" s="213">
      <c r="H91" s="85" t="n"/>
      <c r="I91" s="85" t="n"/>
      <c r="J91" s="85" t="n"/>
      <c r="K91" s="85" t="n"/>
      <c r="L91" s="85" t="n"/>
      <c r="M91" s="85" t="n"/>
      <c r="N91" s="85" t="n"/>
      <c r="O91" s="85" t="n"/>
      <c r="P91" s="85" t="n"/>
      <c r="Q91" s="85" t="n"/>
      <c r="R91" s="85" t="n"/>
      <c r="S91" s="85" t="n"/>
      <c r="T91" s="85" t="n"/>
      <c r="U91" s="85" t="n"/>
      <c r="V91" s="85" t="n"/>
      <c r="W91" s="85" t="n"/>
      <c r="X91" s="85" t="n"/>
      <c r="Y91" s="85" t="n"/>
      <c r="Z91" s="85" t="n"/>
      <c r="AA91" s="85" t="n"/>
    </row>
    <row r="92" ht="11.5" customHeight="1" s="213">
      <c r="H92" s="85" t="n"/>
      <c r="I92" s="85" t="n"/>
      <c r="J92" s="85" t="n"/>
      <c r="K92" s="85" t="n"/>
      <c r="L92" s="85" t="n"/>
      <c r="M92" s="85" t="n"/>
      <c r="N92" s="85" t="n"/>
      <c r="O92" s="85" t="n"/>
      <c r="P92" s="85" t="n"/>
      <c r="Q92" s="85" t="n"/>
      <c r="R92" s="85" t="n"/>
      <c r="S92" s="85" t="n"/>
      <c r="T92" s="85" t="n"/>
      <c r="U92" s="85" t="n"/>
      <c r="V92" s="85" t="n"/>
      <c r="W92" s="85" t="n"/>
      <c r="X92" s="85" t="n"/>
      <c r="Y92" s="85" t="n"/>
      <c r="Z92" s="85" t="n"/>
      <c r="AA92" s="85" t="n"/>
    </row>
    <row r="93" ht="11.5" customHeight="1" s="213">
      <c r="H93" s="85" t="n"/>
      <c r="I93" s="85" t="n"/>
      <c r="J93" s="85" t="n"/>
      <c r="K93" s="85" t="n"/>
      <c r="L93" s="85" t="n"/>
      <c r="M93" s="85" t="n"/>
      <c r="N93" s="85" t="n"/>
      <c r="O93" s="85" t="n"/>
      <c r="P93" s="85" t="n"/>
      <c r="Q93" s="85" t="n"/>
      <c r="R93" s="85" t="n"/>
      <c r="S93" s="85" t="n"/>
      <c r="T93" s="85" t="n"/>
      <c r="U93" s="85" t="n"/>
      <c r="V93" s="85" t="n"/>
      <c r="W93" s="85" t="n"/>
      <c r="X93" s="85" t="n"/>
      <c r="Y93" s="85" t="n"/>
      <c r="Z93" s="85" t="n"/>
      <c r="AA93" s="85" t="n"/>
    </row>
    <row r="94" ht="11.5" customHeight="1" s="213">
      <c r="H94" s="85" t="n"/>
      <c r="I94" s="85" t="n"/>
      <c r="J94" s="85" t="n"/>
      <c r="K94" s="85" t="n"/>
      <c r="L94" s="85" t="n"/>
      <c r="M94" s="85" t="n"/>
      <c r="N94" s="85" t="n"/>
      <c r="O94" s="85" t="n"/>
      <c r="P94" s="85" t="n"/>
      <c r="Q94" s="85" t="n"/>
      <c r="R94" s="85" t="n"/>
      <c r="S94" s="85" t="n"/>
      <c r="T94" s="85" t="n"/>
      <c r="U94" s="85" t="n"/>
      <c r="V94" s="85" t="n"/>
      <c r="W94" s="85" t="n"/>
      <c r="X94" s="85" t="n"/>
      <c r="Y94" s="85" t="n"/>
      <c r="Z94" s="85" t="n"/>
      <c r="AA94" s="85" t="n"/>
    </row>
    <row r="95" ht="11.5" customHeight="1" s="213">
      <c r="H95" s="85" t="n"/>
      <c r="I95" s="85" t="n"/>
      <c r="J95" s="85" t="n"/>
      <c r="K95" s="85" t="n"/>
      <c r="L95" s="85" t="n"/>
      <c r="M95" s="85" t="n"/>
      <c r="N95" s="85" t="n"/>
      <c r="O95" s="85" t="n"/>
      <c r="P95" s="85" t="n"/>
      <c r="Q95" s="85" t="n"/>
      <c r="R95" s="85" t="n"/>
      <c r="S95" s="85" t="n"/>
      <c r="T95" s="85" t="n"/>
      <c r="U95" s="85" t="n"/>
      <c r="V95" s="85" t="n"/>
      <c r="W95" s="85" t="n"/>
      <c r="X95" s="85" t="n"/>
      <c r="Y95" s="85" t="n"/>
      <c r="Z95" s="85" t="n"/>
      <c r="AA95" s="85" t="n"/>
    </row>
    <row r="96" ht="11.5" customHeight="1" s="213">
      <c r="H96" s="85" t="n"/>
      <c r="I96" s="85" t="n"/>
      <c r="J96" s="85" t="n"/>
      <c r="K96" s="85" t="n"/>
      <c r="L96" s="85" t="n"/>
      <c r="M96" s="85" t="n"/>
      <c r="N96" s="85" t="n"/>
      <c r="O96" s="85" t="n"/>
      <c r="P96" s="85" t="n"/>
      <c r="Q96" s="85" t="n"/>
      <c r="R96" s="85" t="n"/>
      <c r="S96" s="85" t="n"/>
      <c r="T96" s="85" t="n"/>
      <c r="U96" s="85" t="n"/>
      <c r="V96" s="85" t="n"/>
      <c r="W96" s="85" t="n"/>
      <c r="X96" s="85" t="n"/>
      <c r="Y96" s="85" t="n"/>
      <c r="Z96" s="85" t="n"/>
      <c r="AA96" s="85" t="n"/>
    </row>
    <row r="97" ht="11.5" customHeight="1" s="213">
      <c r="H97" s="85" t="n"/>
      <c r="I97" s="85" t="n"/>
      <c r="J97" s="85" t="n"/>
      <c r="K97" s="85" t="n"/>
      <c r="L97" s="85" t="n"/>
      <c r="M97" s="85" t="n"/>
      <c r="N97" s="85" t="n"/>
      <c r="O97" s="85" t="n"/>
      <c r="P97" s="85" t="n"/>
      <c r="Q97" s="85" t="n"/>
      <c r="R97" s="85" t="n"/>
      <c r="S97" s="85" t="n"/>
      <c r="T97" s="85" t="n"/>
      <c r="U97" s="85" t="n"/>
      <c r="V97" s="85" t="n"/>
      <c r="W97" s="85" t="n"/>
      <c r="X97" s="85" t="n"/>
      <c r="Y97" s="85" t="n"/>
      <c r="Z97" s="85" t="n"/>
      <c r="AA97" s="85" t="n"/>
    </row>
    <row r="98" ht="11.5" customHeight="1" s="213">
      <c r="H98" s="85" t="n"/>
      <c r="I98" s="85" t="n"/>
      <c r="J98" s="85" t="n"/>
      <c r="K98" s="85" t="n"/>
      <c r="L98" s="85" t="n"/>
      <c r="M98" s="85" t="n"/>
      <c r="N98" s="85" t="n"/>
      <c r="O98" s="85" t="n"/>
      <c r="P98" s="85" t="n"/>
      <c r="Q98" s="85" t="n"/>
      <c r="R98" s="85" t="n"/>
      <c r="S98" s="85" t="n"/>
      <c r="T98" s="85" t="n"/>
      <c r="U98" s="85" t="n"/>
      <c r="V98" s="85" t="n"/>
      <c r="W98" s="85" t="n"/>
      <c r="X98" s="85" t="n"/>
      <c r="Y98" s="85" t="n"/>
      <c r="Z98" s="85" t="n"/>
      <c r="AA98" s="85" t="n"/>
    </row>
    <row r="99" ht="11.5" customHeight="1" s="213">
      <c r="H99" s="85" t="n"/>
      <c r="I99" s="85" t="n"/>
      <c r="J99" s="85" t="n"/>
      <c r="K99" s="85" t="n"/>
      <c r="L99" s="85" t="n"/>
      <c r="M99" s="85" t="n"/>
      <c r="N99" s="85" t="n"/>
      <c r="O99" s="85" t="n"/>
      <c r="P99" s="85" t="n"/>
      <c r="Q99" s="85" t="n"/>
      <c r="R99" s="85" t="n"/>
      <c r="S99" s="85" t="n"/>
      <c r="T99" s="85" t="n"/>
      <c r="U99" s="85" t="n"/>
      <c r="V99" s="85" t="n"/>
      <c r="W99" s="85" t="n"/>
      <c r="X99" s="85" t="n"/>
      <c r="Y99" s="85" t="n"/>
      <c r="Z99" s="85" t="n"/>
      <c r="AA99" s="85" t="n"/>
    </row>
    <row r="100" ht="11.5" customHeight="1" s="213">
      <c r="H100" s="85" t="n"/>
      <c r="I100" s="85" t="n"/>
      <c r="J100" s="85" t="n"/>
      <c r="K100" s="85" t="n"/>
      <c r="L100" s="85" t="n"/>
      <c r="M100" s="85" t="n"/>
      <c r="N100" s="85" t="n"/>
      <c r="O100" s="85" t="n"/>
      <c r="P100" s="85" t="n"/>
      <c r="Q100" s="85" t="n"/>
      <c r="R100" s="85" t="n"/>
      <c r="S100" s="85" t="n"/>
      <c r="T100" s="85" t="n"/>
      <c r="U100" s="85" t="n"/>
      <c r="V100" s="85" t="n"/>
      <c r="W100" s="85" t="n"/>
      <c r="X100" s="85" t="n"/>
      <c r="Y100" s="85" t="n"/>
      <c r="Z100" s="85" t="n"/>
      <c r="AA100" s="85" t="n"/>
    </row>
    <row r="101" ht="11.5" customHeight="1" s="213">
      <c r="H101" s="85" t="n"/>
      <c r="I101" s="85" t="n"/>
      <c r="J101" s="85" t="n"/>
      <c r="K101" s="85" t="n"/>
      <c r="L101" s="85" t="n"/>
      <c r="M101" s="85" t="n"/>
      <c r="N101" s="85" t="n"/>
      <c r="O101" s="85" t="n"/>
      <c r="P101" s="85" t="n"/>
      <c r="Q101" s="85" t="n"/>
      <c r="R101" s="85" t="n"/>
      <c r="S101" s="85" t="n"/>
      <c r="T101" s="85" t="n"/>
      <c r="U101" s="85" t="n"/>
      <c r="V101" s="85" t="n"/>
      <c r="W101" s="85" t="n"/>
      <c r="X101" s="85" t="n"/>
      <c r="Y101" s="85" t="n"/>
      <c r="Z101" s="85" t="n"/>
      <c r="AA101" s="85" t="n"/>
    </row>
    <row r="102" ht="11.5" customHeight="1" s="213">
      <c r="H102" s="85" t="n"/>
      <c r="I102" s="85" t="n"/>
      <c r="J102" s="85" t="n"/>
      <c r="K102" s="85" t="n"/>
      <c r="L102" s="85" t="n"/>
      <c r="M102" s="85" t="n"/>
      <c r="N102" s="85" t="n"/>
      <c r="O102" s="85" t="n"/>
      <c r="P102" s="85" t="n"/>
      <c r="Q102" s="85" t="n"/>
      <c r="R102" s="85" t="n"/>
      <c r="S102" s="85" t="n"/>
      <c r="T102" s="85" t="n"/>
      <c r="U102" s="85" t="n"/>
      <c r="V102" s="85" t="n"/>
      <c r="W102" s="85" t="n"/>
      <c r="X102" s="85" t="n"/>
      <c r="Y102" s="85" t="n"/>
      <c r="Z102" s="85" t="n"/>
      <c r="AA102" s="85" t="n"/>
    </row>
    <row r="103" ht="11.5" customHeight="1" s="213">
      <c r="H103" s="85" t="n"/>
      <c r="I103" s="85" t="n"/>
      <c r="J103" s="85" t="n"/>
      <c r="K103" s="85" t="n"/>
      <c r="L103" s="85" t="n"/>
      <c r="M103" s="85" t="n"/>
      <c r="N103" s="85" t="n"/>
      <c r="O103" s="85" t="n"/>
      <c r="P103" s="85" t="n"/>
      <c r="Q103" s="85" t="n"/>
      <c r="R103" s="85" t="n"/>
      <c r="S103" s="85" t="n"/>
      <c r="T103" s="85" t="n"/>
      <c r="U103" s="85" t="n"/>
      <c r="V103" s="85" t="n"/>
      <c r="W103" s="85" t="n"/>
      <c r="X103" s="85" t="n"/>
      <c r="Y103" s="85" t="n"/>
      <c r="Z103" s="85" t="n"/>
      <c r="AA103" s="85" t="n"/>
    </row>
    <row r="104" ht="11.5" customHeight="1" s="213">
      <c r="H104" s="85" t="n"/>
      <c r="I104" s="85" t="n"/>
      <c r="J104" s="85" t="n"/>
      <c r="K104" s="85" t="n"/>
      <c r="L104" s="85" t="n"/>
      <c r="M104" s="85" t="n"/>
      <c r="N104" s="85" t="n"/>
      <c r="O104" s="85" t="n"/>
      <c r="P104" s="85" t="n"/>
      <c r="Q104" s="85" t="n"/>
      <c r="R104" s="85" t="n"/>
      <c r="S104" s="85" t="n"/>
      <c r="T104" s="85" t="n"/>
      <c r="U104" s="85" t="n"/>
      <c r="V104" s="85" t="n"/>
      <c r="W104" s="85" t="n"/>
      <c r="X104" s="85" t="n"/>
      <c r="Y104" s="85" t="n"/>
      <c r="Z104" s="85" t="n"/>
      <c r="AA104" s="85" t="n"/>
    </row>
    <row r="105" ht="11.5" customHeight="1" s="213">
      <c r="H105" s="85" t="n"/>
      <c r="I105" s="85" t="n"/>
      <c r="J105" s="85" t="n"/>
      <c r="K105" s="85" t="n"/>
      <c r="L105" s="85" t="n"/>
      <c r="M105" s="85" t="n"/>
      <c r="N105" s="85" t="n"/>
      <c r="O105" s="85" t="n"/>
      <c r="P105" s="85" t="n"/>
      <c r="Q105" s="85" t="n"/>
      <c r="R105" s="85" t="n"/>
      <c r="S105" s="85" t="n"/>
      <c r="T105" s="85" t="n"/>
      <c r="U105" s="85" t="n"/>
      <c r="V105" s="85" t="n"/>
      <c r="W105" s="85" t="n"/>
      <c r="X105" s="85" t="n"/>
      <c r="Y105" s="85" t="n"/>
      <c r="Z105" s="85" t="n"/>
      <c r="AA105" s="85" t="n"/>
    </row>
    <row r="106" ht="11.5" customHeight="1" s="213">
      <c r="H106" s="85" t="n"/>
      <c r="I106" s="85" t="n"/>
      <c r="J106" s="85" t="n"/>
      <c r="K106" s="85" t="n"/>
      <c r="L106" s="85" t="n"/>
      <c r="M106" s="85" t="n"/>
      <c r="N106" s="85" t="n"/>
      <c r="O106" s="85" t="n"/>
      <c r="P106" s="85" t="n"/>
      <c r="Q106" s="85" t="n"/>
      <c r="R106" s="85" t="n"/>
      <c r="S106" s="85" t="n"/>
      <c r="T106" s="85" t="n"/>
      <c r="U106" s="85" t="n"/>
      <c r="V106" s="85" t="n"/>
      <c r="W106" s="85" t="n"/>
      <c r="X106" s="85" t="n"/>
      <c r="Y106" s="85" t="n"/>
      <c r="Z106" s="85" t="n"/>
      <c r="AA106" s="85" t="n"/>
    </row>
    <row r="107" ht="11.5" customHeight="1" s="213">
      <c r="H107" s="85" t="n"/>
      <c r="I107" s="85" t="n"/>
      <c r="J107" s="85" t="n"/>
      <c r="K107" s="85" t="n"/>
      <c r="L107" s="85" t="n"/>
      <c r="M107" s="85" t="n"/>
      <c r="N107" s="85" t="n"/>
      <c r="O107" s="85" t="n"/>
      <c r="P107" s="85" t="n"/>
      <c r="Q107" s="85" t="n"/>
      <c r="R107" s="85" t="n"/>
      <c r="S107" s="85" t="n"/>
      <c r="T107" s="85" t="n"/>
      <c r="U107" s="85" t="n"/>
      <c r="V107" s="85" t="n"/>
      <c r="W107" s="85" t="n"/>
      <c r="X107" s="85" t="n"/>
      <c r="Y107" s="85" t="n"/>
      <c r="Z107" s="85" t="n"/>
      <c r="AA107" s="85" t="n"/>
    </row>
    <row r="108" ht="11.5" customHeight="1" s="213">
      <c r="H108" s="85" t="n"/>
      <c r="I108" s="85" t="n"/>
      <c r="J108" s="85" t="n"/>
      <c r="K108" s="85" t="n"/>
      <c r="L108" s="85" t="n"/>
      <c r="M108" s="85" t="n"/>
      <c r="N108" s="85" t="n"/>
      <c r="O108" s="85" t="n"/>
      <c r="P108" s="85" t="n"/>
      <c r="Q108" s="85" t="n"/>
      <c r="R108" s="85" t="n"/>
      <c r="S108" s="85" t="n"/>
      <c r="T108" s="85" t="n"/>
      <c r="U108" s="85" t="n"/>
      <c r="V108" s="85" t="n"/>
      <c r="W108" s="85" t="n"/>
      <c r="X108" s="85" t="n"/>
      <c r="Y108" s="85" t="n"/>
      <c r="Z108" s="85" t="n"/>
      <c r="AA108" s="85" t="n"/>
    </row>
    <row r="109" ht="11.5" customHeight="1" s="213">
      <c r="H109" s="85" t="n"/>
      <c r="I109" s="85" t="n"/>
      <c r="J109" s="85" t="n"/>
      <c r="K109" s="85" t="n"/>
      <c r="L109" s="85" t="n"/>
      <c r="M109" s="85" t="n"/>
      <c r="N109" s="85" t="n"/>
      <c r="O109" s="85" t="n"/>
      <c r="P109" s="85" t="n"/>
      <c r="Q109" s="85" t="n"/>
      <c r="R109" s="85" t="n"/>
      <c r="S109" s="85" t="n"/>
      <c r="T109" s="85" t="n"/>
      <c r="U109" s="85" t="n"/>
      <c r="V109" s="85" t="n"/>
      <c r="W109" s="85" t="n"/>
      <c r="X109" s="85" t="n"/>
      <c r="Y109" s="85" t="n"/>
      <c r="Z109" s="85" t="n"/>
      <c r="AA109" s="85" t="n"/>
    </row>
    <row r="110" ht="11.5" customHeight="1" s="213">
      <c r="H110" s="85" t="n"/>
      <c r="I110" s="85" t="n"/>
      <c r="J110" s="85" t="n"/>
      <c r="K110" s="85" t="n"/>
      <c r="L110" s="85" t="n"/>
      <c r="M110" s="85" t="n"/>
      <c r="N110" s="85" t="n"/>
      <c r="O110" s="85" t="n"/>
      <c r="P110" s="85" t="n"/>
      <c r="Q110" s="85" t="n"/>
      <c r="R110" s="85" t="n"/>
      <c r="S110" s="85" t="n"/>
      <c r="T110" s="85" t="n"/>
      <c r="U110" s="85" t="n"/>
      <c r="V110" s="85" t="n"/>
      <c r="W110" s="85" t="n"/>
      <c r="X110" s="85" t="n"/>
      <c r="Y110" s="85" t="n"/>
      <c r="Z110" s="85" t="n"/>
      <c r="AA110" s="85" t="n"/>
    </row>
    <row r="111" ht="11.5" customHeight="1" s="213">
      <c r="H111" s="85" t="n"/>
      <c r="I111" s="85" t="n"/>
      <c r="J111" s="85" t="n"/>
      <c r="K111" s="85" t="n"/>
      <c r="L111" s="85" t="n"/>
      <c r="M111" s="85" t="n"/>
      <c r="N111" s="85" t="n"/>
      <c r="O111" s="85" t="n"/>
      <c r="P111" s="85" t="n"/>
      <c r="Q111" s="85" t="n"/>
      <c r="R111" s="85" t="n"/>
      <c r="S111" s="85" t="n"/>
      <c r="T111" s="85" t="n"/>
      <c r="U111" s="85" t="n"/>
      <c r="V111" s="85" t="n"/>
      <c r="W111" s="85" t="n"/>
      <c r="X111" s="85" t="n"/>
      <c r="Y111" s="85" t="n"/>
      <c r="Z111" s="85" t="n"/>
      <c r="AA111" s="85" t="n"/>
    </row>
    <row r="112" ht="11.5" customHeight="1" s="213">
      <c r="H112" s="85" t="n"/>
      <c r="I112" s="85" t="n"/>
      <c r="J112" s="85" t="n"/>
      <c r="K112" s="85" t="n"/>
      <c r="L112" s="85" t="n"/>
      <c r="M112" s="85" t="n"/>
      <c r="N112" s="85" t="n"/>
      <c r="O112" s="85" t="n"/>
      <c r="P112" s="85" t="n"/>
      <c r="Q112" s="85" t="n"/>
      <c r="R112" s="85" t="n"/>
      <c r="S112" s="85" t="n"/>
      <c r="T112" s="85" t="n"/>
      <c r="U112" s="85" t="n"/>
      <c r="V112" s="85" t="n"/>
      <c r="W112" s="85" t="n"/>
      <c r="X112" s="85" t="n"/>
      <c r="Y112" s="85" t="n"/>
      <c r="Z112" s="85" t="n"/>
      <c r="AA112" s="85" t="n"/>
    </row>
    <row r="113" ht="11.5" customHeight="1" s="213">
      <c r="H113" s="85" t="n"/>
      <c r="I113" s="85" t="n"/>
      <c r="J113" s="85" t="n"/>
      <c r="K113" s="85" t="n"/>
      <c r="L113" s="85" t="n"/>
      <c r="M113" s="85" t="n"/>
      <c r="N113" s="85" t="n"/>
      <c r="O113" s="85" t="n"/>
      <c r="P113" s="85" t="n"/>
      <c r="Q113" s="85" t="n"/>
      <c r="R113" s="85" t="n"/>
      <c r="S113" s="85" t="n"/>
      <c r="T113" s="85" t="n"/>
      <c r="U113" s="85" t="n"/>
      <c r="V113" s="85" t="n"/>
      <c r="W113" s="85" t="n"/>
      <c r="X113" s="85" t="n"/>
      <c r="Y113" s="85" t="n"/>
      <c r="Z113" s="85" t="n"/>
      <c r="AA113" s="85" t="n"/>
    </row>
    <row r="114" ht="11.5" customHeight="1" s="213">
      <c r="H114" s="85" t="n"/>
      <c r="I114" s="85" t="n"/>
      <c r="J114" s="85" t="n"/>
      <c r="K114" s="85" t="n"/>
      <c r="L114" s="85" t="n"/>
      <c r="M114" s="85" t="n"/>
      <c r="N114" s="85" t="n"/>
      <c r="O114" s="85" t="n"/>
      <c r="P114" s="85" t="n"/>
      <c r="Q114" s="85" t="n"/>
      <c r="R114" s="85" t="n"/>
      <c r="S114" s="85" t="n"/>
      <c r="T114" s="85" t="n"/>
      <c r="U114" s="85" t="n"/>
      <c r="V114" s="85" t="n"/>
      <c r="W114" s="85" t="n"/>
      <c r="X114" s="85" t="n"/>
      <c r="Y114" s="85" t="n"/>
      <c r="Z114" s="85" t="n"/>
      <c r="AA114" s="85" t="n"/>
    </row>
    <row r="115" ht="11.5" customHeight="1" s="213">
      <c r="H115" s="85" t="n"/>
      <c r="I115" s="85" t="n"/>
      <c r="J115" s="85" t="n"/>
      <c r="K115" s="85" t="n"/>
      <c r="L115" s="85" t="n"/>
      <c r="M115" s="85" t="n"/>
      <c r="N115" s="85" t="n"/>
      <c r="O115" s="85" t="n"/>
      <c r="P115" s="85" t="n"/>
      <c r="Q115" s="85" t="n"/>
      <c r="R115" s="85" t="n"/>
      <c r="S115" s="85" t="n"/>
      <c r="T115" s="85" t="n"/>
      <c r="U115" s="85" t="n"/>
      <c r="V115" s="85" t="n"/>
      <c r="W115" s="85" t="n"/>
      <c r="X115" s="85" t="n"/>
      <c r="Y115" s="85" t="n"/>
      <c r="Z115" s="85" t="n"/>
      <c r="AA115" s="85" t="n"/>
    </row>
    <row r="116" ht="11.5" customHeight="1" s="213">
      <c r="H116" s="85" t="n"/>
      <c r="I116" s="85" t="n"/>
      <c r="J116" s="85" t="n"/>
      <c r="K116" s="85" t="n"/>
      <c r="L116" s="85" t="n"/>
      <c r="M116" s="85" t="n"/>
      <c r="N116" s="85" t="n"/>
      <c r="O116" s="85" t="n"/>
      <c r="P116" s="85" t="n"/>
      <c r="Q116" s="85" t="n"/>
      <c r="R116" s="85" t="n"/>
      <c r="S116" s="85" t="n"/>
      <c r="T116" s="85" t="n"/>
      <c r="U116" s="85" t="n"/>
      <c r="V116" s="85" t="n"/>
      <c r="W116" s="85" t="n"/>
      <c r="X116" s="85" t="n"/>
      <c r="Y116" s="85" t="n"/>
      <c r="Z116" s="85" t="n"/>
      <c r="AA116" s="85" t="n"/>
    </row>
    <row r="117" ht="11.5" customHeight="1" s="213">
      <c r="H117" s="85" t="n"/>
      <c r="I117" s="85" t="n"/>
      <c r="J117" s="85" t="n"/>
      <c r="K117" s="85" t="n"/>
      <c r="L117" s="85" t="n"/>
      <c r="M117" s="85" t="n"/>
      <c r="N117" s="85" t="n"/>
      <c r="O117" s="85" t="n"/>
      <c r="P117" s="85" t="n"/>
      <c r="Q117" s="85" t="n"/>
      <c r="R117" s="85" t="n"/>
      <c r="S117" s="85" t="n"/>
      <c r="T117" s="85" t="n"/>
      <c r="U117" s="85" t="n"/>
      <c r="V117" s="85" t="n"/>
      <c r="W117" s="85" t="n"/>
      <c r="X117" s="85" t="n"/>
      <c r="Y117" s="85" t="n"/>
      <c r="Z117" s="85" t="n"/>
      <c r="AA117" s="85" t="n"/>
    </row>
    <row r="118" ht="11.5" customHeight="1" s="213">
      <c r="H118" s="85" t="n"/>
      <c r="I118" s="85" t="n"/>
      <c r="J118" s="85" t="n"/>
      <c r="K118" s="85" t="n"/>
      <c r="L118" s="85" t="n"/>
      <c r="M118" s="85" t="n"/>
      <c r="N118" s="85" t="n"/>
      <c r="O118" s="85" t="n"/>
      <c r="P118" s="85" t="n"/>
      <c r="Q118" s="85" t="n"/>
      <c r="R118" s="85" t="n"/>
      <c r="S118" s="85" t="n"/>
      <c r="T118" s="85" t="n"/>
      <c r="U118" s="85" t="n"/>
      <c r="V118" s="85" t="n"/>
      <c r="W118" s="85" t="n"/>
      <c r="X118" s="85" t="n"/>
      <c r="Y118" s="85" t="n"/>
      <c r="Z118" s="85" t="n"/>
      <c r="AA118" s="85" t="n"/>
    </row>
    <row r="119" ht="11.5" customHeight="1" s="213">
      <c r="H119" s="85" t="n"/>
      <c r="I119" s="85" t="n"/>
      <c r="J119" s="85" t="n"/>
      <c r="K119" s="85" t="n"/>
      <c r="L119" s="85" t="n"/>
      <c r="M119" s="85" t="n"/>
      <c r="N119" s="85" t="n"/>
      <c r="O119" s="85" t="n"/>
      <c r="P119" s="85" t="n"/>
      <c r="Q119" s="85" t="n"/>
      <c r="R119" s="85" t="n"/>
      <c r="S119" s="85" t="n"/>
      <c r="T119" s="85" t="n"/>
      <c r="U119" s="85" t="n"/>
      <c r="V119" s="85" t="n"/>
      <c r="W119" s="85" t="n"/>
      <c r="X119" s="85" t="n"/>
      <c r="Y119" s="85" t="n"/>
      <c r="Z119" s="85" t="n"/>
      <c r="AA119" s="85" t="n"/>
    </row>
    <row r="120" ht="11.5" customHeight="1" s="213">
      <c r="H120" s="85" t="n"/>
      <c r="I120" s="85" t="n"/>
      <c r="J120" s="85" t="n"/>
      <c r="K120" s="85" t="n"/>
      <c r="L120" s="85" t="n"/>
      <c r="M120" s="85" t="n"/>
      <c r="N120" s="85" t="n"/>
      <c r="O120" s="85" t="n"/>
      <c r="P120" s="85" t="n"/>
      <c r="Q120" s="85" t="n"/>
      <c r="R120" s="85" t="n"/>
      <c r="S120" s="85" t="n"/>
      <c r="T120" s="85" t="n"/>
      <c r="U120" s="85" t="n"/>
      <c r="V120" s="85" t="n"/>
      <c r="W120" s="85" t="n"/>
      <c r="X120" s="85" t="n"/>
      <c r="Y120" s="85" t="n"/>
      <c r="Z120" s="85" t="n"/>
      <c r="AA120" s="85" t="n"/>
    </row>
    <row r="121" ht="11.5" customHeight="1" s="213">
      <c r="H121" s="85" t="n"/>
      <c r="I121" s="85" t="n"/>
      <c r="J121" s="85" t="n"/>
      <c r="K121" s="85" t="n"/>
      <c r="L121" s="85" t="n"/>
      <c r="M121" s="85" t="n"/>
      <c r="N121" s="85" t="n"/>
      <c r="O121" s="85" t="n"/>
      <c r="P121" s="85" t="n"/>
      <c r="Q121" s="85" t="n"/>
      <c r="R121" s="85" t="n"/>
      <c r="S121" s="85" t="n"/>
      <c r="T121" s="85" t="n"/>
      <c r="U121" s="85" t="n"/>
      <c r="V121" s="85" t="n"/>
      <c r="W121" s="85" t="n"/>
      <c r="X121" s="85" t="n"/>
      <c r="Y121" s="85" t="n"/>
      <c r="Z121" s="85" t="n"/>
      <c r="AA121" s="85" t="n"/>
    </row>
    <row r="122" ht="11.5" customHeight="1" s="213">
      <c r="H122" s="85" t="n"/>
      <c r="I122" s="85" t="n"/>
      <c r="J122" s="85" t="n"/>
      <c r="K122" s="85" t="n"/>
      <c r="L122" s="85" t="n"/>
      <c r="M122" s="85" t="n"/>
      <c r="N122" s="85" t="n"/>
      <c r="O122" s="85" t="n"/>
      <c r="P122" s="85" t="n"/>
      <c r="Q122" s="85" t="n"/>
      <c r="R122" s="85" t="n"/>
      <c r="S122" s="85" t="n"/>
      <c r="T122" s="85" t="n"/>
      <c r="U122" s="85" t="n"/>
      <c r="V122" s="85" t="n"/>
      <c r="W122" s="85" t="n"/>
      <c r="X122" s="85" t="n"/>
      <c r="Y122" s="85" t="n"/>
      <c r="Z122" s="85" t="n"/>
      <c r="AA122" s="85" t="n"/>
    </row>
    <row r="123" ht="11.5" customHeight="1" s="213">
      <c r="H123" s="85" t="n"/>
      <c r="I123" s="85" t="n"/>
      <c r="J123" s="85" t="n"/>
      <c r="K123" s="85" t="n"/>
      <c r="L123" s="85" t="n"/>
      <c r="M123" s="85" t="n"/>
      <c r="N123" s="85" t="n"/>
      <c r="O123" s="85" t="n"/>
      <c r="P123" s="85" t="n"/>
      <c r="Q123" s="85" t="n"/>
      <c r="R123" s="85" t="n"/>
      <c r="S123" s="85" t="n"/>
      <c r="T123" s="85" t="n"/>
      <c r="U123" s="85" t="n"/>
      <c r="V123" s="85" t="n"/>
      <c r="W123" s="85" t="n"/>
      <c r="X123" s="85" t="n"/>
      <c r="Y123" s="85" t="n"/>
      <c r="Z123" s="85" t="n"/>
      <c r="AA123" s="85" t="n"/>
    </row>
    <row r="124" ht="11.5" customHeight="1" s="213">
      <c r="H124" s="85" t="n"/>
      <c r="I124" s="85" t="n"/>
      <c r="J124" s="85" t="n"/>
      <c r="K124" s="85" t="n"/>
      <c r="L124" s="85" t="n"/>
      <c r="M124" s="85" t="n"/>
      <c r="N124" s="85" t="n"/>
      <c r="O124" s="85" t="n"/>
      <c r="P124" s="85" t="n"/>
      <c r="Q124" s="85" t="n"/>
      <c r="R124" s="85" t="n"/>
      <c r="S124" s="85" t="n"/>
      <c r="T124" s="85" t="n"/>
      <c r="U124" s="85" t="n"/>
      <c r="V124" s="85" t="n"/>
      <c r="W124" s="85" t="n"/>
      <c r="X124" s="85" t="n"/>
      <c r="Y124" s="85" t="n"/>
      <c r="Z124" s="85" t="n"/>
      <c r="AA124" s="85" t="n"/>
    </row>
    <row r="125" ht="11.5" customHeight="1" s="213">
      <c r="H125" s="85" t="n"/>
      <c r="I125" s="85" t="n"/>
      <c r="J125" s="85" t="n"/>
      <c r="K125" s="85" t="n"/>
      <c r="L125" s="85" t="n"/>
      <c r="M125" s="85" t="n"/>
      <c r="N125" s="85" t="n"/>
      <c r="O125" s="85" t="n"/>
      <c r="P125" s="85" t="n"/>
      <c r="Q125" s="85" t="n"/>
      <c r="R125" s="85" t="n"/>
      <c r="S125" s="85" t="n"/>
      <c r="T125" s="85" t="n"/>
      <c r="U125" s="85" t="n"/>
      <c r="V125" s="85" t="n"/>
      <c r="W125" s="85" t="n"/>
      <c r="X125" s="85" t="n"/>
      <c r="Y125" s="85" t="n"/>
      <c r="Z125" s="85" t="n"/>
      <c r="AA125" s="85" t="n"/>
    </row>
    <row r="126" ht="11.5" customHeight="1" s="213">
      <c r="H126" s="85" t="n"/>
      <c r="I126" s="85" t="n"/>
      <c r="J126" s="85" t="n"/>
      <c r="K126" s="85" t="n"/>
      <c r="L126" s="85" t="n"/>
      <c r="M126" s="85" t="n"/>
      <c r="N126" s="85" t="n"/>
      <c r="O126" s="85" t="n"/>
      <c r="P126" s="85" t="n"/>
      <c r="Q126" s="85" t="n"/>
      <c r="R126" s="85" t="n"/>
      <c r="S126" s="85" t="n"/>
      <c r="T126" s="85" t="n"/>
      <c r="U126" s="85" t="n"/>
      <c r="V126" s="85" t="n"/>
      <c r="W126" s="85" t="n"/>
      <c r="X126" s="85" t="n"/>
      <c r="Y126" s="85" t="n"/>
      <c r="Z126" s="85" t="n"/>
      <c r="AA126" s="85" t="n"/>
    </row>
    <row r="127" ht="11.5" customHeight="1" s="213">
      <c r="H127" s="85" t="n"/>
      <c r="I127" s="85" t="n"/>
      <c r="J127" s="85" t="n"/>
      <c r="K127" s="85" t="n"/>
      <c r="L127" s="85" t="n"/>
      <c r="M127" s="85" t="n"/>
      <c r="N127" s="85" t="n"/>
      <c r="O127" s="85" t="n"/>
      <c r="P127" s="85" t="n"/>
      <c r="Q127" s="85" t="n"/>
      <c r="R127" s="85" t="n"/>
      <c r="S127" s="85" t="n"/>
      <c r="T127" s="85" t="n"/>
      <c r="U127" s="85" t="n"/>
      <c r="V127" s="85" t="n"/>
      <c r="W127" s="85" t="n"/>
      <c r="X127" s="85" t="n"/>
      <c r="Y127" s="85" t="n"/>
      <c r="Z127" s="85" t="n"/>
      <c r="AA127" s="85" t="n"/>
    </row>
    <row r="128" ht="11.5" customHeight="1" s="213">
      <c r="H128" s="85" t="n"/>
      <c r="I128" s="85" t="n"/>
      <c r="J128" s="85" t="n"/>
      <c r="K128" s="85" t="n"/>
      <c r="L128" s="85" t="n"/>
      <c r="M128" s="85" t="n"/>
      <c r="N128" s="85" t="n"/>
      <c r="O128" s="85" t="n"/>
      <c r="P128" s="85" t="n"/>
      <c r="Q128" s="85" t="n"/>
      <c r="R128" s="85" t="n"/>
      <c r="S128" s="85" t="n"/>
      <c r="T128" s="85" t="n"/>
      <c r="U128" s="85" t="n"/>
      <c r="V128" s="85" t="n"/>
      <c r="W128" s="85" t="n"/>
      <c r="X128" s="85" t="n"/>
      <c r="Y128" s="85" t="n"/>
      <c r="Z128" s="85" t="n"/>
      <c r="AA128" s="85" t="n"/>
    </row>
    <row r="129" ht="11.5" customHeight="1" s="213">
      <c r="H129" s="85" t="n"/>
      <c r="I129" s="85" t="n"/>
      <c r="J129" s="85" t="n"/>
      <c r="K129" s="85" t="n"/>
      <c r="L129" s="85" t="n"/>
      <c r="M129" s="85" t="n"/>
      <c r="N129" s="85" t="n"/>
      <c r="O129" s="85" t="n"/>
      <c r="P129" s="85" t="n"/>
      <c r="Q129" s="85" t="n"/>
      <c r="R129" s="85" t="n"/>
      <c r="S129" s="85" t="n"/>
      <c r="T129" s="85" t="n"/>
      <c r="U129" s="85" t="n"/>
      <c r="V129" s="85" t="n"/>
      <c r="W129" s="85" t="n"/>
      <c r="X129" s="85" t="n"/>
      <c r="Y129" s="85" t="n"/>
      <c r="Z129" s="85" t="n"/>
      <c r="AA129" s="85" t="n"/>
    </row>
    <row r="130" ht="11.5" customHeight="1" s="213">
      <c r="H130" s="85" t="n"/>
      <c r="I130" s="85" t="n"/>
      <c r="J130" s="85" t="n"/>
      <c r="K130" s="85" t="n"/>
      <c r="L130" s="85" t="n"/>
      <c r="M130" s="85" t="n"/>
      <c r="N130" s="85" t="n"/>
      <c r="O130" s="85" t="n"/>
      <c r="P130" s="85" t="n"/>
      <c r="Q130" s="85" t="n"/>
      <c r="R130" s="85" t="n"/>
      <c r="S130" s="85" t="n"/>
      <c r="T130" s="85" t="n"/>
      <c r="U130" s="85" t="n"/>
      <c r="V130" s="85" t="n"/>
      <c r="W130" s="85" t="n"/>
      <c r="X130" s="85" t="n"/>
      <c r="Y130" s="85" t="n"/>
      <c r="Z130" s="85" t="n"/>
      <c r="AA130" s="85" t="n"/>
    </row>
    <row r="131" ht="11.5" customHeight="1" s="213">
      <c r="H131" s="85" t="n"/>
      <c r="I131" s="85" t="n"/>
      <c r="J131" s="85" t="n"/>
      <c r="K131" s="85" t="n"/>
      <c r="L131" s="85" t="n"/>
      <c r="M131" s="85" t="n"/>
      <c r="N131" s="85" t="n"/>
      <c r="O131" s="85" t="n"/>
      <c r="P131" s="85" t="n"/>
      <c r="Q131" s="85" t="n"/>
      <c r="R131" s="85" t="n"/>
      <c r="S131" s="85" t="n"/>
      <c r="T131" s="85" t="n"/>
      <c r="U131" s="85" t="n"/>
      <c r="V131" s="85" t="n"/>
      <c r="W131" s="85" t="n"/>
      <c r="X131" s="85" t="n"/>
      <c r="Y131" s="85" t="n"/>
      <c r="Z131" s="85" t="n"/>
      <c r="AA131" s="85" t="n"/>
    </row>
    <row r="132" ht="11.5" customHeight="1" s="213">
      <c r="H132" s="85" t="n"/>
      <c r="I132" s="85" t="n"/>
      <c r="J132" s="85" t="n"/>
      <c r="K132" s="85" t="n"/>
      <c r="L132" s="85" t="n"/>
      <c r="M132" s="85" t="n"/>
      <c r="N132" s="85" t="n"/>
      <c r="O132" s="85" t="n"/>
      <c r="P132" s="85" t="n"/>
      <c r="Q132" s="85" t="n"/>
      <c r="R132" s="85" t="n"/>
      <c r="S132" s="85" t="n"/>
      <c r="T132" s="85" t="n"/>
      <c r="U132" s="85" t="n"/>
      <c r="V132" s="85" t="n"/>
      <c r="W132" s="85" t="n"/>
      <c r="X132" s="85" t="n"/>
      <c r="Y132" s="85" t="n"/>
      <c r="Z132" s="85" t="n"/>
      <c r="AA132" s="85" t="n"/>
    </row>
    <row r="133" ht="11.5" customHeight="1" s="213">
      <c r="H133" s="85" t="n"/>
      <c r="I133" s="85" t="n"/>
      <c r="J133" s="85" t="n"/>
      <c r="K133" s="85" t="n"/>
      <c r="L133" s="85" t="n"/>
      <c r="M133" s="85" t="n"/>
      <c r="N133" s="85" t="n"/>
      <c r="O133" s="85" t="n"/>
      <c r="P133" s="85" t="n"/>
      <c r="Q133" s="85" t="n"/>
      <c r="R133" s="85" t="n"/>
      <c r="S133" s="85" t="n"/>
      <c r="T133" s="85" t="n"/>
      <c r="U133" s="85" t="n"/>
      <c r="V133" s="85" t="n"/>
      <c r="W133" s="85" t="n"/>
      <c r="X133" s="85" t="n"/>
      <c r="Y133" s="85" t="n"/>
      <c r="Z133" s="85" t="n"/>
      <c r="AA133" s="85" t="n"/>
    </row>
    <row r="134" ht="11.5" customHeight="1" s="213">
      <c r="H134" s="85" t="n"/>
      <c r="I134" s="85" t="n"/>
      <c r="J134" s="85" t="n"/>
      <c r="K134" s="85" t="n"/>
      <c r="L134" s="85" t="n"/>
      <c r="M134" s="85" t="n"/>
      <c r="N134" s="85" t="n"/>
      <c r="O134" s="85" t="n"/>
      <c r="P134" s="85" t="n"/>
      <c r="Q134" s="85" t="n"/>
      <c r="R134" s="85" t="n"/>
      <c r="S134" s="85" t="n"/>
      <c r="T134" s="85" t="n"/>
      <c r="U134" s="85" t="n"/>
      <c r="V134" s="85" t="n"/>
      <c r="W134" s="85" t="n"/>
      <c r="X134" s="85" t="n"/>
      <c r="Y134" s="85" t="n"/>
      <c r="Z134" s="85" t="n"/>
      <c r="AA134" s="85" t="n"/>
    </row>
    <row r="135" ht="11.5" customHeight="1" s="213">
      <c r="H135" s="85" t="n"/>
      <c r="I135" s="85" t="n"/>
      <c r="J135" s="85" t="n"/>
      <c r="K135" s="85" t="n"/>
      <c r="L135" s="85" t="n"/>
      <c r="M135" s="85" t="n"/>
      <c r="N135" s="85" t="n"/>
      <c r="O135" s="85" t="n"/>
      <c r="P135" s="85" t="n"/>
      <c r="Q135" s="85" t="n"/>
      <c r="R135" s="85" t="n"/>
      <c r="S135" s="85" t="n"/>
      <c r="T135" s="85" t="n"/>
      <c r="U135" s="85" t="n"/>
      <c r="V135" s="85" t="n"/>
      <c r="W135" s="85" t="n"/>
      <c r="X135" s="85" t="n"/>
      <c r="Y135" s="85" t="n"/>
      <c r="Z135" s="85" t="n"/>
      <c r="AA135" s="85" t="n"/>
    </row>
    <row r="136" ht="11.5" customHeight="1" s="213">
      <c r="H136" s="85" t="n"/>
      <c r="I136" s="85" t="n"/>
      <c r="J136" s="85" t="n"/>
      <c r="K136" s="85" t="n"/>
      <c r="L136" s="85" t="n"/>
      <c r="M136" s="85" t="n"/>
      <c r="N136" s="85" t="n"/>
      <c r="O136" s="85" t="n"/>
      <c r="P136" s="85" t="n"/>
      <c r="Q136" s="85" t="n"/>
      <c r="R136" s="85" t="n"/>
      <c r="S136" s="85" t="n"/>
      <c r="T136" s="85" t="n"/>
      <c r="U136" s="85" t="n"/>
      <c r="V136" s="85" t="n"/>
      <c r="W136" s="85" t="n"/>
      <c r="X136" s="85" t="n"/>
      <c r="Y136" s="85" t="n"/>
      <c r="Z136" s="85" t="n"/>
      <c r="AA136" s="85" t="n"/>
    </row>
    <row r="137" ht="11.5" customHeight="1" s="213">
      <c r="H137" s="85" t="n"/>
      <c r="I137" s="85" t="n"/>
      <c r="J137" s="85" t="n"/>
      <c r="K137" s="85" t="n"/>
      <c r="L137" s="85" t="n"/>
      <c r="M137" s="85" t="n"/>
      <c r="N137" s="85" t="n"/>
      <c r="O137" s="85" t="n"/>
      <c r="P137" s="85" t="n"/>
      <c r="Q137" s="85" t="n"/>
      <c r="R137" s="85" t="n"/>
      <c r="S137" s="85" t="n"/>
      <c r="T137" s="85" t="n"/>
      <c r="U137" s="85" t="n"/>
      <c r="V137" s="85" t="n"/>
      <c r="W137" s="85" t="n"/>
      <c r="X137" s="85" t="n"/>
      <c r="Y137" s="85" t="n"/>
      <c r="Z137" s="85" t="n"/>
      <c r="AA137" s="85" t="n"/>
    </row>
    <row r="138" ht="11.5" customHeight="1" s="213">
      <c r="H138" s="85" t="n"/>
      <c r="I138" s="85" t="n"/>
      <c r="J138" s="85" t="n"/>
      <c r="K138" s="85" t="n"/>
      <c r="L138" s="85" t="n"/>
      <c r="M138" s="85" t="n"/>
      <c r="N138" s="85" t="n"/>
      <c r="O138" s="85" t="n"/>
      <c r="P138" s="85" t="n"/>
      <c r="Q138" s="85" t="n"/>
      <c r="R138" s="85" t="n"/>
      <c r="S138" s="85" t="n"/>
      <c r="T138" s="85" t="n"/>
      <c r="U138" s="85" t="n"/>
      <c r="V138" s="85" t="n"/>
      <c r="W138" s="85" t="n"/>
      <c r="X138" s="85" t="n"/>
      <c r="Y138" s="85" t="n"/>
      <c r="Z138" s="85" t="n"/>
      <c r="AA138" s="85" t="n"/>
    </row>
    <row r="139" ht="11.5" customHeight="1" s="213">
      <c r="H139" s="85" t="n"/>
      <c r="I139" s="85" t="n"/>
      <c r="J139" s="85" t="n"/>
      <c r="K139" s="85" t="n"/>
      <c r="L139" s="85" t="n"/>
      <c r="M139" s="85" t="n"/>
      <c r="N139" s="85" t="n"/>
      <c r="O139" s="85" t="n"/>
      <c r="P139" s="85" t="n"/>
      <c r="Q139" s="85" t="n"/>
      <c r="R139" s="85" t="n"/>
      <c r="S139" s="85" t="n"/>
      <c r="T139" s="85" t="n"/>
      <c r="U139" s="85" t="n"/>
      <c r="V139" s="85" t="n"/>
      <c r="W139" s="85" t="n"/>
      <c r="X139" s="85" t="n"/>
      <c r="Y139" s="85" t="n"/>
      <c r="Z139" s="85" t="n"/>
      <c r="AA139" s="85" t="n"/>
    </row>
    <row r="140" ht="11.5" customHeight="1" s="213">
      <c r="H140" s="85" t="n"/>
      <c r="I140" s="85" t="n"/>
      <c r="J140" s="85" t="n"/>
      <c r="K140" s="85" t="n"/>
      <c r="L140" s="85" t="n"/>
      <c r="M140" s="85" t="n"/>
      <c r="N140" s="85" t="n"/>
      <c r="O140" s="85" t="n"/>
      <c r="P140" s="85" t="n"/>
      <c r="Q140" s="85" t="n"/>
      <c r="R140" s="85" t="n"/>
      <c r="S140" s="85" t="n"/>
      <c r="T140" s="85" t="n"/>
      <c r="U140" s="85" t="n"/>
      <c r="V140" s="85" t="n"/>
      <c r="W140" s="85" t="n"/>
      <c r="X140" s="85" t="n"/>
      <c r="Y140" s="85" t="n"/>
      <c r="Z140" s="85" t="n"/>
      <c r="AA140" s="85" t="n"/>
    </row>
    <row r="141" ht="11.5" customHeight="1" s="213">
      <c r="H141" s="85" t="n"/>
      <c r="I141" s="85" t="n"/>
      <c r="J141" s="85" t="n"/>
      <c r="K141" s="85" t="n"/>
      <c r="L141" s="85" t="n"/>
      <c r="M141" s="85" t="n"/>
      <c r="N141" s="85" t="n"/>
      <c r="O141" s="85" t="n"/>
      <c r="P141" s="85" t="n"/>
      <c r="Q141" s="85" t="n"/>
      <c r="R141" s="85" t="n"/>
      <c r="S141" s="85" t="n"/>
      <c r="T141" s="85" t="n"/>
      <c r="U141" s="85" t="n"/>
      <c r="V141" s="85" t="n"/>
      <c r="W141" s="85" t="n"/>
      <c r="X141" s="85" t="n"/>
      <c r="Y141" s="85" t="n"/>
      <c r="Z141" s="85" t="n"/>
      <c r="AA141" s="85" t="n"/>
    </row>
    <row r="142" ht="11.5" customHeight="1" s="213">
      <c r="H142" s="85" t="n"/>
      <c r="I142" s="85" t="n"/>
      <c r="J142" s="85" t="n"/>
      <c r="K142" s="85" t="n"/>
      <c r="L142" s="85" t="n"/>
      <c r="M142" s="85" t="n"/>
      <c r="N142" s="85" t="n"/>
      <c r="O142" s="85" t="n"/>
      <c r="P142" s="85" t="n"/>
      <c r="Q142" s="85" t="n"/>
      <c r="R142" s="85" t="n"/>
      <c r="S142" s="85" t="n"/>
      <c r="T142" s="85" t="n"/>
      <c r="U142" s="85" t="n"/>
      <c r="V142" s="85" t="n"/>
      <c r="W142" s="85" t="n"/>
      <c r="X142" s="85" t="n"/>
      <c r="Y142" s="85" t="n"/>
      <c r="Z142" s="85" t="n"/>
      <c r="AA142" s="85" t="n"/>
    </row>
    <row r="143" ht="11.5" customHeight="1" s="213">
      <c r="H143" s="85" t="n"/>
      <c r="I143" s="85" t="n"/>
      <c r="J143" s="85" t="n"/>
      <c r="K143" s="85" t="n"/>
      <c r="L143" s="85" t="n"/>
      <c r="M143" s="85" t="n"/>
      <c r="N143" s="85" t="n"/>
      <c r="O143" s="85" t="n"/>
      <c r="P143" s="85" t="n"/>
      <c r="Q143" s="85" t="n"/>
      <c r="R143" s="85" t="n"/>
      <c r="S143" s="85" t="n"/>
      <c r="T143" s="85" t="n"/>
      <c r="U143" s="85" t="n"/>
      <c r="V143" s="85" t="n"/>
      <c r="W143" s="85" t="n"/>
      <c r="X143" s="85" t="n"/>
      <c r="Y143" s="85" t="n"/>
      <c r="Z143" s="85" t="n"/>
      <c r="AA143" s="85" t="n"/>
    </row>
    <row r="144" ht="11.5" customHeight="1" s="213">
      <c r="H144" s="85" t="n"/>
      <c r="I144" s="85" t="n"/>
      <c r="J144" s="85" t="n"/>
      <c r="K144" s="85" t="n"/>
      <c r="L144" s="85" t="n"/>
      <c r="M144" s="85" t="n"/>
      <c r="N144" s="85" t="n"/>
      <c r="O144" s="85" t="n"/>
      <c r="P144" s="85" t="n"/>
      <c r="Q144" s="85" t="n"/>
      <c r="R144" s="85" t="n"/>
      <c r="S144" s="85" t="n"/>
      <c r="T144" s="85" t="n"/>
      <c r="U144" s="85" t="n"/>
      <c r="V144" s="85" t="n"/>
      <c r="W144" s="85" t="n"/>
      <c r="X144" s="85" t="n"/>
      <c r="Y144" s="85" t="n"/>
      <c r="Z144" s="85" t="n"/>
      <c r="AA144" s="85" t="n"/>
    </row>
    <row r="145" ht="11.5" customHeight="1" s="213">
      <c r="H145" s="85" t="n"/>
      <c r="I145" s="85" t="n"/>
      <c r="J145" s="85" t="n"/>
      <c r="K145" s="85" t="n"/>
      <c r="L145" s="85" t="n"/>
      <c r="M145" s="85" t="n"/>
      <c r="N145" s="85" t="n"/>
      <c r="O145" s="85" t="n"/>
      <c r="P145" s="85" t="n"/>
      <c r="Q145" s="85" t="n"/>
      <c r="R145" s="85" t="n"/>
      <c r="S145" s="85" t="n"/>
      <c r="T145" s="85" t="n"/>
      <c r="U145" s="85" t="n"/>
      <c r="V145" s="85" t="n"/>
      <c r="W145" s="85" t="n"/>
      <c r="X145" s="85" t="n"/>
      <c r="Y145" s="85" t="n"/>
      <c r="Z145" s="85" t="n"/>
      <c r="AA145" s="85" t="n"/>
    </row>
    <row r="146" ht="11.5" customHeight="1" s="213">
      <c r="H146" s="85" t="n"/>
      <c r="I146" s="85" t="n"/>
      <c r="J146" s="85" t="n"/>
      <c r="K146" s="85" t="n"/>
      <c r="L146" s="85" t="n"/>
      <c r="M146" s="85" t="n"/>
      <c r="N146" s="85" t="n"/>
      <c r="O146" s="85" t="n"/>
      <c r="P146" s="85" t="n"/>
      <c r="Q146" s="85" t="n"/>
      <c r="R146" s="85" t="n"/>
      <c r="S146" s="85" t="n"/>
      <c r="T146" s="85" t="n"/>
      <c r="U146" s="85" t="n"/>
      <c r="V146" s="85" t="n"/>
      <c r="W146" s="85" t="n"/>
      <c r="X146" s="85" t="n"/>
      <c r="Y146" s="85" t="n"/>
      <c r="Z146" s="85" t="n"/>
      <c r="AA146" s="85" t="n"/>
    </row>
    <row r="147" ht="11.5" customHeight="1" s="213">
      <c r="H147" s="85" t="n"/>
      <c r="I147" s="85" t="n"/>
      <c r="J147" s="85" t="n"/>
      <c r="K147" s="85" t="n"/>
      <c r="L147" s="85" t="n"/>
      <c r="M147" s="85" t="n"/>
      <c r="N147" s="85" t="n"/>
      <c r="O147" s="85" t="n"/>
      <c r="P147" s="85" t="n"/>
      <c r="Q147" s="85" t="n"/>
      <c r="R147" s="85" t="n"/>
      <c r="S147" s="85" t="n"/>
      <c r="T147" s="85" t="n"/>
      <c r="U147" s="85" t="n"/>
      <c r="V147" s="85" t="n"/>
      <c r="W147" s="85" t="n"/>
      <c r="X147" s="85" t="n"/>
      <c r="Y147" s="85" t="n"/>
      <c r="Z147" s="85" t="n"/>
      <c r="AA147" s="85" t="n"/>
    </row>
    <row r="148" ht="11.5" customHeight="1" s="213">
      <c r="H148" s="85" t="n"/>
      <c r="I148" s="85" t="n"/>
      <c r="J148" s="85" t="n"/>
      <c r="K148" s="85" t="n"/>
      <c r="L148" s="85" t="n"/>
      <c r="M148" s="85" t="n"/>
      <c r="N148" s="85" t="n"/>
      <c r="O148" s="85" t="n"/>
      <c r="P148" s="85" t="n"/>
      <c r="Q148" s="85" t="n"/>
      <c r="R148" s="85" t="n"/>
      <c r="S148" s="85" t="n"/>
      <c r="T148" s="85" t="n"/>
      <c r="U148" s="85" t="n"/>
      <c r="V148" s="85" t="n"/>
      <c r="W148" s="85" t="n"/>
      <c r="X148" s="85" t="n"/>
      <c r="Y148" s="85" t="n"/>
      <c r="Z148" s="85" t="n"/>
      <c r="AA148" s="85" t="n"/>
    </row>
    <row r="149" ht="11.5" customHeight="1" s="213">
      <c r="H149" s="85" t="n"/>
      <c r="I149" s="85" t="n"/>
      <c r="J149" s="85" t="n"/>
      <c r="K149" s="85" t="n"/>
      <c r="L149" s="85" t="n"/>
      <c r="M149" s="85" t="n"/>
      <c r="N149" s="85" t="n"/>
      <c r="O149" s="85" t="n"/>
      <c r="P149" s="85" t="n"/>
      <c r="Q149" s="85" t="n"/>
      <c r="R149" s="85" t="n"/>
      <c r="S149" s="85" t="n"/>
      <c r="T149" s="85" t="n"/>
      <c r="U149" s="85" t="n"/>
      <c r="V149" s="85" t="n"/>
      <c r="W149" s="85" t="n"/>
      <c r="X149" s="85" t="n"/>
      <c r="Y149" s="85" t="n"/>
      <c r="Z149" s="85" t="n"/>
      <c r="AA149" s="85" t="n"/>
    </row>
    <row r="150" ht="11.5" customHeight="1" s="213">
      <c r="H150" s="85" t="n"/>
      <c r="I150" s="85" t="n"/>
      <c r="J150" s="85" t="n"/>
      <c r="K150" s="85" t="n"/>
      <c r="L150" s="85" t="n"/>
      <c r="M150" s="85" t="n"/>
      <c r="N150" s="85" t="n"/>
      <c r="O150" s="85" t="n"/>
      <c r="P150" s="85" t="n"/>
      <c r="Q150" s="85" t="n"/>
      <c r="R150" s="85" t="n"/>
      <c r="S150" s="85" t="n"/>
      <c r="T150" s="85" t="n"/>
      <c r="U150" s="85" t="n"/>
      <c r="V150" s="85" t="n"/>
      <c r="W150" s="85" t="n"/>
      <c r="X150" s="85" t="n"/>
      <c r="Y150" s="85" t="n"/>
      <c r="Z150" s="85" t="n"/>
      <c r="AA150" s="85" t="n"/>
    </row>
    <row r="151" ht="11.5" customHeight="1" s="213">
      <c r="H151" s="85" t="n"/>
      <c r="I151" s="85" t="n"/>
      <c r="J151" s="85" t="n"/>
      <c r="K151" s="85" t="n"/>
      <c r="L151" s="85" t="n"/>
      <c r="M151" s="85" t="n"/>
      <c r="N151" s="85" t="n"/>
      <c r="O151" s="85" t="n"/>
      <c r="P151" s="85" t="n"/>
      <c r="Q151" s="85" t="n"/>
      <c r="R151" s="85" t="n"/>
      <c r="S151" s="85" t="n"/>
      <c r="T151" s="85" t="n"/>
      <c r="U151" s="85" t="n"/>
      <c r="V151" s="85" t="n"/>
      <c r="W151" s="85" t="n"/>
      <c r="X151" s="85" t="n"/>
      <c r="Y151" s="85" t="n"/>
      <c r="Z151" s="85" t="n"/>
      <c r="AA151" s="85" t="n"/>
    </row>
    <row r="152" ht="11.5" customHeight="1" s="213">
      <c r="H152" s="85" t="n"/>
      <c r="I152" s="85" t="n"/>
      <c r="J152" s="85" t="n"/>
      <c r="K152" s="85" t="n"/>
      <c r="L152" s="85" t="n"/>
      <c r="M152" s="85" t="n"/>
      <c r="N152" s="85" t="n"/>
      <c r="O152" s="85" t="n"/>
      <c r="P152" s="85" t="n"/>
      <c r="Q152" s="85" t="n"/>
      <c r="R152" s="85" t="n"/>
      <c r="S152" s="85" t="n"/>
      <c r="T152" s="85" t="n"/>
      <c r="U152" s="85" t="n"/>
      <c r="V152" s="85" t="n"/>
      <c r="W152" s="85" t="n"/>
      <c r="X152" s="85" t="n"/>
      <c r="Y152" s="85" t="n"/>
      <c r="Z152" s="85" t="n"/>
      <c r="AA152" s="85" t="n"/>
    </row>
    <row r="153" ht="11.5" customHeight="1" s="213">
      <c r="H153" s="85" t="n"/>
      <c r="I153" s="85" t="n"/>
      <c r="J153" s="85" t="n"/>
      <c r="K153" s="85" t="n"/>
      <c r="L153" s="85" t="n"/>
      <c r="M153" s="85" t="n"/>
      <c r="N153" s="85" t="n"/>
      <c r="O153" s="85" t="n"/>
      <c r="P153" s="85" t="n"/>
      <c r="Q153" s="85" t="n"/>
      <c r="R153" s="85" t="n"/>
      <c r="S153" s="85" t="n"/>
      <c r="T153" s="85" t="n"/>
      <c r="U153" s="85" t="n"/>
      <c r="V153" s="85" t="n"/>
      <c r="W153" s="85" t="n"/>
      <c r="X153" s="85" t="n"/>
      <c r="Y153" s="85" t="n"/>
      <c r="Z153" s="85" t="n"/>
      <c r="AA153" s="85" t="n"/>
    </row>
    <row r="154" ht="11.5" customHeight="1" s="213">
      <c r="H154" s="85" t="n"/>
      <c r="I154" s="85" t="n"/>
      <c r="J154" s="85" t="n"/>
      <c r="K154" s="85" t="n"/>
      <c r="L154" s="85" t="n"/>
      <c r="M154" s="85" t="n"/>
      <c r="N154" s="85" t="n"/>
      <c r="O154" s="85" t="n"/>
      <c r="P154" s="85" t="n"/>
      <c r="Q154" s="85" t="n"/>
      <c r="R154" s="85" t="n"/>
      <c r="S154" s="85" t="n"/>
      <c r="T154" s="85" t="n"/>
      <c r="U154" s="85" t="n"/>
      <c r="V154" s="85" t="n"/>
      <c r="W154" s="85" t="n"/>
      <c r="X154" s="85" t="n"/>
      <c r="Y154" s="85" t="n"/>
      <c r="Z154" s="85" t="n"/>
      <c r="AA154" s="85" t="n"/>
    </row>
    <row r="155" ht="11.5" customHeight="1" s="213">
      <c r="H155" s="85" t="n"/>
      <c r="I155" s="85" t="n"/>
      <c r="J155" s="85" t="n"/>
      <c r="K155" s="85" t="n"/>
      <c r="L155" s="85" t="n"/>
      <c r="M155" s="85" t="n"/>
      <c r="N155" s="85" t="n"/>
      <c r="O155" s="85" t="n"/>
      <c r="P155" s="85" t="n"/>
      <c r="Q155" s="85" t="n"/>
      <c r="R155" s="85" t="n"/>
      <c r="S155" s="85" t="n"/>
      <c r="T155" s="85" t="n"/>
      <c r="U155" s="85" t="n"/>
      <c r="V155" s="85" t="n"/>
      <c r="W155" s="85" t="n"/>
      <c r="X155" s="85" t="n"/>
      <c r="Y155" s="85" t="n"/>
      <c r="Z155" s="85" t="n"/>
      <c r="AA155" s="85" t="n"/>
    </row>
    <row r="156" ht="11.5" customHeight="1" s="213">
      <c r="H156" s="85" t="n"/>
      <c r="I156" s="85" t="n"/>
      <c r="J156" s="85" t="n"/>
      <c r="K156" s="85" t="n"/>
      <c r="L156" s="85" t="n"/>
      <c r="M156" s="85" t="n"/>
      <c r="N156" s="85" t="n"/>
      <c r="O156" s="85" t="n"/>
      <c r="P156" s="85" t="n"/>
      <c r="Q156" s="85" t="n"/>
      <c r="R156" s="85" t="n"/>
      <c r="S156" s="85" t="n"/>
      <c r="T156" s="85" t="n"/>
      <c r="U156" s="85" t="n"/>
      <c r="V156" s="85" t="n"/>
      <c r="W156" s="85" t="n"/>
      <c r="X156" s="85" t="n"/>
      <c r="Y156" s="85" t="n"/>
      <c r="Z156" s="85" t="n"/>
      <c r="AA156" s="85" t="n"/>
    </row>
    <row r="157" ht="11.5" customHeight="1" s="213">
      <c r="H157" s="85" t="n"/>
      <c r="I157" s="85" t="n"/>
      <c r="J157" s="85" t="n"/>
      <c r="K157" s="85" t="n"/>
      <c r="L157" s="85" t="n"/>
      <c r="M157" s="85" t="n"/>
      <c r="N157" s="85" t="n"/>
      <c r="O157" s="85" t="n"/>
      <c r="P157" s="85" t="n"/>
      <c r="Q157" s="85" t="n"/>
      <c r="R157" s="85" t="n"/>
      <c r="S157" s="85" t="n"/>
      <c r="T157" s="85" t="n"/>
      <c r="U157" s="85" t="n"/>
      <c r="V157" s="85" t="n"/>
      <c r="W157" s="85" t="n"/>
      <c r="X157" s="85" t="n"/>
      <c r="Y157" s="85" t="n"/>
      <c r="Z157" s="85" t="n"/>
      <c r="AA157" s="85" t="n"/>
    </row>
    <row r="158" ht="11.5" customHeight="1" s="213">
      <c r="H158" s="85" t="n"/>
      <c r="I158" s="85" t="n"/>
      <c r="J158" s="85" t="n"/>
      <c r="K158" s="85" t="n"/>
      <c r="L158" s="85" t="n"/>
      <c r="M158" s="85" t="n"/>
      <c r="N158" s="85" t="n"/>
      <c r="O158" s="85" t="n"/>
      <c r="P158" s="85" t="n"/>
      <c r="Q158" s="85" t="n"/>
      <c r="R158" s="85" t="n"/>
      <c r="S158" s="85" t="n"/>
      <c r="T158" s="85" t="n"/>
      <c r="U158" s="85" t="n"/>
      <c r="V158" s="85" t="n"/>
      <c r="W158" s="85" t="n"/>
      <c r="X158" s="85" t="n"/>
      <c r="Y158" s="85" t="n"/>
      <c r="Z158" s="85" t="n"/>
      <c r="AA158" s="85" t="n"/>
    </row>
    <row r="159" ht="11.5" customHeight="1" s="213">
      <c r="H159" s="85" t="n"/>
      <c r="I159" s="85" t="n"/>
      <c r="J159" s="85" t="n"/>
      <c r="K159" s="85" t="n"/>
      <c r="L159" s="85" t="n"/>
      <c r="M159" s="85" t="n"/>
      <c r="N159" s="85" t="n"/>
      <c r="O159" s="85" t="n"/>
      <c r="P159" s="85" t="n"/>
      <c r="Q159" s="85" t="n"/>
      <c r="R159" s="85" t="n"/>
      <c r="S159" s="85" t="n"/>
      <c r="T159" s="85" t="n"/>
      <c r="U159" s="85" t="n"/>
      <c r="V159" s="85" t="n"/>
      <c r="W159" s="85" t="n"/>
      <c r="X159" s="85" t="n"/>
      <c r="Y159" s="85" t="n"/>
      <c r="Z159" s="85" t="n"/>
      <c r="AA159" s="85" t="n"/>
    </row>
    <row r="160" ht="11.5" customHeight="1" s="213">
      <c r="H160" s="85" t="n"/>
      <c r="I160" s="85" t="n"/>
      <c r="J160" s="85" t="n"/>
      <c r="K160" s="85" t="n"/>
      <c r="L160" s="85" t="n"/>
      <c r="M160" s="85" t="n"/>
      <c r="N160" s="85" t="n"/>
      <c r="O160" s="85" t="n"/>
      <c r="P160" s="85" t="n"/>
      <c r="Q160" s="85" t="n"/>
      <c r="R160" s="85" t="n"/>
      <c r="S160" s="85" t="n"/>
      <c r="T160" s="85" t="n"/>
      <c r="U160" s="85" t="n"/>
      <c r="V160" s="85" t="n"/>
      <c r="W160" s="85" t="n"/>
      <c r="X160" s="85" t="n"/>
      <c r="Y160" s="85" t="n"/>
      <c r="Z160" s="85" t="n"/>
      <c r="AA160" s="85" t="n"/>
    </row>
    <row r="161" ht="11.5" customHeight="1" s="213">
      <c r="H161" s="85" t="n"/>
      <c r="I161" s="85" t="n"/>
      <c r="J161" s="85" t="n"/>
      <c r="K161" s="85" t="n"/>
      <c r="L161" s="85" t="n"/>
      <c r="M161" s="85" t="n"/>
      <c r="N161" s="85" t="n"/>
      <c r="O161" s="85" t="n"/>
      <c r="P161" s="85" t="n"/>
      <c r="Q161" s="85" t="n"/>
      <c r="R161" s="85" t="n"/>
      <c r="S161" s="85" t="n"/>
      <c r="T161" s="85" t="n"/>
      <c r="U161" s="85" t="n"/>
      <c r="V161" s="85" t="n"/>
      <c r="W161" s="85" t="n"/>
      <c r="X161" s="85" t="n"/>
      <c r="Y161" s="85" t="n"/>
      <c r="Z161" s="85" t="n"/>
      <c r="AA161" s="85" t="n"/>
    </row>
    <row r="162" ht="11.5" customHeight="1" s="213">
      <c r="H162" s="85" t="n"/>
      <c r="I162" s="85" t="n"/>
      <c r="J162" s="85" t="n"/>
      <c r="K162" s="85" t="n"/>
      <c r="L162" s="85" t="n"/>
      <c r="M162" s="85" t="n"/>
      <c r="N162" s="85" t="n"/>
      <c r="O162" s="85" t="n"/>
      <c r="P162" s="85" t="n"/>
      <c r="Q162" s="85" t="n"/>
      <c r="R162" s="85" t="n"/>
      <c r="S162" s="85" t="n"/>
      <c r="T162" s="85" t="n"/>
      <c r="U162" s="85" t="n"/>
      <c r="V162" s="85" t="n"/>
      <c r="W162" s="85" t="n"/>
      <c r="X162" s="85" t="n"/>
      <c r="Y162" s="85" t="n"/>
      <c r="Z162" s="85" t="n"/>
      <c r="AA162" s="85" t="n"/>
    </row>
    <row r="163" ht="11.5" customHeight="1" s="213">
      <c r="H163" s="85" t="n"/>
      <c r="I163" s="85" t="n"/>
      <c r="J163" s="85" t="n"/>
      <c r="K163" s="85" t="n"/>
      <c r="L163" s="85" t="n"/>
      <c r="M163" s="85" t="n"/>
      <c r="N163" s="85" t="n"/>
      <c r="O163" s="85" t="n"/>
      <c r="P163" s="85" t="n"/>
      <c r="Q163" s="85" t="n"/>
      <c r="R163" s="85" t="n"/>
      <c r="S163" s="85" t="n"/>
      <c r="T163" s="85" t="n"/>
      <c r="U163" s="85" t="n"/>
      <c r="V163" s="85" t="n"/>
      <c r="W163" s="85" t="n"/>
      <c r="X163" s="85" t="n"/>
      <c r="Y163" s="85" t="n"/>
      <c r="Z163" s="85" t="n"/>
      <c r="AA163" s="85" t="n"/>
    </row>
    <row r="164" ht="11.5" customHeight="1" s="213">
      <c r="H164" s="85" t="n"/>
      <c r="I164" s="85" t="n"/>
      <c r="J164" s="85" t="n"/>
      <c r="K164" s="85" t="n"/>
      <c r="L164" s="85" t="n"/>
      <c r="M164" s="85" t="n"/>
      <c r="N164" s="85" t="n"/>
      <c r="O164" s="85" t="n"/>
      <c r="P164" s="85" t="n"/>
      <c r="Q164" s="85" t="n"/>
      <c r="R164" s="85" t="n"/>
      <c r="S164" s="85" t="n"/>
      <c r="T164" s="85" t="n"/>
      <c r="U164" s="85" t="n"/>
      <c r="V164" s="85" t="n"/>
      <c r="W164" s="85" t="n"/>
      <c r="X164" s="85" t="n"/>
      <c r="Y164" s="85" t="n"/>
      <c r="Z164" s="85" t="n"/>
      <c r="AA164" s="85" t="n"/>
    </row>
    <row r="165" ht="11.5" customHeight="1" s="213">
      <c r="H165" s="85" t="n"/>
      <c r="I165" s="85" t="n"/>
      <c r="J165" s="85" t="n"/>
      <c r="K165" s="85" t="n"/>
      <c r="L165" s="85" t="n"/>
      <c r="M165" s="85" t="n"/>
      <c r="N165" s="85" t="n"/>
      <c r="O165" s="85" t="n"/>
      <c r="P165" s="85" t="n"/>
      <c r="Q165" s="85" t="n"/>
      <c r="R165" s="85" t="n"/>
      <c r="S165" s="85" t="n"/>
      <c r="T165" s="85" t="n"/>
      <c r="U165" s="85" t="n"/>
      <c r="V165" s="85" t="n"/>
      <c r="W165" s="85" t="n"/>
      <c r="X165" s="85" t="n"/>
      <c r="Y165" s="85" t="n"/>
      <c r="Z165" s="85" t="n"/>
      <c r="AA165" s="85" t="n"/>
    </row>
    <row r="166" ht="11.5" customHeight="1" s="213">
      <c r="H166" s="85" t="n"/>
      <c r="I166" s="85" t="n"/>
      <c r="J166" s="85" t="n"/>
      <c r="K166" s="85" t="n"/>
      <c r="L166" s="85" t="n"/>
      <c r="M166" s="85" t="n"/>
      <c r="N166" s="85" t="n"/>
      <c r="O166" s="85" t="n"/>
      <c r="P166" s="85" t="n"/>
      <c r="Q166" s="85" t="n"/>
      <c r="R166" s="85" t="n"/>
      <c r="S166" s="85" t="n"/>
      <c r="T166" s="85" t="n"/>
      <c r="U166" s="85" t="n"/>
      <c r="V166" s="85" t="n"/>
      <c r="W166" s="85" t="n"/>
      <c r="X166" s="85" t="n"/>
      <c r="Y166" s="85" t="n"/>
      <c r="Z166" s="85" t="n"/>
      <c r="AA166" s="85" t="n"/>
    </row>
    <row r="167" ht="11.5" customHeight="1" s="213">
      <c r="H167" s="85" t="n"/>
      <c r="I167" s="85" t="n"/>
      <c r="J167" s="85" t="n"/>
      <c r="K167" s="85" t="n"/>
      <c r="L167" s="85" t="n"/>
      <c r="M167" s="85" t="n"/>
      <c r="N167" s="85" t="n"/>
      <c r="O167" s="85" t="n"/>
      <c r="P167" s="85" t="n"/>
      <c r="Q167" s="85" t="n"/>
      <c r="R167" s="85" t="n"/>
      <c r="S167" s="85" t="n"/>
      <c r="T167" s="85" t="n"/>
      <c r="U167" s="85" t="n"/>
      <c r="V167" s="85" t="n"/>
      <c r="W167" s="85" t="n"/>
      <c r="X167" s="85" t="n"/>
      <c r="Y167" s="85" t="n"/>
      <c r="Z167" s="85" t="n"/>
      <c r="AA167" s="85" t="n"/>
    </row>
    <row r="168" ht="11.5" customHeight="1" s="213">
      <c r="H168" s="85" t="n"/>
      <c r="I168" s="85" t="n"/>
      <c r="J168" s="85" t="n"/>
      <c r="K168" s="85" t="n"/>
      <c r="L168" s="85" t="n"/>
      <c r="M168" s="85" t="n"/>
      <c r="N168" s="85" t="n"/>
      <c r="O168" s="85" t="n"/>
      <c r="P168" s="85" t="n"/>
      <c r="Q168" s="85" t="n"/>
      <c r="R168" s="85" t="n"/>
      <c r="S168" s="85" t="n"/>
      <c r="T168" s="85" t="n"/>
      <c r="U168" s="85" t="n"/>
      <c r="V168" s="85" t="n"/>
      <c r="W168" s="85" t="n"/>
      <c r="X168" s="85" t="n"/>
      <c r="Y168" s="85" t="n"/>
      <c r="Z168" s="85" t="n"/>
      <c r="AA168" s="85" t="n"/>
    </row>
    <row r="169" ht="11.5" customHeight="1" s="213">
      <c r="H169" s="85" t="n"/>
      <c r="I169" s="85" t="n"/>
      <c r="J169" s="85" t="n"/>
      <c r="K169" s="85" t="n"/>
      <c r="L169" s="85" t="n"/>
      <c r="M169" s="85" t="n"/>
      <c r="N169" s="85" t="n"/>
      <c r="O169" s="85" t="n"/>
      <c r="P169" s="85" t="n"/>
      <c r="Q169" s="85" t="n"/>
      <c r="R169" s="85" t="n"/>
      <c r="S169" s="85" t="n"/>
      <c r="T169" s="85" t="n"/>
      <c r="U169" s="85" t="n"/>
      <c r="V169" s="85" t="n"/>
      <c r="W169" s="85" t="n"/>
      <c r="X169" s="85" t="n"/>
      <c r="Y169" s="85" t="n"/>
      <c r="Z169" s="85" t="n"/>
      <c r="AA169" s="85" t="n"/>
    </row>
    <row r="170" ht="11.5" customHeight="1" s="213">
      <c r="H170" s="85" t="n"/>
      <c r="I170" s="85" t="n"/>
      <c r="J170" s="85" t="n"/>
      <c r="K170" s="85" t="n"/>
      <c r="L170" s="85" t="n"/>
      <c r="M170" s="85" t="n"/>
      <c r="N170" s="85" t="n"/>
      <c r="O170" s="85" t="n"/>
      <c r="P170" s="85" t="n"/>
      <c r="Q170" s="85" t="n"/>
      <c r="R170" s="85" t="n"/>
      <c r="S170" s="85" t="n"/>
      <c r="T170" s="85" t="n"/>
      <c r="U170" s="85" t="n"/>
      <c r="V170" s="85" t="n"/>
      <c r="W170" s="85" t="n"/>
      <c r="X170" s="85" t="n"/>
      <c r="Y170" s="85" t="n"/>
      <c r="Z170" s="85" t="n"/>
      <c r="AA170" s="85" t="n"/>
    </row>
    <row r="171" ht="11.5" customHeight="1" s="213">
      <c r="H171" s="85" t="n"/>
      <c r="I171" s="85" t="n"/>
      <c r="J171" s="85" t="n"/>
      <c r="K171" s="85" t="n"/>
      <c r="L171" s="85" t="n"/>
      <c r="M171" s="85" t="n"/>
      <c r="N171" s="85" t="n"/>
      <c r="O171" s="85" t="n"/>
      <c r="P171" s="85" t="n"/>
      <c r="Q171" s="85" t="n"/>
      <c r="R171" s="85" t="n"/>
      <c r="S171" s="85" t="n"/>
      <c r="T171" s="85" t="n"/>
      <c r="U171" s="85" t="n"/>
      <c r="V171" s="85" t="n"/>
      <c r="W171" s="85" t="n"/>
      <c r="X171" s="85" t="n"/>
      <c r="Y171" s="85" t="n"/>
      <c r="Z171" s="85" t="n"/>
      <c r="AA171" s="85" t="n"/>
    </row>
    <row r="172" ht="11.5" customHeight="1" s="213">
      <c r="H172" s="85" t="n"/>
      <c r="I172" s="85" t="n"/>
      <c r="J172" s="85" t="n"/>
      <c r="K172" s="85" t="n"/>
      <c r="L172" s="85" t="n"/>
      <c r="M172" s="85" t="n"/>
      <c r="N172" s="85" t="n"/>
      <c r="O172" s="85" t="n"/>
      <c r="P172" s="85" t="n"/>
      <c r="Q172" s="85" t="n"/>
      <c r="R172" s="85" t="n"/>
      <c r="S172" s="85" t="n"/>
      <c r="T172" s="85" t="n"/>
      <c r="U172" s="85" t="n"/>
      <c r="V172" s="85" t="n"/>
      <c r="W172" s="85" t="n"/>
      <c r="X172" s="85" t="n"/>
      <c r="Y172" s="85" t="n"/>
      <c r="Z172" s="85" t="n"/>
      <c r="AA172" s="85" t="n"/>
    </row>
    <row r="173" ht="11.5" customHeight="1" s="213">
      <c r="H173" s="85" t="n"/>
      <c r="I173" s="85" t="n"/>
      <c r="J173" s="85" t="n"/>
      <c r="K173" s="85" t="n"/>
      <c r="L173" s="85" t="n"/>
      <c r="M173" s="85" t="n"/>
      <c r="N173" s="85" t="n"/>
      <c r="O173" s="85" t="n"/>
      <c r="P173" s="85" t="n"/>
      <c r="Q173" s="85" t="n"/>
      <c r="R173" s="85" t="n"/>
      <c r="S173" s="85" t="n"/>
      <c r="T173" s="85" t="n"/>
      <c r="U173" s="85" t="n"/>
      <c r="V173" s="85" t="n"/>
      <c r="W173" s="85" t="n"/>
      <c r="X173" s="85" t="n"/>
      <c r="Y173" s="85" t="n"/>
      <c r="Z173" s="85" t="n"/>
      <c r="AA173" s="85" t="n"/>
    </row>
    <row r="174" ht="11.5" customHeight="1" s="213">
      <c r="H174" s="85" t="n"/>
      <c r="I174" s="85" t="n"/>
      <c r="J174" s="85" t="n"/>
      <c r="K174" s="85" t="n"/>
      <c r="L174" s="85" t="n"/>
      <c r="M174" s="85" t="n"/>
      <c r="N174" s="85" t="n"/>
      <c r="O174" s="85" t="n"/>
      <c r="P174" s="85" t="n"/>
      <c r="Q174" s="85" t="n"/>
      <c r="R174" s="85" t="n"/>
      <c r="S174" s="85" t="n"/>
      <c r="T174" s="85" t="n"/>
      <c r="U174" s="85" t="n"/>
      <c r="V174" s="85" t="n"/>
      <c r="W174" s="85" t="n"/>
      <c r="X174" s="85" t="n"/>
      <c r="Y174" s="85" t="n"/>
      <c r="Z174" s="85" t="n"/>
      <c r="AA174" s="85" t="n"/>
    </row>
    <row r="175" ht="11.5" customHeight="1" s="213">
      <c r="H175" s="85" t="n"/>
      <c r="I175" s="85" t="n"/>
      <c r="J175" s="85" t="n"/>
      <c r="K175" s="85" t="n"/>
      <c r="L175" s="85" t="n"/>
      <c r="M175" s="85" t="n"/>
      <c r="N175" s="85" t="n"/>
      <c r="O175" s="85" t="n"/>
      <c r="P175" s="85" t="n"/>
      <c r="Q175" s="85" t="n"/>
      <c r="R175" s="85" t="n"/>
      <c r="S175" s="85" t="n"/>
      <c r="T175" s="85" t="n"/>
      <c r="U175" s="85" t="n"/>
      <c r="V175" s="85" t="n"/>
      <c r="W175" s="85" t="n"/>
      <c r="X175" s="85" t="n"/>
      <c r="Y175" s="85" t="n"/>
      <c r="Z175" s="85" t="n"/>
      <c r="AA175" s="85" t="n"/>
    </row>
    <row r="176" ht="11.5" customHeight="1" s="213">
      <c r="H176" s="85" t="n"/>
      <c r="I176" s="85" t="n"/>
      <c r="J176" s="85" t="n"/>
      <c r="K176" s="85" t="n"/>
      <c r="L176" s="85" t="n"/>
      <c r="M176" s="85" t="n"/>
      <c r="N176" s="85" t="n"/>
      <c r="O176" s="85" t="n"/>
      <c r="P176" s="85" t="n"/>
      <c r="Q176" s="85" t="n"/>
      <c r="R176" s="85" t="n"/>
      <c r="S176" s="85" t="n"/>
      <c r="T176" s="85" t="n"/>
      <c r="U176" s="85" t="n"/>
      <c r="V176" s="85" t="n"/>
      <c r="W176" s="85" t="n"/>
      <c r="X176" s="85" t="n"/>
      <c r="Y176" s="85" t="n"/>
      <c r="Z176" s="85" t="n"/>
      <c r="AA176" s="85" t="n"/>
    </row>
    <row r="177" ht="11.5" customHeight="1" s="213">
      <c r="H177" s="85" t="n"/>
      <c r="I177" s="85" t="n"/>
      <c r="J177" s="85" t="n"/>
      <c r="K177" s="85" t="n"/>
      <c r="L177" s="85" t="n"/>
      <c r="M177" s="85" t="n"/>
      <c r="N177" s="85" t="n"/>
      <c r="O177" s="85" t="n"/>
      <c r="P177" s="85" t="n"/>
      <c r="Q177" s="85" t="n"/>
      <c r="R177" s="85" t="n"/>
      <c r="S177" s="85" t="n"/>
      <c r="T177" s="85" t="n"/>
      <c r="U177" s="85" t="n"/>
      <c r="V177" s="85" t="n"/>
      <c r="W177" s="85" t="n"/>
      <c r="X177" s="85" t="n"/>
      <c r="Y177" s="85" t="n"/>
      <c r="Z177" s="85" t="n"/>
      <c r="AA177" s="85" t="n"/>
    </row>
    <row r="178" ht="11.5" customHeight="1" s="213">
      <c r="H178" s="85" t="n"/>
      <c r="I178" s="85" t="n"/>
      <c r="J178" s="85" t="n"/>
      <c r="K178" s="85" t="n"/>
      <c r="L178" s="85" t="n"/>
      <c r="M178" s="85" t="n"/>
      <c r="N178" s="85" t="n"/>
      <c r="O178" s="85" t="n"/>
      <c r="P178" s="85" t="n"/>
      <c r="Q178" s="85" t="n"/>
      <c r="R178" s="85" t="n"/>
      <c r="S178" s="85" t="n"/>
      <c r="T178" s="85" t="n"/>
      <c r="U178" s="85" t="n"/>
      <c r="V178" s="85" t="n"/>
      <c r="W178" s="85" t="n"/>
      <c r="X178" s="85" t="n"/>
      <c r="Y178" s="85" t="n"/>
      <c r="Z178" s="85" t="n"/>
      <c r="AA178" s="85" t="n"/>
    </row>
    <row r="179" ht="11.5" customHeight="1" s="213">
      <c r="H179" s="85" t="n"/>
      <c r="I179" s="85" t="n"/>
      <c r="J179" s="85" t="n"/>
      <c r="K179" s="85" t="n"/>
      <c r="L179" s="85" t="n"/>
      <c r="M179" s="85" t="n"/>
      <c r="N179" s="85" t="n"/>
      <c r="O179" s="85" t="n"/>
      <c r="P179" s="85" t="n"/>
      <c r="Q179" s="85" t="n"/>
      <c r="R179" s="85" t="n"/>
      <c r="S179" s="85" t="n"/>
      <c r="T179" s="85" t="n"/>
      <c r="U179" s="85" t="n"/>
      <c r="V179" s="85" t="n"/>
      <c r="W179" s="85" t="n"/>
      <c r="X179" s="85" t="n"/>
      <c r="Y179" s="85" t="n"/>
      <c r="Z179" s="85" t="n"/>
      <c r="AA179" s="85" t="n"/>
    </row>
    <row r="180" ht="11.5" customHeight="1" s="213">
      <c r="H180" s="85" t="n"/>
      <c r="I180" s="85" t="n"/>
      <c r="J180" s="85" t="n"/>
      <c r="K180" s="85" t="n"/>
      <c r="L180" s="85" t="n"/>
      <c r="M180" s="85" t="n"/>
      <c r="N180" s="85" t="n"/>
      <c r="O180" s="85" t="n"/>
      <c r="P180" s="85" t="n"/>
      <c r="Q180" s="85" t="n"/>
      <c r="R180" s="85" t="n"/>
      <c r="S180" s="85" t="n"/>
      <c r="T180" s="85" t="n"/>
      <c r="U180" s="85" t="n"/>
      <c r="V180" s="85" t="n"/>
      <c r="W180" s="85" t="n"/>
      <c r="X180" s="85" t="n"/>
      <c r="Y180" s="85" t="n"/>
      <c r="Z180" s="85" t="n"/>
      <c r="AA180" s="85" t="n"/>
    </row>
    <row r="181" ht="11.5" customHeight="1" s="213">
      <c r="H181" s="85" t="n"/>
      <c r="I181" s="85" t="n"/>
      <c r="J181" s="85" t="n"/>
      <c r="K181" s="85" t="n"/>
      <c r="L181" s="85" t="n"/>
      <c r="M181" s="85" t="n"/>
      <c r="N181" s="85" t="n"/>
      <c r="O181" s="85" t="n"/>
      <c r="P181" s="85" t="n"/>
      <c r="Q181" s="85" t="n"/>
      <c r="R181" s="85" t="n"/>
      <c r="S181" s="85" t="n"/>
      <c r="T181" s="85" t="n"/>
      <c r="U181" s="85" t="n"/>
      <c r="V181" s="85" t="n"/>
      <c r="W181" s="85" t="n"/>
      <c r="X181" s="85" t="n"/>
      <c r="Y181" s="85" t="n"/>
      <c r="Z181" s="85" t="n"/>
      <c r="AA181" s="85" t="n"/>
    </row>
    <row r="182" ht="11.5" customHeight="1" s="213">
      <c r="H182" s="85" t="n"/>
      <c r="I182" s="85" t="n"/>
      <c r="J182" s="85" t="n"/>
      <c r="K182" s="85" t="n"/>
      <c r="L182" s="85" t="n"/>
      <c r="M182" s="85" t="n"/>
      <c r="N182" s="85" t="n"/>
      <c r="O182" s="85" t="n"/>
      <c r="P182" s="85" t="n"/>
      <c r="Q182" s="85" t="n"/>
      <c r="R182" s="85" t="n"/>
      <c r="S182" s="85" t="n"/>
      <c r="T182" s="85" t="n"/>
      <c r="U182" s="85" t="n"/>
      <c r="V182" s="85" t="n"/>
      <c r="W182" s="85" t="n"/>
      <c r="X182" s="85" t="n"/>
      <c r="Y182" s="85" t="n"/>
      <c r="Z182" s="85" t="n"/>
      <c r="AA182" s="85" t="n"/>
    </row>
    <row r="183" ht="11.5" customHeight="1" s="213">
      <c r="H183" s="85" t="n"/>
      <c r="I183" s="85" t="n"/>
      <c r="J183" s="85" t="n"/>
      <c r="K183" s="85" t="n"/>
      <c r="L183" s="85" t="n"/>
      <c r="M183" s="85" t="n"/>
      <c r="N183" s="85" t="n"/>
      <c r="O183" s="85" t="n"/>
      <c r="P183" s="85" t="n"/>
      <c r="Q183" s="85" t="n"/>
      <c r="R183" s="85" t="n"/>
      <c r="S183" s="85" t="n"/>
      <c r="T183" s="85" t="n"/>
      <c r="U183" s="85" t="n"/>
      <c r="V183" s="85" t="n"/>
      <c r="W183" s="85" t="n"/>
      <c r="X183" s="85" t="n"/>
      <c r="Y183" s="85" t="n"/>
      <c r="Z183" s="85" t="n"/>
      <c r="AA183" s="85" t="n"/>
    </row>
    <row r="184" ht="11.5" customHeight="1" s="213">
      <c r="H184" s="85" t="n"/>
      <c r="I184" s="85" t="n"/>
      <c r="J184" s="85" t="n"/>
      <c r="K184" s="85" t="n"/>
      <c r="L184" s="85" t="n"/>
      <c r="M184" s="85" t="n"/>
      <c r="N184" s="85" t="n"/>
      <c r="O184" s="85" t="n"/>
      <c r="P184" s="85" t="n"/>
      <c r="Q184" s="85" t="n"/>
      <c r="R184" s="85" t="n"/>
      <c r="S184" s="85" t="n"/>
      <c r="T184" s="85" t="n"/>
      <c r="U184" s="85" t="n"/>
      <c r="V184" s="85" t="n"/>
      <c r="W184" s="85" t="n"/>
      <c r="X184" s="85" t="n"/>
      <c r="Y184" s="85" t="n"/>
      <c r="Z184" s="85" t="n"/>
      <c r="AA184" s="85" t="n"/>
    </row>
    <row r="185" ht="11.5" customHeight="1" s="213">
      <c r="H185" s="85" t="n"/>
      <c r="I185" s="85" t="n"/>
      <c r="J185" s="85" t="n"/>
      <c r="K185" s="85" t="n"/>
      <c r="L185" s="85" t="n"/>
      <c r="M185" s="85" t="n"/>
      <c r="N185" s="85" t="n"/>
      <c r="O185" s="85" t="n"/>
      <c r="P185" s="85" t="n"/>
      <c r="Q185" s="85" t="n"/>
      <c r="R185" s="85" t="n"/>
      <c r="S185" s="85" t="n"/>
      <c r="T185" s="85" t="n"/>
      <c r="U185" s="85" t="n"/>
      <c r="V185" s="85" t="n"/>
      <c r="W185" s="85" t="n"/>
      <c r="X185" s="85" t="n"/>
      <c r="Y185" s="85" t="n"/>
      <c r="Z185" s="85" t="n"/>
      <c r="AA185" s="85" t="n"/>
    </row>
    <row r="186" ht="11.5" customHeight="1" s="213">
      <c r="H186" s="85" t="n"/>
      <c r="I186" s="85" t="n"/>
      <c r="J186" s="85" t="n"/>
      <c r="K186" s="85" t="n"/>
      <c r="L186" s="85" t="n"/>
      <c r="M186" s="85" t="n"/>
      <c r="N186" s="85" t="n"/>
      <c r="O186" s="85" t="n"/>
      <c r="P186" s="85" t="n"/>
      <c r="Q186" s="85" t="n"/>
      <c r="R186" s="85" t="n"/>
      <c r="S186" s="85" t="n"/>
      <c r="T186" s="85" t="n"/>
      <c r="U186" s="85" t="n"/>
      <c r="V186" s="85" t="n"/>
      <c r="W186" s="85" t="n"/>
      <c r="X186" s="85" t="n"/>
      <c r="Y186" s="85" t="n"/>
      <c r="Z186" s="85" t="n"/>
      <c r="AA186" s="85" t="n"/>
    </row>
    <row r="187" ht="11.5" customHeight="1" s="213">
      <c r="H187" s="85" t="n"/>
      <c r="I187" s="85" t="n"/>
      <c r="J187" s="85" t="n"/>
      <c r="K187" s="85" t="n"/>
      <c r="L187" s="85" t="n"/>
      <c r="M187" s="85" t="n"/>
      <c r="N187" s="85" t="n"/>
      <c r="O187" s="85" t="n"/>
      <c r="P187" s="85" t="n"/>
      <c r="Q187" s="85" t="n"/>
      <c r="R187" s="85" t="n"/>
      <c r="S187" s="85" t="n"/>
      <c r="T187" s="85" t="n"/>
      <c r="U187" s="85" t="n"/>
      <c r="V187" s="85" t="n"/>
      <c r="W187" s="85" t="n"/>
      <c r="X187" s="85" t="n"/>
      <c r="Y187" s="85" t="n"/>
      <c r="Z187" s="85" t="n"/>
      <c r="AA187" s="85" t="n"/>
    </row>
    <row r="188" ht="11.5" customHeight="1" s="213">
      <c r="H188" s="85" t="n"/>
      <c r="I188" s="85" t="n"/>
      <c r="J188" s="85" t="n"/>
      <c r="K188" s="85" t="n"/>
      <c r="L188" s="85" t="n"/>
      <c r="M188" s="85" t="n"/>
      <c r="N188" s="85" t="n"/>
      <c r="O188" s="85" t="n"/>
      <c r="P188" s="85" t="n"/>
      <c r="Q188" s="85" t="n"/>
      <c r="R188" s="85" t="n"/>
      <c r="S188" s="85" t="n"/>
      <c r="T188" s="85" t="n"/>
      <c r="U188" s="85" t="n"/>
      <c r="V188" s="85" t="n"/>
      <c r="W188" s="85" t="n"/>
      <c r="X188" s="85" t="n"/>
      <c r="Y188" s="85" t="n"/>
      <c r="Z188" s="85" t="n"/>
      <c r="AA188" s="85" t="n"/>
    </row>
    <row r="189" ht="11.5" customHeight="1" s="213">
      <c r="H189" s="85" t="n"/>
      <c r="I189" s="85" t="n"/>
      <c r="J189" s="85" t="n"/>
      <c r="K189" s="85" t="n"/>
      <c r="L189" s="85" t="n"/>
      <c r="M189" s="85" t="n"/>
      <c r="N189" s="85" t="n"/>
      <c r="O189" s="85" t="n"/>
      <c r="P189" s="85" t="n"/>
      <c r="Q189" s="85" t="n"/>
      <c r="R189" s="85" t="n"/>
      <c r="S189" s="85" t="n"/>
      <c r="T189" s="85" t="n"/>
      <c r="U189" s="85" t="n"/>
      <c r="V189" s="85" t="n"/>
      <c r="W189" s="85" t="n"/>
      <c r="X189" s="85" t="n"/>
      <c r="Y189" s="85" t="n"/>
      <c r="Z189" s="85" t="n"/>
      <c r="AA189" s="85" t="n"/>
    </row>
    <row r="190" ht="11.5" customHeight="1" s="213">
      <c r="H190" s="85" t="n"/>
      <c r="I190" s="85" t="n"/>
      <c r="J190" s="85" t="n"/>
      <c r="K190" s="85" t="n"/>
      <c r="L190" s="85" t="n"/>
      <c r="M190" s="85" t="n"/>
      <c r="N190" s="85" t="n"/>
      <c r="O190" s="85" t="n"/>
      <c r="P190" s="85" t="n"/>
      <c r="Q190" s="85" t="n"/>
      <c r="R190" s="85" t="n"/>
      <c r="S190" s="85" t="n"/>
      <c r="T190" s="85" t="n"/>
      <c r="U190" s="85" t="n"/>
      <c r="V190" s="85" t="n"/>
      <c r="W190" s="85" t="n"/>
      <c r="X190" s="85" t="n"/>
      <c r="Y190" s="85" t="n"/>
      <c r="Z190" s="85" t="n"/>
      <c r="AA190" s="85" t="n"/>
    </row>
    <row r="191" ht="11.5" customHeight="1" s="213">
      <c r="H191" s="85" t="n"/>
      <c r="I191" s="85" t="n"/>
      <c r="J191" s="85" t="n"/>
      <c r="K191" s="85" t="n"/>
      <c r="L191" s="85" t="n"/>
      <c r="M191" s="85" t="n"/>
      <c r="N191" s="85" t="n"/>
      <c r="O191" s="85" t="n"/>
      <c r="P191" s="85" t="n"/>
      <c r="Q191" s="85" t="n"/>
      <c r="R191" s="85" t="n"/>
      <c r="S191" s="85" t="n"/>
      <c r="T191" s="85" t="n"/>
      <c r="U191" s="85" t="n"/>
      <c r="V191" s="85" t="n"/>
      <c r="W191" s="85" t="n"/>
      <c r="X191" s="85" t="n"/>
      <c r="Y191" s="85" t="n"/>
      <c r="Z191" s="85" t="n"/>
      <c r="AA191" s="85" t="n"/>
    </row>
    <row r="192" ht="11.5" customHeight="1" s="213">
      <c r="H192" s="85" t="n"/>
      <c r="I192" s="85" t="n"/>
      <c r="J192" s="85" t="n"/>
      <c r="K192" s="85" t="n"/>
      <c r="L192" s="85" t="n"/>
      <c r="M192" s="85" t="n"/>
      <c r="N192" s="85" t="n"/>
      <c r="O192" s="85" t="n"/>
      <c r="P192" s="85" t="n"/>
      <c r="Q192" s="85" t="n"/>
      <c r="R192" s="85" t="n"/>
      <c r="S192" s="85" t="n"/>
      <c r="T192" s="85" t="n"/>
      <c r="U192" s="85" t="n"/>
      <c r="V192" s="85" t="n"/>
      <c r="W192" s="85" t="n"/>
      <c r="X192" s="85" t="n"/>
      <c r="Y192" s="85" t="n"/>
      <c r="Z192" s="85" t="n"/>
      <c r="AA192" s="85" t="n"/>
    </row>
    <row r="193" ht="11.5" customHeight="1" s="213">
      <c r="H193" s="85" t="n"/>
      <c r="I193" s="85" t="n"/>
      <c r="J193" s="85" t="n"/>
      <c r="K193" s="85" t="n"/>
      <c r="L193" s="85" t="n"/>
      <c r="M193" s="85" t="n"/>
      <c r="N193" s="85" t="n"/>
      <c r="O193" s="85" t="n"/>
      <c r="P193" s="85" t="n"/>
      <c r="Q193" s="85" t="n"/>
      <c r="R193" s="85" t="n"/>
      <c r="S193" s="85" t="n"/>
      <c r="T193" s="85" t="n"/>
      <c r="U193" s="85" t="n"/>
      <c r="V193" s="85" t="n"/>
      <c r="W193" s="85" t="n"/>
      <c r="X193" s="85" t="n"/>
      <c r="Y193" s="85" t="n"/>
      <c r="Z193" s="85" t="n"/>
      <c r="AA193" s="85" t="n"/>
    </row>
    <row r="194" ht="11.5" customHeight="1" s="213">
      <c r="H194" s="85" t="n"/>
      <c r="I194" s="85" t="n"/>
      <c r="J194" s="85" t="n"/>
      <c r="K194" s="85" t="n"/>
      <c r="L194" s="85" t="n"/>
      <c r="M194" s="85" t="n"/>
      <c r="N194" s="85" t="n"/>
      <c r="O194" s="85" t="n"/>
      <c r="P194" s="85" t="n"/>
      <c r="Q194" s="85" t="n"/>
      <c r="R194" s="85" t="n"/>
      <c r="S194" s="85" t="n"/>
      <c r="T194" s="85" t="n"/>
      <c r="U194" s="85" t="n"/>
      <c r="V194" s="85" t="n"/>
      <c r="W194" s="85" t="n"/>
      <c r="X194" s="85" t="n"/>
      <c r="Y194" s="85" t="n"/>
      <c r="Z194" s="85" t="n"/>
      <c r="AA194" s="85" t="n"/>
    </row>
    <row r="195" ht="11.5" customHeight="1" s="213">
      <c r="H195" s="85" t="n"/>
      <c r="I195" s="85" t="n"/>
      <c r="J195" s="85" t="n"/>
      <c r="K195" s="85" t="n"/>
      <c r="L195" s="85" t="n"/>
      <c r="M195" s="85" t="n"/>
      <c r="N195" s="85" t="n"/>
      <c r="O195" s="85" t="n"/>
      <c r="P195" s="85" t="n"/>
      <c r="Q195" s="85" t="n"/>
      <c r="R195" s="85" t="n"/>
      <c r="S195" s="85" t="n"/>
      <c r="T195" s="85" t="n"/>
      <c r="U195" s="85" t="n"/>
      <c r="V195" s="85" t="n"/>
      <c r="W195" s="85" t="n"/>
      <c r="X195" s="85" t="n"/>
      <c r="Y195" s="85" t="n"/>
      <c r="Z195" s="85" t="n"/>
      <c r="AA195" s="85" t="n"/>
    </row>
    <row r="196" ht="11.5" customHeight="1" s="213">
      <c r="H196" s="85" t="n"/>
      <c r="I196" s="85" t="n"/>
      <c r="J196" s="85" t="n"/>
      <c r="K196" s="85" t="n"/>
      <c r="L196" s="85" t="n"/>
      <c r="M196" s="85" t="n"/>
      <c r="N196" s="85" t="n"/>
      <c r="O196" s="85" t="n"/>
      <c r="P196" s="85" t="n"/>
      <c r="Q196" s="85" t="n"/>
      <c r="R196" s="85" t="n"/>
      <c r="S196" s="85" t="n"/>
      <c r="T196" s="85" t="n"/>
      <c r="U196" s="85" t="n"/>
      <c r="V196" s="85" t="n"/>
      <c r="W196" s="85" t="n"/>
      <c r="X196" s="85" t="n"/>
      <c r="Y196" s="85" t="n"/>
      <c r="Z196" s="85" t="n"/>
      <c r="AA196" s="85" t="n"/>
    </row>
    <row r="197" ht="11.5" customHeight="1" s="213">
      <c r="H197" s="85" t="n"/>
      <c r="I197" s="85" t="n"/>
      <c r="J197" s="85" t="n"/>
      <c r="K197" s="85" t="n"/>
      <c r="L197" s="85" t="n"/>
      <c r="M197" s="85" t="n"/>
      <c r="N197" s="85" t="n"/>
      <c r="O197" s="85" t="n"/>
      <c r="P197" s="85" t="n"/>
      <c r="Q197" s="85" t="n"/>
      <c r="R197" s="85" t="n"/>
      <c r="S197" s="85" t="n"/>
      <c r="T197" s="85" t="n"/>
      <c r="U197" s="85" t="n"/>
      <c r="V197" s="85" t="n"/>
      <c r="W197" s="85" t="n"/>
      <c r="X197" s="85" t="n"/>
      <c r="Y197" s="85" t="n"/>
      <c r="Z197" s="85" t="n"/>
      <c r="AA197" s="85" t="n"/>
    </row>
    <row r="198" ht="11.5" customHeight="1" s="213">
      <c r="H198" s="85" t="n"/>
      <c r="I198" s="85" t="n"/>
      <c r="J198" s="85" t="n"/>
      <c r="K198" s="85" t="n"/>
      <c r="L198" s="85" t="n"/>
      <c r="M198" s="85" t="n"/>
      <c r="N198" s="85" t="n"/>
      <c r="O198" s="85" t="n"/>
      <c r="P198" s="85" t="n"/>
      <c r="Q198" s="85" t="n"/>
      <c r="R198" s="85" t="n"/>
      <c r="S198" s="85" t="n"/>
      <c r="T198" s="85" t="n"/>
      <c r="U198" s="85" t="n"/>
      <c r="V198" s="85" t="n"/>
      <c r="W198" s="85" t="n"/>
      <c r="X198" s="85" t="n"/>
      <c r="Y198" s="85" t="n"/>
      <c r="Z198" s="85" t="n"/>
      <c r="AA198" s="85" t="n"/>
    </row>
    <row r="199" ht="11.5" customHeight="1" s="213">
      <c r="H199" s="85" t="n"/>
      <c r="I199" s="85" t="n"/>
      <c r="J199" s="85" t="n"/>
      <c r="K199" s="85" t="n"/>
      <c r="L199" s="85" t="n"/>
      <c r="M199" s="85" t="n"/>
      <c r="N199" s="85" t="n"/>
      <c r="O199" s="85" t="n"/>
      <c r="P199" s="85" t="n"/>
      <c r="Q199" s="85" t="n"/>
      <c r="R199" s="85" t="n"/>
      <c r="S199" s="85" t="n"/>
      <c r="T199" s="85" t="n"/>
      <c r="U199" s="85" t="n"/>
      <c r="V199" s="85" t="n"/>
      <c r="W199" s="85" t="n"/>
      <c r="X199" s="85" t="n"/>
      <c r="Y199" s="85" t="n"/>
      <c r="Z199" s="85" t="n"/>
      <c r="AA199" s="85" t="n"/>
    </row>
    <row r="200" ht="11.5" customHeight="1" s="213">
      <c r="H200" s="85" t="n"/>
      <c r="I200" s="85" t="n"/>
      <c r="J200" s="85" t="n"/>
      <c r="K200" s="85" t="n"/>
      <c r="L200" s="85" t="n"/>
      <c r="M200" s="85" t="n"/>
      <c r="N200" s="85" t="n"/>
      <c r="O200" s="85" t="n"/>
      <c r="P200" s="85" t="n"/>
      <c r="Q200" s="85" t="n"/>
      <c r="R200" s="85" t="n"/>
      <c r="S200" s="85" t="n"/>
      <c r="T200" s="85" t="n"/>
      <c r="U200" s="85" t="n"/>
      <c r="V200" s="85" t="n"/>
      <c r="W200" s="85" t="n"/>
      <c r="X200" s="85" t="n"/>
      <c r="Y200" s="85" t="n"/>
      <c r="Z200" s="85" t="n"/>
      <c r="AA200" s="85" t="n"/>
    </row>
    <row r="201" ht="11.5" customHeight="1" s="213">
      <c r="H201" s="85" t="n"/>
      <c r="I201" s="85" t="n"/>
      <c r="J201" s="85" t="n"/>
      <c r="K201" s="85" t="n"/>
      <c r="L201" s="85" t="n"/>
      <c r="M201" s="85" t="n"/>
      <c r="N201" s="85" t="n"/>
      <c r="O201" s="85" t="n"/>
      <c r="P201" s="85" t="n"/>
      <c r="Q201" s="85" t="n"/>
      <c r="R201" s="85" t="n"/>
      <c r="S201" s="85" t="n"/>
      <c r="T201" s="85" t="n"/>
      <c r="U201" s="85" t="n"/>
      <c r="V201" s="85" t="n"/>
      <c r="W201" s="85" t="n"/>
      <c r="X201" s="85" t="n"/>
      <c r="Y201" s="85" t="n"/>
      <c r="Z201" s="85" t="n"/>
      <c r="AA201" s="85" t="n"/>
    </row>
    <row r="202" ht="11.5" customHeight="1" s="213">
      <c r="H202" s="85" t="n"/>
      <c r="I202" s="85" t="n"/>
      <c r="J202" s="85" t="n"/>
      <c r="K202" s="85" t="n"/>
      <c r="L202" s="85" t="n"/>
      <c r="M202" s="85" t="n"/>
      <c r="N202" s="85" t="n"/>
      <c r="O202" s="85" t="n"/>
      <c r="P202" s="85" t="n"/>
      <c r="Q202" s="85" t="n"/>
      <c r="R202" s="85" t="n"/>
      <c r="S202" s="85" t="n"/>
      <c r="T202" s="85" t="n"/>
      <c r="U202" s="85" t="n"/>
      <c r="V202" s="85" t="n"/>
      <c r="W202" s="85" t="n"/>
      <c r="X202" s="85" t="n"/>
      <c r="Y202" s="85" t="n"/>
      <c r="Z202" s="85" t="n"/>
      <c r="AA202" s="85" t="n"/>
    </row>
    <row r="203" ht="11.5" customHeight="1" s="213">
      <c r="H203" s="85" t="n"/>
      <c r="I203" s="85" t="n"/>
      <c r="J203" s="85" t="n"/>
      <c r="K203" s="85" t="n"/>
      <c r="L203" s="85" t="n"/>
      <c r="M203" s="85" t="n"/>
      <c r="N203" s="85" t="n"/>
      <c r="O203" s="85" t="n"/>
      <c r="P203" s="85" t="n"/>
      <c r="Q203" s="85" t="n"/>
      <c r="R203" s="85" t="n"/>
      <c r="S203" s="85" t="n"/>
      <c r="T203" s="85" t="n"/>
      <c r="U203" s="85" t="n"/>
      <c r="V203" s="85" t="n"/>
      <c r="W203" s="85" t="n"/>
      <c r="X203" s="85" t="n"/>
      <c r="Y203" s="85" t="n"/>
      <c r="Z203" s="85" t="n"/>
      <c r="AA203" s="85" t="n"/>
    </row>
    <row r="204" ht="11.5" customHeight="1" s="213">
      <c r="H204" s="85" t="n"/>
      <c r="I204" s="85" t="n"/>
      <c r="J204" s="85" t="n"/>
      <c r="K204" s="85" t="n"/>
      <c r="L204" s="85" t="n"/>
      <c r="M204" s="85" t="n"/>
      <c r="N204" s="85" t="n"/>
      <c r="O204" s="85" t="n"/>
      <c r="P204" s="85" t="n"/>
      <c r="Q204" s="85" t="n"/>
      <c r="R204" s="85" t="n"/>
      <c r="S204" s="85" t="n"/>
      <c r="T204" s="85" t="n"/>
      <c r="U204" s="85" t="n"/>
      <c r="V204" s="85" t="n"/>
      <c r="W204" s="85" t="n"/>
      <c r="X204" s="85" t="n"/>
      <c r="Y204" s="85" t="n"/>
      <c r="Z204" s="85" t="n"/>
      <c r="AA204" s="85" t="n"/>
    </row>
    <row r="205" ht="11.5" customHeight="1" s="213">
      <c r="H205" s="85" t="n"/>
      <c r="I205" s="85" t="n"/>
      <c r="J205" s="85" t="n"/>
      <c r="K205" s="85" t="n"/>
      <c r="L205" s="85" t="n"/>
      <c r="M205" s="85" t="n"/>
      <c r="N205" s="85" t="n"/>
      <c r="O205" s="85" t="n"/>
      <c r="P205" s="85" t="n"/>
      <c r="Q205" s="85" t="n"/>
      <c r="R205" s="85" t="n"/>
      <c r="S205" s="85" t="n"/>
      <c r="T205" s="85" t="n"/>
      <c r="U205" s="85" t="n"/>
      <c r="V205" s="85" t="n"/>
      <c r="W205" s="85" t="n"/>
      <c r="X205" s="85" t="n"/>
      <c r="Y205" s="85" t="n"/>
      <c r="Z205" s="85" t="n"/>
      <c r="AA205" s="85" t="n"/>
    </row>
    <row r="206" ht="11.5" customHeight="1" s="213">
      <c r="H206" s="85" t="n"/>
      <c r="I206" s="85" t="n"/>
      <c r="J206" s="85" t="n"/>
      <c r="K206" s="85" t="n"/>
      <c r="L206" s="85" t="n"/>
      <c r="M206" s="85" t="n"/>
      <c r="N206" s="85" t="n"/>
      <c r="O206" s="85" t="n"/>
      <c r="P206" s="85" t="n"/>
      <c r="Q206" s="85" t="n"/>
      <c r="R206" s="85" t="n"/>
      <c r="S206" s="85" t="n"/>
      <c r="T206" s="85" t="n"/>
      <c r="U206" s="85" t="n"/>
      <c r="V206" s="85" t="n"/>
      <c r="W206" s="85" t="n"/>
      <c r="X206" s="85" t="n"/>
      <c r="Y206" s="85" t="n"/>
      <c r="Z206" s="85" t="n"/>
      <c r="AA206" s="85" t="n"/>
    </row>
    <row r="207" ht="11.5" customHeight="1" s="213">
      <c r="H207" s="85" t="n"/>
      <c r="I207" s="85" t="n"/>
      <c r="J207" s="85" t="n"/>
      <c r="K207" s="85" t="n"/>
      <c r="L207" s="85" t="n"/>
      <c r="M207" s="85" t="n"/>
      <c r="N207" s="85" t="n"/>
      <c r="O207" s="85" t="n"/>
      <c r="P207" s="85" t="n"/>
      <c r="Q207" s="85" t="n"/>
      <c r="R207" s="85" t="n"/>
      <c r="S207" s="85" t="n"/>
      <c r="T207" s="85" t="n"/>
      <c r="U207" s="85" t="n"/>
      <c r="V207" s="85" t="n"/>
      <c r="W207" s="85" t="n"/>
      <c r="X207" s="85" t="n"/>
      <c r="Y207" s="85" t="n"/>
      <c r="Z207" s="85" t="n"/>
      <c r="AA207" s="85" t="n"/>
    </row>
    <row r="208" ht="11.5" customHeight="1" s="213">
      <c r="H208" s="85" t="n"/>
      <c r="I208" s="85" t="n"/>
      <c r="J208" s="85" t="n"/>
      <c r="K208" s="85" t="n"/>
      <c r="L208" s="85" t="n"/>
      <c r="M208" s="85" t="n"/>
      <c r="N208" s="85" t="n"/>
      <c r="O208" s="85" t="n"/>
      <c r="P208" s="85" t="n"/>
      <c r="Q208" s="85" t="n"/>
      <c r="R208" s="85" t="n"/>
      <c r="S208" s="85" t="n"/>
      <c r="T208" s="85" t="n"/>
      <c r="U208" s="85" t="n"/>
      <c r="V208" s="85" t="n"/>
      <c r="W208" s="85" t="n"/>
      <c r="X208" s="85" t="n"/>
      <c r="Y208" s="85" t="n"/>
      <c r="Z208" s="85" t="n"/>
      <c r="AA208" s="85" t="n"/>
    </row>
    <row r="209" ht="11.5" customHeight="1" s="213">
      <c r="H209" s="85" t="n"/>
      <c r="I209" s="85" t="n"/>
      <c r="J209" s="85" t="n"/>
      <c r="K209" s="85" t="n"/>
      <c r="L209" s="85" t="n"/>
      <c r="M209" s="85" t="n"/>
      <c r="N209" s="85" t="n"/>
      <c r="O209" s="85" t="n"/>
      <c r="P209" s="85" t="n"/>
      <c r="Q209" s="85" t="n"/>
      <c r="R209" s="85" t="n"/>
      <c r="S209" s="85" t="n"/>
      <c r="T209" s="85" t="n"/>
      <c r="U209" s="85" t="n"/>
      <c r="V209" s="85" t="n"/>
      <c r="W209" s="85" t="n"/>
      <c r="X209" s="85" t="n"/>
      <c r="Y209" s="85" t="n"/>
      <c r="Z209" s="85" t="n"/>
      <c r="AA209" s="85" t="n"/>
    </row>
    <row r="210" ht="11.5" customHeight="1" s="213">
      <c r="H210" s="85" t="n"/>
      <c r="I210" s="85" t="n"/>
      <c r="J210" s="85" t="n"/>
      <c r="K210" s="85" t="n"/>
      <c r="L210" s="85" t="n"/>
      <c r="M210" s="85" t="n"/>
      <c r="N210" s="85" t="n"/>
      <c r="O210" s="85" t="n"/>
      <c r="P210" s="85" t="n"/>
      <c r="Q210" s="85" t="n"/>
      <c r="R210" s="85" t="n"/>
      <c r="S210" s="85" t="n"/>
      <c r="T210" s="85" t="n"/>
      <c r="U210" s="85" t="n"/>
      <c r="V210" s="85" t="n"/>
      <c r="W210" s="85" t="n"/>
      <c r="X210" s="85" t="n"/>
      <c r="Y210" s="85" t="n"/>
      <c r="Z210" s="85" t="n"/>
      <c r="AA210" s="85" t="n"/>
    </row>
    <row r="211" ht="11.5" customHeight="1" s="213">
      <c r="H211" s="85" t="n"/>
      <c r="I211" s="85" t="n"/>
      <c r="J211" s="85" t="n"/>
      <c r="K211" s="85" t="n"/>
      <c r="L211" s="85" t="n"/>
      <c r="M211" s="85" t="n"/>
      <c r="N211" s="85" t="n"/>
      <c r="O211" s="85" t="n"/>
      <c r="P211" s="85" t="n"/>
      <c r="Q211" s="85" t="n"/>
      <c r="R211" s="85" t="n"/>
      <c r="S211" s="85" t="n"/>
      <c r="T211" s="85" t="n"/>
      <c r="U211" s="85" t="n"/>
      <c r="V211" s="85" t="n"/>
      <c r="W211" s="85" t="n"/>
      <c r="X211" s="85" t="n"/>
      <c r="Y211" s="85" t="n"/>
      <c r="Z211" s="85" t="n"/>
      <c r="AA211" s="85" t="n"/>
    </row>
    <row r="212" ht="11.5" customHeight="1" s="213">
      <c r="H212" s="85" t="n"/>
      <c r="I212" s="85" t="n"/>
      <c r="J212" s="85" t="n"/>
      <c r="K212" s="85" t="n"/>
      <c r="L212" s="85" t="n"/>
      <c r="M212" s="85" t="n"/>
      <c r="N212" s="85" t="n"/>
      <c r="O212" s="85" t="n"/>
      <c r="P212" s="85" t="n"/>
      <c r="Q212" s="85" t="n"/>
      <c r="R212" s="85" t="n"/>
      <c r="S212" s="85" t="n"/>
      <c r="T212" s="85" t="n"/>
      <c r="U212" s="85" t="n"/>
      <c r="V212" s="85" t="n"/>
      <c r="W212" s="85" t="n"/>
      <c r="X212" s="85" t="n"/>
      <c r="Y212" s="85" t="n"/>
      <c r="Z212" s="85" t="n"/>
      <c r="AA212" s="85" t="n"/>
    </row>
    <row r="213" ht="11.5" customHeight="1" s="213">
      <c r="H213" s="85" t="n"/>
      <c r="I213" s="85" t="n"/>
      <c r="J213" s="85" t="n"/>
      <c r="K213" s="85" t="n"/>
      <c r="L213" s="85" t="n"/>
      <c r="M213" s="85" t="n"/>
      <c r="N213" s="85" t="n"/>
      <c r="O213" s="85" t="n"/>
      <c r="P213" s="85" t="n"/>
      <c r="Q213" s="85" t="n"/>
      <c r="R213" s="85" t="n"/>
      <c r="S213" s="85" t="n"/>
      <c r="T213" s="85" t="n"/>
      <c r="U213" s="85" t="n"/>
      <c r="V213" s="85" t="n"/>
      <c r="W213" s="85" t="n"/>
      <c r="X213" s="85" t="n"/>
      <c r="Y213" s="85" t="n"/>
      <c r="Z213" s="85" t="n"/>
      <c r="AA213" s="85" t="n"/>
    </row>
    <row r="214" ht="11.5" customHeight="1" s="213">
      <c r="H214" s="85" t="n"/>
      <c r="I214" s="85" t="n"/>
      <c r="J214" s="85" t="n"/>
      <c r="K214" s="85" t="n"/>
      <c r="L214" s="85" t="n"/>
      <c r="M214" s="85" t="n"/>
      <c r="N214" s="85" t="n"/>
      <c r="O214" s="85" t="n"/>
      <c r="P214" s="85" t="n"/>
      <c r="Q214" s="85" t="n"/>
      <c r="R214" s="85" t="n"/>
      <c r="S214" s="85" t="n"/>
      <c r="T214" s="85" t="n"/>
      <c r="U214" s="85" t="n"/>
      <c r="V214" s="85" t="n"/>
      <c r="W214" s="85" t="n"/>
      <c r="X214" s="85" t="n"/>
      <c r="Y214" s="85" t="n"/>
      <c r="Z214" s="85" t="n"/>
      <c r="AA214" s="85" t="n"/>
    </row>
    <row r="215" ht="11.5" customHeight="1" s="213">
      <c r="H215" s="85" t="n"/>
      <c r="I215" s="85" t="n"/>
      <c r="J215" s="85" t="n"/>
      <c r="K215" s="85" t="n"/>
      <c r="L215" s="85" t="n"/>
      <c r="M215" s="85" t="n"/>
      <c r="N215" s="85" t="n"/>
      <c r="O215" s="85" t="n"/>
      <c r="P215" s="85" t="n"/>
      <c r="Q215" s="85" t="n"/>
      <c r="R215" s="85" t="n"/>
      <c r="S215" s="85" t="n"/>
      <c r="T215" s="85" t="n"/>
      <c r="U215" s="85" t="n"/>
      <c r="V215" s="85" t="n"/>
      <c r="W215" s="85" t="n"/>
      <c r="X215" s="85" t="n"/>
      <c r="Y215" s="85" t="n"/>
      <c r="Z215" s="85" t="n"/>
      <c r="AA215" s="85" t="n"/>
    </row>
    <row r="216" ht="11.5" customHeight="1" s="213">
      <c r="H216" s="85" t="n"/>
      <c r="I216" s="85" t="n"/>
      <c r="J216" s="85" t="n"/>
      <c r="K216" s="85" t="n"/>
      <c r="L216" s="85" t="n"/>
      <c r="M216" s="85" t="n"/>
      <c r="N216" s="85" t="n"/>
      <c r="O216" s="85" t="n"/>
      <c r="P216" s="85" t="n"/>
      <c r="Q216" s="85" t="n"/>
      <c r="R216" s="85" t="n"/>
      <c r="S216" s="85" t="n"/>
      <c r="T216" s="85" t="n"/>
      <c r="U216" s="85" t="n"/>
      <c r="V216" s="85" t="n"/>
      <c r="W216" s="85" t="n"/>
      <c r="X216" s="85" t="n"/>
      <c r="Y216" s="85" t="n"/>
      <c r="Z216" s="85" t="n"/>
      <c r="AA216" s="85" t="n"/>
    </row>
    <row r="217" ht="11.5" customHeight="1" s="213">
      <c r="H217" s="85" t="n"/>
      <c r="I217" s="85" t="n"/>
      <c r="J217" s="85" t="n"/>
      <c r="K217" s="85" t="n"/>
      <c r="L217" s="85" t="n"/>
      <c r="M217" s="85" t="n"/>
      <c r="N217" s="85" t="n"/>
      <c r="O217" s="85" t="n"/>
      <c r="P217" s="85" t="n"/>
      <c r="Q217" s="85" t="n"/>
      <c r="R217" s="85" t="n"/>
      <c r="S217" s="85" t="n"/>
      <c r="T217" s="85" t="n"/>
      <c r="U217" s="85" t="n"/>
      <c r="V217" s="85" t="n"/>
      <c r="W217" s="85" t="n"/>
      <c r="X217" s="85" t="n"/>
      <c r="Y217" s="85" t="n"/>
      <c r="Z217" s="85" t="n"/>
      <c r="AA217" s="85" t="n"/>
    </row>
    <row r="218" ht="11.5" customHeight="1" s="213">
      <c r="H218" s="85" t="n"/>
      <c r="I218" s="85" t="n"/>
      <c r="J218" s="85" t="n"/>
      <c r="K218" s="85" t="n"/>
      <c r="L218" s="85" t="n"/>
      <c r="M218" s="85" t="n"/>
      <c r="N218" s="85" t="n"/>
      <c r="O218" s="85" t="n"/>
      <c r="P218" s="85" t="n"/>
      <c r="Q218" s="85" t="n"/>
      <c r="R218" s="85" t="n"/>
      <c r="S218" s="85" t="n"/>
      <c r="T218" s="85" t="n"/>
      <c r="U218" s="85" t="n"/>
      <c r="V218" s="85" t="n"/>
      <c r="W218" s="85" t="n"/>
      <c r="X218" s="85" t="n"/>
      <c r="Y218" s="85" t="n"/>
      <c r="Z218" s="85" t="n"/>
      <c r="AA218" s="85" t="n"/>
    </row>
    <row r="219" ht="11.5" customHeight="1" s="213">
      <c r="H219" s="85" t="n"/>
      <c r="I219" s="85" t="n"/>
      <c r="J219" s="85" t="n"/>
      <c r="K219" s="85" t="n"/>
      <c r="L219" s="85" t="n"/>
      <c r="M219" s="85" t="n"/>
      <c r="N219" s="85" t="n"/>
      <c r="O219" s="85" t="n"/>
      <c r="P219" s="85" t="n"/>
      <c r="Q219" s="85" t="n"/>
      <c r="R219" s="85" t="n"/>
      <c r="S219" s="85" t="n"/>
      <c r="T219" s="85" t="n"/>
      <c r="U219" s="85" t="n"/>
      <c r="V219" s="85" t="n"/>
      <c r="W219" s="85" t="n"/>
      <c r="X219" s="85" t="n"/>
      <c r="Y219" s="85" t="n"/>
      <c r="Z219" s="85" t="n"/>
      <c r="AA219" s="85" t="n"/>
    </row>
    <row r="220" ht="11.5" customHeight="1" s="213">
      <c r="H220" s="85" t="n"/>
      <c r="I220" s="85" t="n"/>
      <c r="J220" s="85" t="n"/>
      <c r="K220" s="85" t="n"/>
      <c r="L220" s="85" t="n"/>
      <c r="M220" s="85" t="n"/>
      <c r="N220" s="85" t="n"/>
      <c r="O220" s="85" t="n"/>
      <c r="P220" s="85" t="n"/>
      <c r="Q220" s="85" t="n"/>
      <c r="R220" s="85" t="n"/>
      <c r="S220" s="85" t="n"/>
      <c r="T220" s="85" t="n"/>
      <c r="U220" s="85" t="n"/>
      <c r="V220" s="85" t="n"/>
      <c r="W220" s="85" t="n"/>
      <c r="X220" s="85" t="n"/>
      <c r="Y220" s="85" t="n"/>
      <c r="Z220" s="85" t="n"/>
      <c r="AA220" s="85" t="n"/>
    </row>
    <row r="221" ht="11.5" customHeight="1" s="213">
      <c r="H221" s="85" t="n"/>
      <c r="I221" s="85" t="n"/>
      <c r="J221" s="85" t="n"/>
      <c r="K221" s="85" t="n"/>
      <c r="L221" s="85" t="n"/>
      <c r="M221" s="85" t="n"/>
      <c r="N221" s="85" t="n"/>
      <c r="O221" s="85" t="n"/>
      <c r="P221" s="85" t="n"/>
      <c r="Q221" s="85" t="n"/>
      <c r="R221" s="85" t="n"/>
      <c r="S221" s="85" t="n"/>
      <c r="T221" s="85" t="n"/>
      <c r="U221" s="85" t="n"/>
      <c r="V221" s="85" t="n"/>
      <c r="W221" s="85" t="n"/>
      <c r="X221" s="85" t="n"/>
      <c r="Y221" s="85" t="n"/>
      <c r="Z221" s="85" t="n"/>
      <c r="AA221" s="85" t="n"/>
    </row>
    <row r="222" ht="11.5" customHeight="1" s="213">
      <c r="H222" s="85" t="n"/>
      <c r="I222" s="85" t="n"/>
      <c r="J222" s="85" t="n"/>
      <c r="K222" s="85" t="n"/>
      <c r="L222" s="85" t="n"/>
      <c r="M222" s="85" t="n"/>
      <c r="N222" s="85" t="n"/>
      <c r="O222" s="85" t="n"/>
      <c r="P222" s="85" t="n"/>
      <c r="Q222" s="85" t="n"/>
      <c r="R222" s="85" t="n"/>
      <c r="S222" s="85" t="n"/>
      <c r="T222" s="85" t="n"/>
      <c r="U222" s="85" t="n"/>
      <c r="V222" s="85" t="n"/>
      <c r="W222" s="85" t="n"/>
      <c r="X222" s="85" t="n"/>
      <c r="Y222" s="85" t="n"/>
      <c r="Z222" s="85" t="n"/>
      <c r="AA222" s="85" t="n"/>
    </row>
    <row r="223" ht="11.5" customHeight="1" s="213">
      <c r="H223" s="85" t="n"/>
      <c r="I223" s="85" t="n"/>
      <c r="J223" s="85" t="n"/>
      <c r="K223" s="85" t="n"/>
      <c r="L223" s="85" t="n"/>
      <c r="M223" s="85" t="n"/>
      <c r="N223" s="85" t="n"/>
      <c r="O223" s="85" t="n"/>
      <c r="P223" s="85" t="n"/>
      <c r="Q223" s="85" t="n"/>
      <c r="R223" s="85" t="n"/>
      <c r="S223" s="85" t="n"/>
      <c r="T223" s="85" t="n"/>
      <c r="U223" s="85" t="n"/>
      <c r="V223" s="85" t="n"/>
      <c r="W223" s="85" t="n"/>
      <c r="X223" s="85" t="n"/>
      <c r="Y223" s="85" t="n"/>
      <c r="Z223" s="85" t="n"/>
      <c r="AA223" s="85" t="n"/>
    </row>
    <row r="224" ht="11.5" customHeight="1" s="213">
      <c r="H224" s="85" t="n"/>
      <c r="I224" s="85" t="n"/>
      <c r="J224" s="85" t="n"/>
      <c r="K224" s="85" t="n"/>
      <c r="L224" s="85" t="n"/>
      <c r="M224" s="85" t="n"/>
      <c r="N224" s="85" t="n"/>
      <c r="O224" s="85" t="n"/>
      <c r="P224" s="85" t="n"/>
      <c r="Q224" s="85" t="n"/>
      <c r="R224" s="85" t="n"/>
      <c r="S224" s="85" t="n"/>
      <c r="T224" s="85" t="n"/>
      <c r="U224" s="85" t="n"/>
      <c r="V224" s="85" t="n"/>
      <c r="W224" s="85" t="n"/>
      <c r="X224" s="85" t="n"/>
      <c r="Y224" s="85" t="n"/>
      <c r="Z224" s="85" t="n"/>
      <c r="AA224" s="85" t="n"/>
    </row>
    <row r="225" ht="11.5" customHeight="1" s="213">
      <c r="H225" s="85" t="n"/>
      <c r="I225" s="85" t="n"/>
      <c r="J225" s="85" t="n"/>
      <c r="K225" s="85" t="n"/>
      <c r="L225" s="85" t="n"/>
      <c r="M225" s="85" t="n"/>
      <c r="N225" s="85" t="n"/>
      <c r="O225" s="85" t="n"/>
      <c r="P225" s="85" t="n"/>
      <c r="Q225" s="85" t="n"/>
      <c r="R225" s="85" t="n"/>
      <c r="S225" s="85" t="n"/>
      <c r="T225" s="85" t="n"/>
      <c r="U225" s="85" t="n"/>
      <c r="V225" s="85" t="n"/>
      <c r="W225" s="85" t="n"/>
      <c r="X225" s="85" t="n"/>
      <c r="Y225" s="85" t="n"/>
      <c r="Z225" s="85" t="n"/>
      <c r="AA225" s="85" t="n"/>
    </row>
    <row r="226" ht="11.5" customHeight="1" s="213">
      <c r="H226" s="85" t="n"/>
      <c r="I226" s="85" t="n"/>
      <c r="J226" s="85" t="n"/>
      <c r="K226" s="85" t="n"/>
      <c r="L226" s="85" t="n"/>
      <c r="M226" s="85" t="n"/>
      <c r="N226" s="85" t="n"/>
      <c r="O226" s="85" t="n"/>
      <c r="P226" s="85" t="n"/>
      <c r="Q226" s="85" t="n"/>
      <c r="R226" s="85" t="n"/>
      <c r="S226" s="85" t="n"/>
      <c r="T226" s="85" t="n"/>
      <c r="U226" s="85" t="n"/>
      <c r="V226" s="85" t="n"/>
      <c r="W226" s="85" t="n"/>
      <c r="X226" s="85" t="n"/>
      <c r="Y226" s="85" t="n"/>
      <c r="Z226" s="85" t="n"/>
      <c r="AA226" s="85" t="n"/>
    </row>
    <row r="227" ht="11.5" customHeight="1" s="213">
      <c r="H227" s="85" t="n"/>
      <c r="I227" s="85" t="n"/>
      <c r="J227" s="85" t="n"/>
      <c r="K227" s="85" t="n"/>
      <c r="L227" s="85" t="n"/>
      <c r="M227" s="85" t="n"/>
      <c r="N227" s="85" t="n"/>
      <c r="O227" s="85" t="n"/>
      <c r="P227" s="85" t="n"/>
      <c r="Q227" s="85" t="n"/>
      <c r="R227" s="85" t="n"/>
      <c r="S227" s="85" t="n"/>
      <c r="T227" s="85" t="n"/>
      <c r="U227" s="85" t="n"/>
      <c r="V227" s="85" t="n"/>
      <c r="W227" s="85" t="n"/>
      <c r="X227" s="85" t="n"/>
      <c r="Y227" s="85" t="n"/>
      <c r="Z227" s="85" t="n"/>
      <c r="AA227" s="85" t="n"/>
    </row>
    <row r="228" ht="11.5" customHeight="1" s="213">
      <c r="H228" s="85" t="n"/>
      <c r="I228" s="85" t="n"/>
      <c r="J228" s="85" t="n"/>
      <c r="K228" s="85" t="n"/>
      <c r="L228" s="85" t="n"/>
      <c r="M228" s="85" t="n"/>
      <c r="N228" s="85" t="n"/>
      <c r="O228" s="85" t="n"/>
      <c r="P228" s="85" t="n"/>
      <c r="Q228" s="85" t="n"/>
      <c r="R228" s="85" t="n"/>
      <c r="S228" s="85" t="n"/>
      <c r="T228" s="85" t="n"/>
      <c r="U228" s="85" t="n"/>
      <c r="V228" s="85" t="n"/>
      <c r="W228" s="85" t="n"/>
      <c r="X228" s="85" t="n"/>
      <c r="Y228" s="85" t="n"/>
      <c r="Z228" s="85" t="n"/>
      <c r="AA228" s="85" t="n"/>
    </row>
    <row r="229" ht="11.5" customHeight="1" s="213">
      <c r="H229" s="85" t="n"/>
      <c r="I229" s="85" t="n"/>
      <c r="J229" s="85" t="n"/>
      <c r="K229" s="85" t="n"/>
      <c r="L229" s="85" t="n"/>
      <c r="M229" s="85" t="n"/>
      <c r="N229" s="85" t="n"/>
      <c r="O229" s="85" t="n"/>
      <c r="P229" s="85" t="n"/>
      <c r="Q229" s="85" t="n"/>
      <c r="R229" s="85" t="n"/>
      <c r="S229" s="85" t="n"/>
      <c r="T229" s="85" t="n"/>
      <c r="U229" s="85" t="n"/>
      <c r="V229" s="85" t="n"/>
      <c r="W229" s="85" t="n"/>
      <c r="X229" s="85" t="n"/>
      <c r="Y229" s="85" t="n"/>
      <c r="Z229" s="85" t="n"/>
      <c r="AA229" s="85" t="n"/>
    </row>
    <row r="230" ht="11.5" customHeight="1" s="213">
      <c r="H230" s="85" t="n"/>
      <c r="I230" s="85" t="n"/>
      <c r="J230" s="85" t="n"/>
      <c r="K230" s="85" t="n"/>
      <c r="L230" s="85" t="n"/>
      <c r="M230" s="85" t="n"/>
      <c r="N230" s="85" t="n"/>
      <c r="O230" s="85" t="n"/>
      <c r="P230" s="85" t="n"/>
      <c r="Q230" s="85" t="n"/>
      <c r="R230" s="85" t="n"/>
      <c r="S230" s="85" t="n"/>
      <c r="T230" s="85" t="n"/>
      <c r="U230" s="85" t="n"/>
      <c r="V230" s="85" t="n"/>
      <c r="W230" s="85" t="n"/>
      <c r="X230" s="85" t="n"/>
      <c r="Y230" s="85" t="n"/>
      <c r="Z230" s="85" t="n"/>
      <c r="AA230" s="85" t="n"/>
    </row>
    <row r="231" ht="11.5" customHeight="1" s="213">
      <c r="H231" s="85" t="n"/>
      <c r="I231" s="85" t="n"/>
      <c r="J231" s="85" t="n"/>
      <c r="K231" s="85" t="n"/>
      <c r="L231" s="85" t="n"/>
      <c r="M231" s="85" t="n"/>
      <c r="N231" s="85" t="n"/>
      <c r="O231" s="85" t="n"/>
      <c r="P231" s="85" t="n"/>
      <c r="Q231" s="85" t="n"/>
      <c r="R231" s="85" t="n"/>
      <c r="S231" s="85" t="n"/>
      <c r="T231" s="85" t="n"/>
      <c r="U231" s="85" t="n"/>
      <c r="V231" s="85" t="n"/>
      <c r="W231" s="85" t="n"/>
      <c r="X231" s="85" t="n"/>
      <c r="Y231" s="85" t="n"/>
      <c r="Z231" s="85" t="n"/>
      <c r="AA231" s="85" t="n"/>
    </row>
    <row r="232" ht="11.5" customHeight="1" s="213">
      <c r="H232" s="85" t="n"/>
      <c r="I232" s="85" t="n"/>
      <c r="J232" s="85" t="n"/>
      <c r="K232" s="85" t="n"/>
      <c r="L232" s="85" t="n"/>
      <c r="M232" s="85" t="n"/>
      <c r="N232" s="85" t="n"/>
      <c r="O232" s="85" t="n"/>
      <c r="P232" s="85" t="n"/>
      <c r="Q232" s="85" t="n"/>
      <c r="R232" s="85" t="n"/>
      <c r="S232" s="85" t="n"/>
      <c r="T232" s="85" t="n"/>
      <c r="U232" s="85" t="n"/>
      <c r="V232" s="85" t="n"/>
      <c r="W232" s="85" t="n"/>
      <c r="X232" s="85" t="n"/>
      <c r="Y232" s="85" t="n"/>
      <c r="Z232" s="85" t="n"/>
      <c r="AA232" s="85" t="n"/>
    </row>
    <row r="233" ht="11.5" customHeight="1" s="213">
      <c r="H233" s="85" t="n"/>
      <c r="I233" s="85" t="n"/>
      <c r="J233" s="85" t="n"/>
      <c r="K233" s="85" t="n"/>
      <c r="L233" s="85" t="n"/>
      <c r="M233" s="85" t="n"/>
      <c r="N233" s="85" t="n"/>
      <c r="O233" s="85" t="n"/>
      <c r="P233" s="85" t="n"/>
      <c r="Q233" s="85" t="n"/>
      <c r="R233" s="85" t="n"/>
      <c r="S233" s="85" t="n"/>
      <c r="T233" s="85" t="n"/>
      <c r="U233" s="85" t="n"/>
      <c r="V233" s="85" t="n"/>
      <c r="W233" s="85" t="n"/>
      <c r="X233" s="85" t="n"/>
      <c r="Y233" s="85" t="n"/>
      <c r="Z233" s="85" t="n"/>
      <c r="AA233" s="85" t="n"/>
    </row>
    <row r="234" ht="11.5" customHeight="1" s="213">
      <c r="H234" s="85" t="n"/>
      <c r="I234" s="85" t="n"/>
      <c r="J234" s="85" t="n"/>
      <c r="K234" s="85" t="n"/>
      <c r="L234" s="85" t="n"/>
      <c r="M234" s="85" t="n"/>
      <c r="N234" s="85" t="n"/>
      <c r="O234" s="85" t="n"/>
      <c r="P234" s="85" t="n"/>
      <c r="Q234" s="85" t="n"/>
      <c r="R234" s="85" t="n"/>
      <c r="S234" s="85" t="n"/>
      <c r="T234" s="85" t="n"/>
      <c r="U234" s="85" t="n"/>
      <c r="V234" s="85" t="n"/>
      <c r="W234" s="85" t="n"/>
      <c r="X234" s="85" t="n"/>
      <c r="Y234" s="85" t="n"/>
      <c r="Z234" s="85" t="n"/>
      <c r="AA234" s="85" t="n"/>
    </row>
    <row r="235" ht="11.5" customHeight="1" s="213">
      <c r="H235" s="85" t="n"/>
      <c r="I235" s="85" t="n"/>
      <c r="J235" s="85" t="n"/>
      <c r="K235" s="85" t="n"/>
      <c r="L235" s="85" t="n"/>
      <c r="M235" s="85" t="n"/>
      <c r="N235" s="85" t="n"/>
      <c r="O235" s="85" t="n"/>
      <c r="P235" s="85" t="n"/>
      <c r="Q235" s="85" t="n"/>
      <c r="R235" s="85" t="n"/>
      <c r="S235" s="85" t="n"/>
      <c r="T235" s="85" t="n"/>
      <c r="U235" s="85" t="n"/>
      <c r="V235" s="85" t="n"/>
      <c r="W235" s="85" t="n"/>
      <c r="X235" s="85" t="n"/>
      <c r="Y235" s="85" t="n"/>
      <c r="Z235" s="85" t="n"/>
      <c r="AA235" s="85" t="n"/>
    </row>
    <row r="236" ht="11.5" customHeight="1" s="213">
      <c r="H236" s="85" t="n"/>
      <c r="I236" s="85" t="n"/>
      <c r="J236" s="85" t="n"/>
      <c r="K236" s="85" t="n"/>
      <c r="L236" s="85" t="n"/>
      <c r="M236" s="85" t="n"/>
      <c r="N236" s="85" t="n"/>
      <c r="O236" s="85" t="n"/>
      <c r="P236" s="85" t="n"/>
      <c r="Q236" s="85" t="n"/>
      <c r="R236" s="85" t="n"/>
      <c r="S236" s="85" t="n"/>
      <c r="T236" s="85" t="n"/>
      <c r="U236" s="85" t="n"/>
      <c r="V236" s="85" t="n"/>
      <c r="W236" s="85" t="n"/>
      <c r="X236" s="85" t="n"/>
      <c r="Y236" s="85" t="n"/>
      <c r="Z236" s="85" t="n"/>
      <c r="AA236" s="85" t="n"/>
    </row>
    <row r="237" ht="11.5" customHeight="1" s="213">
      <c r="H237" s="85" t="n"/>
      <c r="I237" s="85" t="n"/>
      <c r="J237" s="85" t="n"/>
      <c r="K237" s="85" t="n"/>
      <c r="L237" s="85" t="n"/>
      <c r="M237" s="85" t="n"/>
      <c r="N237" s="85" t="n"/>
      <c r="O237" s="85" t="n"/>
      <c r="P237" s="85" t="n"/>
      <c r="Q237" s="85" t="n"/>
      <c r="R237" s="85" t="n"/>
      <c r="S237" s="85" t="n"/>
      <c r="T237" s="85" t="n"/>
      <c r="U237" s="85" t="n"/>
      <c r="V237" s="85" t="n"/>
      <c r="W237" s="85" t="n"/>
      <c r="X237" s="85" t="n"/>
      <c r="Y237" s="85" t="n"/>
      <c r="Z237" s="85" t="n"/>
      <c r="AA237" s="85" t="n"/>
    </row>
    <row r="238" ht="11.5" customHeight="1" s="213">
      <c r="H238" s="85" t="n"/>
      <c r="I238" s="85" t="n"/>
      <c r="J238" s="85" t="n"/>
      <c r="K238" s="85" t="n"/>
      <c r="L238" s="85" t="n"/>
      <c r="M238" s="85" t="n"/>
      <c r="N238" s="85" t="n"/>
      <c r="O238" s="85" t="n"/>
      <c r="P238" s="85" t="n"/>
      <c r="Q238" s="85" t="n"/>
      <c r="R238" s="85" t="n"/>
      <c r="S238" s="85" t="n"/>
      <c r="T238" s="85" t="n"/>
      <c r="U238" s="85" t="n"/>
      <c r="V238" s="85" t="n"/>
      <c r="W238" s="85" t="n"/>
      <c r="X238" s="85" t="n"/>
      <c r="Y238" s="85" t="n"/>
      <c r="Z238" s="85" t="n"/>
      <c r="AA238" s="85" t="n"/>
    </row>
    <row r="239" ht="11.5" customHeight="1" s="213">
      <c r="H239" s="85" t="n"/>
      <c r="I239" s="85" t="n"/>
      <c r="J239" s="85" t="n"/>
      <c r="K239" s="85" t="n"/>
      <c r="L239" s="85" t="n"/>
      <c r="M239" s="85" t="n"/>
      <c r="N239" s="85" t="n"/>
      <c r="O239" s="85" t="n"/>
      <c r="P239" s="85" t="n"/>
      <c r="Q239" s="85" t="n"/>
      <c r="R239" s="85" t="n"/>
      <c r="S239" s="85" t="n"/>
      <c r="T239" s="85" t="n"/>
      <c r="U239" s="85" t="n"/>
      <c r="V239" s="85" t="n"/>
      <c r="W239" s="85" t="n"/>
      <c r="X239" s="85" t="n"/>
      <c r="Y239" s="85" t="n"/>
      <c r="Z239" s="85" t="n"/>
      <c r="AA239" s="85" t="n"/>
    </row>
    <row r="240" ht="11.5" customHeight="1" s="213">
      <c r="H240" s="85" t="n"/>
      <c r="I240" s="85" t="n"/>
      <c r="J240" s="85" t="n"/>
      <c r="K240" s="85" t="n"/>
      <c r="L240" s="85" t="n"/>
      <c r="M240" s="85" t="n"/>
      <c r="N240" s="85" t="n"/>
      <c r="O240" s="85" t="n"/>
      <c r="P240" s="85" t="n"/>
      <c r="Q240" s="85" t="n"/>
      <c r="R240" s="85" t="n"/>
      <c r="S240" s="85" t="n"/>
      <c r="T240" s="85" t="n"/>
      <c r="U240" s="85" t="n"/>
      <c r="V240" s="85" t="n"/>
      <c r="W240" s="85" t="n"/>
      <c r="X240" s="85" t="n"/>
      <c r="Y240" s="85" t="n"/>
      <c r="Z240" s="85" t="n"/>
      <c r="AA240" s="85" t="n"/>
    </row>
    <row r="241" ht="11.5" customHeight="1" s="213">
      <c r="H241" s="85" t="n"/>
      <c r="I241" s="85" t="n"/>
      <c r="J241" s="85" t="n"/>
      <c r="K241" s="85" t="n"/>
      <c r="L241" s="85" t="n"/>
      <c r="M241" s="85" t="n"/>
      <c r="N241" s="85" t="n"/>
      <c r="O241" s="85" t="n"/>
      <c r="P241" s="85" t="n"/>
      <c r="Q241" s="85" t="n"/>
      <c r="R241" s="85" t="n"/>
      <c r="S241" s="85" t="n"/>
      <c r="T241" s="85" t="n"/>
      <c r="U241" s="85" t="n"/>
      <c r="V241" s="85" t="n"/>
      <c r="W241" s="85" t="n"/>
      <c r="X241" s="85" t="n"/>
      <c r="Y241" s="85" t="n"/>
      <c r="Z241" s="85" t="n"/>
      <c r="AA241" s="85" t="n"/>
    </row>
    <row r="242" ht="11.5" customHeight="1" s="213">
      <c r="H242" s="85" t="n"/>
      <c r="I242" s="85" t="n"/>
      <c r="J242" s="85" t="n"/>
      <c r="K242" s="85" t="n"/>
      <c r="L242" s="85" t="n"/>
      <c r="M242" s="85" t="n"/>
      <c r="N242" s="85" t="n"/>
      <c r="O242" s="85" t="n"/>
      <c r="P242" s="85" t="n"/>
      <c r="Q242" s="85" t="n"/>
      <c r="R242" s="85" t="n"/>
      <c r="S242" s="85" t="n"/>
      <c r="T242" s="85" t="n"/>
      <c r="U242" s="85" t="n"/>
      <c r="V242" s="85" t="n"/>
      <c r="W242" s="85" t="n"/>
      <c r="X242" s="85" t="n"/>
      <c r="Y242" s="85" t="n"/>
      <c r="Z242" s="85" t="n"/>
      <c r="AA242" s="85" t="n"/>
    </row>
    <row r="243" ht="11.5" customHeight="1" s="213">
      <c r="H243" s="85" t="n"/>
      <c r="I243" s="85" t="n"/>
      <c r="J243" s="85" t="n"/>
      <c r="K243" s="85" t="n"/>
      <c r="L243" s="85" t="n"/>
      <c r="M243" s="85" t="n"/>
      <c r="N243" s="85" t="n"/>
      <c r="O243" s="85" t="n"/>
      <c r="P243" s="85" t="n"/>
      <c r="Q243" s="85" t="n"/>
      <c r="R243" s="85" t="n"/>
      <c r="S243" s="85" t="n"/>
      <c r="T243" s="85" t="n"/>
      <c r="U243" s="85" t="n"/>
      <c r="V243" s="85" t="n"/>
      <c r="W243" s="85" t="n"/>
      <c r="X243" s="85" t="n"/>
      <c r="Y243" s="85" t="n"/>
      <c r="Z243" s="85" t="n"/>
      <c r="AA243" s="85" t="n"/>
    </row>
    <row r="244" ht="11.5" customHeight="1" s="213">
      <c r="H244" s="85" t="n"/>
      <c r="I244" s="85" t="n"/>
      <c r="J244" s="85" t="n"/>
      <c r="K244" s="85" t="n"/>
      <c r="L244" s="85" t="n"/>
      <c r="M244" s="85" t="n"/>
      <c r="N244" s="85" t="n"/>
      <c r="O244" s="85" t="n"/>
      <c r="P244" s="85" t="n"/>
      <c r="Q244" s="85" t="n"/>
      <c r="R244" s="85" t="n"/>
      <c r="S244" s="85" t="n"/>
      <c r="T244" s="85" t="n"/>
      <c r="U244" s="85" t="n"/>
      <c r="V244" s="85" t="n"/>
      <c r="W244" s="85" t="n"/>
      <c r="X244" s="85" t="n"/>
      <c r="Y244" s="85" t="n"/>
      <c r="Z244" s="85" t="n"/>
      <c r="AA244" s="85" t="n"/>
    </row>
    <row r="245" ht="11.5" customHeight="1" s="213">
      <c r="H245" s="85" t="n"/>
      <c r="I245" s="85" t="n"/>
      <c r="J245" s="85" t="n"/>
      <c r="K245" s="85" t="n"/>
      <c r="L245" s="85" t="n"/>
      <c r="M245" s="85" t="n"/>
      <c r="N245" s="85" t="n"/>
      <c r="O245" s="85" t="n"/>
      <c r="P245" s="85" t="n"/>
      <c r="Q245" s="85" t="n"/>
      <c r="R245" s="85" t="n"/>
      <c r="S245" s="85" t="n"/>
      <c r="T245" s="85" t="n"/>
      <c r="U245" s="85" t="n"/>
      <c r="V245" s="85" t="n"/>
      <c r="W245" s="85" t="n"/>
      <c r="X245" s="85" t="n"/>
      <c r="Y245" s="85" t="n"/>
      <c r="Z245" s="85" t="n"/>
      <c r="AA245" s="85" t="n"/>
    </row>
    <row r="246" ht="11.5" customHeight="1" s="213">
      <c r="H246" s="85" t="n"/>
      <c r="I246" s="85" t="n"/>
      <c r="J246" s="85" t="n"/>
      <c r="K246" s="85" t="n"/>
      <c r="L246" s="85" t="n"/>
      <c r="M246" s="85" t="n"/>
      <c r="N246" s="85" t="n"/>
      <c r="O246" s="85" t="n"/>
      <c r="P246" s="85" t="n"/>
      <c r="Q246" s="85" t="n"/>
      <c r="R246" s="85" t="n"/>
      <c r="S246" s="85" t="n"/>
      <c r="T246" s="85" t="n"/>
      <c r="U246" s="85" t="n"/>
      <c r="V246" s="85" t="n"/>
      <c r="W246" s="85" t="n"/>
      <c r="X246" s="85" t="n"/>
      <c r="Y246" s="85" t="n"/>
      <c r="Z246" s="85" t="n"/>
      <c r="AA246" s="85" t="n"/>
    </row>
    <row r="247" ht="11.5" customHeight="1" s="213">
      <c r="H247" s="85" t="n"/>
      <c r="I247" s="85" t="n"/>
      <c r="J247" s="85" t="n"/>
      <c r="K247" s="85" t="n"/>
      <c r="L247" s="85" t="n"/>
      <c r="M247" s="85" t="n"/>
      <c r="N247" s="85" t="n"/>
      <c r="O247" s="85" t="n"/>
      <c r="P247" s="85" t="n"/>
      <c r="Q247" s="85" t="n"/>
      <c r="R247" s="85" t="n"/>
      <c r="S247" s="85" t="n"/>
      <c r="T247" s="85" t="n"/>
      <c r="U247" s="85" t="n"/>
      <c r="V247" s="85" t="n"/>
      <c r="W247" s="85" t="n"/>
      <c r="X247" s="85" t="n"/>
      <c r="Y247" s="85" t="n"/>
      <c r="Z247" s="85" t="n"/>
      <c r="AA247" s="85" t="n"/>
    </row>
    <row r="248" ht="11.5" customHeight="1" s="213">
      <c r="H248" s="85" t="n"/>
      <c r="I248" s="85" t="n"/>
      <c r="J248" s="85" t="n"/>
      <c r="K248" s="85" t="n"/>
      <c r="L248" s="85" t="n"/>
      <c r="M248" s="85" t="n"/>
      <c r="N248" s="85" t="n"/>
      <c r="O248" s="85" t="n"/>
      <c r="P248" s="85" t="n"/>
      <c r="Q248" s="85" t="n"/>
      <c r="R248" s="85" t="n"/>
      <c r="S248" s="85" t="n"/>
      <c r="T248" s="85" t="n"/>
      <c r="U248" s="85" t="n"/>
      <c r="V248" s="85" t="n"/>
      <c r="W248" s="85" t="n"/>
      <c r="X248" s="85" t="n"/>
      <c r="Y248" s="85" t="n"/>
      <c r="Z248" s="85" t="n"/>
      <c r="AA248" s="85" t="n"/>
    </row>
    <row r="249" ht="11.5" customHeight="1" s="213">
      <c r="H249" s="85" t="n"/>
      <c r="I249" s="85" t="n"/>
      <c r="J249" s="85" t="n"/>
      <c r="K249" s="85" t="n"/>
      <c r="L249" s="85" t="n"/>
      <c r="M249" s="85" t="n"/>
      <c r="N249" s="85" t="n"/>
      <c r="O249" s="85" t="n"/>
      <c r="P249" s="85" t="n"/>
      <c r="Q249" s="85" t="n"/>
      <c r="R249" s="85" t="n"/>
      <c r="S249" s="85" t="n"/>
      <c r="T249" s="85" t="n"/>
      <c r="U249" s="85" t="n"/>
      <c r="V249" s="85" t="n"/>
      <c r="W249" s="85" t="n"/>
      <c r="X249" s="85" t="n"/>
      <c r="Y249" s="85" t="n"/>
      <c r="Z249" s="85" t="n"/>
      <c r="AA249" s="85" t="n"/>
    </row>
    <row r="250" ht="11.5" customHeight="1" s="213">
      <c r="H250" s="85" t="n"/>
      <c r="I250" s="85" t="n"/>
      <c r="J250" s="85" t="n"/>
      <c r="K250" s="85" t="n"/>
      <c r="L250" s="85" t="n"/>
      <c r="M250" s="85" t="n"/>
      <c r="N250" s="85" t="n"/>
      <c r="O250" s="85" t="n"/>
      <c r="P250" s="85" t="n"/>
      <c r="Q250" s="85" t="n"/>
      <c r="R250" s="85" t="n"/>
      <c r="S250" s="85" t="n"/>
      <c r="T250" s="85" t="n"/>
      <c r="U250" s="85" t="n"/>
      <c r="V250" s="85" t="n"/>
      <c r="W250" s="85" t="n"/>
      <c r="X250" s="85" t="n"/>
      <c r="Y250" s="85" t="n"/>
      <c r="Z250" s="85" t="n"/>
      <c r="AA250" s="85" t="n"/>
    </row>
    <row r="251" ht="11.5" customHeight="1" s="213">
      <c r="H251" s="85" t="n"/>
      <c r="I251" s="85" t="n"/>
      <c r="J251" s="85" t="n"/>
      <c r="K251" s="85" t="n"/>
      <c r="L251" s="85" t="n"/>
      <c r="M251" s="85" t="n"/>
      <c r="N251" s="85" t="n"/>
      <c r="O251" s="85" t="n"/>
      <c r="P251" s="85" t="n"/>
      <c r="Q251" s="85" t="n"/>
      <c r="R251" s="85" t="n"/>
      <c r="S251" s="85" t="n"/>
      <c r="T251" s="85" t="n"/>
      <c r="U251" s="85" t="n"/>
      <c r="V251" s="85" t="n"/>
      <c r="W251" s="85" t="n"/>
      <c r="X251" s="85" t="n"/>
      <c r="Y251" s="85" t="n"/>
      <c r="Z251" s="85" t="n"/>
      <c r="AA251" s="85" t="n"/>
    </row>
    <row r="252" ht="11.5" customHeight="1" s="213">
      <c r="H252" s="85" t="n"/>
      <c r="I252" s="85" t="n"/>
      <c r="J252" s="85" t="n"/>
      <c r="K252" s="85" t="n"/>
      <c r="L252" s="85" t="n"/>
      <c r="M252" s="85" t="n"/>
      <c r="N252" s="85" t="n"/>
      <c r="O252" s="85" t="n"/>
      <c r="P252" s="85" t="n"/>
      <c r="Q252" s="85" t="n"/>
      <c r="R252" s="85" t="n"/>
      <c r="S252" s="85" t="n"/>
      <c r="T252" s="85" t="n"/>
      <c r="U252" s="85" t="n"/>
      <c r="V252" s="85" t="n"/>
      <c r="W252" s="85" t="n"/>
      <c r="X252" s="85" t="n"/>
      <c r="Y252" s="85" t="n"/>
      <c r="Z252" s="85" t="n"/>
      <c r="AA252" s="85" t="n"/>
    </row>
    <row r="253" ht="11.5" customHeight="1" s="213">
      <c r="H253" s="85" t="n"/>
      <c r="I253" s="85" t="n"/>
      <c r="J253" s="85" t="n"/>
      <c r="K253" s="85" t="n"/>
      <c r="L253" s="85" t="n"/>
      <c r="M253" s="85" t="n"/>
      <c r="N253" s="85" t="n"/>
      <c r="O253" s="85" t="n"/>
      <c r="P253" s="85" t="n"/>
      <c r="Q253" s="85" t="n"/>
      <c r="R253" s="85" t="n"/>
      <c r="S253" s="85" t="n"/>
      <c r="T253" s="85" t="n"/>
      <c r="U253" s="85" t="n"/>
      <c r="V253" s="85" t="n"/>
      <c r="W253" s="85" t="n"/>
      <c r="X253" s="85" t="n"/>
      <c r="Y253" s="85" t="n"/>
      <c r="Z253" s="85" t="n"/>
      <c r="AA253" s="85" t="n"/>
    </row>
    <row r="254" ht="11.5" customHeight="1" s="213">
      <c r="H254" s="85" t="n"/>
      <c r="I254" s="85" t="n"/>
      <c r="J254" s="85" t="n"/>
      <c r="K254" s="85" t="n"/>
      <c r="L254" s="85" t="n"/>
      <c r="M254" s="85" t="n"/>
      <c r="N254" s="85" t="n"/>
      <c r="O254" s="85" t="n"/>
      <c r="P254" s="85" t="n"/>
      <c r="Q254" s="85" t="n"/>
      <c r="R254" s="85" t="n"/>
      <c r="S254" s="85" t="n"/>
      <c r="T254" s="85" t="n"/>
      <c r="U254" s="85" t="n"/>
      <c r="V254" s="85" t="n"/>
      <c r="W254" s="85" t="n"/>
      <c r="X254" s="85" t="n"/>
      <c r="Y254" s="85" t="n"/>
      <c r="Z254" s="85" t="n"/>
      <c r="AA254" s="85" t="n"/>
    </row>
    <row r="255" ht="11.5" customHeight="1" s="213">
      <c r="H255" s="85" t="n"/>
      <c r="I255" s="85" t="n"/>
      <c r="J255" s="85" t="n"/>
      <c r="K255" s="85" t="n"/>
      <c r="L255" s="85" t="n"/>
      <c r="M255" s="85" t="n"/>
      <c r="N255" s="85" t="n"/>
      <c r="O255" s="85" t="n"/>
      <c r="P255" s="85" t="n"/>
      <c r="Q255" s="85" t="n"/>
      <c r="R255" s="85" t="n"/>
      <c r="S255" s="85" t="n"/>
      <c r="T255" s="85" t="n"/>
      <c r="U255" s="85" t="n"/>
      <c r="V255" s="85" t="n"/>
      <c r="W255" s="85" t="n"/>
      <c r="X255" s="85" t="n"/>
      <c r="Y255" s="85" t="n"/>
      <c r="Z255" s="85" t="n"/>
      <c r="AA255" s="85" t="n"/>
    </row>
    <row r="256" ht="11.5" customHeight="1" s="213">
      <c r="H256" s="85" t="n"/>
      <c r="I256" s="85" t="n"/>
      <c r="J256" s="85" t="n"/>
      <c r="K256" s="85" t="n"/>
      <c r="L256" s="85" t="n"/>
      <c r="M256" s="85" t="n"/>
      <c r="N256" s="85" t="n"/>
      <c r="O256" s="85" t="n"/>
      <c r="P256" s="85" t="n"/>
      <c r="Q256" s="85" t="n"/>
      <c r="R256" s="85" t="n"/>
      <c r="S256" s="85" t="n"/>
      <c r="T256" s="85" t="n"/>
      <c r="U256" s="85" t="n"/>
      <c r="V256" s="85" t="n"/>
      <c r="W256" s="85" t="n"/>
      <c r="X256" s="85" t="n"/>
      <c r="Y256" s="85" t="n"/>
      <c r="Z256" s="85" t="n"/>
      <c r="AA256" s="85" t="n"/>
    </row>
    <row r="257" ht="11.5" customHeight="1" s="213">
      <c r="H257" s="85" t="n"/>
      <c r="I257" s="85" t="n"/>
      <c r="J257" s="85" t="n"/>
      <c r="K257" s="85" t="n"/>
      <c r="L257" s="85" t="n"/>
      <c r="M257" s="85" t="n"/>
      <c r="N257" s="85" t="n"/>
      <c r="O257" s="85" t="n"/>
      <c r="P257" s="85" t="n"/>
      <c r="Q257" s="85" t="n"/>
      <c r="R257" s="85" t="n"/>
      <c r="S257" s="85" t="n"/>
      <c r="T257" s="85" t="n"/>
      <c r="U257" s="85" t="n"/>
      <c r="V257" s="85" t="n"/>
      <c r="W257" s="85" t="n"/>
      <c r="X257" s="85" t="n"/>
      <c r="Y257" s="85" t="n"/>
      <c r="Z257" s="85" t="n"/>
      <c r="AA257" s="85" t="n"/>
    </row>
    <row r="258" ht="11.5" customHeight="1" s="213">
      <c r="H258" s="85" t="n"/>
      <c r="I258" s="85" t="n"/>
      <c r="J258" s="85" t="n"/>
      <c r="K258" s="85" t="n"/>
      <c r="L258" s="85" t="n"/>
      <c r="M258" s="85" t="n"/>
      <c r="N258" s="85" t="n"/>
      <c r="O258" s="85" t="n"/>
      <c r="P258" s="85" t="n"/>
      <c r="Q258" s="85" t="n"/>
      <c r="R258" s="85" t="n"/>
      <c r="S258" s="85" t="n"/>
      <c r="T258" s="85" t="n"/>
      <c r="U258" s="85" t="n"/>
      <c r="V258" s="85" t="n"/>
      <c r="W258" s="85" t="n"/>
      <c r="X258" s="85" t="n"/>
      <c r="Y258" s="85" t="n"/>
      <c r="Z258" s="85" t="n"/>
      <c r="AA258" s="85" t="n"/>
    </row>
    <row r="259" ht="11.5" customHeight="1" s="213">
      <c r="H259" s="85" t="n"/>
      <c r="I259" s="85" t="n"/>
      <c r="J259" s="85" t="n"/>
      <c r="K259" s="85" t="n"/>
      <c r="L259" s="85" t="n"/>
      <c r="M259" s="85" t="n"/>
      <c r="N259" s="85" t="n"/>
      <c r="O259" s="85" t="n"/>
      <c r="P259" s="85" t="n"/>
      <c r="Q259" s="85" t="n"/>
      <c r="R259" s="85" t="n"/>
      <c r="S259" s="85" t="n"/>
      <c r="T259" s="85" t="n"/>
      <c r="U259" s="85" t="n"/>
      <c r="V259" s="85" t="n"/>
      <c r="W259" s="85" t="n"/>
      <c r="X259" s="85" t="n"/>
      <c r="Y259" s="85" t="n"/>
      <c r="Z259" s="85" t="n"/>
      <c r="AA259" s="85" t="n"/>
    </row>
    <row r="260" ht="11.5" customHeight="1" s="213">
      <c r="H260" s="85" t="n"/>
      <c r="I260" s="85" t="n"/>
      <c r="J260" s="85" t="n"/>
      <c r="K260" s="85" t="n"/>
      <c r="L260" s="85" t="n"/>
      <c r="M260" s="85" t="n"/>
      <c r="N260" s="85" t="n"/>
      <c r="O260" s="85" t="n"/>
      <c r="P260" s="85" t="n"/>
      <c r="Q260" s="85" t="n"/>
      <c r="R260" s="85" t="n"/>
      <c r="S260" s="85" t="n"/>
      <c r="T260" s="85" t="n"/>
      <c r="U260" s="85" t="n"/>
      <c r="V260" s="85" t="n"/>
      <c r="W260" s="85" t="n"/>
      <c r="X260" s="85" t="n"/>
      <c r="Y260" s="85" t="n"/>
      <c r="Z260" s="85" t="n"/>
      <c r="AA260" s="85" t="n"/>
    </row>
    <row r="261" ht="11.5" customHeight="1" s="213">
      <c r="H261" s="85" t="n"/>
      <c r="I261" s="85" t="n"/>
      <c r="J261" s="85" t="n"/>
      <c r="K261" s="85" t="n"/>
      <c r="L261" s="85" t="n"/>
      <c r="M261" s="85" t="n"/>
      <c r="N261" s="85" t="n"/>
      <c r="O261" s="85" t="n"/>
      <c r="P261" s="85" t="n"/>
      <c r="Q261" s="85" t="n"/>
      <c r="R261" s="85" t="n"/>
      <c r="S261" s="85" t="n"/>
      <c r="T261" s="85" t="n"/>
      <c r="U261" s="85" t="n"/>
      <c r="V261" s="85" t="n"/>
      <c r="W261" s="85" t="n"/>
      <c r="X261" s="85" t="n"/>
      <c r="Y261" s="85" t="n"/>
      <c r="Z261" s="85" t="n"/>
      <c r="AA261" s="85" t="n"/>
    </row>
    <row r="262" ht="11.5" customHeight="1" s="213">
      <c r="H262" s="85" t="n"/>
      <c r="I262" s="85" t="n"/>
      <c r="J262" s="85" t="n"/>
      <c r="K262" s="85" t="n"/>
      <c r="L262" s="85" t="n"/>
      <c r="M262" s="85" t="n"/>
      <c r="N262" s="85" t="n"/>
      <c r="O262" s="85" t="n"/>
      <c r="P262" s="85" t="n"/>
      <c r="Q262" s="85" t="n"/>
      <c r="R262" s="85" t="n"/>
      <c r="S262" s="85" t="n"/>
      <c r="T262" s="85" t="n"/>
      <c r="U262" s="85" t="n"/>
      <c r="V262" s="85" t="n"/>
      <c r="W262" s="85" t="n"/>
      <c r="X262" s="85" t="n"/>
      <c r="Y262" s="85" t="n"/>
      <c r="Z262" s="85" t="n"/>
      <c r="AA262" s="85" t="n"/>
    </row>
    <row r="263" ht="11.5" customHeight="1" s="213">
      <c r="H263" s="85" t="n"/>
      <c r="I263" s="85" t="n"/>
      <c r="J263" s="85" t="n"/>
      <c r="K263" s="85" t="n"/>
      <c r="L263" s="85" t="n"/>
      <c r="M263" s="85" t="n"/>
      <c r="N263" s="85" t="n"/>
      <c r="O263" s="85" t="n"/>
      <c r="P263" s="85" t="n"/>
      <c r="Q263" s="85" t="n"/>
      <c r="R263" s="85" t="n"/>
      <c r="S263" s="85" t="n"/>
      <c r="T263" s="85" t="n"/>
      <c r="U263" s="85" t="n"/>
      <c r="V263" s="85" t="n"/>
      <c r="W263" s="85" t="n"/>
      <c r="X263" s="85" t="n"/>
      <c r="Y263" s="85" t="n"/>
      <c r="Z263" s="85" t="n"/>
      <c r="AA263" s="85" t="n"/>
    </row>
    <row r="264" ht="11.5" customHeight="1" s="213">
      <c r="H264" s="85" t="n"/>
      <c r="I264" s="85" t="n"/>
      <c r="J264" s="85" t="n"/>
      <c r="K264" s="85" t="n"/>
      <c r="L264" s="85" t="n"/>
      <c r="M264" s="85" t="n"/>
      <c r="N264" s="85" t="n"/>
      <c r="O264" s="85" t="n"/>
      <c r="P264" s="85" t="n"/>
      <c r="Q264" s="85" t="n"/>
      <c r="R264" s="85" t="n"/>
      <c r="S264" s="85" t="n"/>
      <c r="T264" s="85" t="n"/>
      <c r="U264" s="85" t="n"/>
      <c r="V264" s="85" t="n"/>
      <c r="W264" s="85" t="n"/>
      <c r="X264" s="85" t="n"/>
      <c r="Y264" s="85" t="n"/>
      <c r="Z264" s="85" t="n"/>
      <c r="AA264" s="85" t="n"/>
    </row>
    <row r="265" ht="11.5" customHeight="1" s="213">
      <c r="H265" s="85" t="n"/>
      <c r="I265" s="85" t="n"/>
      <c r="J265" s="85" t="n"/>
      <c r="K265" s="85" t="n"/>
      <c r="L265" s="85" t="n"/>
      <c r="M265" s="85" t="n"/>
      <c r="N265" s="85" t="n"/>
      <c r="O265" s="85" t="n"/>
      <c r="P265" s="85" t="n"/>
      <c r="Q265" s="85" t="n"/>
      <c r="R265" s="85" t="n"/>
      <c r="S265" s="85" t="n"/>
      <c r="T265" s="85" t="n"/>
      <c r="U265" s="85" t="n"/>
      <c r="V265" s="85" t="n"/>
      <c r="W265" s="85" t="n"/>
      <c r="X265" s="85" t="n"/>
      <c r="Y265" s="85" t="n"/>
      <c r="Z265" s="85" t="n"/>
      <c r="AA265" s="85" t="n"/>
    </row>
    <row r="266" ht="11.5" customHeight="1" s="213">
      <c r="H266" s="85" t="n"/>
      <c r="I266" s="85" t="n"/>
      <c r="J266" s="85" t="n"/>
      <c r="K266" s="85" t="n"/>
      <c r="L266" s="85" t="n"/>
      <c r="M266" s="85" t="n"/>
      <c r="N266" s="85" t="n"/>
      <c r="O266" s="85" t="n"/>
      <c r="P266" s="85" t="n"/>
      <c r="Q266" s="85" t="n"/>
      <c r="R266" s="85" t="n"/>
      <c r="S266" s="85" t="n"/>
      <c r="T266" s="85" t="n"/>
      <c r="U266" s="85" t="n"/>
      <c r="V266" s="85" t="n"/>
      <c r="W266" s="85" t="n"/>
      <c r="X266" s="85" t="n"/>
      <c r="Y266" s="85" t="n"/>
      <c r="Z266" s="85" t="n"/>
      <c r="AA266" s="85" t="n"/>
    </row>
    <row r="267" ht="11.5" customHeight="1" s="213">
      <c r="H267" s="85" t="n"/>
      <c r="I267" s="85" t="n"/>
      <c r="J267" s="85" t="n"/>
      <c r="K267" s="85" t="n"/>
      <c r="L267" s="85" t="n"/>
      <c r="M267" s="85" t="n"/>
      <c r="N267" s="85" t="n"/>
      <c r="O267" s="85" t="n"/>
      <c r="P267" s="85" t="n"/>
      <c r="Q267" s="85" t="n"/>
      <c r="R267" s="85" t="n"/>
      <c r="S267" s="85" t="n"/>
      <c r="T267" s="85" t="n"/>
      <c r="U267" s="85" t="n"/>
      <c r="V267" s="85" t="n"/>
      <c r="W267" s="85" t="n"/>
      <c r="X267" s="85" t="n"/>
      <c r="Y267" s="85" t="n"/>
      <c r="Z267" s="85" t="n"/>
      <c r="AA267" s="85" t="n"/>
    </row>
    <row r="268" ht="11.5" customHeight="1" s="213">
      <c r="H268" s="85" t="n"/>
      <c r="I268" s="85" t="n"/>
      <c r="J268" s="85" t="n"/>
      <c r="K268" s="85" t="n"/>
      <c r="L268" s="85" t="n"/>
      <c r="M268" s="85" t="n"/>
      <c r="N268" s="85" t="n"/>
      <c r="O268" s="85" t="n"/>
      <c r="P268" s="85" t="n"/>
      <c r="Q268" s="85" t="n"/>
      <c r="R268" s="85" t="n"/>
      <c r="S268" s="85" t="n"/>
      <c r="T268" s="85" t="n"/>
      <c r="U268" s="85" t="n"/>
      <c r="V268" s="85" t="n"/>
      <c r="W268" s="85" t="n"/>
      <c r="X268" s="85" t="n"/>
      <c r="Y268" s="85" t="n"/>
      <c r="Z268" s="85" t="n"/>
      <c r="AA268" s="85" t="n"/>
    </row>
    <row r="269" ht="11.5" customHeight="1" s="213">
      <c r="H269" s="85" t="n"/>
      <c r="I269" s="85" t="n"/>
      <c r="J269" s="85" t="n"/>
      <c r="K269" s="85" t="n"/>
      <c r="L269" s="85" t="n"/>
      <c r="M269" s="85" t="n"/>
      <c r="N269" s="85" t="n"/>
      <c r="O269" s="85" t="n"/>
      <c r="P269" s="85" t="n"/>
      <c r="Q269" s="85" t="n"/>
      <c r="R269" s="85" t="n"/>
      <c r="S269" s="85" t="n"/>
      <c r="T269" s="85" t="n"/>
      <c r="U269" s="85" t="n"/>
      <c r="V269" s="85" t="n"/>
      <c r="W269" s="85" t="n"/>
      <c r="X269" s="85" t="n"/>
      <c r="Y269" s="85" t="n"/>
      <c r="Z269" s="85" t="n"/>
      <c r="AA269" s="85" t="n"/>
    </row>
    <row r="270" ht="11.5" customHeight="1" s="213">
      <c r="H270" s="85" t="n"/>
      <c r="I270" s="85" t="n"/>
      <c r="J270" s="85" t="n"/>
      <c r="K270" s="85" t="n"/>
      <c r="L270" s="85" t="n"/>
      <c r="M270" s="85" t="n"/>
      <c r="N270" s="85" t="n"/>
      <c r="O270" s="85" t="n"/>
      <c r="P270" s="85" t="n"/>
      <c r="Q270" s="85" t="n"/>
      <c r="R270" s="85" t="n"/>
      <c r="S270" s="85" t="n"/>
      <c r="T270" s="85" t="n"/>
      <c r="U270" s="85" t="n"/>
      <c r="V270" s="85" t="n"/>
      <c r="W270" s="85" t="n"/>
      <c r="X270" s="85" t="n"/>
      <c r="Y270" s="85" t="n"/>
      <c r="Z270" s="85" t="n"/>
      <c r="AA270" s="85" t="n"/>
    </row>
    <row r="271" ht="11.5" customHeight="1" s="213">
      <c r="H271" s="85" t="n"/>
      <c r="I271" s="85" t="n"/>
      <c r="J271" s="85" t="n"/>
      <c r="K271" s="85" t="n"/>
      <c r="L271" s="85" t="n"/>
      <c r="M271" s="85" t="n"/>
      <c r="N271" s="85" t="n"/>
      <c r="O271" s="85" t="n"/>
      <c r="P271" s="85" t="n"/>
      <c r="Q271" s="85" t="n"/>
      <c r="R271" s="85" t="n"/>
      <c r="S271" s="85" t="n"/>
      <c r="T271" s="85" t="n"/>
      <c r="U271" s="85" t="n"/>
      <c r="V271" s="85" t="n"/>
      <c r="W271" s="85" t="n"/>
      <c r="X271" s="85" t="n"/>
      <c r="Y271" s="85" t="n"/>
      <c r="Z271" s="85" t="n"/>
      <c r="AA271" s="85" t="n"/>
    </row>
    <row r="272" ht="11.5" customHeight="1" s="213">
      <c r="H272" s="85" t="n"/>
      <c r="I272" s="85" t="n"/>
      <c r="J272" s="85" t="n"/>
      <c r="K272" s="85" t="n"/>
      <c r="L272" s="85" t="n"/>
      <c r="M272" s="85" t="n"/>
      <c r="N272" s="85" t="n"/>
      <c r="O272" s="85" t="n"/>
      <c r="P272" s="85" t="n"/>
      <c r="Q272" s="85" t="n"/>
      <c r="R272" s="85" t="n"/>
      <c r="S272" s="85" t="n"/>
      <c r="T272" s="85" t="n"/>
      <c r="U272" s="85" t="n"/>
      <c r="V272" s="85" t="n"/>
      <c r="W272" s="85" t="n"/>
      <c r="X272" s="85" t="n"/>
      <c r="Y272" s="85" t="n"/>
      <c r="Z272" s="85" t="n"/>
      <c r="AA272" s="85" t="n"/>
    </row>
    <row r="273" ht="11.5" customHeight="1" s="213">
      <c r="H273" s="85" t="n"/>
      <c r="I273" s="85" t="n"/>
      <c r="J273" s="85" t="n"/>
      <c r="K273" s="85" t="n"/>
      <c r="L273" s="85" t="n"/>
      <c r="M273" s="85" t="n"/>
      <c r="N273" s="85" t="n"/>
      <c r="O273" s="85" t="n"/>
      <c r="P273" s="85" t="n"/>
      <c r="Q273" s="85" t="n"/>
      <c r="R273" s="85" t="n"/>
      <c r="S273" s="85" t="n"/>
      <c r="T273" s="85" t="n"/>
      <c r="U273" s="85" t="n"/>
      <c r="V273" s="85" t="n"/>
      <c r="W273" s="85" t="n"/>
      <c r="X273" s="85" t="n"/>
      <c r="Y273" s="85" t="n"/>
      <c r="Z273" s="85" t="n"/>
      <c r="AA273" s="85" t="n"/>
    </row>
    <row r="274" ht="11.5" customHeight="1" s="213">
      <c r="H274" s="85" t="n"/>
      <c r="I274" s="85" t="n"/>
      <c r="J274" s="85" t="n"/>
      <c r="K274" s="85" t="n"/>
      <c r="L274" s="85" t="n"/>
      <c r="M274" s="85" t="n"/>
      <c r="N274" s="85" t="n"/>
      <c r="O274" s="85" t="n"/>
      <c r="P274" s="85" t="n"/>
      <c r="Q274" s="85" t="n"/>
      <c r="R274" s="85" t="n"/>
      <c r="S274" s="85" t="n"/>
      <c r="T274" s="85" t="n"/>
      <c r="U274" s="85" t="n"/>
      <c r="V274" s="85" t="n"/>
      <c r="W274" s="85" t="n"/>
      <c r="X274" s="85" t="n"/>
      <c r="Y274" s="85" t="n"/>
      <c r="Z274" s="85" t="n"/>
      <c r="AA274" s="85" t="n"/>
    </row>
    <row r="275" ht="11.5" customHeight="1" s="213">
      <c r="H275" s="85" t="n"/>
      <c r="I275" s="85" t="n"/>
      <c r="J275" s="85" t="n"/>
      <c r="K275" s="85" t="n"/>
      <c r="L275" s="85" t="n"/>
      <c r="M275" s="85" t="n"/>
      <c r="N275" s="85" t="n"/>
      <c r="O275" s="85" t="n"/>
      <c r="P275" s="85" t="n"/>
      <c r="Q275" s="85" t="n"/>
      <c r="R275" s="85" t="n"/>
      <c r="S275" s="85" t="n"/>
      <c r="T275" s="85" t="n"/>
      <c r="U275" s="85" t="n"/>
      <c r="V275" s="85" t="n"/>
      <c r="W275" s="85" t="n"/>
      <c r="X275" s="85" t="n"/>
      <c r="Y275" s="85" t="n"/>
      <c r="Z275" s="85" t="n"/>
      <c r="AA275" s="85" t="n"/>
    </row>
    <row r="276" ht="11.5" customHeight="1" s="213">
      <c r="H276" s="85" t="n"/>
      <c r="I276" s="85" t="n"/>
      <c r="J276" s="85" t="n"/>
      <c r="K276" s="85" t="n"/>
      <c r="L276" s="85" t="n"/>
      <c r="M276" s="85" t="n"/>
      <c r="N276" s="85" t="n"/>
      <c r="O276" s="85" t="n"/>
      <c r="P276" s="85" t="n"/>
      <c r="Q276" s="85" t="n"/>
      <c r="R276" s="85" t="n"/>
      <c r="S276" s="85" t="n"/>
      <c r="T276" s="85" t="n"/>
      <c r="U276" s="85" t="n"/>
      <c r="V276" s="85" t="n"/>
      <c r="W276" s="85" t="n"/>
      <c r="X276" s="85" t="n"/>
      <c r="Y276" s="85" t="n"/>
      <c r="Z276" s="85" t="n"/>
      <c r="AA276" s="85" t="n"/>
    </row>
    <row r="277" ht="11.5" customHeight="1" s="213">
      <c r="H277" s="85" t="n"/>
      <c r="I277" s="85" t="n"/>
      <c r="J277" s="85" t="n"/>
      <c r="K277" s="85" t="n"/>
      <c r="L277" s="85" t="n"/>
      <c r="M277" s="85" t="n"/>
      <c r="N277" s="85" t="n"/>
      <c r="O277" s="85" t="n"/>
      <c r="P277" s="85" t="n"/>
      <c r="Q277" s="85" t="n"/>
      <c r="R277" s="85" t="n"/>
      <c r="S277" s="85" t="n"/>
      <c r="T277" s="85" t="n"/>
      <c r="U277" s="85" t="n"/>
      <c r="V277" s="85" t="n"/>
      <c r="W277" s="85" t="n"/>
      <c r="X277" s="85" t="n"/>
      <c r="Y277" s="85" t="n"/>
      <c r="Z277" s="85" t="n"/>
      <c r="AA277" s="85" t="n"/>
    </row>
    <row r="278" ht="11.5" customHeight="1" s="213">
      <c r="H278" s="85" t="n"/>
      <c r="I278" s="85" t="n"/>
      <c r="J278" s="85" t="n"/>
      <c r="K278" s="85" t="n"/>
      <c r="L278" s="85" t="n"/>
      <c r="M278" s="85" t="n"/>
      <c r="N278" s="85" t="n"/>
      <c r="O278" s="85" t="n"/>
      <c r="P278" s="85" t="n"/>
      <c r="Q278" s="85" t="n"/>
      <c r="R278" s="85" t="n"/>
      <c r="S278" s="85" t="n"/>
      <c r="T278" s="85" t="n"/>
      <c r="U278" s="85" t="n"/>
      <c r="V278" s="85" t="n"/>
      <c r="W278" s="85" t="n"/>
      <c r="X278" s="85" t="n"/>
      <c r="Y278" s="85" t="n"/>
      <c r="Z278" s="85" t="n"/>
      <c r="AA278" s="85" t="n"/>
    </row>
    <row r="279" ht="11.5" customHeight="1" s="213">
      <c r="H279" s="85" t="n"/>
      <c r="I279" s="85" t="n"/>
      <c r="J279" s="85" t="n"/>
      <c r="K279" s="85" t="n"/>
      <c r="L279" s="85" t="n"/>
      <c r="M279" s="85" t="n"/>
      <c r="N279" s="85" t="n"/>
      <c r="O279" s="85" t="n"/>
      <c r="P279" s="85" t="n"/>
      <c r="Q279" s="85" t="n"/>
      <c r="R279" s="85" t="n"/>
      <c r="S279" s="85" t="n"/>
      <c r="T279" s="85" t="n"/>
      <c r="U279" s="85" t="n"/>
      <c r="V279" s="85" t="n"/>
      <c r="W279" s="85" t="n"/>
      <c r="X279" s="85" t="n"/>
      <c r="Y279" s="85" t="n"/>
      <c r="Z279" s="85" t="n"/>
      <c r="AA279" s="85" t="n"/>
    </row>
    <row r="280" ht="11.5" customHeight="1" s="213">
      <c r="H280" s="85" t="n"/>
      <c r="I280" s="85" t="n"/>
      <c r="J280" s="85" t="n"/>
      <c r="K280" s="85" t="n"/>
      <c r="L280" s="85" t="n"/>
      <c r="M280" s="85" t="n"/>
      <c r="N280" s="85" t="n"/>
      <c r="O280" s="85" t="n"/>
      <c r="P280" s="85" t="n"/>
      <c r="Q280" s="85" t="n"/>
      <c r="R280" s="85" t="n"/>
      <c r="S280" s="85" t="n"/>
      <c r="T280" s="85" t="n"/>
      <c r="U280" s="85" t="n"/>
      <c r="V280" s="85" t="n"/>
      <c r="W280" s="85" t="n"/>
      <c r="X280" s="85" t="n"/>
      <c r="Y280" s="85" t="n"/>
      <c r="Z280" s="85" t="n"/>
      <c r="AA280" s="85" t="n"/>
    </row>
    <row r="281" ht="11.5" customHeight="1" s="213">
      <c r="H281" s="85" t="n"/>
      <c r="I281" s="85" t="n"/>
      <c r="J281" s="85" t="n"/>
      <c r="K281" s="85" t="n"/>
      <c r="L281" s="85" t="n"/>
      <c r="M281" s="85" t="n"/>
      <c r="N281" s="85" t="n"/>
      <c r="O281" s="85" t="n"/>
      <c r="P281" s="85" t="n"/>
      <c r="Q281" s="85" t="n"/>
      <c r="R281" s="85" t="n"/>
      <c r="S281" s="85" t="n"/>
      <c r="T281" s="85" t="n"/>
      <c r="U281" s="85" t="n"/>
      <c r="V281" s="85" t="n"/>
      <c r="W281" s="85" t="n"/>
      <c r="X281" s="85" t="n"/>
      <c r="Y281" s="85" t="n"/>
      <c r="Z281" s="85" t="n"/>
      <c r="AA281" s="85" t="n"/>
    </row>
  </sheetData>
  <pageMargins left="0.75" right="0.75" top="1" bottom="1" header="0.5" footer="0.5"/>
  <pageSetup orientation="portrait" paperSize="1"/>
</worksheet>
</file>

<file path=xl/worksheets/sheet2.xml><?xml version="1.0" encoding="utf-8"?>
<worksheet xmlns="http://schemas.openxmlformats.org/spreadsheetml/2006/main">
  <sheetPr>
    <tabColor theme="4"/>
    <outlinePr summaryBelow="1" summaryRight="1"/>
    <pageSetUpPr/>
  </sheetPr>
  <dimension ref="B1:CP264"/>
  <sheetViews>
    <sheetView topLeftCell="Z1" zoomScale="53" zoomScaleNormal="53" workbookViewId="0">
      <selection pane="topLeft" activeCell="BB3" sqref="BB3:BB4"/>
    </sheetView>
  </sheetViews>
  <sheetFormatPr baseColWidth="8" defaultColWidth="8.72428571428571" defaultRowHeight="14.5"/>
  <cols>
    <col width="8.71428571428571" customWidth="1" style="208" min="1" max="1"/>
    <col width="130.857142857143" customWidth="1" style="208" min="2" max="2"/>
    <col width="12.8571428571429" customWidth="1" style="208" min="3" max="5"/>
    <col width="30.1428571428571" customWidth="1" style="208" min="6" max="6"/>
    <col width="34.8571428571429" customWidth="1" style="208" min="7" max="7"/>
    <col width="32.5714285714286" customWidth="1" style="208" min="8" max="8"/>
    <col width="30.7142857142857" customWidth="1" style="208" min="9" max="9"/>
    <col width="12.8571428571429" customWidth="1" style="208" min="10" max="11"/>
    <col width="34.8571428571429" customWidth="1" style="208" min="12" max="12"/>
    <col width="12.8571428571429" customWidth="1" style="208" min="13" max="15"/>
    <col width="8.71428571428571" customWidth="1" style="208" min="16" max="16"/>
    <col width="34.8571428571429" customWidth="1" style="208" min="17" max="17"/>
    <col width="14.7142857142857" customWidth="1" style="208" min="18" max="18"/>
    <col width="12.8571428571429" customWidth="1" style="208" min="19" max="20"/>
    <col width="23.4285714285714" customWidth="1" style="208" min="21" max="21"/>
    <col width="34.8571428571429" customWidth="1" style="208" min="22" max="22"/>
    <col width="12.8571428571429" customWidth="1" style="208" min="23" max="26"/>
    <col width="50" customWidth="1" style="208" min="27" max="27"/>
    <col width="12.8571428571429" customWidth="1" style="208" min="28" max="40"/>
    <col width="8.71428571428571" customWidth="1" style="208" min="41" max="44"/>
    <col width="12.8571428571429" customWidth="1" style="185" min="45" max="47"/>
    <col width="12.8571428571429" customWidth="1" style="208" min="48" max="48"/>
    <col width="63.7142857142857" customWidth="1" style="208" min="49" max="49"/>
    <col width="12.8571428571429" customWidth="1" style="208" min="50" max="54"/>
    <col width="12.8571428571429" customWidth="1" style="208" min="55" max="55"/>
    <col width="12.8571428571429" customWidth="1" style="208" min="56" max="56"/>
    <col width="30" customWidth="1" style="186" min="57" max="57"/>
    <col width="22" customWidth="1" style="186" min="58" max="58"/>
    <col width="12" customWidth="1" style="186" min="59" max="87"/>
    <col width="8.71428571428571" customWidth="1" style="186" min="88" max="89"/>
    <col width="8.71428571428571" customWidth="1" style="186" min="90" max="94"/>
    <col width="8.71428571428571" customWidth="1" style="208" min="95" max="16343"/>
    <col width="8.71428571428571" customWidth="1" style="208" min="16344" max="16384"/>
  </cols>
  <sheetData>
    <row r="1" ht="14.5" customFormat="1" customHeight="1" s="208">
      <c r="B1" s="208" t="inlineStr">
        <is>
          <t>*The original pack CAPEX price is 10million USD/GWh is too rough, and we also wanna project cost trends over time, so we sourced from NREL's ATB report</t>
        </is>
      </c>
      <c r="R1" s="208" t="inlineStr">
        <is>
          <t>*Downloaded from ATB 2024: output file, only representative vehicle battery type is presented below</t>
        </is>
      </c>
      <c r="S1" s="6" t="inlineStr">
        <is>
          <t>year</t>
        </is>
      </c>
      <c r="T1" s="6" t="inlineStr">
        <is>
          <t>scenario</t>
        </is>
      </c>
      <c r="U1" s="6" t="inlineStr">
        <is>
          <t>vehicle_weight_category</t>
        </is>
      </c>
      <c r="V1" s="6" t="inlineStr">
        <is>
          <t>vehicle_class</t>
        </is>
      </c>
      <c r="W1" s="6" t="inlineStr">
        <is>
          <t>vehicle_powertrain</t>
        </is>
      </c>
      <c r="X1" s="6" t="inlineStr">
        <is>
          <t>vehicle_detail</t>
        </is>
      </c>
      <c r="Y1" s="6" t="inlineStr">
        <is>
          <t>fuel_category</t>
        </is>
      </c>
      <c r="Z1" s="6" t="inlineStr">
        <is>
          <t>fuel2_category</t>
        </is>
      </c>
      <c r="AA1" s="6" t="inlineStr">
        <is>
          <t>metric</t>
        </is>
      </c>
      <c r="AB1" s="6" t="inlineStr">
        <is>
          <t>value</t>
        </is>
      </c>
      <c r="AC1" s="6" t="inlineStr">
        <is>
          <t>reference</t>
        </is>
      </c>
      <c r="AH1" s="192" t="n">
        <v>2023</v>
      </c>
      <c r="AI1" s="192" t="n">
        <v>2025</v>
      </c>
      <c r="AJ1" s="192" t="n">
        <v>2030</v>
      </c>
      <c r="AK1" s="192" t="n">
        <v>2035</v>
      </c>
      <c r="AL1" s="192" t="n">
        <v>2040</v>
      </c>
      <c r="AM1" s="192" t="n">
        <v>2045</v>
      </c>
      <c r="AN1" s="192" t="n">
        <v>2050</v>
      </c>
      <c r="AS1" s="185" t="n"/>
      <c r="AT1" s="185" t="n"/>
      <c r="AU1" s="185" t="n"/>
      <c r="AW1" s="79" t="inlineStr">
        <is>
          <t>~TFM_INS: attribute=INVCOST</t>
        </is>
      </c>
      <c r="AX1" s="79" t="n"/>
      <c r="AY1" s="188" t="n"/>
      <c r="AZ1" s="56" t="n"/>
      <c r="BA1" s="56" t="n"/>
      <c r="BD1" s="56" t="inlineStr">
        <is>
          <t>~TFM_INS: attribute=ACT_COST</t>
        </is>
      </c>
      <c r="BE1" s="56" t="n"/>
      <c r="BF1" s="56" t="n"/>
      <c r="BG1" s="56" t="n"/>
      <c r="BH1" s="56" t="n"/>
      <c r="BI1" s="186" t="n"/>
      <c r="BJ1" s="186" t="n"/>
      <c r="BK1" s="186" t="n"/>
      <c r="BL1" s="186" t="n"/>
      <c r="BM1" s="186" t="n"/>
      <c r="BN1" s="186" t="n"/>
      <c r="BO1" s="56" t="inlineStr">
        <is>
          <t>~TFM_INS: attribute=INVCOST</t>
        </is>
      </c>
      <c r="BP1" s="56" t="n"/>
      <c r="BQ1" s="56" t="n"/>
      <c r="BR1" s="56" t="n"/>
      <c r="BS1" s="56" t="n"/>
      <c r="BT1" s="186" t="n"/>
      <c r="BU1" s="186" t="n"/>
      <c r="BV1" s="186" t="n"/>
      <c r="BW1" s="186" t="n"/>
      <c r="BX1" s="186" t="n"/>
      <c r="BY1" s="186" t="n"/>
      <c r="BZ1" s="186" t="n"/>
      <c r="CA1" s="186" t="n"/>
      <c r="CB1" s="186" t="n"/>
      <c r="CC1" s="186" t="n"/>
      <c r="CD1" s="186" t="n"/>
      <c r="CE1" s="186" t="n"/>
      <c r="CF1" s="186" t="n"/>
      <c r="CG1" s="186" t="n"/>
      <c r="CH1" s="186" t="n"/>
      <c r="CI1" s="186" t="n"/>
      <c r="CJ1" s="186" t="n"/>
      <c r="CK1" s="186" t="n"/>
      <c r="CL1" s="186" t="n"/>
      <c r="CM1" s="186" t="n"/>
      <c r="CN1" s="186" t="n"/>
      <c r="CO1" s="186" t="n"/>
      <c r="CP1" s="186" t="n"/>
    </row>
    <row r="2" ht="14.5" customFormat="1" customHeight="1" s="208">
      <c r="B2" s="189" t="inlineStr">
        <is>
          <t>Battery Electric Vehicle Assumptions | Transportation | 2024 | ATB | NLR</t>
        </is>
      </c>
      <c r="S2" s="191" t="n">
        <v>2023</v>
      </c>
      <c r="T2" s="191" t="inlineStr">
        <is>
          <t>Mid</t>
        </is>
      </c>
      <c r="U2" s="191" t="inlineStr">
        <is>
          <t>Light Duty</t>
        </is>
      </c>
      <c r="V2" s="191" t="inlineStr">
        <is>
          <t>Compact</t>
        </is>
      </c>
      <c r="W2" s="191" t="inlineStr">
        <is>
          <t>Battery Electric</t>
        </is>
      </c>
      <c r="X2" s="191" t="inlineStr">
        <is>
          <t>Battery Electric Vehicle (300-mile range)</t>
        </is>
      </c>
      <c r="Y2" s="191" t="inlineStr">
        <is>
          <t>Electricity</t>
        </is>
      </c>
      <c r="Z2" s="191" t="n"/>
      <c r="AA2" s="191" t="inlineStr">
        <is>
          <t>Battery Cost (2022$/kWh) (pack-level, rated capacity)</t>
        </is>
      </c>
      <c r="AB2" s="191" t="n">
        <v>132.92732205738</v>
      </c>
      <c r="AC2" s="191" t="inlineStr">
        <is>
          <t>ANL, Autonomie (2023)</t>
        </is>
      </c>
      <c r="AG2" s="208" t="inlineStr">
        <is>
          <t>Whole pack CAPEX in NREL</t>
        </is>
      </c>
      <c r="AH2" s="192" t="n">
        <v>132.92732205738</v>
      </c>
      <c r="AI2" s="192" t="n">
        <v>120.58407072348</v>
      </c>
      <c r="AJ2" s="192" t="n">
        <v>104.442895902227</v>
      </c>
      <c r="AK2" s="192" t="n">
        <v>94.9480871838431</v>
      </c>
      <c r="AL2" s="192" t="n">
        <v>92.10847505933231</v>
      </c>
      <c r="AM2" s="192" t="n">
        <v>88.96116475497089</v>
      </c>
      <c r="AN2" s="192" t="n">
        <v>85.45327846545879</v>
      </c>
      <c r="AS2" s="185" t="n"/>
      <c r="AT2" s="185" t="n"/>
      <c r="AU2" s="185" t="n"/>
      <c r="BV2" s="186" t="n"/>
      <c r="BW2" s="186" t="n"/>
      <c r="BX2" s="186" t="n"/>
      <c r="BY2" s="186" t="n"/>
      <c r="BZ2" s="186" t="n"/>
      <c r="CA2" s="186" t="n"/>
      <c r="CB2" s="186" t="n"/>
      <c r="CC2" s="186" t="n"/>
      <c r="CD2" s="186" t="n"/>
      <c r="CE2" s="186" t="n"/>
      <c r="CF2" s="186" t="n"/>
      <c r="CG2" s="186" t="n"/>
      <c r="CH2" s="186" t="n"/>
      <c r="CI2" s="186" t="n"/>
      <c r="CJ2" s="186" t="n"/>
      <c r="CK2" s="186" t="n"/>
      <c r="CL2" s="186" t="n"/>
      <c r="CM2" s="186" t="n"/>
      <c r="CN2" s="186" t="n"/>
      <c r="CO2" s="186" t="n"/>
      <c r="CP2" s="186" t="n"/>
    </row>
    <row r="3" ht="14.5" customFormat="1" customHeight="1" s="208">
      <c r="F3" s="193" t="inlineStr">
        <is>
          <t>Sourced from before calculations</t>
        </is>
      </c>
      <c r="G3" s="194" t="n"/>
      <c r="H3" s="194" t="n"/>
      <c r="I3" s="194" t="n"/>
      <c r="S3" s="191" t="n">
        <v>2025</v>
      </c>
      <c r="T3" s="191" t="inlineStr">
        <is>
          <t>Mid</t>
        </is>
      </c>
      <c r="U3" s="191" t="inlineStr">
        <is>
          <t>Light Duty</t>
        </is>
      </c>
      <c r="V3" s="191" t="inlineStr">
        <is>
          <t>Compact</t>
        </is>
      </c>
      <c r="W3" s="191" t="inlineStr">
        <is>
          <t>Battery Electric</t>
        </is>
      </c>
      <c r="X3" s="191" t="inlineStr">
        <is>
          <t>Battery Electric Vehicle (300-mile range)</t>
        </is>
      </c>
      <c r="Y3" s="191" t="inlineStr">
        <is>
          <t>Electricity</t>
        </is>
      </c>
      <c r="Z3" s="191" t="n"/>
      <c r="AA3" s="191" t="inlineStr">
        <is>
          <t>Battery Cost (2022$/kWh) (pack-level, rated capacity)</t>
        </is>
      </c>
      <c r="AB3" s="191" t="n">
        <v>120.58407072348</v>
      </c>
      <c r="AC3" s="191" t="inlineStr">
        <is>
          <t>ANL, Autonomie (2023)</t>
        </is>
      </c>
      <c r="AH3" s="208">
        <f>AH2</f>
        <v/>
      </c>
      <c r="AI3" s="208">
        <f>AI2</f>
        <v/>
      </c>
      <c r="AJ3" s="208">
        <f>AJ2</f>
        <v/>
      </c>
      <c r="AK3" s="208">
        <f>AK2</f>
        <v/>
      </c>
      <c r="AL3" s="208">
        <f>AL2</f>
        <v/>
      </c>
      <c r="AM3" s="208">
        <f>AM2</f>
        <v/>
      </c>
      <c r="AN3" s="208">
        <f>AN2</f>
        <v/>
      </c>
      <c r="AS3" s="185" t="inlineStr">
        <is>
          <t>AllRegions</t>
        </is>
      </c>
      <c r="AT3" s="185" t="inlineStr">
        <is>
          <t>China</t>
        </is>
      </c>
      <c r="AU3" s="185" t="inlineStr">
        <is>
          <t>NorthAm</t>
        </is>
      </c>
      <c r="AW3" s="188" t="inlineStr">
        <is>
          <t>process</t>
        </is>
      </c>
      <c r="AX3" s="188" t="inlineStr">
        <is>
          <t>year</t>
        </is>
      </c>
      <c r="AY3" s="195" t="inlineStr">
        <is>
          <t>AllRegions</t>
        </is>
      </c>
      <c r="AZ3" s="195" t="inlineStr">
        <is>
          <t>China</t>
        </is>
      </c>
      <c r="BA3" s="195" t="inlineStr">
        <is>
          <t>NorthAm</t>
        </is>
      </c>
      <c r="BD3" s="56" t="inlineStr">
        <is>
          <t>process</t>
        </is>
      </c>
      <c r="BE3" s="56" t="inlineStr">
        <is>
          <t>year</t>
        </is>
      </c>
      <c r="BF3" s="56" t="inlineStr">
        <is>
          <t>AllRegions</t>
        </is>
      </c>
      <c r="BG3" s="56" t="inlineStr">
        <is>
          <t>China</t>
        </is>
      </c>
      <c r="BH3" s="56" t="inlineStr">
        <is>
          <t>NorthAm</t>
        </is>
      </c>
      <c r="BI3" s="186" t="n"/>
      <c r="BJ3" s="186" t="n"/>
      <c r="BK3" s="186" t="n"/>
      <c r="BL3" s="186" t="n"/>
      <c r="BM3" s="186" t="n"/>
      <c r="BN3" s="186" t="n"/>
      <c r="BO3" s="56" t="inlineStr">
        <is>
          <t>process</t>
        </is>
      </c>
      <c r="BP3" s="56" t="inlineStr">
        <is>
          <t>year</t>
        </is>
      </c>
      <c r="BQ3" s="56" t="inlineStr">
        <is>
          <t>AllRegions</t>
        </is>
      </c>
      <c r="BR3" s="56" t="inlineStr">
        <is>
          <t>China</t>
        </is>
      </c>
      <c r="BS3" s="56" t="inlineStr">
        <is>
          <t>NorthAm</t>
        </is>
      </c>
      <c r="BT3" s="186" t="n"/>
      <c r="BU3" s="186" t="n"/>
      <c r="BV3" s="186" t="n"/>
      <c r="BW3" s="186" t="n"/>
      <c r="BX3" s="186" t="n"/>
      <c r="BY3" s="186" t="n"/>
      <c r="BZ3" s="186" t="n"/>
      <c r="CA3" s="186" t="n"/>
      <c r="CB3" s="186" t="n"/>
      <c r="CC3" s="186" t="n"/>
      <c r="CD3" s="186" t="n"/>
      <c r="CE3" s="186" t="n"/>
      <c r="CF3" s="186" t="n"/>
      <c r="CG3" s="186" t="n"/>
      <c r="CH3" s="186" t="n"/>
      <c r="CI3" s="186" t="n"/>
      <c r="CJ3" s="186" t="n"/>
      <c r="CK3" s="186" t="n"/>
      <c r="CL3" s="186" t="n"/>
      <c r="CM3" s="186" t="n"/>
      <c r="CN3" s="186" t="n"/>
      <c r="CO3" s="186" t="n"/>
      <c r="CP3" s="186" t="n"/>
    </row>
    <row r="4" ht="14.5" customFormat="1" customHeight="1" s="208">
      <c r="F4" s="193" t="inlineStr">
        <is>
          <t>process</t>
        </is>
      </c>
      <c r="G4" s="193" t="inlineStr">
        <is>
          <t>AllRegions</t>
        </is>
      </c>
      <c r="H4" s="193" t="inlineStr">
        <is>
          <t>China</t>
        </is>
      </c>
      <c r="I4" s="193" t="inlineStr">
        <is>
          <t>NorthAm</t>
        </is>
      </c>
      <c r="S4" s="191" t="n">
        <v>2030</v>
      </c>
      <c r="T4" s="191" t="inlineStr">
        <is>
          <t>Mid</t>
        </is>
      </c>
      <c r="U4" s="191" t="inlineStr">
        <is>
          <t>Light Duty</t>
        </is>
      </c>
      <c r="V4" s="191" t="inlineStr">
        <is>
          <t>Compact</t>
        </is>
      </c>
      <c r="W4" s="191" t="inlineStr">
        <is>
          <t>Battery Electric</t>
        </is>
      </c>
      <c r="X4" s="191" t="inlineStr">
        <is>
          <t>Battery Electric Vehicle (300-mile range)</t>
        </is>
      </c>
      <c r="Y4" s="191" t="inlineStr">
        <is>
          <t>Electricity</t>
        </is>
      </c>
      <c r="Z4" s="191" t="n"/>
      <c r="AA4" s="191" t="inlineStr">
        <is>
          <t>Battery Cost (2022$/kWh) (pack-level, rated capacity)</t>
        </is>
      </c>
      <c r="AB4" s="191" t="n">
        <v>104.442895902227</v>
      </c>
      <c r="AC4" s="191" t="inlineStr">
        <is>
          <t>ANL, Autonomie (2023)</t>
        </is>
      </c>
      <c r="AH4" s="208">
        <f>AH3</f>
        <v/>
      </c>
      <c r="AI4" s="208">
        <f>AI3</f>
        <v/>
      </c>
      <c r="AJ4" s="208">
        <f>AJ3</f>
        <v/>
      </c>
      <c r="AK4" s="208">
        <f>AK3</f>
        <v/>
      </c>
      <c r="AL4" s="208">
        <f>AL3</f>
        <v/>
      </c>
      <c r="AM4" s="208">
        <f>AM3</f>
        <v/>
      </c>
      <c r="AN4" s="208">
        <f>AN3</f>
        <v/>
      </c>
      <c r="AS4" s="185" t="n">
        <v>80.3831766666667</v>
      </c>
      <c r="AT4" s="185" t="n">
        <v>55.48673</v>
      </c>
      <c r="AU4" s="185" t="n">
        <v>106.82505</v>
      </c>
      <c r="AW4" s="188" t="inlineStr">
        <is>
          <t>Tra_EV_Batt-LFP_fromrecy</t>
        </is>
      </c>
      <c r="AX4" s="188" t="n">
        <v>2023</v>
      </c>
      <c r="AY4" s="188">
        <f>G5</f>
        <v/>
      </c>
      <c r="AZ4" s="188">
        <f>H5</f>
        <v/>
      </c>
      <c r="BA4" s="188">
        <f>I5</f>
        <v/>
      </c>
      <c r="BD4" s="56" t="inlineStr">
        <is>
          <t>Tra_EV_Batt-LFP_virgin</t>
        </is>
      </c>
      <c r="BE4" s="56" t="n">
        <v>2023</v>
      </c>
      <c r="BF4" s="56">
        <f>AS4*70%</f>
        <v/>
      </c>
      <c r="BG4" s="56">
        <f>AT4*70%</f>
        <v/>
      </c>
      <c r="BH4" s="56">
        <f>AU4*70%</f>
        <v/>
      </c>
      <c r="BI4" s="186" t="n"/>
      <c r="BJ4" s="186" t="n"/>
      <c r="BK4" s="186" t="n"/>
      <c r="BL4" s="186" t="n"/>
      <c r="BM4" s="186" t="n"/>
      <c r="BN4" s="186" t="n"/>
      <c r="BO4" s="56" t="inlineStr">
        <is>
          <t>Tra_EV_Batt-LFP_virgin_pack</t>
        </is>
      </c>
      <c r="BP4" s="56" t="n">
        <v>2023</v>
      </c>
      <c r="BQ4" s="56">
        <f>AS4*30%</f>
        <v/>
      </c>
      <c r="BR4" s="56">
        <f>AT4*30%</f>
        <v/>
      </c>
      <c r="BS4" s="56">
        <f>AU4*30%</f>
        <v/>
      </c>
      <c r="BT4" s="186" t="n"/>
      <c r="BU4" s="186" t="n"/>
      <c r="BV4" s="186" t="n"/>
      <c r="BW4" s="186" t="n"/>
      <c r="BX4" s="186" t="n"/>
      <c r="BY4" s="186" t="n"/>
      <c r="BZ4" s="186" t="n"/>
      <c r="CA4" s="186" t="n"/>
      <c r="CB4" s="186" t="n"/>
      <c r="CC4" s="186" t="n"/>
      <c r="CD4" s="186" t="n"/>
      <c r="CE4" s="186" t="n"/>
      <c r="CF4" s="186" t="n"/>
      <c r="CG4" s="186" t="n"/>
      <c r="CH4" s="186" t="n"/>
      <c r="CI4" s="186" t="n"/>
      <c r="CJ4" s="186" t="n"/>
      <c r="CK4" s="186" t="n"/>
      <c r="CL4" s="186" t="n"/>
      <c r="CM4" s="186" t="n"/>
      <c r="CN4" s="186" t="n"/>
      <c r="CO4" s="186" t="n"/>
      <c r="CP4" s="186" t="n"/>
    </row>
    <row r="5" ht="152" customFormat="1" customHeight="1" s="208">
      <c r="B5" s="196" t="inlineStr">
        <is>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is>
      </c>
      <c r="F5" s="193" t="inlineStr">
        <is>
          <t>Tra_EV_Batt-LFP</t>
        </is>
      </c>
      <c r="G5" s="194" t="n">
        <v>80.3831766666667</v>
      </c>
      <c r="H5" s="194" t="n">
        <v>55.48673</v>
      </c>
      <c r="I5" s="194" t="n">
        <v>106.82505</v>
      </c>
      <c r="S5" s="191" t="n">
        <v>2035</v>
      </c>
      <c r="T5" s="191" t="inlineStr">
        <is>
          <t>Mid</t>
        </is>
      </c>
      <c r="U5" s="191" t="inlineStr">
        <is>
          <t>Light Duty</t>
        </is>
      </c>
      <c r="V5" s="191" t="inlineStr">
        <is>
          <t>Compact</t>
        </is>
      </c>
      <c r="W5" s="191" t="inlineStr">
        <is>
          <t>Battery Electric</t>
        </is>
      </c>
      <c r="X5" s="191" t="inlineStr">
        <is>
          <t>Battery Electric Vehicle (300-mile range)</t>
        </is>
      </c>
      <c r="Y5" s="191" t="inlineStr">
        <is>
          <t>Electricity</t>
        </is>
      </c>
      <c r="Z5" s="191" t="n"/>
      <c r="AA5" s="191" t="inlineStr">
        <is>
          <t>Battery Cost (2022$/kWh) (pack-level, rated capacity)</t>
        </is>
      </c>
      <c r="AB5" s="191" t="n">
        <v>94.9480871838431</v>
      </c>
      <c r="AC5" s="191" t="inlineStr">
        <is>
          <t>ANL, Autonomie (2023)</t>
        </is>
      </c>
      <c r="AH5" s="208">
        <f>AH4</f>
        <v/>
      </c>
      <c r="AI5" s="208">
        <f>AI4</f>
        <v/>
      </c>
      <c r="AJ5" s="208">
        <f>AJ4</f>
        <v/>
      </c>
      <c r="AK5" s="208">
        <f>AK4</f>
        <v/>
      </c>
      <c r="AL5" s="208">
        <f>AL4</f>
        <v/>
      </c>
      <c r="AM5" s="208">
        <f>AM4</f>
        <v/>
      </c>
      <c r="AN5" s="208">
        <f>AN4</f>
        <v/>
      </c>
      <c r="AS5" s="185" t="n">
        <v>95.40860000000001</v>
      </c>
      <c r="AT5" s="185" t="n">
        <v>66.32565</v>
      </c>
      <c r="AU5" s="185" t="n">
        <v>126.26355</v>
      </c>
      <c r="AW5" s="188" t="inlineStr">
        <is>
          <t>Tra_EV_Batt-LMO_fromrecy</t>
        </is>
      </c>
      <c r="AX5" s="188">
        <f>AX4</f>
        <v/>
      </c>
      <c r="AY5" s="188">
        <f>G6</f>
        <v/>
      </c>
      <c r="AZ5" s="188">
        <f>H6</f>
        <v/>
      </c>
      <c r="BA5" s="188">
        <f>I6</f>
        <v/>
      </c>
      <c r="BD5" s="56" t="inlineStr">
        <is>
          <t>Tra_EV_Batt-LMO_virgin</t>
        </is>
      </c>
      <c r="BE5" s="56" t="n">
        <v>2023</v>
      </c>
      <c r="BF5" s="56">
        <f>AS5*70%</f>
        <v/>
      </c>
      <c r="BG5" s="56">
        <f>AT5*70%</f>
        <v/>
      </c>
      <c r="BH5" s="56">
        <f>AU5*70%</f>
        <v/>
      </c>
      <c r="BI5" s="197" t="n"/>
      <c r="BJ5" s="186" t="n"/>
      <c r="BK5" s="186" t="n"/>
      <c r="BL5" s="186" t="n"/>
      <c r="BM5" s="186" t="n"/>
      <c r="BN5" s="186" t="n"/>
      <c r="BO5" s="56" t="inlineStr">
        <is>
          <t>Tra_EV_Batt-LMO_virgin_pack</t>
        </is>
      </c>
      <c r="BP5" s="56" t="n">
        <v>2023</v>
      </c>
      <c r="BQ5" s="56">
        <f>AS5*30%</f>
        <v/>
      </c>
      <c r="BR5" s="56">
        <f>AT5*30%</f>
        <v/>
      </c>
      <c r="BS5" s="56">
        <f>AU5*30%</f>
        <v/>
      </c>
      <c r="BT5" s="186" t="n"/>
      <c r="BU5" s="186" t="n"/>
      <c r="BV5" s="186" t="n"/>
      <c r="BW5" s="186" t="n"/>
      <c r="BX5" s="186" t="n"/>
      <c r="BY5" s="186" t="n"/>
      <c r="BZ5" s="186" t="n"/>
      <c r="CA5" s="186" t="n"/>
      <c r="CB5" s="186" t="n"/>
      <c r="CC5" s="186" t="n"/>
      <c r="CD5" s="186" t="n"/>
      <c r="CE5" s="186" t="n"/>
      <c r="CF5" s="186" t="n"/>
      <c r="CG5" s="186" t="n"/>
      <c r="CH5" s="186" t="n"/>
      <c r="CI5" s="186" t="n"/>
      <c r="CJ5" s="186" t="n"/>
      <c r="CK5" s="186" t="n"/>
      <c r="CL5" s="186" t="n"/>
      <c r="CM5" s="186" t="n"/>
      <c r="CN5" s="186" t="n"/>
      <c r="CO5" s="186" t="n"/>
      <c r="CP5" s="186" t="n"/>
    </row>
    <row r="6" ht="14.5" customFormat="1" customHeight="1" s="208">
      <c r="F6" s="193" t="inlineStr">
        <is>
          <t>Tra_EV_Batt-LMO</t>
        </is>
      </c>
      <c r="G6" s="194" t="n">
        <v>95.40860000000001</v>
      </c>
      <c r="H6" s="194" t="n">
        <v>66.32565</v>
      </c>
      <c r="I6" s="194" t="n">
        <v>126.26355</v>
      </c>
      <c r="S6" s="191" t="n">
        <v>2040</v>
      </c>
      <c r="T6" s="191" t="inlineStr">
        <is>
          <t>Mid</t>
        </is>
      </c>
      <c r="U6" s="191" t="inlineStr">
        <is>
          <t>Light Duty</t>
        </is>
      </c>
      <c r="V6" s="191" t="inlineStr">
        <is>
          <t>Compact</t>
        </is>
      </c>
      <c r="W6" s="191" t="inlineStr">
        <is>
          <t>Battery Electric</t>
        </is>
      </c>
      <c r="X6" s="191" t="inlineStr">
        <is>
          <t>Battery Electric Vehicle (300-mile range)</t>
        </is>
      </c>
      <c r="Y6" s="191" t="inlineStr">
        <is>
          <t>Electricity</t>
        </is>
      </c>
      <c r="Z6" s="191" t="n"/>
      <c r="AA6" s="191" t="inlineStr">
        <is>
          <t>Battery Cost (2022$/kWh) (pack-level, rated capacity)</t>
        </is>
      </c>
      <c r="AB6" s="191" t="n">
        <v>92.10847505933231</v>
      </c>
      <c r="AC6" s="191" t="inlineStr">
        <is>
          <t>ANL, Autonomie (2023)</t>
        </is>
      </c>
      <c r="AH6" s="208">
        <f>AH5</f>
        <v/>
      </c>
      <c r="AI6" s="208">
        <f>AI5</f>
        <v/>
      </c>
      <c r="AJ6" s="208">
        <f>AJ5</f>
        <v/>
      </c>
      <c r="AK6" s="208">
        <f>AK5</f>
        <v/>
      </c>
      <c r="AL6" s="208">
        <f>AL5</f>
        <v/>
      </c>
      <c r="AM6" s="208">
        <f>AM5</f>
        <v/>
      </c>
      <c r="AN6" s="208">
        <f>AN5</f>
        <v/>
      </c>
      <c r="AS6" s="185" t="n">
        <v>85.34769666666659</v>
      </c>
      <c r="AT6" s="185" t="n">
        <v>56.10147</v>
      </c>
      <c r="AU6" s="185" t="n">
        <v>116.32796</v>
      </c>
      <c r="AW6" s="188" t="inlineStr">
        <is>
          <t>Tra_EV_Batt-NCA_fromrecy</t>
        </is>
      </c>
      <c r="AX6" s="188">
        <f>AX5</f>
        <v/>
      </c>
      <c r="AY6" s="188">
        <f>G7</f>
        <v/>
      </c>
      <c r="AZ6" s="188">
        <f>H7</f>
        <v/>
      </c>
      <c r="BA6" s="188">
        <f>I7</f>
        <v/>
      </c>
      <c r="BD6" s="56" t="inlineStr">
        <is>
          <t>Tra_EV_Batt-NCA_virgin</t>
        </is>
      </c>
      <c r="BE6" s="56" t="n">
        <v>2023</v>
      </c>
      <c r="BF6" s="56">
        <f>AS6*70%</f>
        <v/>
      </c>
      <c r="BG6" s="56">
        <f>AT6*70%</f>
        <v/>
      </c>
      <c r="BH6" s="56">
        <f>AU6*70%</f>
        <v/>
      </c>
      <c r="BI6" s="225" t="n"/>
      <c r="BJ6" s="186" t="n"/>
      <c r="BK6" s="186" t="n"/>
      <c r="BL6" s="186" t="n"/>
      <c r="BM6" s="186" t="n"/>
      <c r="BN6" s="186" t="n"/>
      <c r="BO6" s="56" t="inlineStr">
        <is>
          <t>Tra_EV_Batt-NCA_virgin_pack</t>
        </is>
      </c>
      <c r="BP6" s="56" t="n">
        <v>2023</v>
      </c>
      <c r="BQ6" s="56">
        <f>AS6*30%</f>
        <v/>
      </c>
      <c r="BR6" s="56">
        <f>AT6*30%</f>
        <v/>
      </c>
      <c r="BS6" s="56">
        <f>AU6*30%</f>
        <v/>
      </c>
      <c r="BT6" s="186" t="n"/>
      <c r="BU6" s="186" t="n"/>
      <c r="BV6" s="186" t="n"/>
      <c r="BW6" s="186" t="n"/>
      <c r="BX6" s="186" t="n"/>
      <c r="BY6" s="186" t="n"/>
      <c r="BZ6" s="186" t="n"/>
      <c r="CA6" s="186" t="n"/>
      <c r="CB6" s="186" t="n"/>
      <c r="CC6" s="186" t="n"/>
      <c r="CD6" s="186" t="n"/>
      <c r="CE6" s="186" t="n"/>
      <c r="CF6" s="186" t="n"/>
      <c r="CG6" s="186" t="n"/>
      <c r="CH6" s="186" t="n"/>
      <c r="CI6" s="186" t="n"/>
      <c r="CJ6" s="186" t="n"/>
      <c r="CK6" s="186" t="n"/>
      <c r="CL6" s="186" t="n"/>
      <c r="CM6" s="186" t="n"/>
      <c r="CN6" s="186" t="n"/>
      <c r="CO6" s="186" t="n"/>
      <c r="CP6" s="186" t="n"/>
    </row>
    <row r="7" ht="14.5" customFormat="1" customHeight="1" s="208">
      <c r="F7" s="193" t="inlineStr">
        <is>
          <t>Tra_EV_Batt-NCA</t>
        </is>
      </c>
      <c r="G7" s="194" t="n">
        <v>85.34769666666659</v>
      </c>
      <c r="H7" s="194" t="n">
        <v>56.10147</v>
      </c>
      <c r="I7" s="194" t="n">
        <v>116.32796</v>
      </c>
      <c r="S7" s="191" t="n">
        <v>2045</v>
      </c>
      <c r="T7" s="191" t="inlineStr">
        <is>
          <t>Mid</t>
        </is>
      </c>
      <c r="U7" s="191" t="inlineStr">
        <is>
          <t>Light Duty</t>
        </is>
      </c>
      <c r="V7" s="191" t="inlineStr">
        <is>
          <t>Compact</t>
        </is>
      </c>
      <c r="W7" s="191" t="inlineStr">
        <is>
          <t>Battery Electric</t>
        </is>
      </c>
      <c r="X7" s="191" t="inlineStr">
        <is>
          <t>Battery Electric Vehicle (300-mile range)</t>
        </is>
      </c>
      <c r="Y7" s="191" t="inlineStr">
        <is>
          <t>Electricity</t>
        </is>
      </c>
      <c r="Z7" s="191" t="n"/>
      <c r="AA7" s="191" t="inlineStr">
        <is>
          <t>Battery Cost (2022$/kWh) (pack-level, rated capacity)</t>
        </is>
      </c>
      <c r="AB7" s="191" t="n">
        <v>88.96116475497089</v>
      </c>
      <c r="AC7" s="191" t="inlineStr">
        <is>
          <t>ANL, Autonomie (2023)</t>
        </is>
      </c>
      <c r="AH7" s="208">
        <f>AH6</f>
        <v/>
      </c>
      <c r="AI7" s="208">
        <f>AI6</f>
        <v/>
      </c>
      <c r="AJ7" s="208">
        <f>AJ6</f>
        <v/>
      </c>
      <c r="AK7" s="208">
        <f>AK6</f>
        <v/>
      </c>
      <c r="AL7" s="208">
        <f>AL6</f>
        <v/>
      </c>
      <c r="AM7" s="208">
        <f>AM6</f>
        <v/>
      </c>
      <c r="AN7" s="208">
        <f>AN6</f>
        <v/>
      </c>
      <c r="AS7" s="185" t="n">
        <v>85.52157</v>
      </c>
      <c r="AT7" s="185" t="n">
        <v>55.55951</v>
      </c>
      <c r="AU7" s="185" t="n">
        <v>117.30431</v>
      </c>
      <c r="AW7" s="188" t="inlineStr">
        <is>
          <t>Tra_EV_Batt-NMC111_fromrecy</t>
        </is>
      </c>
      <c r="AX7" s="188">
        <f>AX6</f>
        <v/>
      </c>
      <c r="AY7" s="188">
        <f>G8</f>
        <v/>
      </c>
      <c r="AZ7" s="188">
        <f>H8</f>
        <v/>
      </c>
      <c r="BA7" s="188">
        <f>I8</f>
        <v/>
      </c>
      <c r="BD7" s="56" t="inlineStr">
        <is>
          <t>Tra_EV_Batt-NMC111_virgin</t>
        </is>
      </c>
      <c r="BE7" s="56" t="n">
        <v>2023</v>
      </c>
      <c r="BF7" s="56">
        <f>AS7*70%</f>
        <v/>
      </c>
      <c r="BG7" s="56">
        <f>AT7*70%</f>
        <v/>
      </c>
      <c r="BH7" s="56">
        <f>AU7*70%</f>
        <v/>
      </c>
      <c r="BI7" s="225" t="n"/>
      <c r="BJ7" s="186" t="n"/>
      <c r="BK7" s="186" t="n"/>
      <c r="BL7" s="186" t="n"/>
      <c r="BM7" s="186" t="n"/>
      <c r="BN7" s="186" t="n"/>
      <c r="BO7" s="56" t="inlineStr">
        <is>
          <t>Tra_EV_Batt-NMC111_virgin_pack</t>
        </is>
      </c>
      <c r="BP7" s="56" t="n">
        <v>2023</v>
      </c>
      <c r="BQ7" s="56">
        <f>AS7*30%</f>
        <v/>
      </c>
      <c r="BR7" s="56">
        <f>AT7*30%</f>
        <v/>
      </c>
      <c r="BS7" s="56">
        <f>AU7*30%</f>
        <v/>
      </c>
      <c r="BT7" s="186" t="n"/>
      <c r="BU7" s="186" t="n"/>
      <c r="BV7" s="186" t="n"/>
      <c r="BW7" s="186" t="n"/>
      <c r="BX7" s="186" t="n"/>
      <c r="BY7" s="186" t="n"/>
      <c r="BZ7" s="186" t="n"/>
      <c r="CA7" s="186" t="n"/>
      <c r="CB7" s="186" t="n"/>
      <c r="CC7" s="186" t="n"/>
      <c r="CD7" s="186" t="n"/>
      <c r="CE7" s="186" t="n"/>
      <c r="CF7" s="186" t="n"/>
      <c r="CG7" s="186" t="n"/>
      <c r="CH7" s="186" t="n"/>
      <c r="CI7" s="186" t="n"/>
      <c r="CJ7" s="186" t="n"/>
      <c r="CK7" s="186" t="n"/>
      <c r="CL7" s="186" t="n"/>
      <c r="CM7" s="186" t="n"/>
      <c r="CN7" s="186" t="n"/>
      <c r="CO7" s="186" t="n"/>
      <c r="CP7" s="186" t="n"/>
    </row>
    <row r="8" ht="29" customFormat="1" customHeight="1" s="208">
      <c r="B8" s="196" t="inlineStr">
        <is>
          <t xml:space="preserve">So we use Argonne baseline cost → deduct material cost → get conversion CAPEX →
apply NREL learning rate to conversion component.----no it seems that NorthAmerica too high so we included the regional learning rate differences in </t>
        </is>
      </c>
      <c r="F8" s="193" t="inlineStr">
        <is>
          <t>Tra_EV_Batt-NMC111</t>
        </is>
      </c>
      <c r="G8" s="194" t="n">
        <v>85.52157</v>
      </c>
      <c r="H8" s="194" t="n">
        <v>55.55951</v>
      </c>
      <c r="I8" s="194" t="n">
        <v>117.30431</v>
      </c>
      <c r="S8" s="191" t="n">
        <v>2050</v>
      </c>
      <c r="T8" s="191" t="inlineStr">
        <is>
          <t>Mid</t>
        </is>
      </c>
      <c r="U8" s="191" t="inlineStr">
        <is>
          <t>Light Duty</t>
        </is>
      </c>
      <c r="V8" s="191" t="inlineStr">
        <is>
          <t>Compact</t>
        </is>
      </c>
      <c r="W8" s="191" t="inlineStr">
        <is>
          <t>Battery Electric</t>
        </is>
      </c>
      <c r="X8" s="191" t="inlineStr">
        <is>
          <t>Battery Electric Vehicle (300-mile range)</t>
        </is>
      </c>
      <c r="Y8" s="191" t="inlineStr">
        <is>
          <t>Electricity</t>
        </is>
      </c>
      <c r="Z8" s="191" t="n"/>
      <c r="AA8" s="191" t="inlineStr">
        <is>
          <t>Battery Cost (2022$/kWh) (pack-level, rated capacity)</t>
        </is>
      </c>
      <c r="AB8" s="191" t="n">
        <v>85.45327846545879</v>
      </c>
      <c r="AC8" s="191" t="inlineStr">
        <is>
          <t>ANL, Autonomie (2023)</t>
        </is>
      </c>
      <c r="AH8" s="208">
        <f>AH7</f>
        <v/>
      </c>
      <c r="AI8" s="208">
        <f>AI7</f>
        <v/>
      </c>
      <c r="AJ8" s="208">
        <f>AJ7</f>
        <v/>
      </c>
      <c r="AK8" s="208">
        <f>AK7</f>
        <v/>
      </c>
      <c r="AL8" s="208">
        <f>AL7</f>
        <v/>
      </c>
      <c r="AM8" s="208">
        <f>AM7</f>
        <v/>
      </c>
      <c r="AN8" s="208">
        <f>AN7</f>
        <v/>
      </c>
      <c r="AS8" s="185" t="n">
        <v>90.0929166666666</v>
      </c>
      <c r="AT8" s="185" t="n">
        <v>59.3677</v>
      </c>
      <c r="AU8" s="185" t="n">
        <v>122.66905</v>
      </c>
      <c r="AW8" s="188" t="inlineStr">
        <is>
          <t>Tra_EV_Batt-NMC532_fromrecy</t>
        </is>
      </c>
      <c r="AX8" s="188">
        <f>AX7</f>
        <v/>
      </c>
      <c r="AY8" s="188">
        <f>G9</f>
        <v/>
      </c>
      <c r="AZ8" s="188">
        <f>H9</f>
        <v/>
      </c>
      <c r="BA8" s="188">
        <f>I9</f>
        <v/>
      </c>
      <c r="BD8" s="56" t="inlineStr">
        <is>
          <t>Tra_EV_Batt-NMC532_virgin</t>
        </is>
      </c>
      <c r="BE8" s="56" t="n">
        <v>2023</v>
      </c>
      <c r="BF8" s="56">
        <f>AS8*70%</f>
        <v/>
      </c>
      <c r="BG8" s="56">
        <f>AT8*70%</f>
        <v/>
      </c>
      <c r="BH8" s="56">
        <f>AU8*70%</f>
        <v/>
      </c>
      <c r="BI8" s="225" t="n"/>
      <c r="BJ8" s="186" t="n"/>
      <c r="BK8" s="186" t="n"/>
      <c r="BL8" s="186" t="n"/>
      <c r="BM8" s="186" t="n"/>
      <c r="BN8" s="186" t="n"/>
      <c r="BO8" s="56" t="inlineStr">
        <is>
          <t>Tra_EV_Batt-NMC532_virgin_pack</t>
        </is>
      </c>
      <c r="BP8" s="56" t="n">
        <v>2023</v>
      </c>
      <c r="BQ8" s="56">
        <f>AS8*30%</f>
        <v/>
      </c>
      <c r="BR8" s="56">
        <f>AT8*30%</f>
        <v/>
      </c>
      <c r="BS8" s="56">
        <f>AU8*30%</f>
        <v/>
      </c>
      <c r="BT8" s="186" t="n"/>
      <c r="BU8" s="186" t="n"/>
      <c r="BV8" s="186" t="n"/>
      <c r="BW8" s="186" t="n"/>
      <c r="BX8" s="186" t="n"/>
      <c r="BY8" s="186" t="n"/>
      <c r="BZ8" s="186" t="n"/>
      <c r="CA8" s="186" t="n"/>
      <c r="CB8" s="186" t="n"/>
      <c r="CC8" s="186" t="n"/>
      <c r="CD8" s="186" t="n"/>
      <c r="CE8" s="186" t="n"/>
      <c r="CF8" s="186" t="n"/>
      <c r="CG8" s="186" t="n"/>
      <c r="CH8" s="186" t="n"/>
      <c r="CI8" s="186" t="n"/>
      <c r="CJ8" s="186" t="n"/>
      <c r="CK8" s="186" t="n"/>
      <c r="CL8" s="186" t="n"/>
      <c r="CM8" s="186" t="n"/>
      <c r="CN8" s="186" t="n"/>
      <c r="CO8" s="186" t="n"/>
      <c r="CP8" s="186" t="n"/>
    </row>
    <row r="9" ht="14.5" customFormat="1" customHeight="1" s="208">
      <c r="F9" s="193" t="inlineStr">
        <is>
          <t>Tra_EV_Batt-NMC532</t>
        </is>
      </c>
      <c r="G9" s="194" t="n">
        <v>90.0929166666666</v>
      </c>
      <c r="H9" s="194" t="n">
        <v>59.3677</v>
      </c>
      <c r="I9" s="194" t="n">
        <v>122.66905</v>
      </c>
      <c r="AH9" s="208">
        <f>AH8</f>
        <v/>
      </c>
      <c r="AI9" s="208">
        <f>AI8</f>
        <v/>
      </c>
      <c r="AJ9" s="208">
        <f>AJ8</f>
        <v/>
      </c>
      <c r="AK9" s="208">
        <f>AK8</f>
        <v/>
      </c>
      <c r="AL9" s="208">
        <f>AL8</f>
        <v/>
      </c>
      <c r="AM9" s="208">
        <f>AM8</f>
        <v/>
      </c>
      <c r="AN9" s="208">
        <f>AN8</f>
        <v/>
      </c>
      <c r="AS9" s="185" t="n">
        <v>86.9222166666667</v>
      </c>
      <c r="AT9" s="185" t="n">
        <v>57.33755</v>
      </c>
      <c r="AU9" s="185" t="n">
        <v>118.2723</v>
      </c>
      <c r="AW9" s="188" t="inlineStr">
        <is>
          <t>Tra_EV_Batt-NMC622_fromrecy</t>
        </is>
      </c>
      <c r="AX9" s="188">
        <f>AX8</f>
        <v/>
      </c>
      <c r="AY9" s="188">
        <f>G10</f>
        <v/>
      </c>
      <c r="AZ9" s="188">
        <f>H10</f>
        <v/>
      </c>
      <c r="BA9" s="188">
        <f>I10</f>
        <v/>
      </c>
      <c r="BD9" s="56" t="inlineStr">
        <is>
          <t>Tra_EV_Batt-NMC622_virgin</t>
        </is>
      </c>
      <c r="BE9" s="56" t="n">
        <v>2023</v>
      </c>
      <c r="BF9" s="56">
        <f>AS9*70%</f>
        <v/>
      </c>
      <c r="BG9" s="56">
        <f>AT9*70%</f>
        <v/>
      </c>
      <c r="BH9" s="56">
        <f>AU9*70%</f>
        <v/>
      </c>
      <c r="BI9" s="225" t="n"/>
      <c r="BJ9" s="186" t="n"/>
      <c r="BK9" s="186" t="n"/>
      <c r="BL9" s="186" t="n"/>
      <c r="BM9" s="186" t="n"/>
      <c r="BN9" s="186" t="n"/>
      <c r="BO9" s="56" t="inlineStr">
        <is>
          <t>Tra_EV_Batt-NMC622_virgin_pack</t>
        </is>
      </c>
      <c r="BP9" s="56" t="n">
        <v>2023</v>
      </c>
      <c r="BQ9" s="56">
        <f>AS9*30%</f>
        <v/>
      </c>
      <c r="BR9" s="56">
        <f>AT9*30%</f>
        <v/>
      </c>
      <c r="BS9" s="56">
        <f>AU9*30%</f>
        <v/>
      </c>
      <c r="BT9" s="186" t="n"/>
      <c r="BU9" s="186" t="n"/>
      <c r="BV9" s="186" t="n"/>
      <c r="BW9" s="186" t="n"/>
      <c r="BX9" s="186" t="n"/>
      <c r="BY9" s="186" t="n"/>
      <c r="BZ9" s="186" t="n"/>
      <c r="CA9" s="186" t="n"/>
      <c r="CB9" s="186" t="n"/>
      <c r="CC9" s="186" t="n"/>
      <c r="CD9" s="186" t="n"/>
      <c r="CE9" s="186" t="n"/>
      <c r="CF9" s="186" t="n"/>
      <c r="CG9" s="186" t="n"/>
      <c r="CH9" s="186" t="n"/>
      <c r="CI9" s="186" t="n"/>
      <c r="CJ9" s="186" t="n"/>
      <c r="CK9" s="186" t="n"/>
      <c r="CL9" s="186" t="n"/>
      <c r="CM9" s="186" t="n"/>
      <c r="CN9" s="186" t="n"/>
      <c r="CO9" s="186" t="n"/>
      <c r="CP9" s="186" t="n"/>
    </row>
    <row r="10" ht="14.5" customFormat="1" customHeight="1" s="208">
      <c r="F10" s="193" t="inlineStr">
        <is>
          <t>Tra_EV_Batt-NMC622</t>
        </is>
      </c>
      <c r="G10" s="194" t="n">
        <v>86.9222166666667</v>
      </c>
      <c r="H10" s="194" t="n">
        <v>57.33755</v>
      </c>
      <c r="I10" s="194" t="n">
        <v>118.2723</v>
      </c>
      <c r="AH10" s="208">
        <f>AH9</f>
        <v/>
      </c>
      <c r="AI10" s="208">
        <f>AI9</f>
        <v/>
      </c>
      <c r="AJ10" s="208">
        <f>AJ9</f>
        <v/>
      </c>
      <c r="AK10" s="208">
        <f>AK9</f>
        <v/>
      </c>
      <c r="AL10" s="208">
        <f>AL9</f>
        <v/>
      </c>
      <c r="AM10" s="208">
        <f>AM9</f>
        <v/>
      </c>
      <c r="AN10" s="208">
        <f>AN9</f>
        <v/>
      </c>
      <c r="AS10" s="185" t="n">
        <v>89.5526666666667</v>
      </c>
      <c r="AT10" s="185" t="n">
        <v>59.98948</v>
      </c>
      <c r="AU10" s="185" t="n">
        <v>120.87452</v>
      </c>
      <c r="AW10" s="188" t="inlineStr">
        <is>
          <t>Tra_EV_Batt-NMC811_fromrecy</t>
        </is>
      </c>
      <c r="AX10" s="188">
        <f>AX9</f>
        <v/>
      </c>
      <c r="AY10" s="188">
        <f>G11</f>
        <v/>
      </c>
      <c r="AZ10" s="188">
        <f>H11</f>
        <v/>
      </c>
      <c r="BA10" s="188">
        <f>I11</f>
        <v/>
      </c>
      <c r="BD10" s="56" t="inlineStr">
        <is>
          <t>Tra_EV_Batt-NMC811_virgin</t>
        </is>
      </c>
      <c r="BE10" s="56" t="n">
        <v>2023</v>
      </c>
      <c r="BF10" s="56">
        <f>AS10*70%</f>
        <v/>
      </c>
      <c r="BG10" s="56">
        <f>AT10*70%</f>
        <v/>
      </c>
      <c r="BH10" s="56">
        <f>AU10*70%</f>
        <v/>
      </c>
      <c r="BI10" s="225" t="n"/>
      <c r="BJ10" s="186" t="n"/>
      <c r="BK10" s="186" t="n"/>
      <c r="BL10" s="186" t="n"/>
      <c r="BM10" s="186" t="n"/>
      <c r="BN10" s="186" t="n"/>
      <c r="BO10" s="56" t="inlineStr">
        <is>
          <t>Tra_EV_Batt-NMC811_virgin_pack</t>
        </is>
      </c>
      <c r="BP10" s="56" t="n">
        <v>2023</v>
      </c>
      <c r="BQ10" s="56">
        <f>AS10*30%</f>
        <v/>
      </c>
      <c r="BR10" s="56">
        <f>AT10*30%</f>
        <v/>
      </c>
      <c r="BS10" s="56">
        <f>AU10*30%</f>
        <v/>
      </c>
      <c r="BT10" s="186" t="n"/>
      <c r="BU10" s="186" t="n"/>
      <c r="BV10" s="186" t="n"/>
      <c r="BW10" s="186" t="n"/>
      <c r="BX10" s="186" t="n"/>
      <c r="BY10" s="186" t="n"/>
      <c r="BZ10" s="186" t="n"/>
      <c r="CA10" s="186" t="n"/>
      <c r="CB10" s="186" t="n"/>
      <c r="CC10" s="186" t="n"/>
      <c r="CD10" s="186" t="n"/>
      <c r="CE10" s="186" t="n"/>
      <c r="CF10" s="186" t="n"/>
      <c r="CG10" s="186" t="n"/>
      <c r="CH10" s="186" t="n"/>
      <c r="CI10" s="186" t="n"/>
      <c r="CJ10" s="186" t="n"/>
      <c r="CK10" s="186" t="n"/>
      <c r="CL10" s="186" t="n"/>
      <c r="CM10" s="186" t="n"/>
      <c r="CN10" s="186" t="n"/>
      <c r="CO10" s="186" t="n"/>
      <c r="CP10" s="186" t="n"/>
    </row>
    <row r="11" ht="14.5" customFormat="1" customHeight="1" s="208">
      <c r="F11" s="193" t="inlineStr">
        <is>
          <t>Tra_EV_Batt-NMC811</t>
        </is>
      </c>
      <c r="G11" s="194" t="n">
        <v>89.5526666666667</v>
      </c>
      <c r="H11" s="194" t="n">
        <v>59.98948</v>
      </c>
      <c r="I11" s="194" t="n">
        <v>120.87452</v>
      </c>
      <c r="AH11" s="208">
        <f>AH10</f>
        <v/>
      </c>
      <c r="AI11" s="208">
        <f>AI10</f>
        <v/>
      </c>
      <c r="AJ11" s="208">
        <f>AJ10</f>
        <v/>
      </c>
      <c r="AK11" s="208">
        <f>AK10</f>
        <v/>
      </c>
      <c r="AL11" s="208">
        <f>AL10</f>
        <v/>
      </c>
      <c r="AM11" s="208">
        <f>AM10</f>
        <v/>
      </c>
      <c r="AN11" s="208">
        <f>AN10</f>
        <v/>
      </c>
      <c r="AS11" s="185" t="n">
        <v>162.093333333333</v>
      </c>
      <c r="AT11" s="185" t="n">
        <v>162.093333333333</v>
      </c>
      <c r="AU11" s="185" t="n">
        <v>162.093333333333</v>
      </c>
      <c r="AW11" s="199" t="n"/>
      <c r="AX11" s="188" t="n"/>
      <c r="AY11" s="199" t="n"/>
      <c r="AZ11" s="199" t="n"/>
      <c r="BA11" s="199" t="n"/>
      <c r="BB11" s="184" t="n"/>
      <c r="BD11" s="56" t="inlineStr">
        <is>
          <t>Tra_EV_Batt-Sodium_virgin</t>
        </is>
      </c>
      <c r="BE11" s="56" t="n">
        <v>2023</v>
      </c>
      <c r="BF11" s="56">
        <f>AS11*70%</f>
        <v/>
      </c>
      <c r="BG11" s="56">
        <f>AT11*70%</f>
        <v/>
      </c>
      <c r="BH11" s="56">
        <f>AU11*70%</f>
        <v/>
      </c>
      <c r="BI11" s="225" t="n"/>
      <c r="BJ11" s="186" t="n"/>
      <c r="BK11" s="186" t="n"/>
      <c r="BL11" s="186" t="n"/>
      <c r="BM11" s="186" t="n"/>
      <c r="BN11" s="186" t="n"/>
      <c r="BO11" s="56" t="inlineStr">
        <is>
          <t>Tra_EV_Batt-Sodium_virgin_pack</t>
        </is>
      </c>
      <c r="BP11" s="56" t="n">
        <v>2023</v>
      </c>
      <c r="BQ11" s="56">
        <f>AS11*30%</f>
        <v/>
      </c>
      <c r="BR11" s="56">
        <f>AT11*30%</f>
        <v/>
      </c>
      <c r="BS11" s="56">
        <f>AU11*30%</f>
        <v/>
      </c>
      <c r="BT11" s="186" t="n"/>
      <c r="BU11" s="186" t="n"/>
      <c r="BV11" s="186" t="n"/>
      <c r="BW11" s="186" t="n"/>
      <c r="BX11" s="186" t="n"/>
      <c r="BY11" s="186" t="n"/>
      <c r="BZ11" s="186" t="n"/>
      <c r="CA11" s="186" t="n"/>
      <c r="CB11" s="186" t="n"/>
      <c r="CC11" s="186" t="n"/>
      <c r="CD11" s="186" t="n"/>
      <c r="CE11" s="186" t="n"/>
      <c r="CF11" s="186" t="n"/>
      <c r="CG11" s="186" t="n"/>
      <c r="CH11" s="186" t="n"/>
      <c r="CI11" s="186" t="n"/>
      <c r="CJ11" s="186" t="n"/>
      <c r="CK11" s="186" t="n"/>
      <c r="CL11" s="186" t="n"/>
      <c r="CM11" s="186" t="n"/>
      <c r="CN11" s="186" t="n"/>
      <c r="CO11" s="186" t="n"/>
      <c r="CP11" s="186" t="n"/>
    </row>
    <row r="12" ht="14.5" customFormat="1" customHeight="1" s="208">
      <c r="AH12" s="208">
        <f>AH11</f>
        <v/>
      </c>
      <c r="AI12" s="208">
        <f>AI11</f>
        <v/>
      </c>
      <c r="AJ12" s="208">
        <f>AJ11</f>
        <v/>
      </c>
      <c r="AK12" s="208">
        <f>AK11</f>
        <v/>
      </c>
      <c r="AL12" s="208">
        <f>AL11</f>
        <v/>
      </c>
      <c r="AM12" s="208">
        <f>AM11</f>
        <v/>
      </c>
      <c r="AN12" s="208">
        <f>AN11</f>
        <v/>
      </c>
      <c r="AS12" s="185" t="n"/>
      <c r="AT12" s="185" t="n"/>
      <c r="AU12" s="185" t="n"/>
      <c r="BI12" s="225" t="n"/>
      <c r="BJ12" s="186" t="n"/>
      <c r="BK12" s="186" t="n"/>
      <c r="BL12" s="186" t="n"/>
      <c r="BM12" s="186" t="n"/>
      <c r="BN12" s="186" t="n"/>
      <c r="BT12" s="186" t="n"/>
      <c r="BU12" s="186" t="n"/>
      <c r="BV12" s="186" t="n"/>
      <c r="BW12" s="186" t="n"/>
      <c r="BX12" s="186" t="n"/>
      <c r="BY12" s="186" t="n"/>
      <c r="BZ12" s="186" t="n"/>
      <c r="CA12" s="186" t="n"/>
      <c r="CB12" s="186" t="n"/>
      <c r="CC12" s="186" t="n"/>
      <c r="CD12" s="186" t="n"/>
      <c r="CE12" s="186" t="n"/>
      <c r="CF12" s="186" t="n"/>
      <c r="CG12" s="186" t="n"/>
      <c r="CH12" s="186" t="n"/>
      <c r="CI12" s="186" t="n"/>
      <c r="CJ12" s="186" t="n"/>
      <c r="CK12" s="186" t="n"/>
      <c r="CL12" s="186" t="n"/>
      <c r="CM12" s="186" t="n"/>
      <c r="CN12" s="186" t="n"/>
      <c r="CO12" s="186" t="n"/>
      <c r="CP12" s="186" t="n"/>
    </row>
    <row r="13" ht="14.5" customHeight="1" s="213">
      <c r="BE13" s="208" t="n"/>
      <c r="BF13" s="208" t="n"/>
      <c r="BG13" s="208" t="n"/>
      <c r="BH13" s="208" t="n"/>
      <c r="BO13" s="208" t="n"/>
      <c r="BP13" s="208" t="n"/>
      <c r="BQ13" s="208" t="n"/>
      <c r="BR13" s="208" t="n"/>
      <c r="BS13" s="208" t="n"/>
    </row>
    <row r="14" ht="14.5" customFormat="1" customHeight="1" s="208">
      <c r="AL14" s="208">
        <f>AL2/AK2</f>
        <v/>
      </c>
      <c r="AM14" s="208">
        <f>AM2/AL2</f>
        <v/>
      </c>
      <c r="AN14" s="208">
        <f>AN2/AM2</f>
        <v/>
      </c>
      <c r="AS14" s="185" t="n"/>
      <c r="AT14" s="185" t="n"/>
      <c r="AU14" s="185" t="n"/>
      <c r="BI14" s="186" t="n"/>
      <c r="BJ14" s="186" t="n"/>
      <c r="BK14" s="186" t="n"/>
      <c r="BL14" s="186" t="n"/>
      <c r="BM14" s="186" t="n"/>
      <c r="BN14" s="186" t="n"/>
      <c r="BT14" s="186" t="n"/>
      <c r="BU14" s="186" t="n"/>
      <c r="BV14" s="186" t="n"/>
      <c r="BW14" s="186" t="n"/>
      <c r="BX14" s="186" t="n"/>
      <c r="BY14" s="186" t="n"/>
      <c r="BZ14" s="186" t="n"/>
      <c r="CA14" s="186" t="n"/>
      <c r="CB14" s="186" t="n"/>
      <c r="CC14" s="186" t="n"/>
      <c r="CD14" s="186" t="n"/>
      <c r="CE14" s="186" t="n"/>
      <c r="CF14" s="186" t="n"/>
      <c r="CG14" s="186" t="n"/>
      <c r="CH14" s="186" t="n"/>
      <c r="CI14" s="186" t="n"/>
      <c r="CJ14" s="186" t="n"/>
      <c r="CK14" s="186" t="n"/>
      <c r="CL14" s="186" t="n"/>
      <c r="CM14" s="186" t="n"/>
      <c r="CN14" s="186" t="n"/>
      <c r="CO14" s="186" t="n"/>
      <c r="CP14" s="186" t="n"/>
    </row>
    <row r="15" ht="14.5" customHeight="1" s="213">
      <c r="AY15" s="209" t="n"/>
      <c r="BE15" s="208" t="n"/>
      <c r="BF15" s="208" t="n"/>
      <c r="BG15" s="208" t="n"/>
      <c r="BH15" s="208" t="n"/>
      <c r="BO15" s="208" t="n"/>
      <c r="BP15" s="208" t="n"/>
      <c r="BQ15" s="208" t="n"/>
      <c r="BR15" s="208" t="n"/>
      <c r="BS15" s="208" t="n"/>
    </row>
    <row r="16" ht="14.5" customFormat="1" customHeight="1" s="208">
      <c r="AS16" s="185" t="inlineStr">
        <is>
          <t>AllRegions</t>
        </is>
      </c>
      <c r="AT16" s="185" t="inlineStr">
        <is>
          <t>China</t>
        </is>
      </c>
      <c r="AU16" s="185" t="inlineStr">
        <is>
          <t>NorthAm</t>
        </is>
      </c>
      <c r="AW16" s="209" t="inlineStr">
        <is>
          <t>process</t>
        </is>
      </c>
      <c r="AX16" s="209" t="inlineStr">
        <is>
          <t>year</t>
        </is>
      </c>
      <c r="AY16" s="201" t="inlineStr">
        <is>
          <t>AllRegions</t>
        </is>
      </c>
      <c r="AZ16" s="201" t="inlineStr">
        <is>
          <t>China</t>
        </is>
      </c>
      <c r="BA16" s="201" t="inlineStr">
        <is>
          <t>NorthAm</t>
        </is>
      </c>
      <c r="BD16" s="208" t="inlineStr">
        <is>
          <t>process</t>
        </is>
      </c>
      <c r="BE16" s="208" t="inlineStr">
        <is>
          <t>year</t>
        </is>
      </c>
      <c r="BF16" s="208" t="inlineStr">
        <is>
          <t>AllRegions</t>
        </is>
      </c>
      <c r="BG16" s="208" t="inlineStr">
        <is>
          <t>China</t>
        </is>
      </c>
      <c r="BH16" s="208" t="inlineStr">
        <is>
          <t>NorthAm</t>
        </is>
      </c>
      <c r="BI16" s="186" t="n"/>
      <c r="BJ16" s="186" t="n"/>
      <c r="BK16" s="186" t="n"/>
      <c r="BL16" s="186" t="n"/>
      <c r="BM16" s="186" t="n"/>
      <c r="BN16" s="186" t="n"/>
      <c r="BO16" s="208" t="inlineStr">
        <is>
          <t>process</t>
        </is>
      </c>
      <c r="BP16" s="208" t="inlineStr">
        <is>
          <t>year</t>
        </is>
      </c>
      <c r="BQ16" s="208" t="inlineStr">
        <is>
          <t>AllRegions</t>
        </is>
      </c>
      <c r="BR16" s="208" t="inlineStr">
        <is>
          <t>China</t>
        </is>
      </c>
      <c r="BS16" s="208" t="inlineStr">
        <is>
          <t>NorthAm</t>
        </is>
      </c>
      <c r="BT16" s="186" t="n"/>
      <c r="BU16" s="186" t="n"/>
      <c r="BV16" s="186" t="n"/>
      <c r="BW16" s="186" t="n"/>
      <c r="BX16" s="186" t="n"/>
      <c r="BY16" s="186" t="n"/>
      <c r="BZ16" s="186" t="n"/>
      <c r="CA16" s="186" t="n"/>
      <c r="CB16" s="186" t="n"/>
      <c r="CC16" s="186" t="n"/>
      <c r="CD16" s="186" t="n"/>
      <c r="CE16" s="186" t="n"/>
      <c r="CF16" s="186" t="n"/>
      <c r="CG16" s="186" t="n"/>
      <c r="CH16" s="186" t="n"/>
      <c r="CI16" s="186" t="n"/>
      <c r="CJ16" s="186" t="n"/>
      <c r="CK16" s="186" t="n"/>
      <c r="CL16" s="186" t="n"/>
      <c r="CM16" s="186" t="n"/>
      <c r="CN16" s="186" t="n"/>
      <c r="CO16" s="186" t="n"/>
      <c r="CP16" s="186" t="n"/>
    </row>
    <row r="17" ht="14.5" customFormat="1" customHeight="1" s="208">
      <c r="AS17" s="185" t="n">
        <v>72.9190245476188</v>
      </c>
      <c r="AT17" s="185" t="n">
        <v>50.3343907857141</v>
      </c>
      <c r="AU17" s="185" t="n">
        <v>96.9055810714282</v>
      </c>
      <c r="AW17" s="209" t="inlineStr">
        <is>
          <t>Tra_EV_Batt-LFP_fromrecy</t>
        </is>
      </c>
      <c r="AX17" s="209" t="n">
        <v>2025</v>
      </c>
      <c r="AY17" s="209">
        <f>AY4*AI2/AH2</f>
        <v/>
      </c>
      <c r="AZ17" s="209">
        <f>AZ4*AI2/AH2</f>
        <v/>
      </c>
      <c r="BA17" s="209">
        <f>BA4*AI2/AH2</f>
        <v/>
      </c>
      <c r="BD17" s="208" t="inlineStr">
        <is>
          <t>Tra_EV_Batt-LFP_virgin</t>
        </is>
      </c>
      <c r="BE17" s="208" t="n">
        <v>2025</v>
      </c>
      <c r="BF17" s="208">
        <f>AS17*70%</f>
        <v/>
      </c>
      <c r="BG17" s="208">
        <f>AT17*70%</f>
        <v/>
      </c>
      <c r="BH17" s="208">
        <f>AU17*70%</f>
        <v/>
      </c>
      <c r="BI17" s="186" t="n"/>
      <c r="BJ17" s="186" t="n"/>
      <c r="BK17" s="186" t="n"/>
      <c r="BL17" s="186" t="n"/>
      <c r="BM17" s="186" t="n"/>
      <c r="BN17" s="186" t="n"/>
      <c r="BO17" s="208" t="inlineStr">
        <is>
          <t>Tra_EV_Batt-LFP_virgin_pack</t>
        </is>
      </c>
      <c r="BP17" s="208" t="n">
        <v>2025</v>
      </c>
      <c r="BQ17" s="208">
        <f>AS17*30%</f>
        <v/>
      </c>
      <c r="BR17" s="208">
        <f>AT17*30%</f>
        <v/>
      </c>
      <c r="BS17" s="208">
        <f>AU17*30%</f>
        <v/>
      </c>
      <c r="BT17" s="186" t="n"/>
      <c r="BU17" s="186" t="n"/>
      <c r="BV17" s="186" t="n"/>
      <c r="BW17" s="186" t="n"/>
      <c r="BX17" s="186" t="n"/>
      <c r="BY17" s="186" t="n"/>
      <c r="BZ17" s="186" t="n"/>
      <c r="CA17" s="186" t="n"/>
      <c r="CB17" s="186" t="n"/>
      <c r="CC17" s="186" t="n"/>
      <c r="CD17" s="186" t="n"/>
      <c r="CE17" s="186" t="n"/>
      <c r="CF17" s="186" t="n"/>
      <c r="CG17" s="186" t="n"/>
      <c r="CH17" s="186" t="n"/>
      <c r="CI17" s="186" t="n"/>
      <c r="CJ17" s="186" t="n"/>
      <c r="CK17" s="186" t="n"/>
      <c r="CL17" s="186" t="n"/>
      <c r="CM17" s="186" t="n"/>
      <c r="CN17" s="186" t="n"/>
      <c r="CO17" s="186" t="n"/>
      <c r="CP17" s="186" t="n"/>
    </row>
    <row r="18" ht="14.5" customFormat="1" customHeight="1" s="208">
      <c r="AS18" s="185" t="n">
        <v>86.5492299999997</v>
      </c>
      <c r="AT18" s="185" t="n">
        <v>60.1668396428569</v>
      </c>
      <c r="AU18" s="185" t="n">
        <v>114.5390775</v>
      </c>
      <c r="AW18" s="209" t="inlineStr">
        <is>
          <t>Tra_EV_Batt-LMO_fromrecy</t>
        </is>
      </c>
      <c r="AX18" s="209">
        <f>AX17</f>
        <v/>
      </c>
      <c r="AY18" s="209">
        <f>AY5*AI3/AH3</f>
        <v/>
      </c>
      <c r="AZ18" s="209">
        <f>AZ5*AI3/AH3</f>
        <v/>
      </c>
      <c r="BA18" s="209">
        <f>BA5*AI3/AH3</f>
        <v/>
      </c>
      <c r="BD18" s="208" t="inlineStr">
        <is>
          <t>Tra_EV_Batt-LMO_virgin</t>
        </is>
      </c>
      <c r="BE18" s="208" t="n">
        <v>2025</v>
      </c>
      <c r="BF18" s="208">
        <f>AS18*70%</f>
        <v/>
      </c>
      <c r="BG18" s="208">
        <f>AT18*70%</f>
        <v/>
      </c>
      <c r="BH18" s="208">
        <f>AU18*70%</f>
        <v/>
      </c>
      <c r="BI18" s="186" t="n"/>
      <c r="BJ18" s="186" t="n"/>
      <c r="BK18" s="186" t="n"/>
      <c r="BL18" s="186" t="n"/>
      <c r="BM18" s="186" t="n"/>
      <c r="BN18" s="186" t="n"/>
      <c r="BO18" s="208" t="inlineStr">
        <is>
          <t>Tra_EV_Batt-LMO_virgin_pack</t>
        </is>
      </c>
      <c r="BP18" s="208" t="n">
        <v>2025</v>
      </c>
      <c r="BQ18" s="208">
        <f>AS18*30%</f>
        <v/>
      </c>
      <c r="BR18" s="208">
        <f>AT18*30%</f>
        <v/>
      </c>
      <c r="BS18" s="208">
        <f>AU18*30%</f>
        <v/>
      </c>
      <c r="BT18" s="186" t="n"/>
      <c r="BU18" s="186" t="n"/>
      <c r="BV18" s="186" t="n"/>
      <c r="BW18" s="186" t="n"/>
      <c r="BX18" s="186" t="n"/>
      <c r="BY18" s="186" t="n"/>
      <c r="BZ18" s="186" t="n"/>
      <c r="CA18" s="186" t="n"/>
      <c r="CB18" s="186" t="n"/>
      <c r="CC18" s="186" t="n"/>
      <c r="CD18" s="186" t="n"/>
      <c r="CE18" s="186" t="n"/>
      <c r="CF18" s="186" t="n"/>
      <c r="CG18" s="186" t="n"/>
      <c r="CH18" s="186" t="n"/>
      <c r="CI18" s="186" t="n"/>
      <c r="CJ18" s="186" t="n"/>
      <c r="CK18" s="186" t="n"/>
      <c r="CL18" s="186" t="n"/>
      <c r="CM18" s="186" t="n"/>
      <c r="CN18" s="186" t="n"/>
      <c r="CO18" s="186" t="n"/>
      <c r="CP18" s="186" t="n"/>
    </row>
    <row r="19" ht="14.5" customFormat="1" customHeight="1" s="208">
      <c r="AS19" s="185" t="n">
        <v>77.4225534047616</v>
      </c>
      <c r="AT19" s="185" t="n">
        <v>50.8920477857141</v>
      </c>
      <c r="AU19" s="185" t="n">
        <v>105.526078</v>
      </c>
      <c r="AW19" s="209" t="inlineStr">
        <is>
          <t>Tra_EV_Batt-NCA_fromrecy</t>
        </is>
      </c>
      <c r="AX19" s="209">
        <f>AX18</f>
        <v/>
      </c>
      <c r="AY19" s="209">
        <f>AY6*AI4/AH4</f>
        <v/>
      </c>
      <c r="AZ19" s="209">
        <f>AZ6*AI4/AH4</f>
        <v/>
      </c>
      <c r="BA19" s="209">
        <f>BA6*AI4/AH4</f>
        <v/>
      </c>
      <c r="BD19" s="208" t="inlineStr">
        <is>
          <t>Tra_EV_Batt-NCA_virgin</t>
        </is>
      </c>
      <c r="BE19" s="208" t="n">
        <v>2025</v>
      </c>
      <c r="BF19" s="208">
        <f>AS19*70%</f>
        <v/>
      </c>
      <c r="BG19" s="208">
        <f>AT19*70%</f>
        <v/>
      </c>
      <c r="BH19" s="208">
        <f>AU19*70%</f>
        <v/>
      </c>
      <c r="BI19" s="186" t="n"/>
      <c r="BJ19" s="186" t="n"/>
      <c r="BK19" s="186" t="n"/>
      <c r="BL19" s="186" t="n"/>
      <c r="BM19" s="186" t="n"/>
      <c r="BN19" s="186" t="n"/>
      <c r="BO19" s="208" t="inlineStr">
        <is>
          <t>Tra_EV_Batt-NCA_virgin_pack</t>
        </is>
      </c>
      <c r="BP19" s="208" t="n">
        <v>2025</v>
      </c>
      <c r="BQ19" s="208">
        <f>AS19*30%</f>
        <v/>
      </c>
      <c r="BR19" s="208">
        <f>AT19*30%</f>
        <v/>
      </c>
      <c r="BS19" s="208">
        <f>AU19*30%</f>
        <v/>
      </c>
      <c r="BT19" s="186" t="n"/>
      <c r="BU19" s="186" t="n"/>
      <c r="BV19" s="186" t="n"/>
      <c r="BW19" s="186" t="n"/>
      <c r="BX19" s="186" t="n"/>
      <c r="BY19" s="186" t="n"/>
      <c r="BZ19" s="186" t="n"/>
      <c r="CA19" s="186" t="n"/>
      <c r="CB19" s="186" t="n"/>
      <c r="CC19" s="186" t="n"/>
      <c r="CD19" s="186" t="n"/>
      <c r="CE19" s="186" t="n"/>
      <c r="CF19" s="186" t="n"/>
      <c r="CG19" s="186" t="n"/>
      <c r="CH19" s="186" t="n"/>
      <c r="CI19" s="186" t="n"/>
      <c r="CJ19" s="186" t="n"/>
      <c r="CK19" s="186" t="n"/>
      <c r="CL19" s="186" t="n"/>
      <c r="CM19" s="186" t="n"/>
      <c r="CN19" s="186" t="n"/>
      <c r="CO19" s="186" t="n"/>
      <c r="CP19" s="186" t="n"/>
    </row>
    <row r="20" ht="14.5" customFormat="1" customHeight="1" s="208">
      <c r="AS20" s="185" t="n">
        <v>77.5802813571426</v>
      </c>
      <c r="AT20" s="185" t="n">
        <v>50.400412642857</v>
      </c>
      <c r="AU20" s="185" t="n">
        <v>106.411766928571</v>
      </c>
      <c r="AW20" s="209" t="inlineStr">
        <is>
          <t>Tra_EV_Batt-NMC111_fromrecy</t>
        </is>
      </c>
      <c r="AX20" s="209">
        <f>AX19</f>
        <v/>
      </c>
      <c r="AY20" s="209">
        <f>AY7*AI5/AH5</f>
        <v/>
      </c>
      <c r="AZ20" s="209">
        <f>AZ7*AI5/AH5</f>
        <v/>
      </c>
      <c r="BA20" s="209">
        <f>BA7*AI5/AH5</f>
        <v/>
      </c>
      <c r="BD20" s="208" t="inlineStr">
        <is>
          <t>Tra_EV_Batt-NMC111_virgin</t>
        </is>
      </c>
      <c r="BE20" s="208" t="n">
        <v>2025</v>
      </c>
      <c r="BF20" s="208">
        <f>AS20*70%</f>
        <v/>
      </c>
      <c r="BG20" s="208">
        <f>AT20*70%</f>
        <v/>
      </c>
      <c r="BH20" s="208">
        <f>AU20*70%</f>
        <v/>
      </c>
      <c r="BI20" s="186" t="n"/>
      <c r="BJ20" s="186" t="n"/>
      <c r="BK20" s="186" t="n"/>
      <c r="BL20" s="186" t="n"/>
      <c r="BM20" s="186" t="n"/>
      <c r="BN20" s="186" t="n"/>
      <c r="BO20" s="208" t="inlineStr">
        <is>
          <t>Tra_EV_Batt-NMC111_virgin_pack</t>
        </is>
      </c>
      <c r="BP20" s="208" t="n">
        <v>2025</v>
      </c>
      <c r="BQ20" s="208">
        <f>AS20*30%</f>
        <v/>
      </c>
      <c r="BR20" s="208">
        <f>AT20*30%</f>
        <v/>
      </c>
      <c r="BS20" s="208">
        <f>AU20*30%</f>
        <v/>
      </c>
      <c r="BT20" s="186" t="n"/>
      <c r="BU20" s="186" t="n"/>
      <c r="BV20" s="186" t="n"/>
      <c r="BW20" s="186" t="n"/>
      <c r="BX20" s="186" t="n"/>
      <c r="BY20" s="186" t="n"/>
      <c r="BZ20" s="186" t="n"/>
      <c r="CA20" s="186" t="n"/>
      <c r="CB20" s="186" t="n"/>
      <c r="CC20" s="186" t="n"/>
      <c r="CD20" s="186" t="n"/>
      <c r="CE20" s="186" t="n"/>
      <c r="CF20" s="186" t="n"/>
      <c r="CG20" s="186" t="n"/>
      <c r="CH20" s="186" t="n"/>
      <c r="CI20" s="186" t="n"/>
      <c r="CJ20" s="186" t="n"/>
      <c r="CK20" s="186" t="n"/>
      <c r="CL20" s="186" t="n"/>
      <c r="CM20" s="186" t="n"/>
      <c r="CN20" s="186" t="n"/>
      <c r="CO20" s="186" t="n"/>
      <c r="CP20" s="186" t="n"/>
    </row>
    <row r="21" ht="14.5" customFormat="1" customHeight="1" s="208">
      <c r="AS21" s="185" t="n">
        <v>81.727145833333</v>
      </c>
      <c r="AT21" s="185" t="n">
        <v>53.8549849999998</v>
      </c>
      <c r="AU21" s="185" t="n">
        <v>111.2783525</v>
      </c>
      <c r="AW21" s="209" t="inlineStr">
        <is>
          <t>Tra_EV_Batt-NMC532_fromrecy</t>
        </is>
      </c>
      <c r="AX21" s="209">
        <f>AX20</f>
        <v/>
      </c>
      <c r="AY21" s="209">
        <f>AY8*AI6/AH6</f>
        <v/>
      </c>
      <c r="AZ21" s="209">
        <f>AZ8*AI6/AH6</f>
        <v/>
      </c>
      <c r="BA21" s="209">
        <f>BA8*AI6/AH6</f>
        <v/>
      </c>
      <c r="BD21" s="208" t="inlineStr">
        <is>
          <t>Tra_EV_Batt-NMC532_virgin</t>
        </is>
      </c>
      <c r="BE21" s="208" t="n">
        <v>2025</v>
      </c>
      <c r="BF21" s="208">
        <f>AS21*70%</f>
        <v/>
      </c>
      <c r="BG21" s="208">
        <f>AT21*70%</f>
        <v/>
      </c>
      <c r="BH21" s="208">
        <f>AU21*70%</f>
        <v/>
      </c>
      <c r="BI21" s="186" t="n"/>
      <c r="BJ21" s="186" t="n"/>
      <c r="BK21" s="186" t="n"/>
      <c r="BL21" s="186" t="n"/>
      <c r="BM21" s="186" t="n"/>
      <c r="BN21" s="186" t="n"/>
      <c r="BO21" s="208" t="inlineStr">
        <is>
          <t>Tra_EV_Batt-NMC532_virgin_pack</t>
        </is>
      </c>
      <c r="BP21" s="208" t="n">
        <v>2025</v>
      </c>
      <c r="BQ21" s="208">
        <f>AS21*30%</f>
        <v/>
      </c>
      <c r="BR21" s="208">
        <f>AT21*30%</f>
        <v/>
      </c>
      <c r="BS21" s="208">
        <f>AU21*30%</f>
        <v/>
      </c>
      <c r="BT21" s="186" t="n"/>
      <c r="BU21" s="186" t="n"/>
      <c r="BV21" s="186" t="n"/>
      <c r="BW21" s="186" t="n"/>
      <c r="BX21" s="186" t="n"/>
      <c r="BY21" s="186" t="n"/>
      <c r="BZ21" s="186" t="n"/>
      <c r="CA21" s="186" t="n"/>
      <c r="CB21" s="186" t="n"/>
      <c r="CC21" s="186" t="n"/>
      <c r="CD21" s="186" t="n"/>
      <c r="CE21" s="186" t="n"/>
      <c r="CF21" s="186" t="n"/>
      <c r="CG21" s="186" t="n"/>
      <c r="CH21" s="186" t="n"/>
      <c r="CI21" s="186" t="n"/>
      <c r="CJ21" s="186" t="n"/>
      <c r="CK21" s="186" t="n"/>
      <c r="CL21" s="186" t="n"/>
      <c r="CM21" s="186" t="n"/>
      <c r="CN21" s="186" t="n"/>
      <c r="CO21" s="186" t="n"/>
      <c r="CP21" s="186" t="n"/>
    </row>
    <row r="22" ht="14.5" customFormat="1" customHeight="1" s="208">
      <c r="AS22" s="185" t="n">
        <v>78.8508679761902</v>
      </c>
      <c r="AT22" s="185" t="n">
        <v>52.0133489285712</v>
      </c>
      <c r="AU22" s="185" t="n">
        <v>107.289872142857</v>
      </c>
      <c r="AW22" s="209" t="inlineStr">
        <is>
          <t>Tra_EV_Batt-NMC622_fromrecy</t>
        </is>
      </c>
      <c r="AX22" s="209">
        <f>AX21</f>
        <v/>
      </c>
      <c r="AY22" s="209">
        <f>AY9*AI7/AH7</f>
        <v/>
      </c>
      <c r="AZ22" s="209">
        <f>AZ9*AI7/AH7</f>
        <v/>
      </c>
      <c r="BA22" s="209">
        <f>BA9*AI7/AH7</f>
        <v/>
      </c>
      <c r="BD22" s="208" t="inlineStr">
        <is>
          <t>Tra_EV_Batt-NMC622_virgin</t>
        </is>
      </c>
      <c r="BE22" s="208" t="n">
        <v>2025</v>
      </c>
      <c r="BF22" s="208">
        <f>AS22*70%</f>
        <v/>
      </c>
      <c r="BG22" s="208">
        <f>AT22*70%</f>
        <v/>
      </c>
      <c r="BH22" s="208">
        <f>AU22*70%</f>
        <v/>
      </c>
      <c r="BI22" s="186" t="n"/>
      <c r="BJ22" s="186" t="n"/>
      <c r="BK22" s="186" t="n"/>
      <c r="BL22" s="186" t="n"/>
      <c r="BM22" s="186" t="n"/>
      <c r="BN22" s="186" t="n"/>
      <c r="BO22" s="208" t="inlineStr">
        <is>
          <t>Tra_EV_Batt-NMC622_virgin_pack</t>
        </is>
      </c>
      <c r="BP22" s="208" t="n">
        <v>2025</v>
      </c>
      <c r="BQ22" s="208">
        <f>AS22*30%</f>
        <v/>
      </c>
      <c r="BR22" s="208">
        <f>AT22*30%</f>
        <v/>
      </c>
      <c r="BS22" s="208">
        <f>AU22*30%</f>
        <v/>
      </c>
      <c r="BT22" s="186" t="n"/>
      <c r="BU22" s="186" t="n"/>
      <c r="BV22" s="186" t="n"/>
      <c r="BW22" s="186" t="n"/>
      <c r="BX22" s="186" t="n"/>
      <c r="BY22" s="186" t="n"/>
      <c r="BZ22" s="186" t="n"/>
      <c r="CA22" s="186" t="n"/>
      <c r="CB22" s="186" t="n"/>
      <c r="CC22" s="186" t="n"/>
      <c r="CD22" s="186" t="n"/>
      <c r="CE22" s="186" t="n"/>
      <c r="CF22" s="186" t="n"/>
      <c r="CG22" s="186" t="n"/>
      <c r="CH22" s="186" t="n"/>
      <c r="CI22" s="186" t="n"/>
      <c r="CJ22" s="186" t="n"/>
      <c r="CK22" s="186" t="n"/>
      <c r="CL22" s="186" t="n"/>
      <c r="CM22" s="186" t="n"/>
      <c r="CN22" s="186" t="n"/>
      <c r="CO22" s="186" t="n"/>
      <c r="CP22" s="186" t="n"/>
    </row>
    <row r="23" ht="14.5" customFormat="1" customHeight="1" s="208">
      <c r="AS23" s="185" t="n">
        <v>81.2370619047616</v>
      </c>
      <c r="AT23" s="185" t="n">
        <v>54.4190282857141</v>
      </c>
      <c r="AU23" s="185" t="n">
        <v>109.650457428571</v>
      </c>
      <c r="AW23" s="209" t="inlineStr">
        <is>
          <t>Tra_EV_Batt-NMC811_fromrecy</t>
        </is>
      </c>
      <c r="AX23" s="209">
        <f>AX22</f>
        <v/>
      </c>
      <c r="AY23" s="209">
        <f>AY10*AI8/AH8</f>
        <v/>
      </c>
      <c r="AZ23" s="209">
        <f>AZ10*AI8/AH8</f>
        <v/>
      </c>
      <c r="BA23" s="209">
        <f>BA10*AI8/AH8</f>
        <v/>
      </c>
      <c r="BD23" s="208" t="inlineStr">
        <is>
          <t>Tra_EV_Batt-NMC811_virgin</t>
        </is>
      </c>
      <c r="BE23" s="208" t="n">
        <v>2025</v>
      </c>
      <c r="BF23" s="208">
        <f>AS23*70%</f>
        <v/>
      </c>
      <c r="BG23" s="208">
        <f>AT23*70%</f>
        <v/>
      </c>
      <c r="BH23" s="208">
        <f>AU23*70%</f>
        <v/>
      </c>
      <c r="BI23" s="186" t="n"/>
      <c r="BJ23" s="186" t="n"/>
      <c r="BK23" s="186" t="n"/>
      <c r="BL23" s="186" t="n"/>
      <c r="BM23" s="186" t="n"/>
      <c r="BN23" s="186" t="n"/>
      <c r="BO23" s="208" t="inlineStr">
        <is>
          <t>Tra_EV_Batt-NMC811_virgin_pack</t>
        </is>
      </c>
      <c r="BP23" s="208" t="n">
        <v>2025</v>
      </c>
      <c r="BQ23" s="208">
        <f>AS23*30%</f>
        <v/>
      </c>
      <c r="BR23" s="208">
        <f>AT23*30%</f>
        <v/>
      </c>
      <c r="BS23" s="208">
        <f>AU23*30%</f>
        <v/>
      </c>
      <c r="BT23" s="186" t="n"/>
      <c r="BU23" s="186" t="n"/>
      <c r="BV23" s="186" t="n"/>
      <c r="BW23" s="186" t="n"/>
      <c r="BX23" s="186" t="n"/>
      <c r="BY23" s="186" t="n"/>
      <c r="BZ23" s="186" t="n"/>
      <c r="CA23" s="186" t="n"/>
      <c r="CB23" s="186" t="n"/>
      <c r="CC23" s="186" t="n"/>
      <c r="CD23" s="186" t="n"/>
      <c r="CE23" s="186" t="n"/>
      <c r="CF23" s="186" t="n"/>
      <c r="CG23" s="186" t="n"/>
      <c r="CH23" s="186" t="n"/>
      <c r="CI23" s="186" t="n"/>
      <c r="CJ23" s="186" t="n"/>
      <c r="CK23" s="186" t="n"/>
      <c r="CL23" s="186" t="n"/>
      <c r="CM23" s="186" t="n"/>
      <c r="CN23" s="186" t="n"/>
      <c r="CO23" s="186" t="n"/>
      <c r="CP23" s="186" t="n"/>
    </row>
    <row r="24" ht="14.5" customFormat="1" customHeight="1" s="208">
      <c r="AS24" s="202" t="n">
        <v>147.041809523809</v>
      </c>
      <c r="AT24" s="202" t="n">
        <v>147.041809523809</v>
      </c>
      <c r="AU24" s="202" t="n">
        <v>147.041809523809</v>
      </c>
      <c r="AW24" s="7" t="n"/>
      <c r="AX24" s="209" t="n"/>
      <c r="AY24" s="209" t="n"/>
      <c r="AZ24" s="209" t="n"/>
      <c r="BA24" s="209" t="n"/>
      <c r="BD24" s="208" t="inlineStr">
        <is>
          <t>Tra_EV_Batt-Sodium_virgin</t>
        </is>
      </c>
      <c r="BE24" s="208" t="n">
        <v>2025</v>
      </c>
      <c r="BF24" s="208">
        <f>AS24*70%</f>
        <v/>
      </c>
      <c r="BG24" s="208">
        <f>AT24*70%</f>
        <v/>
      </c>
      <c r="BH24" s="208">
        <f>AU24*70%</f>
        <v/>
      </c>
      <c r="BI24" s="186" t="n"/>
      <c r="BJ24" s="186" t="n"/>
      <c r="BK24" s="186" t="n"/>
      <c r="BL24" s="186" t="n"/>
      <c r="BM24" s="186" t="n"/>
      <c r="BN24" s="186" t="n"/>
      <c r="BO24" s="208" t="inlineStr">
        <is>
          <t>Tra_EV_Batt-Sodium_virgin_pack</t>
        </is>
      </c>
      <c r="BP24" s="208" t="n">
        <v>2025</v>
      </c>
      <c r="BQ24" s="208">
        <f>AS24*30%</f>
        <v/>
      </c>
      <c r="BR24" s="208">
        <f>AT24*30%</f>
        <v/>
      </c>
      <c r="BS24" s="208">
        <f>AU24*30%</f>
        <v/>
      </c>
      <c r="BT24" s="186" t="n"/>
      <c r="BU24" s="186" t="n"/>
      <c r="BV24" s="186" t="n"/>
      <c r="BW24" s="186" t="n"/>
      <c r="BX24" s="186" t="n"/>
      <c r="BY24" s="186" t="n"/>
      <c r="BZ24" s="186" t="n"/>
      <c r="CA24" s="186" t="n"/>
      <c r="CB24" s="186" t="n"/>
      <c r="CC24" s="186" t="n"/>
      <c r="CD24" s="186" t="n"/>
      <c r="CE24" s="186" t="n"/>
      <c r="CF24" s="186" t="n"/>
      <c r="CG24" s="186" t="n"/>
      <c r="CH24" s="186" t="n"/>
      <c r="CI24" s="186" t="n"/>
      <c r="CJ24" s="186" t="n"/>
      <c r="CK24" s="186" t="n"/>
      <c r="CL24" s="186" t="n"/>
      <c r="CM24" s="186" t="n"/>
      <c r="CN24" s="186" t="n"/>
      <c r="CO24" s="186" t="n"/>
      <c r="CP24" s="186" t="n"/>
    </row>
    <row r="25" ht="14.5" customFormat="1" customHeight="1" s="184">
      <c r="AS25" s="204" t="n"/>
      <c r="AT25" s="204" t="n"/>
      <c r="AU25" s="204" t="n"/>
      <c r="AW25" s="208" t="n"/>
      <c r="AX25" s="208" t="n"/>
      <c r="AY25" s="208" t="n"/>
      <c r="AZ25" s="208" t="n"/>
      <c r="BA25" s="208" t="n"/>
      <c r="BB25" s="208" t="n"/>
      <c r="BI25" s="186" t="n"/>
      <c r="BJ25" s="186" t="n"/>
      <c r="BK25" s="186" t="n"/>
      <c r="BL25" s="186" t="n"/>
      <c r="BM25" s="186" t="n"/>
      <c r="BN25" s="186" t="n"/>
      <c r="BT25" s="186" t="n"/>
      <c r="BU25" s="186" t="n"/>
      <c r="BV25" s="186" t="n"/>
      <c r="BW25" s="186" t="n"/>
      <c r="BX25" s="186" t="n"/>
      <c r="BY25" s="186" t="n"/>
      <c r="BZ25" s="186" t="n"/>
      <c r="CA25" s="186" t="n"/>
      <c r="CB25" s="186" t="n"/>
      <c r="CC25" s="186" t="n"/>
      <c r="CD25" s="186" t="n"/>
      <c r="CE25" s="186" t="n"/>
      <c r="CF25" s="186" t="n"/>
      <c r="CG25" s="186" t="n"/>
      <c r="CH25" s="186" t="n"/>
      <c r="CI25" s="186" t="n"/>
      <c r="CJ25" s="186" t="n"/>
      <c r="CK25" s="186" t="n"/>
      <c r="CL25" s="186" t="n"/>
      <c r="CM25" s="186" t="n"/>
      <c r="CN25" s="186" t="n"/>
      <c r="CO25" s="186" t="n"/>
      <c r="CP25" s="186" t="n"/>
    </row>
    <row r="26" ht="14.5" customHeight="1" s="213">
      <c r="BE26" s="208" t="n"/>
      <c r="BF26" s="208" t="n"/>
      <c r="BG26" s="208" t="n"/>
      <c r="BH26" s="208" t="n"/>
      <c r="BO26" s="208" t="n"/>
      <c r="BP26" s="208" t="n"/>
      <c r="BQ26" s="208" t="n"/>
      <c r="BR26" s="208" t="n"/>
      <c r="BS26" s="208" t="n"/>
    </row>
    <row r="27" ht="14.5" customHeight="1" s="213">
      <c r="F27" s="208" t="inlineStr">
        <is>
          <t xml:space="preserve">Total CAPEX for batteries before deducting material flow costs (USD/kWh) </t>
        </is>
      </c>
      <c r="BE27" s="208" t="n"/>
      <c r="BF27" s="208" t="n"/>
      <c r="BG27" s="208" t="n"/>
      <c r="BH27" s="208" t="n"/>
      <c r="BI27" s="197" t="n"/>
      <c r="BO27" s="208" t="n"/>
      <c r="BP27" s="208" t="n"/>
      <c r="BQ27" s="208" t="n"/>
      <c r="BR27" s="208" t="n"/>
      <c r="BS27" s="208" t="n"/>
    </row>
    <row r="28" ht="14.5" customHeight="1" s="213">
      <c r="G28" s="193" t="inlineStr">
        <is>
          <t>AllRegions</t>
        </is>
      </c>
      <c r="H28" s="193" t="inlineStr">
        <is>
          <t>China</t>
        </is>
      </c>
      <c r="I28" s="193" t="inlineStr">
        <is>
          <t>NorthAm</t>
        </is>
      </c>
      <c r="BE28" s="208" t="n"/>
      <c r="BF28" s="208" t="n"/>
      <c r="BG28" s="208" t="n"/>
      <c r="BH28" s="208" t="n"/>
      <c r="BI28" s="205" t="n"/>
      <c r="BO28" s="208" t="n"/>
      <c r="BP28" s="208" t="n"/>
      <c r="BQ28" s="208" t="n"/>
      <c r="BR28" s="208" t="n"/>
      <c r="BS28" s="208" t="n"/>
    </row>
    <row r="29" ht="14.5" customHeight="1" s="213">
      <c r="F29" s="193" t="inlineStr">
        <is>
          <t>Tra_EV_Batt-LFP</t>
        </is>
      </c>
      <c r="G29" s="208" t="n">
        <v>99.07692666666669</v>
      </c>
      <c r="H29" s="208" t="n">
        <v>74.18048</v>
      </c>
      <c r="I29" s="208" t="n">
        <v>125.5188</v>
      </c>
      <c r="BE29" s="208" t="n"/>
      <c r="BF29" s="208" t="n"/>
      <c r="BG29" s="208" t="n"/>
      <c r="BH29" s="208" t="n"/>
      <c r="BI29" s="205" t="n"/>
      <c r="BO29" s="208" t="n"/>
      <c r="BP29" s="208" t="n"/>
      <c r="BQ29" s="208" t="n"/>
      <c r="BR29" s="208" t="n"/>
      <c r="BS29" s="208" t="n"/>
    </row>
    <row r="30" ht="14.5" customHeight="1" s="213">
      <c r="F30" s="193" t="inlineStr">
        <is>
          <t>Tra_EV_Batt-LMO</t>
        </is>
      </c>
      <c r="G30" s="208" t="n">
        <v>115.8002</v>
      </c>
      <c r="H30" s="208" t="n">
        <v>86.71725000000001</v>
      </c>
      <c r="I30" s="208" t="n">
        <v>146.65515</v>
      </c>
      <c r="AY30" s="209" t="n"/>
      <c r="BE30" s="208" t="n"/>
      <c r="BF30" s="208" t="n"/>
      <c r="BG30" s="208" t="n"/>
      <c r="BH30" s="208" t="n"/>
      <c r="BI30" s="205" t="n"/>
      <c r="BO30" s="208" t="n"/>
      <c r="BP30" s="208" t="n"/>
      <c r="BQ30" s="208" t="n"/>
      <c r="BR30" s="208" t="n"/>
      <c r="BS30" s="208" t="n"/>
    </row>
    <row r="31" ht="14.5" customHeight="1" s="213">
      <c r="F31" s="193" t="inlineStr">
        <is>
          <t>Tra_EV_Batt-NCA</t>
        </is>
      </c>
      <c r="G31" s="208" t="n">
        <v>116.609496666667</v>
      </c>
      <c r="H31" s="208" t="n">
        <v>87.36327</v>
      </c>
      <c r="I31" s="208" t="n">
        <v>147.58976</v>
      </c>
      <c r="AS31" s="185" t="inlineStr">
        <is>
          <t>AllRegions</t>
        </is>
      </c>
      <c r="AT31" s="185" t="inlineStr">
        <is>
          <t>China</t>
        </is>
      </c>
      <c r="AU31" s="185" t="inlineStr">
        <is>
          <t>NorthAm</t>
        </is>
      </c>
      <c r="AW31" s="209" t="inlineStr">
        <is>
          <t>process</t>
        </is>
      </c>
      <c r="AX31" s="209" t="inlineStr">
        <is>
          <t>year</t>
        </is>
      </c>
      <c r="AY31" s="201" t="inlineStr">
        <is>
          <t>AllRegions</t>
        </is>
      </c>
      <c r="AZ31" s="201" t="inlineStr">
        <is>
          <t>China</t>
        </is>
      </c>
      <c r="BA31" s="201" t="inlineStr">
        <is>
          <t>NorthAm</t>
        </is>
      </c>
      <c r="BD31" s="208" t="inlineStr">
        <is>
          <t>process</t>
        </is>
      </c>
      <c r="BE31" s="208" t="inlineStr">
        <is>
          <t>year</t>
        </is>
      </c>
      <c r="BF31" s="208" t="inlineStr">
        <is>
          <t>AllRegions</t>
        </is>
      </c>
      <c r="BG31" s="208" t="inlineStr">
        <is>
          <t>China</t>
        </is>
      </c>
      <c r="BH31" s="208" t="inlineStr">
        <is>
          <t>NorthAm</t>
        </is>
      </c>
      <c r="BO31" s="208" t="inlineStr">
        <is>
          <t>process</t>
        </is>
      </c>
      <c r="BP31" s="208" t="inlineStr">
        <is>
          <t>year</t>
        </is>
      </c>
      <c r="BQ31" s="208" t="inlineStr">
        <is>
          <t>AllRegions</t>
        </is>
      </c>
      <c r="BR31" s="208" t="inlineStr">
        <is>
          <t>China</t>
        </is>
      </c>
      <c r="BS31" s="208" t="inlineStr">
        <is>
          <t>NorthAm</t>
        </is>
      </c>
    </row>
    <row r="32" ht="14.5" customHeight="1" s="213">
      <c r="B32" s="65" t="inlineStr">
        <is>
          <t>Cell cost for Na-ion (USD24/kWh)</t>
        </is>
      </c>
      <c r="C32" s="65" t="inlineStr">
        <is>
          <t>Pack cost for Na-ion</t>
        </is>
      </c>
      <c r="F32" s="193" t="inlineStr">
        <is>
          <t>Tra_EV_Batt-NMC111</t>
        </is>
      </c>
      <c r="G32" s="208" t="n">
        <v>119.49202</v>
      </c>
      <c r="H32" s="208" t="n">
        <v>89.52996</v>
      </c>
      <c r="I32" s="208" t="n">
        <v>151.27476</v>
      </c>
      <c r="AS32" s="185" t="n">
        <v>63.1582102380952</v>
      </c>
      <c r="AT32" s="185" t="n">
        <v>43.5967164285714</v>
      </c>
      <c r="AU32" s="185" t="n">
        <v>83.9339678571427</v>
      </c>
      <c r="AW32" s="209" t="inlineStr">
        <is>
          <t>Tra_EV_Batt-LFP_fromrecy</t>
        </is>
      </c>
      <c r="AX32" s="209" t="n">
        <v>2030</v>
      </c>
      <c r="AY32" s="209">
        <f>AY17*AJ2/AI2</f>
        <v/>
      </c>
      <c r="AZ32" s="209">
        <f>AZ17*AJ2/AI2</f>
        <v/>
      </c>
      <c r="BA32" s="209">
        <f>BA17*AJ2/AI2</f>
        <v/>
      </c>
      <c r="BD32" s="208" t="inlineStr">
        <is>
          <t>Tra_EV_Batt-LFP_virgin</t>
        </is>
      </c>
      <c r="BE32" s="208" t="n">
        <v>2030</v>
      </c>
      <c r="BF32" s="208">
        <f>AS32*70%</f>
        <v/>
      </c>
      <c r="BG32" s="208">
        <f>AT32*70%</f>
        <v/>
      </c>
      <c r="BH32" s="208">
        <f>AU32*70%</f>
        <v/>
      </c>
      <c r="BO32" s="208" t="inlineStr">
        <is>
          <t>Tra_EV_Batt-LFP_virgin_pack</t>
        </is>
      </c>
      <c r="BP32" s="208" t="n">
        <v>2030</v>
      </c>
      <c r="BQ32" s="208">
        <f>AS32*30%</f>
        <v/>
      </c>
      <c r="BR32" s="208">
        <f>AT32*30%</f>
        <v/>
      </c>
      <c r="BS32" s="208">
        <f>AU32*30%</f>
        <v/>
      </c>
    </row>
    <row r="33" ht="14.5" customHeight="1" s="213">
      <c r="B33" s="65" t="n">
        <v>121.57</v>
      </c>
      <c r="C33" s="65">
        <f>B33/0.75</f>
        <v/>
      </c>
      <c r="F33" s="193" t="inlineStr">
        <is>
          <t>Tra_EV_Batt-NMC532</t>
        </is>
      </c>
      <c r="G33" s="208" t="n">
        <v>122.491716666667</v>
      </c>
      <c r="H33" s="208" t="n">
        <v>91.76649999999999</v>
      </c>
      <c r="I33" s="208" t="n">
        <v>155.06785</v>
      </c>
      <c r="AS33" s="185" t="n">
        <v>74.9638999999999</v>
      </c>
      <c r="AT33" s="185" t="n">
        <v>52.1130107142856</v>
      </c>
      <c r="AU33" s="185" t="n">
        <v>99.2070749999999</v>
      </c>
      <c r="AW33" s="209" t="inlineStr">
        <is>
          <t>Tra_EV_Batt-LMO_fromrecy</t>
        </is>
      </c>
      <c r="AX33" s="209">
        <f>AX32</f>
        <v/>
      </c>
      <c r="AY33" s="209">
        <f>AY18*AJ3/AI3</f>
        <v/>
      </c>
      <c r="AZ33" s="209">
        <f>AZ18*AJ3/AI3</f>
        <v/>
      </c>
      <c r="BA33" s="209">
        <f>BA18*AJ3/AI3</f>
        <v/>
      </c>
      <c r="BD33" s="208" t="inlineStr">
        <is>
          <t>Tra_EV_Batt-LMO_virgin</t>
        </is>
      </c>
      <c r="BE33" s="208" t="n">
        <v>2030</v>
      </c>
      <c r="BF33" s="208">
        <f>AS33*70%</f>
        <v/>
      </c>
      <c r="BG33" s="208">
        <f>AT33*70%</f>
        <v/>
      </c>
      <c r="BH33" s="208">
        <f>AU33*70%</f>
        <v/>
      </c>
      <c r="BO33" s="208" t="inlineStr">
        <is>
          <t>Tra_EV_Batt-LMO_virgin_pack</t>
        </is>
      </c>
      <c r="BP33" s="208" t="n">
        <v>2030</v>
      </c>
      <c r="BQ33" s="208">
        <f>AS33*30%</f>
        <v/>
      </c>
      <c r="BR33" s="208">
        <f>AT33*30%</f>
        <v/>
      </c>
      <c r="BS33" s="208">
        <f>AU33*30%</f>
        <v/>
      </c>
    </row>
    <row r="34" ht="14.5" customHeight="1" s="213">
      <c r="F34" s="193" t="inlineStr">
        <is>
          <t>Tra_EV_Batt-NMC622</t>
        </is>
      </c>
      <c r="G34" s="208" t="n">
        <v>117.948416666667</v>
      </c>
      <c r="H34" s="208" t="n">
        <v>88.36375</v>
      </c>
      <c r="I34" s="208" t="n">
        <v>149.2985</v>
      </c>
      <c r="AS34" s="185" t="n">
        <v>67.0589045238094</v>
      </c>
      <c r="AT34" s="185" t="n">
        <v>44.0797264285714</v>
      </c>
      <c r="AU34" s="185" t="n">
        <v>91.40053999999991</v>
      </c>
      <c r="AW34" s="209" t="inlineStr">
        <is>
          <t>Tra_EV_Batt-NCA_fromrecy</t>
        </is>
      </c>
      <c r="AX34" s="209">
        <f>AX33</f>
        <v/>
      </c>
      <c r="AY34" s="209">
        <f>AY19*AJ4/AI4</f>
        <v/>
      </c>
      <c r="AZ34" s="209">
        <f>AZ19*AJ4/AI4</f>
        <v/>
      </c>
      <c r="BA34" s="209">
        <f>BA19*AJ4/AI4</f>
        <v/>
      </c>
      <c r="BD34" s="208" t="inlineStr">
        <is>
          <t>Tra_EV_Batt-NCA_virgin</t>
        </is>
      </c>
      <c r="BE34" s="208" t="n">
        <v>2030</v>
      </c>
      <c r="BF34" s="208">
        <f>AS34*70%</f>
        <v/>
      </c>
      <c r="BG34" s="208">
        <f>AT34*70%</f>
        <v/>
      </c>
      <c r="BH34" s="208">
        <f>AU34*70%</f>
        <v/>
      </c>
      <c r="BI34" s="197" t="n"/>
      <c r="BO34" s="208" t="inlineStr">
        <is>
          <t>Tra_EV_Batt-NCA_virgin_pack</t>
        </is>
      </c>
      <c r="BP34" s="208" t="n">
        <v>2030</v>
      </c>
      <c r="BQ34" s="208">
        <f>AS34*30%</f>
        <v/>
      </c>
      <c r="BR34" s="208">
        <f>AT34*30%</f>
        <v/>
      </c>
      <c r="BS34" s="208">
        <f>AU34*30%</f>
        <v/>
      </c>
    </row>
    <row r="35" ht="14.5" customHeight="1" s="213">
      <c r="F35" s="193" t="inlineStr">
        <is>
          <t>Tra_EV_Batt-NMC811</t>
        </is>
      </c>
      <c r="G35" s="208" t="n">
        <v>117.830666666667</v>
      </c>
      <c r="H35" s="208" t="n">
        <v>88.26748000000001</v>
      </c>
      <c r="I35" s="208" t="n">
        <v>149.15252</v>
      </c>
      <c r="AS35" s="185" t="n">
        <v>67.1955192857142</v>
      </c>
      <c r="AT35" s="185" t="n">
        <v>43.6539007142857</v>
      </c>
      <c r="AU35" s="185" t="n">
        <v>92.167672142857</v>
      </c>
      <c r="AW35" s="209" t="inlineStr">
        <is>
          <t>Tra_EV_Batt-NMC111_fromrecy</t>
        </is>
      </c>
      <c r="AX35" s="209">
        <f>AX34</f>
        <v/>
      </c>
      <c r="AY35" s="209">
        <f>AY20*AJ5/AI5</f>
        <v/>
      </c>
      <c r="AZ35" s="209">
        <f>AZ20*AJ5/AI5</f>
        <v/>
      </c>
      <c r="BA35" s="209">
        <f>BA20*AJ5/AI5</f>
        <v/>
      </c>
      <c r="BD35" s="208" t="inlineStr">
        <is>
          <t>Tra_EV_Batt-NMC111_virgin</t>
        </is>
      </c>
      <c r="BE35" s="208" t="n">
        <v>2030</v>
      </c>
      <c r="BF35" s="208">
        <f>AS35*70%</f>
        <v/>
      </c>
      <c r="BG35" s="208">
        <f>AT35*70%</f>
        <v/>
      </c>
      <c r="BH35" s="208">
        <f>AU35*70%</f>
        <v/>
      </c>
      <c r="BI35" s="226" t="n"/>
      <c r="BO35" s="208" t="inlineStr">
        <is>
          <t>Tra_EV_Batt-NMC111_virgin_pack</t>
        </is>
      </c>
      <c r="BP35" s="208" t="n">
        <v>2030</v>
      </c>
      <c r="BQ35" s="208">
        <f>AS35*30%</f>
        <v/>
      </c>
      <c r="BR35" s="208">
        <f>AT35*30%</f>
        <v/>
      </c>
      <c r="BS35" s="208">
        <f>AU35*30%</f>
        <v/>
      </c>
    </row>
    <row r="36" ht="14.5" customHeight="1" s="213">
      <c r="AS36" s="185" t="n">
        <v>70.7872916666665</v>
      </c>
      <c r="AT36" s="185" t="n">
        <v>46.6460499999999</v>
      </c>
      <c r="AU36" s="185" t="n">
        <v>96.3828249999999</v>
      </c>
      <c r="AW36" s="209" t="inlineStr">
        <is>
          <t>Tra_EV_Batt-NMC532_fromrecy</t>
        </is>
      </c>
      <c r="AX36" s="209">
        <f>AX35</f>
        <v/>
      </c>
      <c r="AY36" s="209">
        <f>AY21*AJ6/AI6</f>
        <v/>
      </c>
      <c r="AZ36" s="209">
        <f>AZ21*AJ6/AI6</f>
        <v/>
      </c>
      <c r="BA36" s="209">
        <f>BA21*AJ6/AI6</f>
        <v/>
      </c>
      <c r="BD36" s="208" t="inlineStr">
        <is>
          <t>Tra_EV_Batt-NMC532_virgin</t>
        </is>
      </c>
      <c r="BE36" s="208" t="n">
        <v>2030</v>
      </c>
      <c r="BF36" s="208">
        <f>AS36*70%</f>
        <v/>
      </c>
      <c r="BG36" s="208">
        <f>AT36*70%</f>
        <v/>
      </c>
      <c r="BH36" s="208">
        <f>AU36*70%</f>
        <v/>
      </c>
      <c r="BI36" s="226" t="n"/>
      <c r="BO36" s="208" t="inlineStr">
        <is>
          <t>Tra_EV_Batt-NMC532_virgin_pack</t>
        </is>
      </c>
      <c r="BP36" s="208" t="n">
        <v>2030</v>
      </c>
      <c r="BQ36" s="208">
        <f>AS36*30%</f>
        <v/>
      </c>
      <c r="BR36" s="208">
        <f>AT36*30%</f>
        <v/>
      </c>
      <c r="BS36" s="208">
        <f>AU36*30%</f>
        <v/>
      </c>
    </row>
    <row r="37" ht="14.5" customHeight="1" s="213">
      <c r="AS37" s="185" t="n">
        <v>68.2960273809523</v>
      </c>
      <c r="AT37" s="185" t="n">
        <v>45.0509321428571</v>
      </c>
      <c r="AU37" s="185" t="n">
        <v>92.92823571428561</v>
      </c>
      <c r="AW37" s="209" t="inlineStr">
        <is>
          <t>Tra_EV_Batt-NMC622_fromrecy</t>
        </is>
      </c>
      <c r="AX37" s="209">
        <f>AX36</f>
        <v/>
      </c>
      <c r="AY37" s="209">
        <f>AY22*AJ7/AI7</f>
        <v/>
      </c>
      <c r="AZ37" s="209">
        <f>AZ22*AJ7/AI7</f>
        <v/>
      </c>
      <c r="BA37" s="209">
        <f>BA22*AJ7/AI7</f>
        <v/>
      </c>
      <c r="BD37" s="208" t="inlineStr">
        <is>
          <t>Tra_EV_Batt-NMC622_virgin</t>
        </is>
      </c>
      <c r="BE37" s="208" t="n">
        <v>2030</v>
      </c>
      <c r="BF37" s="208">
        <f>AS37*70%</f>
        <v/>
      </c>
      <c r="BG37" s="208">
        <f>AT37*70%</f>
        <v/>
      </c>
      <c r="BH37" s="208">
        <f>AU37*70%</f>
        <v/>
      </c>
      <c r="BI37" s="226" t="n"/>
      <c r="BO37" s="208" t="inlineStr">
        <is>
          <t>Tra_EV_Batt-NMC622_virgin_pack</t>
        </is>
      </c>
      <c r="BP37" s="208" t="n">
        <v>2030</v>
      </c>
      <c r="BQ37" s="208">
        <f>AS37*30%</f>
        <v/>
      </c>
      <c r="BR37" s="208">
        <f>AT37*30%</f>
        <v/>
      </c>
      <c r="BS37" s="208">
        <f>AU37*30%</f>
        <v/>
      </c>
    </row>
    <row r="38" ht="14.5" customHeight="1" s="213">
      <c r="AS38" s="185" t="n">
        <v>70.3628095238094</v>
      </c>
      <c r="AT38" s="185" t="n">
        <v>47.1345914285714</v>
      </c>
      <c r="AU38" s="185" t="n">
        <v>94.972837142857</v>
      </c>
      <c r="AW38" s="209" t="inlineStr">
        <is>
          <t>Tra_EV_Batt-NMC811_fromrecy</t>
        </is>
      </c>
      <c r="AX38" s="209">
        <f>AX37</f>
        <v/>
      </c>
      <c r="AY38" s="209">
        <f>AY23*AJ8/AI8</f>
        <v/>
      </c>
      <c r="AZ38" s="209">
        <f>AZ23*AJ8/AI8</f>
        <v/>
      </c>
      <c r="BA38" s="209">
        <f>BA23*AJ8/AI8</f>
        <v/>
      </c>
      <c r="BD38" s="208" t="inlineStr">
        <is>
          <t>Tra_EV_Batt-NMC811_virgin</t>
        </is>
      </c>
      <c r="BE38" s="208" t="n">
        <v>2030</v>
      </c>
      <c r="BF38" s="208">
        <f>AS38*70%</f>
        <v/>
      </c>
      <c r="BG38" s="208">
        <f>AT38*70%</f>
        <v/>
      </c>
      <c r="BH38" s="208">
        <f>AU38*70%</f>
        <v/>
      </c>
      <c r="BI38" s="226" t="n"/>
      <c r="BO38" s="208" t="inlineStr">
        <is>
          <t>Tra_EV_Batt-NMC811_virgin_pack</t>
        </is>
      </c>
      <c r="BP38" s="208" t="n">
        <v>2030</v>
      </c>
      <c r="BQ38" s="208">
        <f>AS38*30%</f>
        <v/>
      </c>
      <c r="BR38" s="208">
        <f>AT38*30%</f>
        <v/>
      </c>
      <c r="BS38" s="208">
        <f>AU38*30%</f>
        <v/>
      </c>
    </row>
    <row r="39" ht="14.5" customHeight="1" s="213">
      <c r="AS39" s="185" t="n">
        <v>127.359047619047</v>
      </c>
      <c r="AT39" s="185" t="n">
        <v>127.359047619047</v>
      </c>
      <c r="AU39" s="185" t="n">
        <v>127.359047619047</v>
      </c>
      <c r="AW39" s="7" t="n"/>
      <c r="AX39" s="209" t="n"/>
      <c r="AY39" s="209" t="n"/>
      <c r="AZ39" s="209" t="n"/>
      <c r="BA39" s="209" t="n"/>
      <c r="BD39" s="208" t="inlineStr">
        <is>
          <t>Tra_EV_Batt-Sodium_virgin</t>
        </is>
      </c>
      <c r="BE39" s="208" t="n">
        <v>2030</v>
      </c>
      <c r="BF39" s="208">
        <f>AS39*70%</f>
        <v/>
      </c>
      <c r="BG39" s="208">
        <f>AT39*70%</f>
        <v/>
      </c>
      <c r="BH39" s="208">
        <f>AU39*70%</f>
        <v/>
      </c>
      <c r="BI39" s="226" t="n"/>
      <c r="BO39" s="208" t="inlineStr">
        <is>
          <t>Tra_EV_Batt-Sodium_virgin_pack</t>
        </is>
      </c>
      <c r="BP39" s="208" t="n">
        <v>2030</v>
      </c>
      <c r="BQ39" s="208">
        <f>AS39*30%</f>
        <v/>
      </c>
      <c r="BR39" s="208">
        <f>AT39*30%</f>
        <v/>
      </c>
      <c r="BS39" s="208">
        <f>AU39*30%</f>
        <v/>
      </c>
    </row>
    <row r="40" ht="14.5" customHeight="1" s="213">
      <c r="BE40" s="208" t="n"/>
      <c r="BF40" s="208" t="n"/>
      <c r="BG40" s="208" t="n"/>
      <c r="BH40" s="208" t="n"/>
      <c r="BI40" s="226" t="n"/>
      <c r="BO40" s="208" t="n"/>
      <c r="BP40" s="208" t="n"/>
      <c r="BQ40" s="208" t="n"/>
      <c r="BR40" s="208" t="n"/>
      <c r="BS40" s="208" t="n"/>
    </row>
    <row r="41" ht="14.5" customHeight="1" s="213">
      <c r="AG41" s="207" t="inlineStr">
        <is>
          <t>~TFM_INS: attribute=INVCOST</t>
        </is>
      </c>
      <c r="AH41" s="207" t="n"/>
      <c r="AI41" s="207" t="n"/>
      <c r="AJ41" s="207" t="n"/>
      <c r="AK41" s="207" t="n"/>
      <c r="BE41" s="208" t="n"/>
      <c r="BF41" s="208" t="n"/>
      <c r="BG41" s="208" t="n"/>
      <c r="BH41" s="208" t="n"/>
      <c r="BI41" s="226" t="n"/>
      <c r="BO41" s="208" t="n"/>
      <c r="BP41" s="208" t="n"/>
      <c r="BQ41" s="208" t="n"/>
      <c r="BR41" s="208" t="n"/>
      <c r="BS41" s="208" t="n"/>
    </row>
    <row r="42" ht="14.5" customHeight="1" s="213">
      <c r="AG42" s="207" t="n"/>
      <c r="AH42" s="207" t="n"/>
      <c r="AI42" s="207" t="n"/>
      <c r="AJ42" s="207" t="n"/>
      <c r="AK42" s="207" t="n"/>
      <c r="BE42" s="208" t="n"/>
      <c r="BF42" s="208" t="n"/>
      <c r="BG42" s="208" t="n"/>
      <c r="BH42" s="208" t="n"/>
      <c r="BI42" s="226" t="n"/>
      <c r="BO42" s="208" t="n"/>
      <c r="BP42" s="208" t="n"/>
      <c r="BQ42" s="208" t="n"/>
      <c r="BR42" s="208" t="n"/>
      <c r="BS42" s="208" t="n"/>
    </row>
    <row r="43" ht="14.5" customHeight="1" s="213">
      <c r="B43" s="208" t="n"/>
      <c r="C43" s="208" t="n"/>
      <c r="D43" s="208" t="n"/>
      <c r="E43" s="208" t="n"/>
      <c r="AG43" s="207" t="n"/>
      <c r="AH43" s="207" t="n"/>
      <c r="AI43" s="207" t="n"/>
      <c r="AJ43" s="207" t="n"/>
      <c r="AK43" s="207" t="n"/>
      <c r="BE43" s="208" t="n"/>
      <c r="BF43" s="208" t="n"/>
      <c r="BG43" s="208" t="n"/>
      <c r="BH43" s="208" t="n"/>
      <c r="BI43" s="226" t="n"/>
      <c r="BO43" s="208" t="n"/>
      <c r="BP43" s="208" t="n"/>
      <c r="BQ43" s="208" t="n"/>
      <c r="BR43" s="208" t="n"/>
      <c r="BS43" s="208" t="n"/>
    </row>
    <row r="44" ht="14.5" customHeight="1" s="213">
      <c r="B44" s="208" t="n"/>
      <c r="C44" s="208" t="n"/>
      <c r="D44" s="208" t="n"/>
      <c r="E44" s="208" t="n"/>
      <c r="AG44" s="207" t="n"/>
      <c r="AH44" s="207" t="n"/>
      <c r="AI44" s="207" t="n"/>
      <c r="AJ44" s="207" t="n"/>
      <c r="AK44" s="207" t="n"/>
      <c r="AY44" s="209" t="n"/>
      <c r="BE44" s="208" t="n"/>
      <c r="BF44" s="208" t="n"/>
      <c r="BG44" s="208" t="n"/>
      <c r="BH44" s="208" t="n"/>
      <c r="BI44" s="226" t="n"/>
      <c r="BO44" s="208" t="n"/>
      <c r="BP44" s="208" t="n"/>
      <c r="BQ44" s="208" t="n"/>
      <c r="BR44" s="208" t="n"/>
      <c r="BS44" s="208" t="n"/>
    </row>
    <row r="45" ht="14.5" customHeight="1" s="213">
      <c r="B45" s="208" t="n"/>
      <c r="C45" s="208" t="n"/>
      <c r="D45" s="208" t="n"/>
      <c r="E45" s="208" t="n"/>
      <c r="AG45" s="207" t="inlineStr">
        <is>
          <t>process</t>
        </is>
      </c>
      <c r="AH45" s="207" t="inlineStr">
        <is>
          <t>year</t>
        </is>
      </c>
      <c r="AI45" s="207" t="inlineStr">
        <is>
          <t>AllRegions</t>
        </is>
      </c>
      <c r="AJ45" s="207" t="inlineStr">
        <is>
          <t>China</t>
        </is>
      </c>
      <c r="AK45" s="207" t="inlineStr">
        <is>
          <t>NorthAm</t>
        </is>
      </c>
      <c r="AS45" s="185" t="inlineStr">
        <is>
          <t>AllRegions</t>
        </is>
      </c>
      <c r="AT45" s="185" t="inlineStr">
        <is>
          <t>China</t>
        </is>
      </c>
      <c r="AU45" s="185" t="inlineStr">
        <is>
          <t>NorthAm</t>
        </is>
      </c>
      <c r="AW45" s="209" t="inlineStr">
        <is>
          <t>process</t>
        </is>
      </c>
      <c r="AX45" s="209" t="inlineStr">
        <is>
          <t>year</t>
        </is>
      </c>
      <c r="AY45" s="201" t="inlineStr">
        <is>
          <t>AllRegions</t>
        </is>
      </c>
      <c r="AZ45" s="201" t="inlineStr">
        <is>
          <t>China</t>
        </is>
      </c>
      <c r="BA45" s="201" t="inlineStr">
        <is>
          <t>NorthAm</t>
        </is>
      </c>
      <c r="BD45" s="208" t="inlineStr">
        <is>
          <t>process</t>
        </is>
      </c>
      <c r="BE45" s="208" t="inlineStr">
        <is>
          <t>year</t>
        </is>
      </c>
      <c r="BF45" s="208" t="inlineStr">
        <is>
          <t>AllRegions</t>
        </is>
      </c>
      <c r="BG45" s="208" t="inlineStr">
        <is>
          <t>China</t>
        </is>
      </c>
      <c r="BH45" s="208" t="inlineStr">
        <is>
          <t>NorthAm</t>
        </is>
      </c>
      <c r="BI45" s="226" t="n"/>
      <c r="BO45" s="208" t="inlineStr">
        <is>
          <t>process</t>
        </is>
      </c>
      <c r="BP45" s="208" t="inlineStr">
        <is>
          <t>year</t>
        </is>
      </c>
      <c r="BQ45" s="208" t="inlineStr">
        <is>
          <t>AllRegions</t>
        </is>
      </c>
      <c r="BR45" s="208" t="inlineStr">
        <is>
          <t>China</t>
        </is>
      </c>
      <c r="BS45" s="208" t="inlineStr">
        <is>
          <t>NorthAm</t>
        </is>
      </c>
    </row>
    <row r="46" ht="14.5" customHeight="1" s="213">
      <c r="C46" s="209" t="n"/>
      <c r="D46" s="208" t="n"/>
      <c r="E46" s="208" t="n"/>
      <c r="AG46" s="207" t="inlineStr">
        <is>
          <t>Tra_EV_Batt-LFP_virgin</t>
        </is>
      </c>
      <c r="AH46" s="207" t="n">
        <v>2023</v>
      </c>
      <c r="AI46" s="207" t="n">
        <v>0.1</v>
      </c>
      <c r="AJ46" s="207">
        <f>AI46</f>
        <v/>
      </c>
      <c r="AK46" s="207">
        <f>AJ46</f>
        <v/>
      </c>
      <c r="AS46" s="185" t="n">
        <v>57.4165547619049</v>
      </c>
      <c r="AT46" s="185" t="n">
        <v>39.6333785714287</v>
      </c>
      <c r="AU46" s="185" t="n">
        <v>76.3036071428573</v>
      </c>
      <c r="AW46" s="209" t="inlineStr">
        <is>
          <t>Tra_EV_Batt-LFP_fromrecy</t>
        </is>
      </c>
      <c r="AX46" s="209" t="n">
        <v>2035</v>
      </c>
      <c r="AY46" s="209">
        <f>AY32*AK2/AJ2</f>
        <v/>
      </c>
      <c r="AZ46" s="209">
        <f>AZ32*AK2/AJ2</f>
        <v/>
      </c>
      <c r="BA46" s="209">
        <f>BA32*AK2/AJ2</f>
        <v/>
      </c>
      <c r="BD46" s="208" t="inlineStr">
        <is>
          <t>Tra_EV_Batt-LFP_virgin</t>
        </is>
      </c>
      <c r="BE46" s="208" t="n">
        <v>2035</v>
      </c>
      <c r="BF46" s="208">
        <f>AS46*70%</f>
        <v/>
      </c>
      <c r="BG46" s="208">
        <f>AT46*70%</f>
        <v/>
      </c>
      <c r="BH46" s="208">
        <f>AU46*70%</f>
        <v/>
      </c>
      <c r="BI46" s="226" t="n"/>
      <c r="BO46" s="208" t="inlineStr">
        <is>
          <t>Tra_EV_Batt-LFP_virgin_pack</t>
        </is>
      </c>
      <c r="BP46" s="208" t="n">
        <v>2035</v>
      </c>
      <c r="BQ46" s="208">
        <f>AS46*30%</f>
        <v/>
      </c>
      <c r="BR46" s="208">
        <f>AT46*30%</f>
        <v/>
      </c>
      <c r="BS46" s="208">
        <f>AU46*30%</f>
        <v/>
      </c>
    </row>
    <row r="47" ht="14.5" customHeight="1" s="213">
      <c r="B47" s="209" t="n"/>
      <c r="C47" s="141" t="n"/>
      <c r="D47" s="141" t="n"/>
      <c r="E47" s="141" t="n"/>
      <c r="AG47" s="207" t="inlineStr">
        <is>
          <t>Tra_EV_Batt-LMO_virgin</t>
        </is>
      </c>
      <c r="AH47" s="207" t="n">
        <v>2023</v>
      </c>
      <c r="AI47" s="207" t="n">
        <v>0.1</v>
      </c>
      <c r="AJ47" s="207">
        <f>AJ46</f>
        <v/>
      </c>
      <c r="AK47" s="207">
        <f>AK46</f>
        <v/>
      </c>
      <c r="AS47" s="185" t="n">
        <v>68.1490000000002</v>
      </c>
      <c r="AT47" s="185" t="n">
        <v>47.3754642857144</v>
      </c>
      <c r="AU47" s="185" t="n">
        <v>90.1882500000002</v>
      </c>
      <c r="AW47" s="209" t="inlineStr">
        <is>
          <t>Tra_EV_Batt-LMO_fromrecy</t>
        </is>
      </c>
      <c r="AX47" s="209">
        <f>AX46</f>
        <v/>
      </c>
      <c r="AY47" s="209">
        <f>AY33*AK3/AJ3</f>
        <v/>
      </c>
      <c r="AZ47" s="209">
        <f>AZ33*AK3/AJ3</f>
        <v/>
      </c>
      <c r="BA47" s="209">
        <f>BA33*AK3/AJ3</f>
        <v/>
      </c>
      <c r="BD47" s="208" t="inlineStr">
        <is>
          <t>Tra_EV_Batt-LMO_virgin</t>
        </is>
      </c>
      <c r="BE47" s="208" t="n">
        <v>2035</v>
      </c>
      <c r="BF47" s="208">
        <f>AS47*70%</f>
        <v/>
      </c>
      <c r="BG47" s="208">
        <f>AT47*70%</f>
        <v/>
      </c>
      <c r="BH47" s="208">
        <f>AU47*70%</f>
        <v/>
      </c>
      <c r="BI47" s="226" t="n"/>
      <c r="BO47" s="208" t="inlineStr">
        <is>
          <t>Tra_EV_Batt-LMO_virgin_pack</t>
        </is>
      </c>
      <c r="BP47" s="208" t="n">
        <v>2035</v>
      </c>
      <c r="BQ47" s="208">
        <f>AS47*30%</f>
        <v/>
      </c>
      <c r="BR47" s="208">
        <f>AT47*30%</f>
        <v/>
      </c>
      <c r="BS47" s="208">
        <f>AU47*30%</f>
        <v/>
      </c>
    </row>
    <row r="48" ht="14.5" customHeight="1" s="213">
      <c r="B48" s="209" t="n"/>
      <c r="C48" s="209" t="n"/>
      <c r="D48" s="209" t="n"/>
      <c r="E48" s="209" t="n"/>
      <c r="AG48" s="207" t="inlineStr">
        <is>
          <t>Tra_EV_Batt-NCA_virgin</t>
        </is>
      </c>
      <c r="AH48" s="207" t="n">
        <v>2023</v>
      </c>
      <c r="AI48" s="207">
        <f>AI47</f>
        <v/>
      </c>
      <c r="AJ48" s="207">
        <f>AJ47</f>
        <v/>
      </c>
      <c r="AK48" s="207">
        <f>AK47</f>
        <v/>
      </c>
      <c r="AS48" s="185" t="n">
        <v>60.9626404761906</v>
      </c>
      <c r="AT48" s="185" t="n">
        <v>40.0724785714287</v>
      </c>
      <c r="AU48" s="185" t="n">
        <v>83.09140000000021</v>
      </c>
      <c r="AW48" s="209" t="inlineStr">
        <is>
          <t>Tra_EV_Batt-NCA_fromrecy</t>
        </is>
      </c>
      <c r="AX48" s="209">
        <f>AX47</f>
        <v/>
      </c>
      <c r="AY48" s="209">
        <f>AY34*AK4/AJ4</f>
        <v/>
      </c>
      <c r="AZ48" s="209">
        <f>AZ34*AK4/AJ4</f>
        <v/>
      </c>
      <c r="BA48" s="209">
        <f>BA34*AK4/AJ4</f>
        <v/>
      </c>
      <c r="BD48" s="208" t="inlineStr">
        <is>
          <t>Tra_EV_Batt-NCA_virgin</t>
        </is>
      </c>
      <c r="BE48" s="208" t="n">
        <v>2035</v>
      </c>
      <c r="BF48" s="208">
        <f>AS48*70%</f>
        <v/>
      </c>
      <c r="BG48" s="208">
        <f>AT48*70%</f>
        <v/>
      </c>
      <c r="BH48" s="208">
        <f>AU48*70%</f>
        <v/>
      </c>
      <c r="BI48" s="226" t="n"/>
      <c r="BO48" s="208" t="inlineStr">
        <is>
          <t>Tra_EV_Batt-NCA_virgin_pack</t>
        </is>
      </c>
      <c r="BP48" s="208" t="n">
        <v>2035</v>
      </c>
      <c r="BQ48" s="208">
        <f>AS48*30%</f>
        <v/>
      </c>
      <c r="BR48" s="208">
        <f>AT48*30%</f>
        <v/>
      </c>
      <c r="BS48" s="208">
        <f>AU48*30%</f>
        <v/>
      </c>
    </row>
    <row r="49" ht="14.5" customHeight="1" s="213">
      <c r="B49" s="209" t="n"/>
      <c r="C49" s="209" t="n"/>
      <c r="D49" s="209" t="n"/>
      <c r="E49" s="209" t="n"/>
      <c r="AG49" s="207" t="inlineStr">
        <is>
          <t>Tra_EV_Batt-NMC111_virgin</t>
        </is>
      </c>
      <c r="AH49" s="207" t="n">
        <v>2023</v>
      </c>
      <c r="AI49" s="207">
        <f>AI48</f>
        <v/>
      </c>
      <c r="AJ49" s="207">
        <f>AJ48</f>
        <v/>
      </c>
      <c r="AK49" s="207">
        <f>AK48</f>
        <v/>
      </c>
      <c r="AS49" s="185" t="n">
        <v>61.0868357142859</v>
      </c>
      <c r="AT49" s="185" t="n">
        <v>39.6853642857144</v>
      </c>
      <c r="AU49" s="185" t="n">
        <v>83.78879285714309</v>
      </c>
      <c r="AW49" s="209" t="inlineStr">
        <is>
          <t>Tra_EV_Batt-NMC111_fromrecy</t>
        </is>
      </c>
      <c r="AX49" s="209">
        <f>AX48</f>
        <v/>
      </c>
      <c r="AY49" s="209">
        <f>AY35*AK5/AJ5</f>
        <v/>
      </c>
      <c r="AZ49" s="209">
        <f>AZ35*AK5/AJ5</f>
        <v/>
      </c>
      <c r="BA49" s="209">
        <f>BA35*AK5/AJ5</f>
        <v/>
      </c>
      <c r="BD49" s="208" t="inlineStr">
        <is>
          <t>Tra_EV_Batt-NMC111_virgin</t>
        </is>
      </c>
      <c r="BE49" s="208" t="n">
        <v>2035</v>
      </c>
      <c r="BF49" s="208">
        <f>AS49*70%</f>
        <v/>
      </c>
      <c r="BG49" s="208">
        <f>AT49*70%</f>
        <v/>
      </c>
      <c r="BH49" s="208">
        <f>AU49*70%</f>
        <v/>
      </c>
      <c r="BI49" s="226" t="n"/>
      <c r="BO49" s="208" t="inlineStr">
        <is>
          <t>Tra_EV_Batt-NMC111_virgin_pack</t>
        </is>
      </c>
      <c r="BP49" s="208" t="n">
        <v>2035</v>
      </c>
      <c r="BQ49" s="208">
        <f>AS49*30%</f>
        <v/>
      </c>
      <c r="BR49" s="208">
        <f>AT49*30%</f>
        <v/>
      </c>
      <c r="BS49" s="208">
        <f>AU49*30%</f>
        <v/>
      </c>
    </row>
    <row r="50" ht="14.5" customHeight="1" s="213">
      <c r="B50" s="209" t="n"/>
      <c r="C50" s="209" t="n"/>
      <c r="D50" s="209" t="n"/>
      <c r="E50" s="209" t="n"/>
      <c r="AG50" s="207" t="inlineStr">
        <is>
          <t>Tra_EV_Batt-NMC532_virgin</t>
        </is>
      </c>
      <c r="AH50" s="207" t="n">
        <v>2023</v>
      </c>
      <c r="AI50" s="207">
        <f>AI49</f>
        <v/>
      </c>
      <c r="AJ50" s="207">
        <f>AJ49</f>
        <v/>
      </c>
      <c r="AK50" s="207">
        <f>AK49</f>
        <v/>
      </c>
      <c r="AS50" s="185" t="n">
        <v>64.3520833333335</v>
      </c>
      <c r="AT50" s="185" t="n">
        <v>42.4055000000001</v>
      </c>
      <c r="AU50" s="185" t="n">
        <v>87.6207500000002</v>
      </c>
      <c r="AW50" s="209" t="inlineStr">
        <is>
          <t>Tra_EV_Batt-NMC532_fromrecy</t>
        </is>
      </c>
      <c r="AX50" s="209">
        <f>AX49</f>
        <v/>
      </c>
      <c r="AY50" s="209">
        <f>AY36*AK6/AJ6</f>
        <v/>
      </c>
      <c r="AZ50" s="209">
        <f>AZ36*AK6/AJ6</f>
        <v/>
      </c>
      <c r="BA50" s="209">
        <f>BA36*AK6/AJ6</f>
        <v/>
      </c>
      <c r="BD50" s="208" t="inlineStr">
        <is>
          <t>Tra_EV_Batt-NMC532_virgin</t>
        </is>
      </c>
      <c r="BE50" s="208" t="n">
        <v>2035</v>
      </c>
      <c r="BF50" s="208">
        <f>AS50*70%</f>
        <v/>
      </c>
      <c r="BG50" s="208">
        <f>AT50*70%</f>
        <v/>
      </c>
      <c r="BH50" s="208">
        <f>AU50*70%</f>
        <v/>
      </c>
      <c r="BI50" s="226" t="n"/>
      <c r="BO50" s="208" t="inlineStr">
        <is>
          <t>Tra_EV_Batt-NMC532_virgin_pack</t>
        </is>
      </c>
      <c r="BP50" s="208" t="n">
        <v>2035</v>
      </c>
      <c r="BQ50" s="208">
        <f>AS50*30%</f>
        <v/>
      </c>
      <c r="BR50" s="208">
        <f>AT50*30%</f>
        <v/>
      </c>
      <c r="BS50" s="208">
        <f>AU50*30%</f>
        <v/>
      </c>
    </row>
    <row r="51" ht="14.5" customHeight="1" s="213">
      <c r="B51" s="209" t="n"/>
      <c r="C51" s="209" t="n"/>
      <c r="D51" s="209" t="n"/>
      <c r="E51" s="209" t="n"/>
      <c r="AG51" s="207" t="inlineStr">
        <is>
          <t>Tra_EV_Batt-NMC622_virgin</t>
        </is>
      </c>
      <c r="AH51" s="207" t="n">
        <v>2023</v>
      </c>
      <c r="AI51" s="207">
        <f>AI50</f>
        <v/>
      </c>
      <c r="AJ51" s="207">
        <f>AJ50</f>
        <v/>
      </c>
      <c r="AK51" s="207">
        <f>AK50</f>
        <v/>
      </c>
      <c r="AS51" s="185" t="n">
        <v>62.0872976190478</v>
      </c>
      <c r="AT51" s="185" t="n">
        <v>40.955392857143</v>
      </c>
      <c r="AU51" s="185" t="n">
        <v>84.4802142857145</v>
      </c>
      <c r="AW51" s="209" t="inlineStr">
        <is>
          <t>Tra_EV_Batt-NMC622_fromrecy</t>
        </is>
      </c>
      <c r="AX51" s="209">
        <f>AX50</f>
        <v/>
      </c>
      <c r="AY51" s="209">
        <f>AY37*AK7/AJ7</f>
        <v/>
      </c>
      <c r="AZ51" s="209">
        <f>AZ37*AK7/AJ7</f>
        <v/>
      </c>
      <c r="BA51" s="209">
        <f>BA37*AK7/AJ7</f>
        <v/>
      </c>
      <c r="BD51" s="208" t="inlineStr">
        <is>
          <t>Tra_EV_Batt-NMC622_virgin</t>
        </is>
      </c>
      <c r="BE51" s="208" t="n">
        <v>2035</v>
      </c>
      <c r="BF51" s="208">
        <f>AS51*70%</f>
        <v/>
      </c>
      <c r="BG51" s="208">
        <f>AT51*70%</f>
        <v/>
      </c>
      <c r="BH51" s="208">
        <f>AU51*70%</f>
        <v/>
      </c>
      <c r="BI51" s="226" t="n"/>
      <c r="BO51" s="208" t="inlineStr">
        <is>
          <t>Tra_EV_Batt-NMC622_virgin_pack</t>
        </is>
      </c>
      <c r="BP51" s="208" t="n">
        <v>2035</v>
      </c>
      <c r="BQ51" s="208">
        <f>AS51*30%</f>
        <v/>
      </c>
      <c r="BR51" s="208">
        <f>AT51*30%</f>
        <v/>
      </c>
      <c r="BS51" s="208">
        <f>AU51*30%</f>
        <v/>
      </c>
    </row>
    <row r="52" ht="14.5" customHeight="1" s="213">
      <c r="B52" s="209" t="n"/>
      <c r="C52" s="209" t="n"/>
      <c r="D52" s="209" t="n"/>
      <c r="E52" s="209" t="n"/>
      <c r="AG52" s="207" t="inlineStr">
        <is>
          <t>Tra_EV_Batt-NMC811_virgin</t>
        </is>
      </c>
      <c r="AH52" s="207" t="n">
        <v>2023</v>
      </c>
      <c r="AI52" s="207">
        <f>AI51</f>
        <v/>
      </c>
      <c r="AJ52" s="207">
        <f>AJ51</f>
        <v/>
      </c>
      <c r="AK52" s="207">
        <f>AK51</f>
        <v/>
      </c>
      <c r="AS52" s="185" t="n">
        <v>63.9661904761907</v>
      </c>
      <c r="AT52" s="185" t="n">
        <v>42.8496285714287</v>
      </c>
      <c r="AU52" s="185" t="n">
        <v>86.3389428571431</v>
      </c>
      <c r="AW52" s="209" t="inlineStr">
        <is>
          <t>Tra_EV_Batt-NMC811_fromrecy</t>
        </is>
      </c>
      <c r="AX52" s="209">
        <f>AX51</f>
        <v/>
      </c>
      <c r="AY52" s="209">
        <f>AY38*AK8/AJ8</f>
        <v/>
      </c>
      <c r="AZ52" s="209">
        <f>AZ38*AK8/AJ8</f>
        <v/>
      </c>
      <c r="BA52" s="209">
        <f>BA38*AK8/AJ8</f>
        <v/>
      </c>
      <c r="BD52" s="208" t="inlineStr">
        <is>
          <t>Tra_EV_Batt-NMC811_virgin</t>
        </is>
      </c>
      <c r="BE52" s="208" t="n">
        <v>2035</v>
      </c>
      <c r="BF52" s="208">
        <f>AS52*70%</f>
        <v/>
      </c>
      <c r="BG52" s="208">
        <f>AT52*70%</f>
        <v/>
      </c>
      <c r="BH52" s="208">
        <f>AU52*70%</f>
        <v/>
      </c>
      <c r="BI52" s="226" t="n"/>
      <c r="BO52" s="208" t="inlineStr">
        <is>
          <t>Tra_EV_Batt-NMC811_virgin_pack</t>
        </is>
      </c>
      <c r="BP52" s="208" t="n">
        <v>2035</v>
      </c>
      <c r="BQ52" s="208">
        <f>AS52*30%</f>
        <v/>
      </c>
      <c r="BR52" s="208">
        <f>AT52*30%</f>
        <v/>
      </c>
      <c r="BS52" s="208">
        <f>AU52*30%</f>
        <v/>
      </c>
    </row>
    <row r="53" ht="14.5" customHeight="1" s="213">
      <c r="B53" s="209" t="n"/>
      <c r="C53" s="209" t="n"/>
      <c r="D53" s="209" t="n"/>
      <c r="E53" s="209" t="n"/>
      <c r="AG53" s="207" t="inlineStr">
        <is>
          <t>Tra_EV_Batt-Sodium_virgin</t>
        </is>
      </c>
      <c r="AH53" s="207" t="n">
        <v>2023</v>
      </c>
      <c r="AI53" s="207">
        <f>AI52</f>
        <v/>
      </c>
      <c r="AJ53" s="207">
        <f>AJ52</f>
        <v/>
      </c>
      <c r="AK53" s="207">
        <f>AK52</f>
        <v/>
      </c>
      <c r="AS53" s="185" t="n">
        <v>115.780952380953</v>
      </c>
      <c r="AT53" s="185" t="n">
        <v>115.780952380953</v>
      </c>
      <c r="AU53" s="185" t="n">
        <v>115.780952380953</v>
      </c>
      <c r="AW53" s="7" t="n"/>
      <c r="AX53" s="209" t="n"/>
      <c r="AY53" s="209" t="n"/>
      <c r="AZ53" s="209" t="n"/>
      <c r="BA53" s="209" t="n"/>
      <c r="BD53" s="208" t="inlineStr">
        <is>
          <t>Tra_EV_Batt-Sodium_virgin</t>
        </is>
      </c>
      <c r="BE53" s="208" t="n">
        <v>2035</v>
      </c>
      <c r="BF53" s="208">
        <f>AS53*70%</f>
        <v/>
      </c>
      <c r="BG53" s="208">
        <f>AT53*70%</f>
        <v/>
      </c>
      <c r="BH53" s="208">
        <f>AU53*70%</f>
        <v/>
      </c>
      <c r="BI53" s="226" t="n"/>
      <c r="BO53" s="208" t="inlineStr">
        <is>
          <t>Tra_EV_Batt-Sodium_virgin_pack</t>
        </is>
      </c>
      <c r="BP53" s="208" t="n">
        <v>2035</v>
      </c>
      <c r="BQ53" s="208">
        <f>AS53*30%</f>
        <v/>
      </c>
      <c r="BR53" s="208">
        <f>AT53*30%</f>
        <v/>
      </c>
      <c r="BS53" s="208">
        <f>AU53*30%</f>
        <v/>
      </c>
    </row>
    <row r="54" ht="14.5" customHeight="1" s="213">
      <c r="B54" s="209" t="n"/>
      <c r="C54" s="209" t="n"/>
      <c r="D54" s="209" t="n"/>
      <c r="E54" s="209" t="n"/>
      <c r="AG54" s="207" t="n"/>
      <c r="AH54" s="207" t="n"/>
      <c r="AI54" s="207" t="n"/>
      <c r="AJ54" s="207" t="n"/>
      <c r="AK54" s="207" t="n"/>
      <c r="BE54" s="208" t="n"/>
      <c r="BF54" s="208" t="n"/>
      <c r="BG54" s="208" t="n"/>
      <c r="BH54" s="208" t="n"/>
      <c r="BI54" s="226" t="n"/>
      <c r="BO54" s="208" t="n"/>
      <c r="BP54" s="208" t="n"/>
      <c r="BQ54" s="208" t="n"/>
      <c r="BR54" s="208" t="n"/>
      <c r="BS54" s="208" t="n"/>
    </row>
    <row r="55" ht="14.5" customHeight="1" s="213">
      <c r="B55" s="209" t="n"/>
      <c r="C55" s="210" t="n"/>
      <c r="D55" s="210" t="n"/>
      <c r="E55" s="210" t="n"/>
      <c r="AG55" s="207" t="n"/>
      <c r="AH55" s="207" t="n"/>
      <c r="AI55" s="207" t="n"/>
      <c r="AJ55" s="207" t="n"/>
      <c r="AK55" s="207" t="n"/>
      <c r="BE55" s="208" t="n"/>
      <c r="BF55" s="208" t="n"/>
      <c r="BG55" s="208" t="n"/>
      <c r="BH55" s="208" t="n"/>
      <c r="BI55" s="226" t="n"/>
      <c r="BO55" s="208" t="n"/>
      <c r="BP55" s="208" t="n"/>
      <c r="BQ55" s="208" t="n"/>
      <c r="BR55" s="208" t="n"/>
      <c r="BS55" s="208" t="n"/>
    </row>
    <row r="56" ht="14.5" customHeight="1" s="213">
      <c r="B56" s="208" t="n"/>
      <c r="C56" s="208" t="n"/>
      <c r="D56" s="208" t="n"/>
      <c r="E56" s="208" t="n"/>
      <c r="AG56" s="207" t="n"/>
      <c r="AH56" s="207" t="n"/>
      <c r="AI56" s="207" t="n"/>
      <c r="AJ56" s="207" t="n"/>
      <c r="AK56" s="207" t="n"/>
      <c r="BE56" s="208" t="n"/>
      <c r="BF56" s="208" t="n"/>
      <c r="BG56" s="208" t="n"/>
      <c r="BH56" s="208" t="n"/>
      <c r="BI56" s="226" t="n"/>
      <c r="BO56" s="208" t="n"/>
      <c r="BP56" s="208" t="n"/>
      <c r="BQ56" s="208" t="n"/>
      <c r="BR56" s="208" t="n"/>
      <c r="BS56" s="208" t="n"/>
    </row>
    <row r="57" ht="14.5" customHeight="1" s="213">
      <c r="B57" s="208" t="n"/>
      <c r="C57" s="208" t="n"/>
      <c r="D57" s="208" t="n"/>
      <c r="E57" s="208" t="n"/>
      <c r="AG57" s="207" t="n"/>
      <c r="AH57" s="207" t="n"/>
      <c r="AI57" s="207" t="n"/>
      <c r="AJ57" s="207" t="n"/>
      <c r="AK57" s="207" t="n"/>
      <c r="BE57" s="208" t="n"/>
      <c r="BF57" s="208" t="n"/>
      <c r="BG57" s="208" t="n"/>
      <c r="BH57" s="208" t="n"/>
      <c r="BI57" s="226" t="n"/>
      <c r="BO57" s="208" t="n"/>
      <c r="BP57" s="208" t="n"/>
      <c r="BQ57" s="208" t="n"/>
      <c r="BR57" s="208" t="n"/>
      <c r="BS57" s="208" t="n"/>
    </row>
    <row r="58" ht="14.5" customHeight="1" s="213">
      <c r="B58" s="208" t="n"/>
      <c r="C58" s="208" t="n"/>
      <c r="D58" s="208" t="n"/>
      <c r="E58" s="208" t="n"/>
      <c r="AG58" s="207" t="n"/>
      <c r="AH58" s="207" t="n"/>
      <c r="AI58" s="207" t="n"/>
      <c r="AJ58" s="207" t="n"/>
      <c r="AK58" s="207" t="n"/>
      <c r="AY58" s="209" t="n"/>
      <c r="BE58" s="208" t="n"/>
      <c r="BF58" s="208" t="n"/>
      <c r="BG58" s="208" t="n"/>
      <c r="BH58" s="208" t="n"/>
      <c r="BI58" s="226" t="n"/>
      <c r="BO58" s="208" t="n"/>
      <c r="BP58" s="208" t="n"/>
      <c r="BQ58" s="208" t="n"/>
      <c r="BR58" s="208" t="n"/>
      <c r="BS58" s="208" t="n"/>
    </row>
    <row r="59" ht="14.5" customHeight="1" s="213">
      <c r="B59" s="208" t="n"/>
      <c r="C59" s="208" t="n"/>
      <c r="D59" s="208" t="n"/>
      <c r="E59" s="208" t="n"/>
      <c r="AG59" s="207" t="n"/>
      <c r="AH59" s="207" t="n"/>
      <c r="AI59" s="207" t="n"/>
      <c r="AJ59" s="207" t="n"/>
      <c r="AK59" s="207" t="n"/>
      <c r="AS59" s="185" t="inlineStr">
        <is>
          <t>AllRegions</t>
        </is>
      </c>
      <c r="AT59" s="185" t="inlineStr">
        <is>
          <t>China</t>
        </is>
      </c>
      <c r="AU59" s="185" t="inlineStr">
        <is>
          <t>NorthAm</t>
        </is>
      </c>
      <c r="AW59" s="209" t="inlineStr">
        <is>
          <t>process</t>
        </is>
      </c>
      <c r="AX59" s="209" t="inlineStr">
        <is>
          <t>year</t>
        </is>
      </c>
      <c r="AY59" s="201" t="inlineStr">
        <is>
          <t>AllRegions</t>
        </is>
      </c>
      <c r="AZ59" s="201" t="inlineStr">
        <is>
          <t>China</t>
        </is>
      </c>
      <c r="BA59" s="201" t="inlineStr">
        <is>
          <t>NorthAm</t>
        </is>
      </c>
      <c r="BD59" s="208" t="inlineStr">
        <is>
          <t>process</t>
        </is>
      </c>
      <c r="BE59" s="208" t="inlineStr">
        <is>
          <t>year</t>
        </is>
      </c>
      <c r="BF59" s="208" t="inlineStr">
        <is>
          <t>AllRegions</t>
        </is>
      </c>
      <c r="BG59" s="208" t="inlineStr">
        <is>
          <t>China</t>
        </is>
      </c>
      <c r="BH59" s="208" t="inlineStr">
        <is>
          <t>NorthAm</t>
        </is>
      </c>
      <c r="BI59" s="226" t="n"/>
      <c r="BO59" s="208" t="inlineStr">
        <is>
          <t>process</t>
        </is>
      </c>
      <c r="BP59" s="208" t="inlineStr">
        <is>
          <t>year</t>
        </is>
      </c>
      <c r="BQ59" s="208" t="inlineStr">
        <is>
          <t>AllRegions</t>
        </is>
      </c>
      <c r="BR59" s="208" t="inlineStr">
        <is>
          <t>China</t>
        </is>
      </c>
      <c r="BS59" s="208" t="inlineStr">
        <is>
          <t>NorthAm</t>
        </is>
      </c>
    </row>
    <row r="60" ht="14.5" customHeight="1" s="213">
      <c r="AG60" s="207" t="n"/>
      <c r="AH60" s="207" t="n"/>
      <c r="AI60" s="207" t="n"/>
      <c r="AJ60" s="207" t="n"/>
      <c r="AK60" s="207" t="n"/>
      <c r="AS60" s="185" t="n">
        <v>55.6940581190478</v>
      </c>
      <c r="AT60" s="185" t="n">
        <v>38.4443772142858</v>
      </c>
      <c r="AU60" s="185" t="n">
        <v>74.0144989285716</v>
      </c>
      <c r="AW60" s="209" t="inlineStr">
        <is>
          <t>Tra_EV_Batt-LFP_fromrecy</t>
        </is>
      </c>
      <c r="AX60" s="209" t="n">
        <v>2040</v>
      </c>
      <c r="AY60" s="209">
        <f>AY46*0.97</f>
        <v/>
      </c>
      <c r="AZ60" s="209">
        <f>AZ46*0.97</f>
        <v/>
      </c>
      <c r="BA60" s="209">
        <f>BA46*0.97</f>
        <v/>
      </c>
      <c r="BD60" s="208" t="inlineStr">
        <is>
          <t>Tra_EV_Batt-LFP_virgin</t>
        </is>
      </c>
      <c r="BE60" s="208" t="n">
        <v>2040</v>
      </c>
      <c r="BF60" s="208">
        <f>AS60*70%</f>
        <v/>
      </c>
      <c r="BG60" s="208">
        <f>AT60*70%</f>
        <v/>
      </c>
      <c r="BH60" s="208">
        <f>AU60*70%</f>
        <v/>
      </c>
      <c r="BI60" s="226" t="n"/>
      <c r="BO60" s="208" t="inlineStr">
        <is>
          <t>Tra_EV_Batt-LFP_virgin_pack</t>
        </is>
      </c>
      <c r="BP60" s="208" t="n">
        <v>2040</v>
      </c>
      <c r="BQ60" s="208">
        <f>AS60*30%</f>
        <v/>
      </c>
      <c r="BR60" s="208">
        <f>AT60*30%</f>
        <v/>
      </c>
      <c r="BS60" s="208">
        <f>AU60*30%</f>
        <v/>
      </c>
    </row>
    <row r="61" ht="14.5" customHeight="1" s="213">
      <c r="AG61" s="207" t="n"/>
      <c r="AH61" s="207" t="n"/>
      <c r="AI61" s="207" t="n"/>
      <c r="AJ61" s="207" t="n"/>
      <c r="AK61" s="207" t="n"/>
      <c r="AS61" s="185" t="n">
        <v>66.1045300000002</v>
      </c>
      <c r="AT61" s="185" t="n">
        <v>45.954200357143</v>
      </c>
      <c r="AU61" s="185" t="n">
        <v>87.4826025000002</v>
      </c>
      <c r="AW61" s="209" t="inlineStr">
        <is>
          <t>Tra_EV_Batt-LMO_fromrecy</t>
        </is>
      </c>
      <c r="AX61" s="209">
        <f>AX60</f>
        <v/>
      </c>
      <c r="AY61" s="209">
        <f>AY47*0.97</f>
        <v/>
      </c>
      <c r="AZ61" s="209">
        <f>AZ47*0.97</f>
        <v/>
      </c>
      <c r="BA61" s="209">
        <f>BA47*0.97</f>
        <v/>
      </c>
      <c r="BD61" s="208" t="inlineStr">
        <is>
          <t>Tra_EV_Batt-LMO_virgin</t>
        </is>
      </c>
      <c r="BE61" s="208" t="n">
        <v>2040</v>
      </c>
      <c r="BF61" s="208">
        <f>AS61*70%</f>
        <v/>
      </c>
      <c r="BG61" s="208">
        <f>AT61*70%</f>
        <v/>
      </c>
      <c r="BH61" s="208">
        <f>AU61*70%</f>
        <v/>
      </c>
      <c r="BI61" s="226" t="n"/>
      <c r="BO61" s="208" t="inlineStr">
        <is>
          <t>Tra_EV_Batt-LMO_virgin_pack</t>
        </is>
      </c>
      <c r="BP61" s="208" t="n">
        <v>2040</v>
      </c>
      <c r="BQ61" s="208">
        <f>AS61*30%</f>
        <v/>
      </c>
      <c r="BR61" s="208">
        <f>AT61*30%</f>
        <v/>
      </c>
      <c r="BS61" s="208">
        <f>AU61*30%</f>
        <v/>
      </c>
    </row>
    <row r="62" ht="14.5" customHeight="1" s="213">
      <c r="AG62" s="207" t="n"/>
      <c r="AH62" s="207" t="n"/>
      <c r="AI62" s="207" t="n"/>
      <c r="AJ62" s="207" t="n"/>
      <c r="AK62" s="207" t="n"/>
      <c r="AS62" s="185" t="n">
        <v>59.1337612619049</v>
      </c>
      <c r="AT62" s="185" t="n">
        <v>38.8703042142858</v>
      </c>
      <c r="AU62" s="185" t="n">
        <v>80.5986580000002</v>
      </c>
      <c r="AW62" s="209" t="inlineStr">
        <is>
          <t>Tra_EV_Batt-NCA_fromrecy</t>
        </is>
      </c>
      <c r="AX62" s="209">
        <f>AX61</f>
        <v/>
      </c>
      <c r="AY62" s="209">
        <f>AY48*0.97</f>
        <v/>
      </c>
      <c r="AZ62" s="209">
        <f>AZ48*0.97</f>
        <v/>
      </c>
      <c r="BA62" s="209">
        <f>BA48*0.97</f>
        <v/>
      </c>
      <c r="BD62" s="208" t="inlineStr">
        <is>
          <t>Tra_EV_Batt-NCA_virgin</t>
        </is>
      </c>
      <c r="BE62" s="208" t="n">
        <v>2040</v>
      </c>
      <c r="BF62" s="208">
        <f>AS62*70%</f>
        <v/>
      </c>
      <c r="BG62" s="208">
        <f>AT62*70%</f>
        <v/>
      </c>
      <c r="BH62" s="208">
        <f>AU62*70%</f>
        <v/>
      </c>
      <c r="BI62" s="226" t="n"/>
      <c r="BO62" s="208" t="inlineStr">
        <is>
          <t>Tra_EV_Batt-NCA_virgin_pack</t>
        </is>
      </c>
      <c r="BP62" s="208" t="n">
        <v>2040</v>
      </c>
      <c r="BQ62" s="208">
        <f>AS62*30%</f>
        <v/>
      </c>
      <c r="BR62" s="208">
        <f>AT62*30%</f>
        <v/>
      </c>
      <c r="BS62" s="208">
        <f>AU62*30%</f>
        <v/>
      </c>
    </row>
    <row r="63" ht="14.5" customHeight="1" s="213">
      <c r="AG63" s="207" t="n"/>
      <c r="AH63" s="207" t="n"/>
      <c r="AI63" s="207" t="n"/>
      <c r="AJ63" s="207" t="n"/>
      <c r="AK63" s="207" t="n"/>
      <c r="AS63" s="185" t="n">
        <v>59.2542306428573</v>
      </c>
      <c r="AT63" s="185" t="n">
        <v>38.494803357143</v>
      </c>
      <c r="AU63" s="185" t="n">
        <v>81.27512907142879</v>
      </c>
      <c r="AW63" s="209" t="inlineStr">
        <is>
          <t>Tra_EV_Batt-NMC111_fromrecy</t>
        </is>
      </c>
      <c r="AX63" s="209">
        <f>AX62</f>
        <v/>
      </c>
      <c r="AY63" s="209">
        <f>AY49*0.97</f>
        <v/>
      </c>
      <c r="AZ63" s="209">
        <f>AZ49*0.97</f>
        <v/>
      </c>
      <c r="BA63" s="209">
        <f>BA49*0.97</f>
        <v/>
      </c>
      <c r="BD63" s="208" t="inlineStr">
        <is>
          <t>Tra_EV_Batt-NMC111_virgin</t>
        </is>
      </c>
      <c r="BE63" s="208" t="n">
        <v>2040</v>
      </c>
      <c r="BF63" s="208">
        <f>AS63*70%</f>
        <v/>
      </c>
      <c r="BG63" s="208">
        <f>AT63*70%</f>
        <v/>
      </c>
      <c r="BH63" s="208">
        <f>AU63*70%</f>
        <v/>
      </c>
      <c r="BI63" s="226" t="n"/>
      <c r="BO63" s="208" t="inlineStr">
        <is>
          <t>Tra_EV_Batt-NMC111_virgin_pack</t>
        </is>
      </c>
      <c r="BP63" s="208" t="n">
        <v>2040</v>
      </c>
      <c r="BQ63" s="208">
        <f>AS63*30%</f>
        <v/>
      </c>
      <c r="BR63" s="208">
        <f>AT63*30%</f>
        <v/>
      </c>
      <c r="BS63" s="208">
        <f>AU63*30%</f>
        <v/>
      </c>
    </row>
    <row r="64" ht="14.5" customHeight="1" s="213">
      <c r="AG64" s="207" t="n"/>
      <c r="AH64" s="207" t="n"/>
      <c r="AI64" s="207" t="n"/>
      <c r="AJ64" s="207" t="n"/>
      <c r="AK64" s="207" t="n"/>
      <c r="AS64" s="185" t="n">
        <v>62.4215208333334</v>
      </c>
      <c r="AT64" s="185" t="n">
        <v>41.1333350000001</v>
      </c>
      <c r="AU64" s="185" t="n">
        <v>84.99212750000019</v>
      </c>
      <c r="AW64" s="209" t="inlineStr">
        <is>
          <t>Tra_EV_Batt-NMC532_fromrecy</t>
        </is>
      </c>
      <c r="AX64" s="209">
        <f>AX63</f>
        <v/>
      </c>
      <c r="AY64" s="209">
        <f>AY50*0.97</f>
        <v/>
      </c>
      <c r="AZ64" s="209">
        <f>AZ50*0.97</f>
        <v/>
      </c>
      <c r="BA64" s="209">
        <f>BA50*0.97</f>
        <v/>
      </c>
      <c r="BD64" s="208" t="inlineStr">
        <is>
          <t>Tra_EV_Batt-NMC532_virgin</t>
        </is>
      </c>
      <c r="BE64" s="208" t="n">
        <v>2040</v>
      </c>
      <c r="BF64" s="208">
        <f>AS64*70%</f>
        <v/>
      </c>
      <c r="BG64" s="208">
        <f>AT64*70%</f>
        <v/>
      </c>
      <c r="BH64" s="208">
        <f>AU64*70%</f>
        <v/>
      </c>
      <c r="BI64" s="226" t="n"/>
      <c r="BO64" s="208" t="inlineStr">
        <is>
          <t>Tra_EV_Batt-NMC532_virgin_pack</t>
        </is>
      </c>
      <c r="BP64" s="208" t="n">
        <v>2040</v>
      </c>
      <c r="BQ64" s="208">
        <f>AS64*30%</f>
        <v/>
      </c>
      <c r="BR64" s="208">
        <f>AT64*30%</f>
        <v/>
      </c>
      <c r="BS64" s="208">
        <f>AU64*30%</f>
        <v/>
      </c>
    </row>
    <row r="65" ht="14.5" customHeight="1" s="213">
      <c r="AG65" s="207" t="n"/>
      <c r="AH65" s="207" t="n"/>
      <c r="AI65" s="207" t="n"/>
      <c r="AJ65" s="207" t="n"/>
      <c r="AK65" s="207" t="n"/>
      <c r="AS65" s="185" t="n">
        <v>60.2246786904764</v>
      </c>
      <c r="AT65" s="185" t="n">
        <v>39.7267310714287</v>
      </c>
      <c r="AU65" s="185" t="n">
        <v>81.94580785714309</v>
      </c>
      <c r="AW65" s="209" t="inlineStr">
        <is>
          <t>Tra_EV_Batt-NMC622_fromrecy</t>
        </is>
      </c>
      <c r="AX65" s="209">
        <f>AX64</f>
        <v/>
      </c>
      <c r="AY65" s="209">
        <f>AY51*0.97</f>
        <v/>
      </c>
      <c r="AZ65" s="209">
        <f>AZ51*0.97</f>
        <v/>
      </c>
      <c r="BA65" s="209">
        <f>BA51*0.97</f>
        <v/>
      </c>
      <c r="BD65" s="208" t="inlineStr">
        <is>
          <t>Tra_EV_Batt-NMC622_virgin</t>
        </is>
      </c>
      <c r="BE65" s="208" t="n">
        <v>2040</v>
      </c>
      <c r="BF65" s="208">
        <f>AS65*70%</f>
        <v/>
      </c>
      <c r="BG65" s="208">
        <f>AT65*70%</f>
        <v/>
      </c>
      <c r="BH65" s="208">
        <f>AU65*70%</f>
        <v/>
      </c>
      <c r="BI65" s="226" t="n"/>
      <c r="BO65" s="208" t="inlineStr">
        <is>
          <t>Tra_EV_Batt-NMC622_virgin_pack</t>
        </is>
      </c>
      <c r="BP65" s="208" t="n">
        <v>2040</v>
      </c>
      <c r="BQ65" s="208">
        <f>AS65*30%</f>
        <v/>
      </c>
      <c r="BR65" s="208">
        <f>AT65*30%</f>
        <v/>
      </c>
      <c r="BS65" s="208">
        <f>AU65*30%</f>
        <v/>
      </c>
    </row>
    <row r="66" ht="14.5" customHeight="1" s="213">
      <c r="AG66" s="207" t="n"/>
      <c r="AH66" s="207" t="n"/>
      <c r="AI66" s="207" t="n"/>
      <c r="AJ66" s="207" t="n"/>
      <c r="AK66" s="207" t="n"/>
      <c r="AS66" s="185" t="n">
        <v>62.0472047619049</v>
      </c>
      <c r="AT66" s="185" t="n">
        <v>41.5641397142858</v>
      </c>
      <c r="AU66" s="185" t="n">
        <v>83.7487745714288</v>
      </c>
      <c r="AW66" s="209" t="inlineStr">
        <is>
          <t>Tra_EV_Batt-NMC811_fromrecy</t>
        </is>
      </c>
      <c r="AX66" s="209">
        <f>AX65</f>
        <v/>
      </c>
      <c r="AY66" s="209">
        <f>AY52*0.97</f>
        <v/>
      </c>
      <c r="AZ66" s="209">
        <f>AZ52*0.97</f>
        <v/>
      </c>
      <c r="BA66" s="209">
        <f>BA52*0.97</f>
        <v/>
      </c>
      <c r="BD66" s="208" t="inlineStr">
        <is>
          <t>Tra_EV_Batt-NMC811_virgin</t>
        </is>
      </c>
      <c r="BE66" s="208" t="n">
        <v>2040</v>
      </c>
      <c r="BF66" s="208">
        <f>AS66*70%</f>
        <v/>
      </c>
      <c r="BG66" s="208">
        <f>AT66*70%</f>
        <v/>
      </c>
      <c r="BH66" s="208">
        <f>AU66*70%</f>
        <v/>
      </c>
      <c r="BI66" s="226" t="n"/>
      <c r="BO66" s="208" t="inlineStr">
        <is>
          <t>Tra_EV_Batt-NMC811_virgin_pack</t>
        </is>
      </c>
      <c r="BP66" s="208" t="n">
        <v>2040</v>
      </c>
      <c r="BQ66" s="208">
        <f>AS66*30%</f>
        <v/>
      </c>
      <c r="BR66" s="208">
        <f>AT66*30%</f>
        <v/>
      </c>
      <c r="BS66" s="208">
        <f>AU66*30%</f>
        <v/>
      </c>
    </row>
    <row r="67" ht="14.5" customHeight="1" s="213">
      <c r="AG67" s="207" t="n"/>
      <c r="AH67" s="207" t="n"/>
      <c r="AI67" s="207" t="n"/>
      <c r="AJ67" s="207" t="n"/>
      <c r="AK67" s="207" t="n"/>
      <c r="AS67" s="185" t="n">
        <v>112.307523809524</v>
      </c>
      <c r="AT67" s="185" t="n">
        <v>112.307523809524</v>
      </c>
      <c r="AU67" s="185" t="n">
        <v>112.307523809524</v>
      </c>
      <c r="AW67" s="7" t="n"/>
      <c r="AX67" s="209" t="n"/>
      <c r="AY67" s="209" t="n"/>
      <c r="AZ67" s="209" t="n"/>
      <c r="BA67" s="209" t="n"/>
      <c r="BD67" s="208" t="inlineStr">
        <is>
          <t>Tra_EV_Batt-Sodium_virgin</t>
        </is>
      </c>
      <c r="BE67" s="208" t="n">
        <v>2040</v>
      </c>
      <c r="BF67" s="208">
        <f>AS67*70%</f>
        <v/>
      </c>
      <c r="BG67" s="208">
        <f>AT67*70%</f>
        <v/>
      </c>
      <c r="BH67" s="208">
        <f>AU67*70%</f>
        <v/>
      </c>
      <c r="BI67" s="226" t="n"/>
      <c r="BO67" s="208" t="inlineStr">
        <is>
          <t>Tra_EV_Batt-Sodium_virgin_pack</t>
        </is>
      </c>
      <c r="BP67" s="208" t="n">
        <v>2040</v>
      </c>
      <c r="BQ67" s="208">
        <f>AS67*30%</f>
        <v/>
      </c>
      <c r="BR67" s="208">
        <f>AT67*30%</f>
        <v/>
      </c>
      <c r="BS67" s="208">
        <f>AU67*30%</f>
        <v/>
      </c>
    </row>
    <row r="68" ht="14.5" customHeight="1" s="213">
      <c r="AG68" s="207" t="n"/>
      <c r="AH68" s="207" t="n"/>
      <c r="AI68" s="207" t="n"/>
      <c r="AJ68" s="207" t="n"/>
      <c r="AK68" s="207" t="n"/>
      <c r="BE68" s="208" t="n"/>
      <c r="BF68" s="208" t="n"/>
      <c r="BG68" s="208" t="n"/>
      <c r="BH68" s="208" t="n"/>
      <c r="BI68" s="226" t="n"/>
      <c r="BO68" s="208" t="n"/>
      <c r="BP68" s="208" t="n"/>
      <c r="BQ68" s="208" t="n"/>
      <c r="BR68" s="208" t="n"/>
      <c r="BS68" s="208" t="n"/>
    </row>
    <row r="69" ht="14.5" customHeight="1" s="213">
      <c r="AG69" s="207" t="n"/>
      <c r="AH69" s="207" t="n"/>
      <c r="AI69" s="207" t="n"/>
      <c r="AJ69" s="207" t="n"/>
      <c r="AK69" s="207" t="n"/>
      <c r="BE69" s="208" t="n"/>
      <c r="BF69" s="208" t="n"/>
      <c r="BG69" s="208" t="n"/>
      <c r="BH69" s="208" t="n"/>
      <c r="BI69" s="226" t="n"/>
      <c r="BO69" s="208" t="n"/>
      <c r="BP69" s="208" t="n"/>
      <c r="BQ69" s="208" t="n"/>
      <c r="BR69" s="208" t="n"/>
      <c r="BS69" s="208" t="n"/>
    </row>
    <row r="70" ht="14.5" customHeight="1" s="213">
      <c r="AG70" s="207" t="n"/>
      <c r="AH70" s="207" t="n"/>
      <c r="AI70" s="207" t="n"/>
      <c r="AJ70" s="207" t="n"/>
      <c r="AK70" s="207" t="n"/>
      <c r="BE70" s="208" t="n"/>
      <c r="BF70" s="208" t="n"/>
      <c r="BG70" s="208" t="n"/>
      <c r="BH70" s="208" t="n"/>
      <c r="BO70" s="208" t="n"/>
      <c r="BP70" s="208" t="n"/>
      <c r="BQ70" s="208" t="n"/>
      <c r="BR70" s="208" t="n"/>
      <c r="BS70" s="208" t="n"/>
    </row>
    <row r="71" ht="14.5" customHeight="1" s="213">
      <c r="AG71" s="207" t="n"/>
      <c r="AH71" s="207" t="n"/>
      <c r="AI71" s="207" t="n"/>
      <c r="AJ71" s="207" t="n"/>
      <c r="AK71" s="207" t="n"/>
      <c r="BE71" s="208" t="n"/>
      <c r="BF71" s="208" t="n"/>
      <c r="BG71" s="208" t="n"/>
      <c r="BH71" s="208" t="n"/>
      <c r="BO71" s="208" t="n"/>
      <c r="BP71" s="208" t="n"/>
      <c r="BQ71" s="208" t="n"/>
      <c r="BR71" s="208" t="n"/>
      <c r="BS71" s="208" t="n"/>
    </row>
    <row r="72" ht="14.5" customHeight="1" s="213">
      <c r="AG72" s="207" t="n"/>
      <c r="AH72" s="207" t="n"/>
      <c r="AI72" s="207" t="n"/>
      <c r="AJ72" s="207" t="n"/>
      <c r="AK72" s="207" t="n"/>
      <c r="BE72" s="208" t="n"/>
      <c r="BF72" s="208" t="n"/>
      <c r="BG72" s="208" t="n"/>
      <c r="BH72" s="208" t="n"/>
      <c r="BO72" s="208" t="n"/>
      <c r="BP72" s="208" t="n"/>
      <c r="BQ72" s="208" t="n"/>
      <c r="BR72" s="208" t="n"/>
      <c r="BS72" s="208" t="n"/>
    </row>
    <row r="73" ht="14.5" customHeight="1" s="213">
      <c r="AG73" s="207" t="n"/>
      <c r="AH73" s="207" t="n"/>
      <c r="AI73" s="207" t="n"/>
      <c r="AJ73" s="207" t="n"/>
      <c r="AK73" s="207" t="n"/>
      <c r="BE73" s="208" t="n"/>
      <c r="BF73" s="208" t="n"/>
      <c r="BG73" s="208" t="n"/>
      <c r="BH73" s="208" t="n"/>
      <c r="BI73" s="197" t="n"/>
      <c r="BJ73" s="197" t="n"/>
      <c r="BK73" s="197" t="n"/>
      <c r="BL73" s="197" t="n"/>
      <c r="BM73" s="197" t="n"/>
      <c r="BN73" s="197" t="n"/>
      <c r="BO73" s="208" t="n"/>
      <c r="BP73" s="208" t="n"/>
      <c r="BQ73" s="208" t="n"/>
      <c r="BR73" s="208" t="n"/>
      <c r="BS73" s="208" t="n"/>
      <c r="BT73" s="197" t="n"/>
      <c r="BU73" s="197" t="n"/>
      <c r="BV73" s="197" t="n"/>
      <c r="BW73" s="197" t="n"/>
      <c r="BX73" s="197" t="n"/>
      <c r="BY73" s="197" t="n"/>
      <c r="BZ73" s="197" t="n"/>
      <c r="CA73" s="197" t="n"/>
      <c r="CB73" s="197" t="n"/>
      <c r="CC73" s="197" t="n"/>
      <c r="CD73" s="197" t="n"/>
      <c r="CE73" s="197" t="n"/>
      <c r="CF73" s="197" t="n"/>
      <c r="CG73" s="197" t="n"/>
      <c r="CH73" s="197" t="n"/>
      <c r="CI73" s="197" t="n"/>
    </row>
    <row r="74" ht="14.5" customHeight="1" s="213">
      <c r="AG74" s="207" t="n"/>
      <c r="AH74" s="207" t="n"/>
      <c r="AI74" s="207" t="n"/>
      <c r="AJ74" s="207" t="n"/>
      <c r="AK74" s="207" t="n"/>
      <c r="AY74" s="209" t="n"/>
      <c r="BE74" s="208" t="n"/>
      <c r="BF74" s="208" t="n"/>
      <c r="BG74" s="208" t="n"/>
      <c r="BH74" s="208" t="n"/>
      <c r="BI74" s="226" t="n"/>
      <c r="BJ74" s="226" t="n"/>
      <c r="BK74" s="226" t="n"/>
      <c r="BL74" s="226" t="n"/>
      <c r="BM74" s="226" t="n"/>
      <c r="BN74" s="226" t="n"/>
      <c r="BO74" s="208" t="n"/>
      <c r="BP74" s="208" t="n"/>
      <c r="BQ74" s="208" t="n"/>
      <c r="BR74" s="208" t="n"/>
      <c r="BS74" s="208" t="n"/>
      <c r="BT74" s="226" t="n"/>
      <c r="BU74" s="226" t="n"/>
      <c r="BV74" s="226" t="n"/>
      <c r="BW74" s="226" t="n"/>
      <c r="BX74" s="226" t="n"/>
      <c r="BY74" s="226" t="n"/>
      <c r="BZ74" s="226" t="n"/>
      <c r="CA74" s="226" t="n"/>
      <c r="CB74" s="226" t="n"/>
      <c r="CC74" s="226" t="n"/>
      <c r="CD74" s="226" t="n"/>
      <c r="CE74" s="226" t="n"/>
      <c r="CF74" s="226" t="n"/>
      <c r="CG74" s="226" t="n"/>
      <c r="CH74" s="226" t="n"/>
      <c r="CI74" s="226" t="n"/>
    </row>
    <row r="75" ht="14.5" customHeight="1" s="213">
      <c r="AG75" s="207" t="n"/>
      <c r="AH75" s="207" t="n"/>
      <c r="AI75" s="207" t="n"/>
      <c r="AJ75" s="207" t="n"/>
      <c r="AK75" s="207" t="n"/>
      <c r="AS75" s="185" t="inlineStr">
        <is>
          <t>AllRegions</t>
        </is>
      </c>
      <c r="AT75" s="185" t="inlineStr">
        <is>
          <t>China</t>
        </is>
      </c>
      <c r="AU75" s="185" t="inlineStr">
        <is>
          <t>NorthAm</t>
        </is>
      </c>
      <c r="AW75" s="209" t="inlineStr">
        <is>
          <t>process</t>
        </is>
      </c>
      <c r="AX75" s="209" t="inlineStr">
        <is>
          <t>year</t>
        </is>
      </c>
      <c r="AY75" s="201" t="inlineStr">
        <is>
          <t>AllRegions</t>
        </is>
      </c>
      <c r="AZ75" s="201" t="inlineStr">
        <is>
          <t>China</t>
        </is>
      </c>
      <c r="BA75" s="201" t="inlineStr">
        <is>
          <t>NorthAm</t>
        </is>
      </c>
      <c r="BD75" s="208" t="inlineStr">
        <is>
          <t>process</t>
        </is>
      </c>
      <c r="BE75" s="208" t="inlineStr">
        <is>
          <t>year</t>
        </is>
      </c>
      <c r="BF75" s="208" t="inlineStr">
        <is>
          <t>AllRegions</t>
        </is>
      </c>
      <c r="BG75" s="208" t="inlineStr">
        <is>
          <t>China</t>
        </is>
      </c>
      <c r="BH75" s="208" t="inlineStr">
        <is>
          <t>NorthAm</t>
        </is>
      </c>
      <c r="BI75" s="226" t="n"/>
      <c r="BJ75" s="226" t="n"/>
      <c r="BK75" s="226" t="n"/>
      <c r="BL75" s="226" t="n"/>
      <c r="BM75" s="226" t="n"/>
      <c r="BN75" s="226" t="n"/>
      <c r="BO75" s="208" t="inlineStr">
        <is>
          <t>process</t>
        </is>
      </c>
      <c r="BP75" s="208" t="inlineStr">
        <is>
          <t>year</t>
        </is>
      </c>
      <c r="BQ75" s="208" t="inlineStr">
        <is>
          <t>AllRegions</t>
        </is>
      </c>
      <c r="BR75" s="208" t="inlineStr">
        <is>
          <t>China</t>
        </is>
      </c>
      <c r="BS75" s="208" t="inlineStr">
        <is>
          <t>NorthAm</t>
        </is>
      </c>
      <c r="BT75" s="226" t="n"/>
      <c r="BU75" s="226" t="n"/>
      <c r="BV75" s="226" t="n"/>
      <c r="BW75" s="226" t="n"/>
      <c r="BX75" s="226" t="n"/>
      <c r="BY75" s="226" t="n"/>
      <c r="BZ75" s="226" t="n"/>
      <c r="CA75" s="226" t="n"/>
      <c r="CB75" s="226" t="n"/>
      <c r="CC75" s="226" t="n"/>
      <c r="CD75" s="226" t="n"/>
      <c r="CE75" s="226" t="n"/>
      <c r="CF75" s="226" t="n"/>
      <c r="CG75" s="226" t="n"/>
      <c r="CH75" s="226" t="n"/>
      <c r="CI75" s="226" t="n"/>
    </row>
    <row r="76" ht="14.5" customHeight="1" s="213">
      <c r="AG76" s="207" t="n"/>
      <c r="AH76" s="207" t="n"/>
      <c r="AI76" s="207" t="n"/>
      <c r="AJ76" s="207" t="n"/>
      <c r="AK76" s="207" t="n"/>
      <c r="AS76" s="185" t="n">
        <v>53.4662957942859</v>
      </c>
      <c r="AT76" s="185" t="n">
        <v>36.9066021257144</v>
      </c>
      <c r="AU76" s="185" t="n">
        <v>71.0539189714287</v>
      </c>
      <c r="AW76" s="209" t="inlineStr">
        <is>
          <t>Tra_EV_Batt-LFP_fromrecy</t>
        </is>
      </c>
      <c r="AX76" s="209" t="n">
        <v>2045</v>
      </c>
      <c r="AY76" s="209">
        <f>AY60*0.96</f>
        <v/>
      </c>
      <c r="AZ76" s="209">
        <f>AZ60*0.96</f>
        <v/>
      </c>
      <c r="BA76" s="209">
        <f>BA60*0.96</f>
        <v/>
      </c>
      <c r="BD76" s="208" t="inlineStr">
        <is>
          <t>Tra_EV_Batt-LFP_virgin</t>
        </is>
      </c>
      <c r="BE76" s="208" t="n">
        <v>2045</v>
      </c>
      <c r="BF76" s="208">
        <f>AS76*70%</f>
        <v/>
      </c>
      <c r="BG76" s="208">
        <f>AT76*70%</f>
        <v/>
      </c>
      <c r="BH76" s="208">
        <f>AU76*70%</f>
        <v/>
      </c>
      <c r="BI76" s="226" t="n"/>
      <c r="BJ76" s="226" t="n"/>
      <c r="BK76" s="226" t="n"/>
      <c r="BL76" s="226" t="n"/>
      <c r="BM76" s="226" t="n"/>
      <c r="BN76" s="226" t="n"/>
      <c r="BO76" s="208" t="inlineStr">
        <is>
          <t>Tra_EV_Batt-LFP_virgin_pack</t>
        </is>
      </c>
      <c r="BP76" s="208" t="n">
        <v>2045</v>
      </c>
      <c r="BQ76" s="208">
        <f>AS76*30%</f>
        <v/>
      </c>
      <c r="BR76" s="208">
        <f>AT76*30%</f>
        <v/>
      </c>
      <c r="BS76" s="208">
        <f>AU76*30%</f>
        <v/>
      </c>
      <c r="BT76" s="226" t="n"/>
      <c r="BU76" s="226" t="n"/>
      <c r="BV76" s="226" t="n"/>
      <c r="BW76" s="226" t="n"/>
      <c r="BX76" s="226" t="n"/>
      <c r="BY76" s="226" t="n"/>
      <c r="BZ76" s="226" t="n"/>
      <c r="CA76" s="226" t="n"/>
      <c r="CB76" s="226" t="n"/>
      <c r="CC76" s="226" t="n"/>
      <c r="CD76" s="226" t="n"/>
      <c r="CE76" s="226" t="n"/>
      <c r="CF76" s="226" t="n"/>
      <c r="CG76" s="226" t="n"/>
      <c r="CH76" s="226" t="n"/>
      <c r="CI76" s="226" t="n"/>
    </row>
    <row r="77" ht="14.5" customHeight="1" s="213">
      <c r="AG77" s="207" t="n"/>
      <c r="AH77" s="207" t="n"/>
      <c r="AI77" s="207" t="n"/>
      <c r="AJ77" s="207" t="n"/>
      <c r="AK77" s="207" t="n"/>
      <c r="AS77" s="185" t="n">
        <v>63.4603488000002</v>
      </c>
      <c r="AT77" s="185" t="n">
        <v>44.1160323428573</v>
      </c>
      <c r="AU77" s="185" t="n">
        <v>83.98329840000019</v>
      </c>
      <c r="AW77" s="209" t="inlineStr">
        <is>
          <t>Tra_EV_Batt-LMO_fromrecy</t>
        </is>
      </c>
      <c r="AX77" s="209">
        <f>AX76</f>
        <v/>
      </c>
      <c r="AY77" s="209">
        <f>AY61*0.96</f>
        <v/>
      </c>
      <c r="AZ77" s="209">
        <f>AZ61*0.96</f>
        <v/>
      </c>
      <c r="BA77" s="209">
        <f>BA61*0.96</f>
        <v/>
      </c>
      <c r="BD77" s="208" t="inlineStr">
        <is>
          <t>Tra_EV_Batt-LMO_virgin</t>
        </is>
      </c>
      <c r="BE77" s="208" t="n">
        <v>2045</v>
      </c>
      <c r="BF77" s="208">
        <f>AS77*70%</f>
        <v/>
      </c>
      <c r="BG77" s="208">
        <f>AT77*70%</f>
        <v/>
      </c>
      <c r="BH77" s="208">
        <f>AU77*70%</f>
        <v/>
      </c>
      <c r="BI77" s="226" t="n"/>
      <c r="BJ77" s="226" t="n"/>
      <c r="BK77" s="226" t="n"/>
      <c r="BL77" s="226" t="n"/>
      <c r="BM77" s="226" t="n"/>
      <c r="BN77" s="226" t="n"/>
      <c r="BO77" s="208" t="inlineStr">
        <is>
          <t>Tra_EV_Batt-LMO_virgin_pack</t>
        </is>
      </c>
      <c r="BP77" s="208" t="n">
        <v>2045</v>
      </c>
      <c r="BQ77" s="208">
        <f>AS77*30%</f>
        <v/>
      </c>
      <c r="BR77" s="208">
        <f>AT77*30%</f>
        <v/>
      </c>
      <c r="BS77" s="208">
        <f>AU77*30%</f>
        <v/>
      </c>
      <c r="BT77" s="226" t="n"/>
      <c r="BU77" s="226" t="n"/>
      <c r="BV77" s="226" t="n"/>
      <c r="BW77" s="226" t="n"/>
      <c r="BX77" s="226" t="n"/>
      <c r="BY77" s="226" t="n"/>
      <c r="BZ77" s="226" t="n"/>
      <c r="CA77" s="226" t="n"/>
      <c r="CB77" s="226" t="n"/>
      <c r="CC77" s="226" t="n"/>
      <c r="CD77" s="226" t="n"/>
      <c r="CE77" s="226" t="n"/>
      <c r="CF77" s="226" t="n"/>
      <c r="CG77" s="226" t="n"/>
      <c r="CH77" s="226" t="n"/>
      <c r="CI77" s="226" t="n"/>
    </row>
    <row r="78" ht="14.5" customHeight="1" s="213">
      <c r="AG78" s="207" t="n"/>
      <c r="AH78" s="207" t="n"/>
      <c r="AI78" s="207" t="n"/>
      <c r="AJ78" s="207" t="n"/>
      <c r="AK78" s="207" t="n"/>
      <c r="AS78" s="185" t="n">
        <v>56.7684108114287</v>
      </c>
      <c r="AT78" s="185" t="n">
        <v>37.3154920457144</v>
      </c>
      <c r="AU78" s="185" t="n">
        <v>77.3747116800002</v>
      </c>
      <c r="AW78" s="209" t="inlineStr">
        <is>
          <t>Tra_EV_Batt-NCA_fromrecy</t>
        </is>
      </c>
      <c r="AX78" s="209">
        <f>AX77</f>
        <v/>
      </c>
      <c r="AY78" s="209">
        <f>AY62*0.96</f>
        <v/>
      </c>
      <c r="AZ78" s="209">
        <f>AZ62*0.96</f>
        <v/>
      </c>
      <c r="BA78" s="209">
        <f>BA62*0.96</f>
        <v/>
      </c>
      <c r="BD78" s="208" t="inlineStr">
        <is>
          <t>Tra_EV_Batt-NCA_virgin</t>
        </is>
      </c>
      <c r="BE78" s="208" t="n">
        <v>2045</v>
      </c>
      <c r="BF78" s="208">
        <f>AS78*70%</f>
        <v/>
      </c>
      <c r="BG78" s="208">
        <f>AT78*70%</f>
        <v/>
      </c>
      <c r="BH78" s="208">
        <f>AU78*70%</f>
        <v/>
      </c>
      <c r="BI78" s="226" t="n"/>
      <c r="BJ78" s="226" t="n"/>
      <c r="BK78" s="226" t="n"/>
      <c r="BL78" s="226" t="n"/>
      <c r="BM78" s="226" t="n"/>
      <c r="BN78" s="226" t="n"/>
      <c r="BO78" s="208" t="inlineStr">
        <is>
          <t>Tra_EV_Batt-NCA_virgin_pack</t>
        </is>
      </c>
      <c r="BP78" s="208" t="n">
        <v>2045</v>
      </c>
      <c r="BQ78" s="208">
        <f>AS78*30%</f>
        <v/>
      </c>
      <c r="BR78" s="208">
        <f>AT78*30%</f>
        <v/>
      </c>
      <c r="BS78" s="208">
        <f>AU78*30%</f>
        <v/>
      </c>
      <c r="BT78" s="226" t="n"/>
      <c r="BU78" s="226" t="n"/>
      <c r="BV78" s="226" t="n"/>
      <c r="BW78" s="226" t="n"/>
      <c r="BX78" s="226" t="n"/>
      <c r="BY78" s="226" t="n"/>
      <c r="BZ78" s="226" t="n"/>
      <c r="CA78" s="226" t="n"/>
      <c r="CB78" s="226" t="n"/>
      <c r="CC78" s="226" t="n"/>
      <c r="CD78" s="226" t="n"/>
      <c r="CE78" s="226" t="n"/>
      <c r="CF78" s="226" t="n"/>
      <c r="CG78" s="226" t="n"/>
      <c r="CH78" s="226" t="n"/>
      <c r="CI78" s="226" t="n"/>
    </row>
    <row r="79" ht="14.5" customHeight="1" s="213">
      <c r="AG79" s="207" t="n"/>
      <c r="AH79" s="207" t="n"/>
      <c r="AI79" s="207" t="n"/>
      <c r="AJ79" s="207" t="n"/>
      <c r="AK79" s="207" t="n"/>
      <c r="AS79" s="185" t="n">
        <v>56.884061417143</v>
      </c>
      <c r="AT79" s="185" t="n">
        <v>36.9550112228572</v>
      </c>
      <c r="AU79" s="185" t="n">
        <v>78.0241239085716</v>
      </c>
      <c r="AW79" s="209" t="inlineStr">
        <is>
          <t>Tra_EV_Batt-NMC111_fromrecy</t>
        </is>
      </c>
      <c r="AX79" s="209">
        <f>AX78</f>
        <v/>
      </c>
      <c r="AY79" s="209">
        <f>AY63*0.96</f>
        <v/>
      </c>
      <c r="AZ79" s="209">
        <f>AZ63*0.96</f>
        <v/>
      </c>
      <c r="BA79" s="209">
        <f>BA63*0.96</f>
        <v/>
      </c>
      <c r="BD79" s="208" t="inlineStr">
        <is>
          <t>Tra_EV_Batt-NMC111_virgin</t>
        </is>
      </c>
      <c r="BE79" s="208" t="n">
        <v>2045</v>
      </c>
      <c r="BF79" s="208">
        <f>AS79*70%</f>
        <v/>
      </c>
      <c r="BG79" s="208">
        <f>AT79*70%</f>
        <v/>
      </c>
      <c r="BH79" s="208">
        <f>AU79*70%</f>
        <v/>
      </c>
      <c r="BI79" s="226" t="n"/>
      <c r="BJ79" s="226" t="n"/>
      <c r="BK79" s="226" t="n"/>
      <c r="BL79" s="226" t="n"/>
      <c r="BM79" s="226" t="n"/>
      <c r="BN79" s="226" t="n"/>
      <c r="BO79" s="208" t="inlineStr">
        <is>
          <t>Tra_EV_Batt-NMC111_virgin_pack</t>
        </is>
      </c>
      <c r="BP79" s="208" t="n">
        <v>2045</v>
      </c>
      <c r="BQ79" s="208">
        <f>AS79*30%</f>
        <v/>
      </c>
      <c r="BR79" s="208">
        <f>AT79*30%</f>
        <v/>
      </c>
      <c r="BS79" s="208">
        <f>AU79*30%</f>
        <v/>
      </c>
      <c r="BT79" s="226" t="n"/>
      <c r="BU79" s="226" t="n"/>
      <c r="BV79" s="226" t="n"/>
      <c r="BW79" s="226" t="n"/>
      <c r="BX79" s="226" t="n"/>
      <c r="BY79" s="226" t="n"/>
      <c r="BZ79" s="226" t="n"/>
      <c r="CA79" s="226" t="n"/>
      <c r="CB79" s="226" t="n"/>
      <c r="CC79" s="226" t="n"/>
      <c r="CD79" s="226" t="n"/>
      <c r="CE79" s="226" t="n"/>
      <c r="CF79" s="226" t="n"/>
      <c r="CG79" s="226" t="n"/>
      <c r="CH79" s="226" t="n"/>
      <c r="CI79" s="226" t="n"/>
    </row>
    <row r="80" ht="14.5" customHeight="1" s="213">
      <c r="AG80" s="207" t="n"/>
      <c r="AH80" s="207" t="n"/>
      <c r="AI80" s="207" t="n"/>
      <c r="AJ80" s="207" t="n"/>
      <c r="AK80" s="207" t="n"/>
      <c r="AS80" s="185" t="n">
        <v>59.9246600000001</v>
      </c>
      <c r="AT80" s="185" t="n">
        <v>39.4880016000001</v>
      </c>
      <c r="AU80" s="185" t="n">
        <v>81.59244240000019</v>
      </c>
      <c r="AW80" s="209" t="inlineStr">
        <is>
          <t>Tra_EV_Batt-NMC532_fromrecy</t>
        </is>
      </c>
      <c r="AX80" s="209">
        <f>AX79</f>
        <v/>
      </c>
      <c r="AY80" s="209">
        <f>AY64*0.96</f>
        <v/>
      </c>
      <c r="AZ80" s="209">
        <f>AZ64*0.96</f>
        <v/>
      </c>
      <c r="BA80" s="209">
        <f>BA64*0.96</f>
        <v/>
      </c>
      <c r="BD80" s="208" t="inlineStr">
        <is>
          <t>Tra_EV_Batt-NMC532_virgin</t>
        </is>
      </c>
      <c r="BE80" s="208" t="n">
        <v>2045</v>
      </c>
      <c r="BF80" s="208">
        <f>AS80*70%</f>
        <v/>
      </c>
      <c r="BG80" s="208">
        <f>AT80*70%</f>
        <v/>
      </c>
      <c r="BH80" s="208">
        <f>AU80*70%</f>
        <v/>
      </c>
      <c r="BI80" s="226" t="n"/>
      <c r="BJ80" s="226" t="n"/>
      <c r="BK80" s="226" t="n"/>
      <c r="BL80" s="226" t="n"/>
      <c r="BM80" s="226" t="n"/>
      <c r="BN80" s="226" t="n"/>
      <c r="BO80" s="208" t="inlineStr">
        <is>
          <t>Tra_EV_Batt-NMC532_virgin_pack</t>
        </is>
      </c>
      <c r="BP80" s="208" t="n">
        <v>2045</v>
      </c>
      <c r="BQ80" s="208">
        <f>AS80*30%</f>
        <v/>
      </c>
      <c r="BR80" s="208">
        <f>AT80*30%</f>
        <v/>
      </c>
      <c r="BS80" s="208">
        <f>AU80*30%</f>
        <v/>
      </c>
      <c r="BT80" s="226" t="n"/>
      <c r="BU80" s="226" t="n"/>
      <c r="BV80" s="226" t="n"/>
      <c r="BW80" s="226" t="n"/>
      <c r="BX80" s="226" t="n"/>
      <c r="BY80" s="226" t="n"/>
      <c r="BZ80" s="226" t="n"/>
      <c r="CA80" s="226" t="n"/>
      <c r="CB80" s="226" t="n"/>
      <c r="CC80" s="226" t="n"/>
      <c r="CD80" s="226" t="n"/>
      <c r="CE80" s="226" t="n"/>
      <c r="CF80" s="226" t="n"/>
      <c r="CG80" s="226" t="n"/>
      <c r="CH80" s="226" t="n"/>
      <c r="CI80" s="226" t="n"/>
    </row>
    <row r="81" ht="14.5" customHeight="1" s="213">
      <c r="AG81" s="207" t="n"/>
      <c r="AH81" s="207" t="n"/>
      <c r="AI81" s="207" t="n"/>
      <c r="AJ81" s="207" t="n"/>
      <c r="AK81" s="207" t="n"/>
      <c r="AS81" s="185" t="n">
        <v>57.8156915428573</v>
      </c>
      <c r="AT81" s="185" t="n">
        <v>38.1376618285715</v>
      </c>
      <c r="AU81" s="185" t="n">
        <v>78.66797554285731</v>
      </c>
      <c r="AW81" s="209" t="inlineStr">
        <is>
          <t>Tra_EV_Batt-NMC622_fromrecy</t>
        </is>
      </c>
      <c r="AX81" s="209">
        <f>AX80</f>
        <v/>
      </c>
      <c r="AY81" s="209">
        <f>AY65*0.96</f>
        <v/>
      </c>
      <c r="AZ81" s="209">
        <f>AZ65*0.96</f>
        <v/>
      </c>
      <c r="BA81" s="209">
        <f>BA65*0.96</f>
        <v/>
      </c>
      <c r="BD81" s="208" t="inlineStr">
        <is>
          <t>Tra_EV_Batt-NMC622_virgin</t>
        </is>
      </c>
      <c r="BE81" s="208" t="n">
        <v>2045</v>
      </c>
      <c r="BF81" s="208">
        <f>AS81*70%</f>
        <v/>
      </c>
      <c r="BG81" s="208">
        <f>AT81*70%</f>
        <v/>
      </c>
      <c r="BH81" s="208">
        <f>AU81*70%</f>
        <v/>
      </c>
      <c r="BO81" s="208" t="inlineStr">
        <is>
          <t>Tra_EV_Batt-NMC622_virgin_pack</t>
        </is>
      </c>
      <c r="BP81" s="208" t="n">
        <v>2045</v>
      </c>
      <c r="BQ81" s="208">
        <f>AS81*30%</f>
        <v/>
      </c>
      <c r="BR81" s="208">
        <f>AT81*30%</f>
        <v/>
      </c>
      <c r="BS81" s="208">
        <f>AU81*30%</f>
        <v/>
      </c>
    </row>
    <row r="82" ht="14.5" customHeight="1" s="213">
      <c r="AG82" s="207" t="n"/>
      <c r="AH82" s="207" t="n"/>
      <c r="AI82" s="207" t="n"/>
      <c r="AJ82" s="207" t="n"/>
      <c r="AK82" s="207" t="n"/>
      <c r="AS82" s="185" t="n">
        <v>59.5653165714287</v>
      </c>
      <c r="AT82" s="185" t="n">
        <v>39.9015741257144</v>
      </c>
      <c r="AU82" s="185" t="n">
        <v>80.3988235885716</v>
      </c>
      <c r="AW82" s="209" t="inlineStr">
        <is>
          <t>Tra_EV_Batt-NMC811_fromrecy</t>
        </is>
      </c>
      <c r="AX82" s="209">
        <f>AX81</f>
        <v/>
      </c>
      <c r="AY82" s="209">
        <f>AY66*0.96</f>
        <v/>
      </c>
      <c r="AZ82" s="209">
        <f>AZ66*0.96</f>
        <v/>
      </c>
      <c r="BA82" s="209">
        <f>BA66*0.96</f>
        <v/>
      </c>
      <c r="BD82" s="208" t="inlineStr">
        <is>
          <t>Tra_EV_Batt-NMC811_virgin</t>
        </is>
      </c>
      <c r="BE82" s="208" t="n">
        <v>2045</v>
      </c>
      <c r="BF82" s="208">
        <f>AS82*70%</f>
        <v/>
      </c>
      <c r="BG82" s="208">
        <f>AT82*70%</f>
        <v/>
      </c>
      <c r="BH82" s="208">
        <f>AU82*70%</f>
        <v/>
      </c>
      <c r="BO82" s="208" t="inlineStr">
        <is>
          <t>Tra_EV_Batt-NMC811_virgin_pack</t>
        </is>
      </c>
      <c r="BP82" s="208" t="n">
        <v>2045</v>
      </c>
      <c r="BQ82" s="208">
        <f>AS82*30%</f>
        <v/>
      </c>
      <c r="BR82" s="208">
        <f>AT82*30%</f>
        <v/>
      </c>
      <c r="BS82" s="208">
        <f>AU82*30%</f>
        <v/>
      </c>
    </row>
    <row r="83" ht="14.5" customHeight="1" s="213">
      <c r="AG83" s="207" t="n"/>
      <c r="AH83" s="207" t="n"/>
      <c r="AI83" s="207" t="n"/>
      <c r="AJ83" s="207" t="n"/>
      <c r="AK83" s="207" t="n"/>
      <c r="AS83" s="185" t="n">
        <v>107.815222857143</v>
      </c>
      <c r="AT83" s="185" t="n">
        <v>107.815222857143</v>
      </c>
      <c r="AU83" s="185" t="n">
        <v>107.815222857143</v>
      </c>
      <c r="AW83" s="7" t="n"/>
      <c r="AX83" s="209" t="n"/>
      <c r="AY83" s="209" t="n"/>
      <c r="AZ83" s="209" t="n"/>
      <c r="BA83" s="209" t="n"/>
      <c r="BD83" s="208" t="inlineStr">
        <is>
          <t>Tra_EV_Batt-Sodium_virgin</t>
        </is>
      </c>
      <c r="BE83" s="208" t="n">
        <v>2045</v>
      </c>
      <c r="BF83" s="208">
        <f>AS83*70%</f>
        <v/>
      </c>
      <c r="BG83" s="208">
        <f>AT83*70%</f>
        <v/>
      </c>
      <c r="BH83" s="208">
        <f>AU83*70%</f>
        <v/>
      </c>
      <c r="BI83" s="197" t="n"/>
      <c r="BJ83" s="197" t="n"/>
      <c r="BK83" s="197" t="n"/>
      <c r="BL83" s="197" t="n"/>
      <c r="BM83" s="197" t="n"/>
      <c r="BN83" s="197" t="n"/>
      <c r="BO83" s="208" t="inlineStr">
        <is>
          <t>Tra_EV_Batt-Sodium_virgin_pack</t>
        </is>
      </c>
      <c r="BP83" s="208" t="n">
        <v>2045</v>
      </c>
      <c r="BQ83" s="208">
        <f>AS83*30%</f>
        <v/>
      </c>
      <c r="BR83" s="208">
        <f>AT83*30%</f>
        <v/>
      </c>
      <c r="BS83" s="208">
        <f>AU83*30%</f>
        <v/>
      </c>
      <c r="BT83" s="197" t="n"/>
      <c r="BU83" s="197" t="n"/>
      <c r="BV83" s="197" t="n"/>
      <c r="BW83" s="197" t="n"/>
      <c r="BX83" s="197" t="n"/>
      <c r="BY83" s="197" t="n"/>
      <c r="BZ83" s="197" t="n"/>
      <c r="CA83" s="197" t="n"/>
      <c r="CB83" s="197" t="n"/>
      <c r="CC83" s="197" t="n"/>
      <c r="CD83" s="197" t="n"/>
      <c r="CE83" s="197" t="n"/>
      <c r="CF83" s="197" t="n"/>
      <c r="CG83" s="197" t="n"/>
      <c r="CH83" s="197" t="n"/>
      <c r="CI83" s="197" t="n"/>
    </row>
    <row r="84" ht="14.5" customHeight="1" s="213">
      <c r="AG84" s="207" t="n"/>
      <c r="AH84" s="207" t="n"/>
      <c r="AI84" s="207" t="n"/>
      <c r="AJ84" s="207" t="n"/>
      <c r="AK84" s="207" t="n"/>
      <c r="BE84" s="208" t="n"/>
      <c r="BF84" s="208" t="n"/>
      <c r="BG84" s="208" t="n"/>
      <c r="BH84" s="208" t="n"/>
      <c r="BI84" s="226" t="n"/>
      <c r="BJ84" s="226" t="n"/>
      <c r="BK84" s="226" t="n"/>
      <c r="BL84" s="226" t="n"/>
      <c r="BM84" s="226" t="n"/>
      <c r="BN84" s="226" t="n"/>
      <c r="BO84" s="208" t="n"/>
      <c r="BP84" s="208" t="n"/>
      <c r="BQ84" s="208" t="n"/>
      <c r="BR84" s="208" t="n"/>
      <c r="BS84" s="208" t="n"/>
      <c r="BT84" s="226" t="n"/>
      <c r="BU84" s="226" t="n"/>
      <c r="BV84" s="226" t="n"/>
      <c r="BW84" s="226" t="n"/>
      <c r="BX84" s="226" t="n"/>
      <c r="BY84" s="226" t="n"/>
      <c r="BZ84" s="226" t="n"/>
      <c r="CA84" s="226" t="n"/>
      <c r="CB84" s="226" t="n"/>
      <c r="CC84" s="226" t="n"/>
      <c r="CD84" s="226" t="n"/>
      <c r="CE84" s="226" t="n"/>
      <c r="CF84" s="226" t="n"/>
      <c r="CG84" s="226" t="n"/>
      <c r="CH84" s="226" t="n"/>
      <c r="CI84" s="226" t="n"/>
    </row>
    <row r="85" ht="14.5" customHeight="1" s="213">
      <c r="AG85" s="207" t="n"/>
      <c r="AH85" s="207" t="n"/>
      <c r="AI85" s="207" t="n"/>
      <c r="AJ85" s="207" t="n"/>
      <c r="AK85" s="207" t="n"/>
      <c r="AW85" s="79" t="inlineStr">
        <is>
          <t>~TFM_INS: attribute=INVCOST</t>
        </is>
      </c>
      <c r="AX85" s="79" t="n"/>
      <c r="AY85" s="188" t="n"/>
      <c r="AZ85" s="56" t="n"/>
      <c r="BA85" s="56" t="n"/>
      <c r="BD85" s="56" t="inlineStr">
        <is>
          <t>~TFM_INS: attribute=ACT_COST</t>
        </is>
      </c>
      <c r="BE85" s="56" t="n"/>
      <c r="BF85" s="56" t="n"/>
      <c r="BG85" s="56" t="n"/>
      <c r="BH85" s="56" t="n"/>
      <c r="BI85" s="226" t="n"/>
      <c r="BJ85" s="226" t="n"/>
      <c r="BK85" s="226" t="n"/>
      <c r="BL85" s="226" t="n"/>
      <c r="BM85" s="226" t="n"/>
      <c r="BN85" s="226" t="n"/>
      <c r="BO85" s="56" t="inlineStr">
        <is>
          <t>~TFM_INS: attribute=INVCOST</t>
        </is>
      </c>
      <c r="BP85" s="56" t="n"/>
      <c r="BQ85" s="56" t="n"/>
      <c r="BR85" s="56" t="n"/>
      <c r="BS85" s="56" t="n"/>
      <c r="BT85" s="226" t="n"/>
      <c r="BU85" s="226" t="n"/>
      <c r="BV85" s="226" t="n"/>
      <c r="BW85" s="226" t="n"/>
      <c r="BX85" s="226" t="n"/>
      <c r="BY85" s="226" t="n"/>
      <c r="BZ85" s="226" t="n"/>
      <c r="CA85" s="226" t="n"/>
      <c r="CB85" s="226" t="n"/>
      <c r="CC85" s="226" t="n"/>
      <c r="CD85" s="226" t="n"/>
      <c r="CE85" s="226" t="n"/>
      <c r="CF85" s="226" t="n"/>
      <c r="CG85" s="226" t="n"/>
      <c r="CH85" s="226" t="n"/>
      <c r="CI85" s="226" t="n"/>
    </row>
    <row r="86" ht="14.5" customHeight="1" s="213">
      <c r="AG86" s="207" t="n"/>
      <c r="AH86" s="207" t="n"/>
      <c r="AI86" s="207" t="n"/>
      <c r="AJ86" s="207" t="n"/>
      <c r="AK86" s="207" t="n"/>
      <c r="BE86" s="208" t="n"/>
      <c r="BF86" s="208" t="n"/>
      <c r="BG86" s="208" t="n"/>
      <c r="BH86" s="208" t="n"/>
      <c r="BI86" s="226" t="n"/>
      <c r="BJ86" s="226" t="n"/>
      <c r="BK86" s="226" t="n"/>
      <c r="BL86" s="226" t="n"/>
      <c r="BM86" s="226" t="n"/>
      <c r="BN86" s="226" t="n"/>
      <c r="BO86" s="208" t="n"/>
      <c r="BP86" s="208" t="n"/>
      <c r="BQ86" s="208" t="n"/>
      <c r="BR86" s="208" t="n"/>
      <c r="BS86" s="208" t="n"/>
      <c r="BT86" s="226" t="n"/>
      <c r="BU86" s="226" t="n"/>
      <c r="BV86" s="226" t="n"/>
      <c r="BW86" s="226" t="n"/>
      <c r="BX86" s="226" t="n"/>
      <c r="BY86" s="226" t="n"/>
      <c r="BZ86" s="226" t="n"/>
      <c r="CA86" s="226" t="n"/>
      <c r="CB86" s="226" t="n"/>
      <c r="CC86" s="226" t="n"/>
      <c r="CD86" s="226" t="n"/>
      <c r="CE86" s="226" t="n"/>
      <c r="CF86" s="226" t="n"/>
      <c r="CG86" s="226" t="n"/>
      <c r="CH86" s="226" t="n"/>
      <c r="CI86" s="226" t="n"/>
    </row>
    <row r="87" ht="14.5" customHeight="1" s="213">
      <c r="BT87" s="226" t="n"/>
      <c r="BU87" s="226" t="n"/>
      <c r="BV87" s="226" t="n"/>
      <c r="BW87" s="226" t="n"/>
      <c r="BX87" s="226" t="n"/>
      <c r="BY87" s="226" t="n"/>
      <c r="BZ87" s="226" t="n"/>
      <c r="CA87" s="226" t="n"/>
      <c r="CB87" s="226" t="n"/>
      <c r="CC87" s="226" t="n"/>
      <c r="CD87" s="226" t="n"/>
      <c r="CE87" s="226" t="n"/>
      <c r="CF87" s="226" t="n"/>
      <c r="CG87" s="226" t="n"/>
      <c r="CH87" s="226" t="n"/>
      <c r="CI87" s="226" t="n"/>
    </row>
    <row r="88" ht="14.5" customHeight="1" s="213">
      <c r="AS88" s="185" t="inlineStr">
        <is>
          <t>AllRegions</t>
        </is>
      </c>
      <c r="AT88" s="185" t="inlineStr">
        <is>
          <t>China</t>
        </is>
      </c>
      <c r="AU88" s="185" t="inlineStr">
        <is>
          <t>NorthAm</t>
        </is>
      </c>
      <c r="AW88" s="188" t="inlineStr">
        <is>
          <t>process</t>
        </is>
      </c>
      <c r="AX88" s="188" t="inlineStr">
        <is>
          <t>year</t>
        </is>
      </c>
      <c r="AY88" s="195" t="inlineStr">
        <is>
          <t>AllRegions</t>
        </is>
      </c>
      <c r="AZ88" s="195" t="inlineStr">
        <is>
          <t>China</t>
        </is>
      </c>
      <c r="BA88" s="195" t="inlineStr">
        <is>
          <t>NorthAm</t>
        </is>
      </c>
      <c r="BD88" s="56" t="inlineStr">
        <is>
          <t>process</t>
        </is>
      </c>
      <c r="BE88" s="56" t="inlineStr">
        <is>
          <t>year</t>
        </is>
      </c>
      <c r="BF88" s="56" t="inlineStr">
        <is>
          <t>AllRegions</t>
        </is>
      </c>
      <c r="BG88" s="56" t="inlineStr">
        <is>
          <t>China</t>
        </is>
      </c>
      <c r="BH88" s="56" t="inlineStr">
        <is>
          <t>NorthAm</t>
        </is>
      </c>
      <c r="BI88" s="226" t="n"/>
      <c r="BJ88" s="226" t="n"/>
      <c r="BK88" s="226" t="n"/>
      <c r="BL88" s="226" t="n"/>
      <c r="BM88" s="226" t="n"/>
      <c r="BN88" s="226" t="n"/>
      <c r="BO88" s="56" t="inlineStr">
        <is>
          <t>process</t>
        </is>
      </c>
      <c r="BP88" s="56" t="inlineStr">
        <is>
          <t>year</t>
        </is>
      </c>
      <c r="BQ88" s="56" t="inlineStr">
        <is>
          <t>AllRegions</t>
        </is>
      </c>
      <c r="BR88" s="56" t="inlineStr">
        <is>
          <t>China</t>
        </is>
      </c>
      <c r="BS88" s="56" t="inlineStr">
        <is>
          <t>NorthAm</t>
        </is>
      </c>
      <c r="BT88" s="226" t="n"/>
      <c r="BU88" s="226" t="n"/>
      <c r="BV88" s="226" t="n"/>
      <c r="BW88" s="226" t="n"/>
      <c r="BX88" s="226" t="n"/>
      <c r="BY88" s="226" t="n"/>
      <c r="BZ88" s="226" t="n"/>
      <c r="CA88" s="226" t="n"/>
      <c r="CB88" s="226" t="n"/>
      <c r="CC88" s="226" t="n"/>
      <c r="CD88" s="226" t="n"/>
      <c r="CE88" s="226" t="n"/>
      <c r="CF88" s="226" t="n"/>
      <c r="CG88" s="226" t="n"/>
      <c r="CH88" s="226" t="n"/>
      <c r="CI88" s="226" t="n"/>
    </row>
    <row r="89" ht="14.5" customHeight="1" s="213">
      <c r="AS89" s="185" t="n">
        <v>51.3276439625144</v>
      </c>
      <c r="AT89" s="185" t="n">
        <v>35.4303380406858</v>
      </c>
      <c r="AU89" s="185" t="n">
        <v>68.2117622125716</v>
      </c>
      <c r="AW89" s="188" t="inlineStr">
        <is>
          <t>Tra_EV_Batt-LFP_fromrecy</t>
        </is>
      </c>
      <c r="AX89" s="188" t="n">
        <v>2050</v>
      </c>
      <c r="AY89" s="188">
        <f>AY76*0.96</f>
        <v/>
      </c>
      <c r="AZ89" s="188">
        <f>AZ76*0.96</f>
        <v/>
      </c>
      <c r="BA89" s="188">
        <f>BA76*0.96</f>
        <v/>
      </c>
      <c r="BD89" s="56" t="inlineStr">
        <is>
          <t>Tra_EV_Batt-LFP_virgin</t>
        </is>
      </c>
      <c r="BE89" s="56" t="n">
        <v>2050</v>
      </c>
      <c r="BF89" s="56">
        <f>AS89*70%</f>
        <v/>
      </c>
      <c r="BG89" s="56">
        <f>AT89*70%</f>
        <v/>
      </c>
      <c r="BH89" s="56">
        <f>AU89*70%</f>
        <v/>
      </c>
      <c r="BI89" s="226" t="n"/>
      <c r="BJ89" s="226" t="n"/>
      <c r="BK89" s="226" t="n"/>
      <c r="BL89" s="226" t="n"/>
      <c r="BM89" s="226" t="n"/>
      <c r="BN89" s="226" t="n"/>
      <c r="BO89" s="56" t="inlineStr">
        <is>
          <t>Tra_EV_Batt-LFP_virgin_pack</t>
        </is>
      </c>
      <c r="BP89" s="56" t="n">
        <v>2050</v>
      </c>
      <c r="BQ89" s="56">
        <f>AS89*30%</f>
        <v/>
      </c>
      <c r="BR89" s="56">
        <f>AT89*30%</f>
        <v/>
      </c>
      <c r="BS89" s="56">
        <f>AU89*30%</f>
        <v/>
      </c>
      <c r="BT89" s="226" t="n"/>
      <c r="BU89" s="226" t="n"/>
      <c r="BV89" s="226" t="n"/>
      <c r="BW89" s="226" t="n"/>
      <c r="BX89" s="226" t="n"/>
      <c r="BY89" s="226" t="n"/>
      <c r="BZ89" s="226" t="n"/>
      <c r="CA89" s="226" t="n"/>
      <c r="CB89" s="226" t="n"/>
      <c r="CC89" s="226" t="n"/>
      <c r="CD89" s="226" t="n"/>
      <c r="CE89" s="226" t="n"/>
      <c r="CF89" s="226" t="n"/>
      <c r="CG89" s="226" t="n"/>
      <c r="CH89" s="226" t="n"/>
      <c r="CI89" s="226" t="n"/>
    </row>
    <row r="90" ht="14.5" customHeight="1" s="213">
      <c r="AS90" s="185" t="n">
        <v>60.9219348480002</v>
      </c>
      <c r="AT90" s="185" t="n">
        <v>42.351391049143</v>
      </c>
      <c r="AU90" s="185" t="n">
        <v>80.6239664640002</v>
      </c>
      <c r="AW90" s="188" t="inlineStr">
        <is>
          <t>Tra_EV_Batt-LMO_fromrecy</t>
        </is>
      </c>
      <c r="AX90" s="188">
        <f>AX89</f>
        <v/>
      </c>
      <c r="AY90" s="188">
        <f>AY77*0.96</f>
        <v/>
      </c>
      <c r="AZ90" s="188">
        <f>AZ77*0.96</f>
        <v/>
      </c>
      <c r="BA90" s="188">
        <f>BA77*0.96</f>
        <v/>
      </c>
      <c r="BD90" s="56" t="inlineStr">
        <is>
          <t>Tra_EV_Batt-LMO_virgin</t>
        </is>
      </c>
      <c r="BE90" s="56" t="n">
        <v>2050</v>
      </c>
      <c r="BF90" s="56">
        <f>AS90*70%</f>
        <v/>
      </c>
      <c r="BG90" s="56">
        <f>AT90*70%</f>
        <v/>
      </c>
      <c r="BH90" s="56">
        <f>AU90*70%</f>
        <v/>
      </c>
      <c r="BI90" s="226" t="n"/>
      <c r="BJ90" s="226" t="n"/>
      <c r="BK90" s="226" t="n"/>
      <c r="BL90" s="226" t="n"/>
      <c r="BM90" s="226" t="n"/>
      <c r="BN90" s="226" t="n"/>
      <c r="BO90" s="56" t="inlineStr">
        <is>
          <t>Tra_EV_Batt-LMO_virgin_pack</t>
        </is>
      </c>
      <c r="BP90" s="56" t="n">
        <v>2050</v>
      </c>
      <c r="BQ90" s="56">
        <f>AS90*30%</f>
        <v/>
      </c>
      <c r="BR90" s="56">
        <f>AT90*30%</f>
        <v/>
      </c>
      <c r="BS90" s="56">
        <f>AU90*30%</f>
        <v/>
      </c>
      <c r="BT90" s="226" t="n"/>
      <c r="BU90" s="226" t="n"/>
      <c r="BV90" s="226" t="n"/>
      <c r="BW90" s="226" t="n"/>
      <c r="BX90" s="226" t="n"/>
      <c r="BY90" s="226" t="n"/>
      <c r="BZ90" s="226" t="n"/>
      <c r="CA90" s="226" t="n"/>
      <c r="CB90" s="226" t="n"/>
      <c r="CC90" s="226" t="n"/>
      <c r="CD90" s="226" t="n"/>
      <c r="CE90" s="226" t="n"/>
      <c r="CF90" s="226" t="n"/>
      <c r="CG90" s="226" t="n"/>
      <c r="CH90" s="226" t="n"/>
      <c r="CI90" s="226" t="n"/>
    </row>
    <row r="91" ht="14.5" customHeight="1" s="213">
      <c r="AS91" s="185" t="n">
        <v>54.4976743789715</v>
      </c>
      <c r="AT91" s="185" t="n">
        <v>35.8228723638858</v>
      </c>
      <c r="AU91" s="185" t="n">
        <v>74.27972321280021</v>
      </c>
      <c r="AW91" s="188" t="inlineStr">
        <is>
          <t>Tra_EV_Batt-NCA_fromrecy</t>
        </is>
      </c>
      <c r="AX91" s="188">
        <f>AX90</f>
        <v/>
      </c>
      <c r="AY91" s="188">
        <f>AY78*0.96</f>
        <v/>
      </c>
      <c r="AZ91" s="188">
        <f>AZ78*0.96</f>
        <v/>
      </c>
      <c r="BA91" s="188">
        <f>BA78*0.96</f>
        <v/>
      </c>
      <c r="BD91" s="56" t="inlineStr">
        <is>
          <t>Tra_EV_Batt-NCA_virgin</t>
        </is>
      </c>
      <c r="BE91" s="56" t="n">
        <v>2050</v>
      </c>
      <c r="BF91" s="56">
        <f>AS91*70%</f>
        <v/>
      </c>
      <c r="BG91" s="56">
        <f>AT91*70%</f>
        <v/>
      </c>
      <c r="BH91" s="56">
        <f>AU91*70%</f>
        <v/>
      </c>
      <c r="BO91" s="56" t="inlineStr">
        <is>
          <t>Tra_EV_Batt-NCA_virgin_pack</t>
        </is>
      </c>
      <c r="BP91" s="56" t="n">
        <v>2050</v>
      </c>
      <c r="BQ91" s="56">
        <f>AS91*30%</f>
        <v/>
      </c>
      <c r="BR91" s="56">
        <f>AT91*30%</f>
        <v/>
      </c>
      <c r="BS91" s="56">
        <f>AU91*30%</f>
        <v/>
      </c>
    </row>
    <row r="92" ht="14.5" customHeight="1" s="213">
      <c r="AS92" s="185" t="n">
        <v>54.6086989604573</v>
      </c>
      <c r="AT92" s="185" t="n">
        <v>35.4768107739429</v>
      </c>
      <c r="AU92" s="185" t="n">
        <v>74.90315895222869</v>
      </c>
      <c r="AW92" s="188" t="inlineStr">
        <is>
          <t>Tra_EV_Batt-NMC111_fromrecy</t>
        </is>
      </c>
      <c r="AX92" s="188">
        <f>AX91</f>
        <v/>
      </c>
      <c r="AY92" s="188">
        <f>AY79*0.96</f>
        <v/>
      </c>
      <c r="AZ92" s="188">
        <f>AZ79*0.96</f>
        <v/>
      </c>
      <c r="BA92" s="188">
        <f>BA79*0.96</f>
        <v/>
      </c>
      <c r="BD92" s="56" t="inlineStr">
        <is>
          <t>Tra_EV_Batt-NMC111_virgin</t>
        </is>
      </c>
      <c r="BE92" s="56" t="n">
        <v>2050</v>
      </c>
      <c r="BF92" s="56">
        <f>AS92*70%</f>
        <v/>
      </c>
      <c r="BG92" s="56">
        <f>AT92*70%</f>
        <v/>
      </c>
      <c r="BH92" s="56">
        <f>AU92*70%</f>
        <v/>
      </c>
      <c r="BO92" s="56" t="inlineStr">
        <is>
          <t>Tra_EV_Batt-NMC111_virgin_pack</t>
        </is>
      </c>
      <c r="BP92" s="56" t="n">
        <v>2050</v>
      </c>
      <c r="BQ92" s="56">
        <f>AS92*30%</f>
        <v/>
      </c>
      <c r="BR92" s="56">
        <f>AT92*30%</f>
        <v/>
      </c>
      <c r="BS92" s="56">
        <f>AU92*30%</f>
        <v/>
      </c>
    </row>
    <row r="93" ht="14.5" customHeight="1" s="213">
      <c r="AS93" s="185" t="n">
        <v>57.5276736000001</v>
      </c>
      <c r="AT93" s="185" t="n">
        <v>37.9084815360001</v>
      </c>
      <c r="AU93" s="185" t="n">
        <v>78.3287447040002</v>
      </c>
      <c r="AW93" s="188" t="inlineStr">
        <is>
          <t>Tra_EV_Batt-NMC532_fromrecy</t>
        </is>
      </c>
      <c r="AX93" s="188">
        <f>AX92</f>
        <v/>
      </c>
      <c r="AY93" s="188">
        <f>AY80*0.96</f>
        <v/>
      </c>
      <c r="AZ93" s="188">
        <f>AZ80*0.96</f>
        <v/>
      </c>
      <c r="BA93" s="188">
        <f>BA80*0.96</f>
        <v/>
      </c>
      <c r="BD93" s="56" t="inlineStr">
        <is>
          <t>Tra_EV_Batt-NMC532_virgin</t>
        </is>
      </c>
      <c r="BE93" s="56" t="n">
        <v>2050</v>
      </c>
      <c r="BF93" s="56">
        <f>AS93*70%</f>
        <v/>
      </c>
      <c r="BG93" s="56">
        <f>AT93*70%</f>
        <v/>
      </c>
      <c r="BH93" s="56">
        <f>AU93*70%</f>
        <v/>
      </c>
      <c r="BI93" s="197" t="n"/>
      <c r="BJ93" s="197" t="n"/>
      <c r="BK93" s="197" t="n"/>
      <c r="BL93" s="197" t="n"/>
      <c r="BM93" s="197" t="n"/>
      <c r="BN93" s="197" t="n"/>
      <c r="BO93" s="56" t="inlineStr">
        <is>
          <t>Tra_EV_Batt-NMC532_virgin_pack</t>
        </is>
      </c>
      <c r="BP93" s="56" t="n">
        <v>2050</v>
      </c>
      <c r="BQ93" s="56">
        <f>AS93*30%</f>
        <v/>
      </c>
      <c r="BR93" s="56">
        <f>AT93*30%</f>
        <v/>
      </c>
      <c r="BS93" s="56">
        <f>AU93*30%</f>
        <v/>
      </c>
      <c r="BT93" s="197" t="n"/>
      <c r="BU93" s="197" t="n"/>
      <c r="BV93" s="197" t="n"/>
      <c r="BW93" s="197" t="n"/>
      <c r="BX93" s="197" t="n"/>
      <c r="BY93" s="197" t="n"/>
      <c r="BZ93" s="197" t="n"/>
      <c r="CA93" s="197" t="n"/>
      <c r="CB93" s="197" t="n"/>
      <c r="CC93" s="197" t="n"/>
      <c r="CD93" s="197" t="n"/>
      <c r="CE93" s="197" t="n"/>
      <c r="CF93" s="197" t="n"/>
      <c r="CG93" s="197" t="n"/>
      <c r="CH93" s="197" t="n"/>
      <c r="CI93" s="197" t="n"/>
    </row>
    <row r="94" ht="14.5" customHeight="1" s="213">
      <c r="AS94" s="185" t="n">
        <v>55.503063881143</v>
      </c>
      <c r="AT94" s="185" t="n">
        <v>36.6121553554287</v>
      </c>
      <c r="AU94" s="185" t="n">
        <v>75.521256521143</v>
      </c>
      <c r="AW94" s="188" t="inlineStr">
        <is>
          <t>Tra_EV_Batt-NMC622_fromrecy</t>
        </is>
      </c>
      <c r="AX94" s="188">
        <f>AX93</f>
        <v/>
      </c>
      <c r="AY94" s="188">
        <f>AY81*0.96</f>
        <v/>
      </c>
      <c r="AZ94" s="188">
        <f>AZ81*0.96</f>
        <v/>
      </c>
      <c r="BA94" s="188">
        <f>BA81*0.96</f>
        <v/>
      </c>
      <c r="BD94" s="56" t="inlineStr">
        <is>
          <t>Tra_EV_Batt-NMC622_virgin</t>
        </is>
      </c>
      <c r="BE94" s="56" t="n">
        <v>2050</v>
      </c>
      <c r="BF94" s="56">
        <f>AS94*70%</f>
        <v/>
      </c>
      <c r="BG94" s="56">
        <f>AT94*70%</f>
        <v/>
      </c>
      <c r="BH94" s="56">
        <f>AU94*70%</f>
        <v/>
      </c>
      <c r="BI94" s="226" t="n"/>
      <c r="BJ94" s="226" t="n"/>
      <c r="BK94" s="226" t="n"/>
      <c r="BL94" s="226" t="n"/>
      <c r="BM94" s="226" t="n"/>
      <c r="BN94" s="226" t="n"/>
      <c r="BO94" s="56" t="inlineStr">
        <is>
          <t>Tra_EV_Batt-NMC622_virgin_pack</t>
        </is>
      </c>
      <c r="BP94" s="56" t="n">
        <v>2050</v>
      </c>
      <c r="BQ94" s="56">
        <f>AS94*30%</f>
        <v/>
      </c>
      <c r="BR94" s="56">
        <f>AT94*30%</f>
        <v/>
      </c>
      <c r="BS94" s="56">
        <f>AU94*30%</f>
        <v/>
      </c>
      <c r="BT94" s="226" t="n"/>
      <c r="BU94" s="226" t="n"/>
      <c r="BV94" s="226" t="n"/>
      <c r="BW94" s="226" t="n"/>
      <c r="BX94" s="226" t="n"/>
      <c r="BY94" s="226" t="n"/>
      <c r="BZ94" s="226" t="n"/>
      <c r="CA94" s="226" t="n"/>
      <c r="CB94" s="226" t="n"/>
      <c r="CC94" s="226" t="n"/>
      <c r="CD94" s="226" t="n"/>
      <c r="CE94" s="226" t="n"/>
      <c r="CF94" s="226" t="n"/>
      <c r="CG94" s="226" t="n"/>
      <c r="CH94" s="226" t="n"/>
      <c r="CI94" s="226" t="n"/>
    </row>
    <row r="95" ht="14.5" customHeight="1" s="213">
      <c r="AS95" s="185" t="n">
        <v>57.1827039085716</v>
      </c>
      <c r="AT95" s="185" t="n">
        <v>38.3055111606858</v>
      </c>
      <c r="AU95" s="185" t="n">
        <v>77.1828706450288</v>
      </c>
      <c r="AW95" s="188" t="inlineStr">
        <is>
          <t>Tra_EV_Batt-NMC811_fromrecy</t>
        </is>
      </c>
      <c r="AX95" s="188">
        <f>AX94</f>
        <v/>
      </c>
      <c r="AY95" s="188">
        <f>AY82*0.96</f>
        <v/>
      </c>
      <c r="AZ95" s="188">
        <f>AZ82*0.96</f>
        <v/>
      </c>
      <c r="BA95" s="188">
        <f>BA82*0.96</f>
        <v/>
      </c>
      <c r="BD95" s="56" t="inlineStr">
        <is>
          <t>Tra_EV_Batt-NMC811_virgin</t>
        </is>
      </c>
      <c r="BE95" s="56" t="n">
        <v>2050</v>
      </c>
      <c r="BF95" s="56">
        <f>AS95*70%</f>
        <v/>
      </c>
      <c r="BG95" s="56">
        <f>AT95*70%</f>
        <v/>
      </c>
      <c r="BH95" s="56">
        <f>AU95*70%</f>
        <v/>
      </c>
      <c r="BI95" s="226" t="n"/>
      <c r="BJ95" s="226" t="n"/>
      <c r="BK95" s="226" t="n"/>
      <c r="BL95" s="226" t="n"/>
      <c r="BM95" s="226" t="n"/>
      <c r="BN95" s="226" t="n"/>
      <c r="BO95" s="56" t="inlineStr">
        <is>
          <t>Tra_EV_Batt-NMC811_virgin_pack</t>
        </is>
      </c>
      <c r="BP95" s="56" t="n">
        <v>2050</v>
      </c>
      <c r="BQ95" s="56">
        <f>AS95*30%</f>
        <v/>
      </c>
      <c r="BR95" s="56">
        <f>AT95*30%</f>
        <v/>
      </c>
      <c r="BS95" s="56">
        <f>AU95*30%</f>
        <v/>
      </c>
      <c r="BT95" s="226" t="n"/>
      <c r="BU95" s="226" t="n"/>
      <c r="BV95" s="226" t="n"/>
      <c r="BW95" s="226" t="n"/>
      <c r="BX95" s="226" t="n"/>
      <c r="BY95" s="226" t="n"/>
      <c r="BZ95" s="226" t="n"/>
      <c r="CA95" s="226" t="n"/>
      <c r="CB95" s="226" t="n"/>
      <c r="CC95" s="226" t="n"/>
      <c r="CD95" s="226" t="n"/>
      <c r="CE95" s="226" t="n"/>
      <c r="CF95" s="226" t="n"/>
      <c r="CG95" s="226" t="n"/>
      <c r="CH95" s="226" t="n"/>
      <c r="CI95" s="226" t="n"/>
    </row>
    <row r="96" ht="14.5" customHeight="1" s="213">
      <c r="AS96" s="185" t="n">
        <v>103.502613942857</v>
      </c>
      <c r="AT96" s="185" t="n">
        <v>103.502613942857</v>
      </c>
      <c r="AU96" s="185" t="n">
        <v>103.502613942857</v>
      </c>
      <c r="AW96" s="199" t="n"/>
      <c r="AX96" s="188" t="n"/>
      <c r="AY96" s="188" t="n"/>
      <c r="AZ96" s="188" t="n"/>
      <c r="BA96" s="188" t="n"/>
      <c r="BD96" s="56" t="inlineStr">
        <is>
          <t>Tra_EV_Batt-Sodium_virgin</t>
        </is>
      </c>
      <c r="BE96" s="56" t="n">
        <v>2050</v>
      </c>
      <c r="BF96" s="56">
        <f>AS96*70%</f>
        <v/>
      </c>
      <c r="BG96" s="56">
        <f>AT96*70%</f>
        <v/>
      </c>
      <c r="BH96" s="56">
        <f>AU96*70%</f>
        <v/>
      </c>
      <c r="BI96" s="226" t="n"/>
      <c r="BJ96" s="226" t="n"/>
      <c r="BK96" s="226" t="n"/>
      <c r="BL96" s="226" t="n"/>
      <c r="BM96" s="226" t="n"/>
      <c r="BN96" s="226" t="n"/>
      <c r="BO96" s="56" t="inlineStr">
        <is>
          <t>Tra_EV_Batt-Sodium_virgin_pack</t>
        </is>
      </c>
      <c r="BP96" s="56" t="n">
        <v>2050</v>
      </c>
      <c r="BQ96" s="56">
        <f>AS96*30%</f>
        <v/>
      </c>
      <c r="BR96" s="56">
        <f>AT96*30%</f>
        <v/>
      </c>
      <c r="BS96" s="56">
        <f>AU96*30%</f>
        <v/>
      </c>
      <c r="BT96" s="226" t="n"/>
      <c r="BU96" s="226" t="n"/>
      <c r="BV96" s="226" t="n"/>
      <c r="BW96" s="226" t="n"/>
      <c r="BX96" s="226" t="n"/>
      <c r="BY96" s="226" t="n"/>
      <c r="BZ96" s="226" t="n"/>
      <c r="CA96" s="226" t="n"/>
      <c r="CB96" s="226" t="n"/>
      <c r="CC96" s="226" t="n"/>
      <c r="CD96" s="226" t="n"/>
      <c r="CE96" s="226" t="n"/>
      <c r="CF96" s="226" t="n"/>
      <c r="CG96" s="226" t="n"/>
      <c r="CH96" s="226" t="n"/>
      <c r="CI96" s="226" t="n"/>
    </row>
    <row r="97" ht="14.5" customHeight="1" s="213">
      <c r="AW97" s="56" t="n"/>
      <c r="AX97" s="56" t="n"/>
      <c r="AY97" s="56" t="n"/>
      <c r="AZ97" s="56" t="n"/>
      <c r="BA97" s="56" t="n"/>
      <c r="BD97" s="56" t="n"/>
      <c r="BE97" s="56" t="n"/>
      <c r="BF97" s="56" t="n"/>
      <c r="BG97" s="56" t="n"/>
      <c r="BH97" s="56" t="n"/>
      <c r="BI97" s="226" t="n"/>
      <c r="BJ97" s="226" t="n"/>
      <c r="BK97" s="226" t="n"/>
      <c r="BL97" s="226" t="n"/>
      <c r="BM97" s="226" t="n"/>
      <c r="BN97" s="226" t="n"/>
      <c r="BO97" s="56" t="n"/>
      <c r="BP97" s="56" t="n"/>
      <c r="BQ97" s="56" t="n"/>
      <c r="BR97" s="56" t="n"/>
      <c r="BS97" s="56" t="n"/>
      <c r="BT97" s="226" t="n"/>
      <c r="BU97" s="226" t="n"/>
      <c r="BV97" s="226" t="n"/>
      <c r="BW97" s="226" t="n"/>
      <c r="BX97" s="226" t="n"/>
      <c r="BY97" s="226" t="n"/>
      <c r="BZ97" s="226" t="n"/>
      <c r="CA97" s="226" t="n"/>
      <c r="CB97" s="226" t="n"/>
      <c r="CC97" s="226" t="n"/>
      <c r="CD97" s="226" t="n"/>
      <c r="CE97" s="226" t="n"/>
      <c r="CF97" s="226" t="n"/>
      <c r="CG97" s="226" t="n"/>
      <c r="CH97" s="226" t="n"/>
      <c r="CI97" s="226" t="n"/>
    </row>
    <row r="98" ht="14.5" customHeight="1" s="213">
      <c r="BE98" s="208" t="n"/>
      <c r="BF98" s="208" t="n"/>
      <c r="BG98" s="208" t="n"/>
      <c r="BH98" s="208" t="n"/>
      <c r="BI98" s="226" t="n"/>
      <c r="BJ98" s="226" t="n"/>
      <c r="BK98" s="226" t="n"/>
      <c r="BL98" s="226" t="n"/>
      <c r="BM98" s="226" t="n"/>
      <c r="BN98" s="226" t="n"/>
      <c r="BO98" s="208" t="n"/>
      <c r="BP98" s="208" t="n"/>
      <c r="BQ98" s="208" t="n"/>
      <c r="BR98" s="208" t="n"/>
      <c r="BS98" s="208" t="n"/>
      <c r="BT98" s="226" t="n"/>
      <c r="BU98" s="226" t="n"/>
      <c r="BV98" s="226" t="n"/>
      <c r="BW98" s="226" t="n"/>
      <c r="BX98" s="226" t="n"/>
      <c r="BY98" s="226" t="n"/>
      <c r="BZ98" s="226" t="n"/>
      <c r="CA98" s="226" t="n"/>
      <c r="CB98" s="226" t="n"/>
      <c r="CC98" s="226" t="n"/>
      <c r="CD98" s="226" t="n"/>
      <c r="CE98" s="226" t="n"/>
      <c r="CF98" s="226" t="n"/>
      <c r="CG98" s="226" t="n"/>
      <c r="CH98" s="226" t="n"/>
      <c r="CI98" s="226" t="n"/>
    </row>
    <row r="99" ht="14.5" customHeight="1" s="213">
      <c r="BE99" s="208" t="n"/>
      <c r="BF99" s="208" t="n"/>
      <c r="BG99" s="208" t="n"/>
      <c r="BH99" s="208" t="n"/>
      <c r="BI99" s="226" t="n"/>
      <c r="BJ99" s="226" t="n"/>
      <c r="BK99" s="226" t="n"/>
      <c r="BL99" s="226" t="n"/>
      <c r="BM99" s="226" t="n"/>
      <c r="BN99" s="226" t="n"/>
      <c r="BO99" s="208" t="n"/>
      <c r="BP99" s="208" t="n"/>
      <c r="BQ99" s="208" t="n"/>
      <c r="BR99" s="208" t="n"/>
      <c r="BS99" s="208" t="n"/>
      <c r="BT99" s="226" t="n"/>
      <c r="BU99" s="226" t="n"/>
      <c r="BV99" s="226" t="n"/>
      <c r="BW99" s="226" t="n"/>
      <c r="BX99" s="226" t="n"/>
      <c r="BY99" s="226" t="n"/>
      <c r="BZ99" s="226" t="n"/>
      <c r="CA99" s="226" t="n"/>
      <c r="CB99" s="226" t="n"/>
      <c r="CC99" s="226" t="n"/>
      <c r="CD99" s="226" t="n"/>
      <c r="CE99" s="226" t="n"/>
      <c r="CF99" s="226" t="n"/>
      <c r="CG99" s="226" t="n"/>
      <c r="CH99" s="226" t="n"/>
      <c r="CI99" s="226" t="n"/>
    </row>
    <row r="100" ht="14.5" customHeight="1" s="213">
      <c r="BE100" s="208" t="n"/>
      <c r="BF100" s="208" t="n"/>
      <c r="BG100" s="208" t="n"/>
      <c r="BH100" s="208" t="n"/>
      <c r="BI100" s="226" t="n"/>
      <c r="BJ100" s="226" t="n"/>
      <c r="BK100" s="226" t="n"/>
      <c r="BL100" s="226" t="n"/>
      <c r="BM100" s="226" t="n"/>
      <c r="BN100" s="226" t="n"/>
      <c r="BO100" s="208" t="n"/>
      <c r="BP100" s="208" t="n"/>
      <c r="BQ100" s="208" t="n"/>
      <c r="BR100" s="208" t="n"/>
      <c r="BS100" s="208" t="n"/>
      <c r="BT100" s="226" t="n"/>
      <c r="BU100" s="226" t="n"/>
      <c r="BV100" s="226" t="n"/>
      <c r="BW100" s="226" t="n"/>
      <c r="BX100" s="226" t="n"/>
      <c r="BY100" s="226" t="n"/>
      <c r="BZ100" s="226" t="n"/>
      <c r="CA100" s="226" t="n"/>
      <c r="CB100" s="226" t="n"/>
      <c r="CC100" s="226" t="n"/>
      <c r="CD100" s="226" t="n"/>
      <c r="CE100" s="226" t="n"/>
      <c r="CF100" s="226" t="n"/>
      <c r="CG100" s="226" t="n"/>
      <c r="CH100" s="226" t="n"/>
      <c r="CI100" s="226" t="n"/>
    </row>
    <row r="101" ht="14.5" customHeight="1" s="213">
      <c r="BE101" s="208" t="n"/>
      <c r="BF101" s="208" t="n"/>
      <c r="BG101" s="208" t="n"/>
      <c r="BH101" s="208" t="n"/>
      <c r="BO101" s="208" t="n"/>
      <c r="BP101" s="208" t="n"/>
      <c r="BQ101" s="208" t="n"/>
      <c r="BR101" s="208" t="n"/>
      <c r="BS101" s="208" t="n"/>
    </row>
    <row r="102" ht="14.5" customHeight="1" s="213">
      <c r="AW102" s="79" t="inlineStr">
        <is>
          <t>~TFM_INS: attribute=INVCOST</t>
        </is>
      </c>
      <c r="AX102" s="79" t="n"/>
      <c r="AY102" s="188" t="n"/>
      <c r="AZ102" s="56" t="n"/>
      <c r="BA102" s="56" t="n"/>
      <c r="BD102" s="56" t="inlineStr">
        <is>
          <t>~TFM_INS: attribute=ACT_COST</t>
        </is>
      </c>
      <c r="BE102" s="56" t="n"/>
      <c r="BF102" s="56" t="n"/>
      <c r="BG102" s="56" t="n"/>
      <c r="BH102" s="56" t="n"/>
      <c r="BO102" s="56" t="inlineStr">
        <is>
          <t>~TFM_INS: attribute=INVCOST</t>
        </is>
      </c>
      <c r="BP102" s="56" t="n"/>
      <c r="BQ102" s="56" t="n"/>
      <c r="BR102" s="56" t="n"/>
      <c r="BS102" s="56" t="n"/>
    </row>
    <row r="103" ht="14.5" customHeight="1" s="213">
      <c r="BE103" s="208" t="n"/>
      <c r="BF103" s="208" t="n"/>
      <c r="BG103" s="208" t="n"/>
      <c r="BH103" s="208" t="n"/>
      <c r="BO103" s="208" t="n"/>
      <c r="BP103" s="208" t="n"/>
      <c r="BQ103" s="208" t="n"/>
      <c r="BR103" s="208" t="n"/>
      <c r="BS103" s="208" t="n"/>
    </row>
    <row r="105" ht="14.5" customHeight="1" s="213">
      <c r="AS105" s="185" t="inlineStr">
        <is>
          <t>AllRegions</t>
        </is>
      </c>
      <c r="AT105" s="185" t="inlineStr">
        <is>
          <t>China</t>
        </is>
      </c>
      <c r="AU105" s="185" t="inlineStr">
        <is>
          <t>NorthAm</t>
        </is>
      </c>
      <c r="AW105" s="188" t="inlineStr">
        <is>
          <t>process</t>
        </is>
      </c>
      <c r="AX105" s="188" t="inlineStr">
        <is>
          <t>year</t>
        </is>
      </c>
      <c r="AY105" s="195" t="inlineStr">
        <is>
          <t>AllRegions</t>
        </is>
      </c>
      <c r="AZ105" s="195" t="inlineStr">
        <is>
          <t>China</t>
        </is>
      </c>
      <c r="BA105" s="195" t="inlineStr">
        <is>
          <t>NorthAm</t>
        </is>
      </c>
      <c r="BD105" s="56" t="inlineStr">
        <is>
          <t>process</t>
        </is>
      </c>
      <c r="BE105" s="56" t="inlineStr">
        <is>
          <t>year</t>
        </is>
      </c>
      <c r="BF105" s="56" t="inlineStr">
        <is>
          <t>AllRegions</t>
        </is>
      </c>
      <c r="BG105" s="56" t="inlineStr">
        <is>
          <t>China</t>
        </is>
      </c>
      <c r="BH105" s="56" t="inlineStr">
        <is>
          <t>NorthAm</t>
        </is>
      </c>
      <c r="BI105" s="197" t="n"/>
      <c r="BJ105" s="197" t="n"/>
      <c r="BK105" s="197" t="n"/>
      <c r="BL105" s="197" t="n"/>
      <c r="BM105" s="197" t="n"/>
      <c r="BN105" s="197" t="n"/>
      <c r="BO105" s="56" t="inlineStr">
        <is>
          <t>process</t>
        </is>
      </c>
      <c r="BP105" s="56" t="inlineStr">
        <is>
          <t>year</t>
        </is>
      </c>
      <c r="BQ105" s="56" t="inlineStr">
        <is>
          <t>AllRegions</t>
        </is>
      </c>
      <c r="BR105" s="56" t="inlineStr">
        <is>
          <t>China</t>
        </is>
      </c>
      <c r="BS105" s="56" t="inlineStr">
        <is>
          <t>NorthAm</t>
        </is>
      </c>
      <c r="BT105" s="197" t="n"/>
      <c r="BU105" s="197" t="n"/>
      <c r="BV105" s="197" t="n"/>
      <c r="BW105" s="197" t="n"/>
      <c r="BX105" s="197" t="n"/>
      <c r="BY105" s="197" t="n"/>
      <c r="BZ105" s="197" t="n"/>
      <c r="CA105" s="197" t="n"/>
      <c r="CB105" s="197" t="n"/>
      <c r="CC105" s="197" t="n"/>
      <c r="CD105" s="197" t="n"/>
      <c r="CE105" s="197" t="n"/>
      <c r="CF105" s="197" t="n"/>
      <c r="CG105" s="197" t="n"/>
      <c r="CH105" s="197" t="n"/>
      <c r="CI105" s="197" t="n"/>
    </row>
    <row r="106" ht="14.5" customHeight="1" s="213">
      <c r="AS106" s="185">
        <f>AS89*80%</f>
        <v/>
      </c>
      <c r="AT106" s="185">
        <f>AT89*80%</f>
        <v/>
      </c>
      <c r="AU106" s="185">
        <f>AU89*80%</f>
        <v/>
      </c>
      <c r="AW106" s="188" t="inlineStr">
        <is>
          <t>Tra_EV_Batt-LFP_fromrecy</t>
        </is>
      </c>
      <c r="AX106" s="188" t="n">
        <v>2100</v>
      </c>
      <c r="AY106" s="199">
        <f>AS106</f>
        <v/>
      </c>
      <c r="AZ106" s="199">
        <f>AT106</f>
        <v/>
      </c>
      <c r="BA106" s="199">
        <f>AU106</f>
        <v/>
      </c>
      <c r="BD106" s="56" t="inlineStr">
        <is>
          <t>Tra_EV_Batt-LFP_virgin</t>
        </is>
      </c>
      <c r="BE106" s="56" t="n">
        <v>2100</v>
      </c>
      <c r="BF106" s="211">
        <f>AS106*70%</f>
        <v/>
      </c>
      <c r="BG106" s="211">
        <f>AT106*70%</f>
        <v/>
      </c>
      <c r="BH106" s="211">
        <f>AU106*70%</f>
        <v/>
      </c>
      <c r="BI106" s="226" t="n"/>
      <c r="BJ106" s="226" t="n"/>
      <c r="BK106" s="226" t="n"/>
      <c r="BL106" s="226" t="n"/>
      <c r="BM106" s="226" t="n"/>
      <c r="BN106" s="226" t="n"/>
      <c r="BO106" s="56" t="inlineStr">
        <is>
          <t>Tra_EV_Batt-LFP_virgin_pack</t>
        </is>
      </c>
      <c r="BP106" s="56" t="n">
        <v>2100</v>
      </c>
      <c r="BQ106" s="211">
        <f>AS106*30%</f>
        <v/>
      </c>
      <c r="BR106" s="211">
        <f>AT106*30%</f>
        <v/>
      </c>
      <c r="BS106" s="211">
        <f>AU106*30%</f>
        <v/>
      </c>
      <c r="BT106" s="226" t="n"/>
      <c r="BU106" s="226" t="n"/>
      <c r="BV106" s="226" t="n"/>
      <c r="BW106" s="226" t="n"/>
      <c r="BX106" s="226" t="n"/>
      <c r="BY106" s="226" t="n"/>
      <c r="BZ106" s="226" t="n"/>
      <c r="CA106" s="226" t="n"/>
      <c r="CB106" s="226" t="n"/>
      <c r="CC106" s="226" t="n"/>
      <c r="CD106" s="226" t="n"/>
      <c r="CE106" s="226" t="n"/>
      <c r="CF106" s="226" t="n"/>
      <c r="CG106" s="226" t="n"/>
      <c r="CH106" s="226" t="n"/>
      <c r="CI106" s="226" t="n"/>
    </row>
    <row r="107" ht="14.5" customHeight="1" s="213">
      <c r="AS107" s="185">
        <f>AS90*80%</f>
        <v/>
      </c>
      <c r="AT107" s="185">
        <f>AT90*80%</f>
        <v/>
      </c>
      <c r="AU107" s="185">
        <f>AU90*80%</f>
        <v/>
      </c>
      <c r="AW107" s="188" t="inlineStr">
        <is>
          <t>Tra_EV_Batt-LMO_fromrecy</t>
        </is>
      </c>
      <c r="AX107" s="188">
        <f>AX106</f>
        <v/>
      </c>
      <c r="AY107" s="199">
        <f>AS107</f>
        <v/>
      </c>
      <c r="AZ107" s="199">
        <f>AT107</f>
        <v/>
      </c>
      <c r="BA107" s="199">
        <f>AU107</f>
        <v/>
      </c>
      <c r="BD107" s="56" t="inlineStr">
        <is>
          <t>Tra_EV_Batt-LMO_virgin</t>
        </is>
      </c>
      <c r="BE107" s="56" t="n">
        <v>2100</v>
      </c>
      <c r="BF107" s="211">
        <f>AS107*70%</f>
        <v/>
      </c>
      <c r="BG107" s="211">
        <f>AT107*70%</f>
        <v/>
      </c>
      <c r="BH107" s="211">
        <f>AU107*70%</f>
        <v/>
      </c>
      <c r="BI107" s="226" t="n"/>
      <c r="BJ107" s="226" t="n"/>
      <c r="BK107" s="226" t="n"/>
      <c r="BL107" s="226" t="n"/>
      <c r="BM107" s="226" t="n"/>
      <c r="BN107" s="226" t="n"/>
      <c r="BO107" s="56" t="inlineStr">
        <is>
          <t>Tra_EV_Batt-LMO_virgin_pack</t>
        </is>
      </c>
      <c r="BP107" s="56" t="n">
        <v>2100</v>
      </c>
      <c r="BQ107" s="211">
        <f>AS107*30%</f>
        <v/>
      </c>
      <c r="BR107" s="211">
        <f>AT107*30%</f>
        <v/>
      </c>
      <c r="BS107" s="211">
        <f>AU107*30%</f>
        <v/>
      </c>
      <c r="BT107" s="226" t="n"/>
      <c r="BU107" s="226" t="n"/>
      <c r="BV107" s="226" t="n"/>
      <c r="BW107" s="226" t="n"/>
      <c r="BX107" s="226" t="n"/>
      <c r="BY107" s="226" t="n"/>
      <c r="BZ107" s="226" t="n"/>
      <c r="CA107" s="226" t="n"/>
      <c r="CB107" s="226" t="n"/>
      <c r="CC107" s="226" t="n"/>
      <c r="CD107" s="226" t="n"/>
      <c r="CE107" s="226" t="n"/>
      <c r="CF107" s="226" t="n"/>
      <c r="CG107" s="226" t="n"/>
      <c r="CH107" s="226" t="n"/>
      <c r="CI107" s="226" t="n"/>
    </row>
    <row r="108" ht="14.5" customHeight="1" s="213">
      <c r="AS108" s="185">
        <f>AS91*80%</f>
        <v/>
      </c>
      <c r="AT108" s="185">
        <f>AT91*80%</f>
        <v/>
      </c>
      <c r="AU108" s="185">
        <f>AU91*80%</f>
        <v/>
      </c>
      <c r="AW108" s="188" t="inlineStr">
        <is>
          <t>Tra_EV_Batt-NCA_fromrecy</t>
        </is>
      </c>
      <c r="AX108" s="188">
        <f>AX107</f>
        <v/>
      </c>
      <c r="AY108" s="199">
        <f>AS108</f>
        <v/>
      </c>
      <c r="AZ108" s="199">
        <f>AT108</f>
        <v/>
      </c>
      <c r="BA108" s="199">
        <f>AU108</f>
        <v/>
      </c>
      <c r="BD108" s="56" t="inlineStr">
        <is>
          <t>Tra_EV_Batt-NCA_virgin</t>
        </is>
      </c>
      <c r="BE108" s="56" t="n">
        <v>2100</v>
      </c>
      <c r="BF108" s="211">
        <f>AS108*70%</f>
        <v/>
      </c>
      <c r="BG108" s="211">
        <f>AT108*70%</f>
        <v/>
      </c>
      <c r="BH108" s="211">
        <f>AU108*70%</f>
        <v/>
      </c>
      <c r="BI108" s="226" t="n"/>
      <c r="BJ108" s="226" t="n"/>
      <c r="BK108" s="226" t="n"/>
      <c r="BL108" s="226" t="n"/>
      <c r="BM108" s="226" t="n"/>
      <c r="BN108" s="226" t="n"/>
      <c r="BO108" s="56" t="inlineStr">
        <is>
          <t>Tra_EV_Batt-NCA_virgin_pack</t>
        </is>
      </c>
      <c r="BP108" s="56" t="n">
        <v>2100</v>
      </c>
      <c r="BQ108" s="211">
        <f>AS108*30%</f>
        <v/>
      </c>
      <c r="BR108" s="211">
        <f>AT108*30%</f>
        <v/>
      </c>
      <c r="BS108" s="211">
        <f>AU108*30%</f>
        <v/>
      </c>
      <c r="BT108" s="226" t="n"/>
      <c r="BU108" s="226" t="n"/>
      <c r="BV108" s="226" t="n"/>
      <c r="BW108" s="226" t="n"/>
      <c r="BX108" s="226" t="n"/>
      <c r="BY108" s="226" t="n"/>
      <c r="BZ108" s="226" t="n"/>
      <c r="CA108" s="226" t="n"/>
      <c r="CB108" s="226" t="n"/>
      <c r="CC108" s="226" t="n"/>
      <c r="CD108" s="226" t="n"/>
      <c r="CE108" s="226" t="n"/>
      <c r="CF108" s="226" t="n"/>
      <c r="CG108" s="226" t="n"/>
      <c r="CH108" s="226" t="n"/>
      <c r="CI108" s="226" t="n"/>
    </row>
    <row r="109" ht="14.5" customHeight="1" s="213">
      <c r="AS109" s="185">
        <f>AS92*80%</f>
        <v/>
      </c>
      <c r="AT109" s="185">
        <f>AT92*80%</f>
        <v/>
      </c>
      <c r="AU109" s="185">
        <f>AU92*80%</f>
        <v/>
      </c>
      <c r="AW109" s="188" t="inlineStr">
        <is>
          <t>Tra_EV_Batt-NMC111_fromrecy</t>
        </is>
      </c>
      <c r="AX109" s="188">
        <f>AX108</f>
        <v/>
      </c>
      <c r="AY109" s="199">
        <f>AS109</f>
        <v/>
      </c>
      <c r="AZ109" s="199">
        <f>AT109</f>
        <v/>
      </c>
      <c r="BA109" s="199">
        <f>AU109</f>
        <v/>
      </c>
      <c r="BD109" s="56" t="inlineStr">
        <is>
          <t>Tra_EV_Batt-NMC111_virgin</t>
        </is>
      </c>
      <c r="BE109" s="56" t="n">
        <v>2100</v>
      </c>
      <c r="BF109" s="211">
        <f>AS109*70%</f>
        <v/>
      </c>
      <c r="BG109" s="211">
        <f>AT109*70%</f>
        <v/>
      </c>
      <c r="BH109" s="211">
        <f>AU109*70%</f>
        <v/>
      </c>
      <c r="BI109" s="226" t="n"/>
      <c r="BJ109" s="226" t="n"/>
      <c r="BK109" s="226" t="n"/>
      <c r="BL109" s="226" t="n"/>
      <c r="BM109" s="226" t="n"/>
      <c r="BN109" s="226" t="n"/>
      <c r="BO109" s="56" t="inlineStr">
        <is>
          <t>Tra_EV_Batt-NMC111_virgin_pack</t>
        </is>
      </c>
      <c r="BP109" s="56" t="n">
        <v>2100</v>
      </c>
      <c r="BQ109" s="211">
        <f>AS109*30%</f>
        <v/>
      </c>
      <c r="BR109" s="211">
        <f>AT109*30%</f>
        <v/>
      </c>
      <c r="BS109" s="211">
        <f>AU109*30%</f>
        <v/>
      </c>
      <c r="BT109" s="226" t="n"/>
      <c r="BU109" s="226" t="n"/>
      <c r="BV109" s="226" t="n"/>
      <c r="BW109" s="226" t="n"/>
      <c r="BX109" s="226" t="n"/>
      <c r="BY109" s="226" t="n"/>
      <c r="BZ109" s="226" t="n"/>
      <c r="CA109" s="226" t="n"/>
      <c r="CB109" s="226" t="n"/>
      <c r="CC109" s="226" t="n"/>
      <c r="CD109" s="226" t="n"/>
      <c r="CE109" s="226" t="n"/>
      <c r="CF109" s="226" t="n"/>
      <c r="CG109" s="226" t="n"/>
      <c r="CH109" s="226" t="n"/>
      <c r="CI109" s="226" t="n"/>
    </row>
    <row r="110" ht="14.5" customHeight="1" s="213">
      <c r="AS110" s="185">
        <f>AS93*80%</f>
        <v/>
      </c>
      <c r="AT110" s="185">
        <f>AT93*80%</f>
        <v/>
      </c>
      <c r="AU110" s="185">
        <f>AU93*80%</f>
        <v/>
      </c>
      <c r="AW110" s="188" t="inlineStr">
        <is>
          <t>Tra_EV_Batt-NMC532_fromrecy</t>
        </is>
      </c>
      <c r="AX110" s="188">
        <f>AX109</f>
        <v/>
      </c>
      <c r="AY110" s="199">
        <f>AS110</f>
        <v/>
      </c>
      <c r="AZ110" s="199">
        <f>AT110</f>
        <v/>
      </c>
      <c r="BA110" s="199">
        <f>AU110</f>
        <v/>
      </c>
      <c r="BD110" s="56" t="inlineStr">
        <is>
          <t>Tra_EV_Batt-NMC532_virgin</t>
        </is>
      </c>
      <c r="BE110" s="56" t="n">
        <v>2100</v>
      </c>
      <c r="BF110" s="211">
        <f>AS110*70%</f>
        <v/>
      </c>
      <c r="BG110" s="211">
        <f>AT110*70%</f>
        <v/>
      </c>
      <c r="BH110" s="211">
        <f>AU110*70%</f>
        <v/>
      </c>
      <c r="BI110" s="226" t="n"/>
      <c r="BJ110" s="226" t="n"/>
      <c r="BK110" s="226" t="n"/>
      <c r="BL110" s="226" t="n"/>
      <c r="BM110" s="226" t="n"/>
      <c r="BN110" s="226" t="n"/>
      <c r="BO110" s="56" t="inlineStr">
        <is>
          <t>Tra_EV_Batt-NMC532_virgin_pack</t>
        </is>
      </c>
      <c r="BP110" s="56" t="n">
        <v>2100</v>
      </c>
      <c r="BQ110" s="211">
        <f>AS110*30%</f>
        <v/>
      </c>
      <c r="BR110" s="211">
        <f>AT110*30%</f>
        <v/>
      </c>
      <c r="BS110" s="211">
        <f>AU110*30%</f>
        <v/>
      </c>
      <c r="BT110" s="226" t="n"/>
      <c r="BU110" s="226" t="n"/>
      <c r="BV110" s="226" t="n"/>
      <c r="BW110" s="226" t="n"/>
      <c r="BX110" s="226" t="n"/>
      <c r="BY110" s="226" t="n"/>
      <c r="BZ110" s="226" t="n"/>
      <c r="CA110" s="226" t="n"/>
      <c r="CB110" s="226" t="n"/>
      <c r="CC110" s="226" t="n"/>
      <c r="CD110" s="226" t="n"/>
      <c r="CE110" s="226" t="n"/>
      <c r="CF110" s="226" t="n"/>
      <c r="CG110" s="226" t="n"/>
      <c r="CH110" s="226" t="n"/>
      <c r="CI110" s="226" t="n"/>
    </row>
    <row r="111" ht="14.5" customHeight="1" s="213">
      <c r="AS111" s="185">
        <f>AS94*80%</f>
        <v/>
      </c>
      <c r="AT111" s="185">
        <f>AT94*80%</f>
        <v/>
      </c>
      <c r="AU111" s="185">
        <f>AU94*80%</f>
        <v/>
      </c>
      <c r="AW111" s="188" t="inlineStr">
        <is>
          <t>Tra_EV_Batt-NMC622_fromrecy</t>
        </is>
      </c>
      <c r="AX111" s="188">
        <f>AX110</f>
        <v/>
      </c>
      <c r="AY111" s="199">
        <f>AS111</f>
        <v/>
      </c>
      <c r="AZ111" s="199">
        <f>AT111</f>
        <v/>
      </c>
      <c r="BA111" s="199">
        <f>AU111</f>
        <v/>
      </c>
      <c r="BD111" s="56" t="inlineStr">
        <is>
          <t>Tra_EV_Batt-NMC622_virgin</t>
        </is>
      </c>
      <c r="BE111" s="56" t="n">
        <v>2100</v>
      </c>
      <c r="BF111" s="211">
        <f>AS111*70%</f>
        <v/>
      </c>
      <c r="BG111" s="211">
        <f>AT111*70%</f>
        <v/>
      </c>
      <c r="BH111" s="211">
        <f>AU111*70%</f>
        <v/>
      </c>
      <c r="BI111" s="226" t="n"/>
      <c r="BJ111" s="226" t="n"/>
      <c r="BK111" s="226" t="n"/>
      <c r="BL111" s="226" t="n"/>
      <c r="BM111" s="226" t="n"/>
      <c r="BN111" s="226" t="n"/>
      <c r="BO111" s="56" t="inlineStr">
        <is>
          <t>Tra_EV_Batt-NMC622_virgin_pack</t>
        </is>
      </c>
      <c r="BP111" s="56" t="n">
        <v>2100</v>
      </c>
      <c r="BQ111" s="211">
        <f>AS111*30%</f>
        <v/>
      </c>
      <c r="BR111" s="211">
        <f>AT111*30%</f>
        <v/>
      </c>
      <c r="BS111" s="211">
        <f>AU111*30%</f>
        <v/>
      </c>
      <c r="BT111" s="226" t="n"/>
      <c r="BU111" s="226" t="n"/>
      <c r="BV111" s="226" t="n"/>
      <c r="BW111" s="226" t="n"/>
      <c r="BX111" s="226" t="n"/>
      <c r="BY111" s="226" t="n"/>
      <c r="BZ111" s="226" t="n"/>
      <c r="CA111" s="226" t="n"/>
      <c r="CB111" s="226" t="n"/>
      <c r="CC111" s="226" t="n"/>
      <c r="CD111" s="226" t="n"/>
      <c r="CE111" s="226" t="n"/>
      <c r="CF111" s="226" t="n"/>
      <c r="CG111" s="226" t="n"/>
      <c r="CH111" s="226" t="n"/>
      <c r="CI111" s="226" t="n"/>
    </row>
    <row r="112" ht="14.5" customHeight="1" s="213">
      <c r="AS112" s="185">
        <f>AS95*80%</f>
        <v/>
      </c>
      <c r="AT112" s="185">
        <f>AT95*80%</f>
        <v/>
      </c>
      <c r="AU112" s="185">
        <f>AU95*80%</f>
        <v/>
      </c>
      <c r="AW112" s="188" t="inlineStr">
        <is>
          <t>Tra_EV_Batt-NMC811_fromrecy</t>
        </is>
      </c>
      <c r="AX112" s="188">
        <f>AX111</f>
        <v/>
      </c>
      <c r="AY112" s="199">
        <f>AS112</f>
        <v/>
      </c>
      <c r="AZ112" s="199">
        <f>AT112</f>
        <v/>
      </c>
      <c r="BA112" s="199">
        <f>AU112</f>
        <v/>
      </c>
      <c r="BD112" s="56" t="inlineStr">
        <is>
          <t>Tra_EV_Batt-NMC811_virgin</t>
        </is>
      </c>
      <c r="BE112" s="56" t="n">
        <v>2100</v>
      </c>
      <c r="BF112" s="211">
        <f>AS112*70%</f>
        <v/>
      </c>
      <c r="BG112" s="211">
        <f>AT112*70%</f>
        <v/>
      </c>
      <c r="BH112" s="211">
        <f>AU112*70%</f>
        <v/>
      </c>
      <c r="BI112" s="226" t="n"/>
      <c r="BJ112" s="226" t="n"/>
      <c r="BK112" s="226" t="n"/>
      <c r="BL112" s="226" t="n"/>
      <c r="BM112" s="226" t="n"/>
      <c r="BN112" s="226" t="n"/>
      <c r="BO112" s="56" t="inlineStr">
        <is>
          <t>Tra_EV_Batt-NMC811_virgin_pack</t>
        </is>
      </c>
      <c r="BP112" s="56" t="n">
        <v>2100</v>
      </c>
      <c r="BQ112" s="211">
        <f>AS112*30%</f>
        <v/>
      </c>
      <c r="BR112" s="211">
        <f>AT112*30%</f>
        <v/>
      </c>
      <c r="BS112" s="211">
        <f>AU112*30%</f>
        <v/>
      </c>
      <c r="BT112" s="226" t="n"/>
      <c r="BU112" s="226" t="n"/>
      <c r="BV112" s="226" t="n"/>
      <c r="BW112" s="226" t="n"/>
      <c r="BX112" s="226" t="n"/>
      <c r="BY112" s="226" t="n"/>
      <c r="BZ112" s="226" t="n"/>
      <c r="CA112" s="226" t="n"/>
      <c r="CB112" s="226" t="n"/>
      <c r="CC112" s="226" t="n"/>
      <c r="CD112" s="226" t="n"/>
      <c r="CE112" s="226" t="n"/>
      <c r="CF112" s="226" t="n"/>
      <c r="CG112" s="226" t="n"/>
      <c r="CH112" s="226" t="n"/>
      <c r="CI112" s="226" t="n"/>
    </row>
    <row r="113" ht="14.5" customHeight="1" s="213">
      <c r="AS113" s="185">
        <f>AS96*80%</f>
        <v/>
      </c>
      <c r="AT113" s="185">
        <f>AT96*80%</f>
        <v/>
      </c>
      <c r="AU113" s="185">
        <f>AU96*80%</f>
        <v/>
      </c>
      <c r="AW113" s="199" t="n"/>
      <c r="AX113" s="188" t="n"/>
      <c r="AY113" s="188" t="n"/>
      <c r="AZ113" s="188" t="n"/>
      <c r="BA113" s="188" t="n"/>
      <c r="BD113" s="56" t="inlineStr">
        <is>
          <t>Tra_EV_Batt-Sodium_virgin</t>
        </is>
      </c>
      <c r="BE113" s="56" t="n">
        <v>2100</v>
      </c>
      <c r="BF113" s="211">
        <f>AS113*70%</f>
        <v/>
      </c>
      <c r="BG113" s="211">
        <f>AT113*70%</f>
        <v/>
      </c>
      <c r="BH113" s="211">
        <f>AU113*70%</f>
        <v/>
      </c>
      <c r="BO113" s="56" t="inlineStr">
        <is>
          <t>Tra_EV_Batt-Sodium_virgin_pack</t>
        </is>
      </c>
      <c r="BP113" s="56" t="n">
        <v>2100</v>
      </c>
      <c r="BQ113" s="211">
        <f>AS113*30%</f>
        <v/>
      </c>
      <c r="BR113" s="211">
        <f>AT113*30%</f>
        <v/>
      </c>
      <c r="BS113" s="211">
        <f>AU113*30%</f>
        <v/>
      </c>
    </row>
    <row r="114" ht="14.5" customHeight="1" s="213">
      <c r="BE114" s="212" t="n"/>
    </row>
    <row r="115" ht="14.5" customHeight="1" s="213">
      <c r="BE115" s="197" t="n"/>
      <c r="BF115" s="197" t="n"/>
      <c r="BG115" s="197" t="n"/>
      <c r="BH115" s="197" t="n"/>
      <c r="BI115" s="197" t="n"/>
      <c r="BJ115" s="197" t="n"/>
      <c r="BK115" s="197" t="n"/>
      <c r="BL115" s="197" t="n"/>
      <c r="BM115" s="197" t="n"/>
      <c r="BN115" s="197" t="n"/>
      <c r="BO115" s="197" t="n"/>
      <c r="BP115" s="197" t="n"/>
      <c r="BQ115" s="197" t="n"/>
      <c r="BR115" s="197" t="n"/>
      <c r="BS115" s="197" t="n"/>
      <c r="BT115" s="197" t="n"/>
      <c r="BU115" s="197" t="n"/>
      <c r="BV115" s="197" t="n"/>
      <c r="BW115" s="197" t="n"/>
      <c r="BX115" s="197" t="n"/>
      <c r="BY115" s="197" t="n"/>
      <c r="BZ115" s="197" t="n"/>
      <c r="CA115" s="197" t="n"/>
      <c r="CB115" s="197" t="n"/>
      <c r="CC115" s="197" t="n"/>
      <c r="CD115" s="197" t="n"/>
      <c r="CE115" s="197" t="n"/>
      <c r="CF115" s="197" t="n"/>
      <c r="CG115" s="197" t="n"/>
      <c r="CH115" s="197" t="n"/>
      <c r="CI115" s="197" t="n"/>
    </row>
    <row r="116" ht="14.5" customHeight="1" s="213">
      <c r="BF116" s="214" t="n"/>
      <c r="BG116" s="226" t="n"/>
      <c r="BH116" s="226" t="n"/>
      <c r="BI116" s="226" t="n"/>
      <c r="BJ116" s="226" t="n"/>
      <c r="BK116" s="226" t="n"/>
      <c r="BL116" s="226" t="n"/>
      <c r="BM116" s="226" t="n"/>
      <c r="BN116" s="226" t="n"/>
      <c r="BO116" s="226" t="n"/>
      <c r="BP116" s="226" t="n"/>
      <c r="BQ116" s="226" t="n"/>
      <c r="BR116" s="226" t="n"/>
      <c r="BS116" s="226" t="n"/>
      <c r="BT116" s="226" t="n"/>
      <c r="BU116" s="226" t="n"/>
      <c r="BV116" s="226" t="n"/>
      <c r="BW116" s="226" t="n"/>
      <c r="BX116" s="226" t="n"/>
      <c r="BY116" s="226" t="n"/>
      <c r="BZ116" s="226" t="n"/>
      <c r="CA116" s="226" t="n"/>
      <c r="CB116" s="226" t="n"/>
      <c r="CC116" s="226" t="n"/>
      <c r="CD116" s="226" t="n"/>
      <c r="CE116" s="226" t="n"/>
      <c r="CF116" s="226" t="n"/>
      <c r="CG116" s="226" t="n"/>
      <c r="CH116" s="226" t="n"/>
      <c r="CI116" s="226" t="n"/>
    </row>
    <row r="117" ht="14.5" customHeight="1" s="213">
      <c r="AW117" s="208" t="n"/>
      <c r="AX117" s="208" t="n"/>
      <c r="AY117" s="208" t="n"/>
      <c r="AZ117" s="208" t="n"/>
      <c r="BA117" s="208" t="n"/>
      <c r="BB117" s="208" t="n"/>
      <c r="BF117" s="214" t="n"/>
      <c r="BG117" s="226" t="n"/>
      <c r="BH117" s="226" t="n"/>
      <c r="BI117" s="226" t="n"/>
      <c r="BJ117" s="226" t="n"/>
      <c r="BK117" s="226" t="n"/>
      <c r="BL117" s="226" t="n"/>
      <c r="BM117" s="226" t="n"/>
      <c r="BN117" s="226" t="n"/>
      <c r="BO117" s="226" t="n"/>
      <c r="BP117" s="226" t="n"/>
      <c r="BQ117" s="226" t="n"/>
      <c r="BR117" s="226" t="n"/>
      <c r="BS117" s="226" t="n"/>
      <c r="BT117" s="226" t="n"/>
      <c r="BU117" s="226" t="n"/>
      <c r="BV117" s="226" t="n"/>
      <c r="BW117" s="226" t="n"/>
      <c r="BX117" s="226" t="n"/>
      <c r="BY117" s="226" t="n"/>
      <c r="BZ117" s="226" t="n"/>
      <c r="CA117" s="226" t="n"/>
      <c r="CB117" s="226" t="n"/>
      <c r="CC117" s="226" t="n"/>
      <c r="CD117" s="226" t="n"/>
      <c r="CE117" s="226" t="n"/>
      <c r="CF117" s="226" t="n"/>
      <c r="CG117" s="226" t="n"/>
      <c r="CH117" s="226" t="n"/>
      <c r="CI117" s="226" t="n"/>
    </row>
    <row r="118" ht="14.5" customHeight="1" s="213">
      <c r="AY118" s="209" t="n"/>
      <c r="AZ118" s="208" t="n"/>
      <c r="BA118" s="208" t="n"/>
      <c r="BB118" s="208" t="n"/>
      <c r="BF118" s="214" t="n"/>
      <c r="BG118" s="226" t="n"/>
      <c r="BH118" s="226" t="n"/>
      <c r="BI118" s="226" t="n"/>
      <c r="BJ118" s="226" t="n"/>
      <c r="BK118" s="226" t="n"/>
      <c r="BL118" s="226" t="n"/>
      <c r="BM118" s="226" t="n"/>
      <c r="BN118" s="226" t="n"/>
      <c r="BO118" s="226" t="n"/>
      <c r="BP118" s="226" t="n"/>
      <c r="BQ118" s="226" t="n"/>
      <c r="BR118" s="226" t="n"/>
      <c r="BS118" s="226" t="n"/>
      <c r="BT118" s="226" t="n"/>
      <c r="BU118" s="226" t="n"/>
      <c r="BV118" s="226" t="n"/>
      <c r="BW118" s="226" t="n"/>
      <c r="BX118" s="226" t="n"/>
      <c r="BY118" s="226" t="n"/>
      <c r="BZ118" s="226" t="n"/>
      <c r="CA118" s="226" t="n"/>
      <c r="CB118" s="226" t="n"/>
      <c r="CC118" s="226" t="n"/>
      <c r="CD118" s="226" t="n"/>
      <c r="CE118" s="226" t="n"/>
      <c r="CF118" s="226" t="n"/>
      <c r="CG118" s="226" t="n"/>
      <c r="CH118" s="226" t="n"/>
      <c r="CI118" s="226" t="n"/>
    </row>
    <row r="119" ht="14.5" customHeight="1" s="213">
      <c r="AS119" s="185" t="inlineStr">
        <is>
          <t>AllRegions</t>
        </is>
      </c>
      <c r="AT119" s="185" t="inlineStr">
        <is>
          <t>China</t>
        </is>
      </c>
      <c r="AU119" s="185" t="inlineStr">
        <is>
          <t>NorthAm</t>
        </is>
      </c>
      <c r="AW119" s="209" t="n"/>
      <c r="AX119" s="209" t="n"/>
      <c r="AY119" s="141" t="n"/>
      <c r="AZ119" s="141" t="n"/>
      <c r="BA119" s="141" t="n"/>
      <c r="BB119" s="208" t="n"/>
      <c r="BF119" s="214" t="n"/>
      <c r="BG119" s="226" t="n"/>
      <c r="BH119" s="226" t="n"/>
      <c r="BI119" s="226" t="n"/>
      <c r="BJ119" s="226" t="n"/>
      <c r="BK119" s="226" t="n"/>
      <c r="BL119" s="226" t="n"/>
      <c r="BM119" s="226" t="n"/>
      <c r="BN119" s="226" t="n"/>
      <c r="BO119" s="226" t="n"/>
      <c r="BP119" s="226" t="n"/>
      <c r="BQ119" s="226" t="n"/>
      <c r="BR119" s="226" t="n"/>
      <c r="BS119" s="226" t="n"/>
      <c r="BT119" s="226" t="n"/>
      <c r="BU119" s="226" t="n"/>
      <c r="BV119" s="226" t="n"/>
      <c r="BW119" s="226" t="n"/>
      <c r="BX119" s="226" t="n"/>
      <c r="BY119" s="226" t="n"/>
      <c r="BZ119" s="226" t="n"/>
      <c r="CA119" s="226" t="n"/>
      <c r="CB119" s="226" t="n"/>
      <c r="CC119" s="226" t="n"/>
      <c r="CD119" s="226" t="n"/>
      <c r="CE119" s="226" t="n"/>
      <c r="CF119" s="226" t="n"/>
      <c r="CG119" s="226" t="n"/>
      <c r="CH119" s="226" t="n"/>
      <c r="CI119" s="226" t="n"/>
    </row>
    <row r="120" ht="14.5" customHeight="1" s="213">
      <c r="AS120" s="185" t="n">
        <v>3</v>
      </c>
      <c r="AT120" s="185" t="n">
        <v>3</v>
      </c>
      <c r="AU120" s="185" t="n">
        <v>3</v>
      </c>
      <c r="AW120" s="209" t="n"/>
      <c r="AX120" s="209" t="n"/>
      <c r="AY120" s="209" t="n"/>
      <c r="AZ120" s="209" t="n"/>
      <c r="BA120" s="209" t="n"/>
      <c r="BB120" s="208" t="n"/>
      <c r="BF120" s="214" t="n"/>
      <c r="BG120" s="226" t="n"/>
      <c r="BH120" s="226" t="n"/>
      <c r="BI120" s="226" t="n"/>
      <c r="BJ120" s="226" t="n"/>
      <c r="BK120" s="226" t="n"/>
      <c r="BL120" s="226" t="n"/>
      <c r="BM120" s="226" t="n"/>
      <c r="BN120" s="226" t="n"/>
      <c r="BO120" s="226" t="n"/>
      <c r="BP120" s="226" t="n"/>
      <c r="BQ120" s="226" t="n"/>
      <c r="BR120" s="226" t="n"/>
      <c r="BS120" s="226" t="n"/>
      <c r="BT120" s="226" t="n"/>
      <c r="BU120" s="226" t="n"/>
      <c r="BV120" s="226" t="n"/>
      <c r="BW120" s="226" t="n"/>
      <c r="BX120" s="226" t="n"/>
      <c r="BY120" s="226" t="n"/>
      <c r="BZ120" s="226" t="n"/>
      <c r="CA120" s="226" t="n"/>
      <c r="CB120" s="226" t="n"/>
      <c r="CC120" s="226" t="n"/>
      <c r="CD120" s="226" t="n"/>
      <c r="CE120" s="226" t="n"/>
      <c r="CF120" s="226" t="n"/>
      <c r="CG120" s="226" t="n"/>
      <c r="CH120" s="226" t="n"/>
      <c r="CI120" s="226" t="n"/>
    </row>
    <row r="121" ht="14.5" customHeight="1" s="213">
      <c r="AS121" s="185" t="n">
        <v>3</v>
      </c>
      <c r="AT121" s="185" t="n">
        <v>3</v>
      </c>
      <c r="AU121" s="185" t="n">
        <v>3</v>
      </c>
      <c r="AW121" s="209" t="n"/>
      <c r="AX121" s="209" t="n"/>
      <c r="AY121" s="209" t="n"/>
      <c r="AZ121" s="209" t="n"/>
      <c r="BA121" s="209" t="n"/>
      <c r="BB121" s="208" t="n"/>
      <c r="BF121" s="214" t="n"/>
      <c r="BG121" s="226" t="n"/>
      <c r="BH121" s="226" t="n"/>
      <c r="BI121" s="226" t="n"/>
      <c r="BJ121" s="226" t="n"/>
      <c r="BK121" s="226" t="n"/>
      <c r="BL121" s="226" t="n"/>
      <c r="BM121" s="226" t="n"/>
      <c r="BN121" s="226" t="n"/>
      <c r="BO121" s="226" t="n"/>
      <c r="BP121" s="226" t="n"/>
      <c r="BQ121" s="226" t="n"/>
      <c r="BR121" s="226" t="n"/>
      <c r="BS121" s="226" t="n"/>
      <c r="BT121" s="226" t="n"/>
      <c r="BU121" s="226" t="n"/>
      <c r="BV121" s="226" t="n"/>
      <c r="BW121" s="226" t="n"/>
      <c r="BX121" s="226" t="n"/>
      <c r="BY121" s="226" t="n"/>
      <c r="BZ121" s="226" t="n"/>
      <c r="CA121" s="226" t="n"/>
      <c r="CB121" s="226" t="n"/>
      <c r="CC121" s="226" t="n"/>
      <c r="CD121" s="226" t="n"/>
      <c r="CE121" s="226" t="n"/>
      <c r="CF121" s="226" t="n"/>
      <c r="CG121" s="226" t="n"/>
      <c r="CH121" s="226" t="n"/>
      <c r="CI121" s="226" t="n"/>
    </row>
    <row r="122" ht="14.5" customHeight="1" s="213">
      <c r="AS122" s="185" t="n">
        <v>3</v>
      </c>
      <c r="AT122" s="185" t="n">
        <v>3</v>
      </c>
      <c r="AU122" s="185" t="n">
        <v>3</v>
      </c>
      <c r="AW122" s="209" t="n"/>
      <c r="AX122" s="209" t="n"/>
      <c r="AY122" s="209" t="n"/>
      <c r="AZ122" s="209" t="n"/>
      <c r="BA122" s="209" t="n"/>
      <c r="BB122" s="208" t="n"/>
      <c r="BF122" s="214" t="n"/>
      <c r="BG122" s="226" t="n"/>
      <c r="BH122" s="226" t="n"/>
      <c r="BI122" s="226" t="n"/>
      <c r="BJ122" s="226" t="n"/>
      <c r="BK122" s="226" t="n"/>
      <c r="BL122" s="226" t="n"/>
      <c r="BM122" s="226" t="n"/>
      <c r="BN122" s="226" t="n"/>
      <c r="BO122" s="226" t="n"/>
      <c r="BP122" s="226" t="n"/>
      <c r="BQ122" s="226" t="n"/>
      <c r="BR122" s="226" t="n"/>
      <c r="BS122" s="226" t="n"/>
      <c r="BT122" s="226" t="n"/>
      <c r="BU122" s="226" t="n"/>
      <c r="BV122" s="226" t="n"/>
      <c r="BW122" s="226" t="n"/>
      <c r="BX122" s="226" t="n"/>
      <c r="BY122" s="226" t="n"/>
      <c r="BZ122" s="226" t="n"/>
      <c r="CA122" s="226" t="n"/>
      <c r="CB122" s="226" t="n"/>
      <c r="CC122" s="226" t="n"/>
      <c r="CD122" s="226" t="n"/>
      <c r="CE122" s="226" t="n"/>
      <c r="CF122" s="226" t="n"/>
      <c r="CG122" s="226" t="n"/>
      <c r="CH122" s="226" t="n"/>
      <c r="CI122" s="226" t="n"/>
    </row>
    <row r="123" ht="14.5" customHeight="1" s="213">
      <c r="AS123" s="185" t="n">
        <v>3</v>
      </c>
      <c r="AT123" s="185" t="n">
        <v>3</v>
      </c>
      <c r="AU123" s="185" t="n">
        <v>3</v>
      </c>
      <c r="AW123" s="209" t="n"/>
      <c r="AX123" s="209" t="n"/>
      <c r="AY123" s="209" t="n"/>
      <c r="AZ123" s="209" t="n"/>
      <c r="BA123" s="209" t="n"/>
      <c r="BB123" s="208" t="n"/>
    </row>
    <row r="124" ht="14.5" customHeight="1" s="213">
      <c r="AS124" s="185" t="n">
        <v>3</v>
      </c>
      <c r="AT124" s="185" t="n">
        <v>3</v>
      </c>
      <c r="AU124" s="185" t="n">
        <v>3</v>
      </c>
      <c r="AW124" s="215" t="n"/>
      <c r="AX124" s="215" t="n"/>
      <c r="AY124" s="215" t="n"/>
      <c r="AZ124" s="215" t="n"/>
      <c r="BA124" s="215" t="n"/>
      <c r="BB124" s="217" t="n"/>
      <c r="BC124" s="217" t="n"/>
      <c r="BD124" s="217" t="n"/>
      <c r="BE124" s="212" t="n"/>
    </row>
    <row r="125" ht="14.5" customHeight="1" s="213">
      <c r="AS125" s="185" t="n">
        <v>3</v>
      </c>
      <c r="AT125" s="185" t="n">
        <v>3</v>
      </c>
      <c r="AU125" s="185" t="n">
        <v>3</v>
      </c>
      <c r="AW125" s="215" t="n"/>
      <c r="AX125" s="215" t="n"/>
      <c r="AY125" s="215" t="n"/>
      <c r="AZ125" s="215" t="n"/>
      <c r="BA125" s="215" t="n"/>
      <c r="BB125" s="217" t="n"/>
      <c r="BC125" s="217" t="n"/>
      <c r="BD125" s="217" t="n"/>
      <c r="BE125" s="197" t="n"/>
      <c r="BF125" s="197" t="n"/>
      <c r="BG125" s="197" t="n"/>
      <c r="BH125" s="197" t="n"/>
      <c r="BI125" s="197" t="n"/>
      <c r="BJ125" s="197" t="n"/>
      <c r="BK125" s="197" t="n"/>
      <c r="BL125" s="197" t="n"/>
      <c r="BM125" s="197" t="n"/>
      <c r="BN125" s="197" t="n"/>
      <c r="BO125" s="197" t="n"/>
      <c r="BP125" s="197" t="n"/>
      <c r="BQ125" s="197" t="n"/>
      <c r="BR125" s="197" t="n"/>
      <c r="BS125" s="197" t="n"/>
      <c r="BT125" s="197" t="n"/>
      <c r="BU125" s="197" t="n"/>
      <c r="BV125" s="197" t="n"/>
      <c r="BW125" s="197" t="n"/>
      <c r="BX125" s="197" t="n"/>
      <c r="BY125" s="197" t="n"/>
      <c r="BZ125" s="197" t="n"/>
      <c r="CA125" s="197" t="n"/>
      <c r="CB125" s="197" t="n"/>
      <c r="CC125" s="197" t="n"/>
      <c r="CD125" s="197" t="n"/>
      <c r="CE125" s="197" t="n"/>
      <c r="CF125" s="197" t="n"/>
      <c r="CG125" s="197" t="n"/>
      <c r="CH125" s="197" t="n"/>
      <c r="CI125" s="197" t="n"/>
    </row>
    <row r="126" ht="14.5" customHeight="1" s="213">
      <c r="AS126" s="185" t="n">
        <v>3</v>
      </c>
      <c r="AT126" s="185" t="n">
        <v>3</v>
      </c>
      <c r="AU126" s="185" t="n">
        <v>3</v>
      </c>
      <c r="AW126" s="209" t="n"/>
      <c r="AX126" s="209" t="n"/>
      <c r="AY126" s="209" t="n"/>
      <c r="AZ126" s="209" t="n"/>
      <c r="BA126" s="209" t="n"/>
      <c r="BB126" s="208" t="n"/>
      <c r="BF126" s="214" t="n"/>
      <c r="BG126" s="226" t="n"/>
      <c r="BH126" s="226" t="n"/>
      <c r="BI126" s="226" t="n"/>
      <c r="BJ126" s="226" t="n"/>
      <c r="BK126" s="226" t="n"/>
      <c r="BL126" s="226" t="n"/>
      <c r="BM126" s="226" t="n"/>
      <c r="BN126" s="226" t="n"/>
      <c r="BO126" s="226" t="n"/>
      <c r="BP126" s="226" t="n"/>
      <c r="BQ126" s="226" t="n"/>
      <c r="BR126" s="226" t="n"/>
      <c r="BS126" s="226" t="n"/>
      <c r="BT126" s="226" t="n"/>
      <c r="BU126" s="226" t="n"/>
      <c r="BV126" s="226" t="n"/>
      <c r="BW126" s="226" t="n"/>
      <c r="BX126" s="226" t="n"/>
      <c r="BY126" s="226" t="n"/>
      <c r="BZ126" s="226" t="n"/>
      <c r="CA126" s="226" t="n"/>
      <c r="CB126" s="226" t="n"/>
      <c r="CC126" s="226" t="n"/>
      <c r="CD126" s="226" t="n"/>
      <c r="CE126" s="226" t="n"/>
      <c r="CF126" s="226" t="n"/>
      <c r="CG126" s="226" t="n"/>
      <c r="CH126" s="226" t="n"/>
      <c r="CI126" s="226" t="n"/>
    </row>
    <row r="127" ht="14.5" customHeight="1" s="213">
      <c r="AS127" s="185" t="n">
        <v>3</v>
      </c>
      <c r="AT127" s="185" t="n">
        <v>3</v>
      </c>
      <c r="AU127" s="185" t="n">
        <v>3</v>
      </c>
      <c r="AW127" s="7" t="n"/>
      <c r="AX127" s="209" t="n"/>
      <c r="AY127" s="209" t="n"/>
      <c r="AZ127" s="209" t="n"/>
      <c r="BA127" s="209" t="n"/>
      <c r="BF127" s="214" t="n"/>
      <c r="BG127" s="226" t="n"/>
      <c r="BH127" s="226" t="n"/>
      <c r="BI127" s="226" t="n"/>
      <c r="BJ127" s="226" t="n"/>
      <c r="BK127" s="226" t="n"/>
      <c r="BL127" s="226" t="n"/>
      <c r="BM127" s="226" t="n"/>
      <c r="BN127" s="226" t="n"/>
      <c r="BO127" s="226" t="n"/>
      <c r="BP127" s="226" t="n"/>
      <c r="BQ127" s="226" t="n"/>
      <c r="BR127" s="226" t="n"/>
      <c r="BS127" s="226" t="n"/>
      <c r="BT127" s="226" t="n"/>
      <c r="BU127" s="226" t="n"/>
      <c r="BV127" s="226" t="n"/>
      <c r="BW127" s="226" t="n"/>
      <c r="BX127" s="226" t="n"/>
      <c r="BY127" s="226" t="n"/>
      <c r="BZ127" s="226" t="n"/>
      <c r="CA127" s="226" t="n"/>
      <c r="CB127" s="226" t="n"/>
      <c r="CC127" s="226" t="n"/>
      <c r="CD127" s="226" t="n"/>
      <c r="CE127" s="226" t="n"/>
      <c r="CF127" s="226" t="n"/>
      <c r="CG127" s="226" t="n"/>
      <c r="CH127" s="226" t="n"/>
      <c r="CI127" s="226" t="n"/>
    </row>
    <row r="128" ht="14.5" customHeight="1" s="213">
      <c r="BF128" s="214" t="n"/>
      <c r="BG128" s="226" t="n"/>
      <c r="BH128" s="226" t="n"/>
      <c r="BI128" s="226" t="n"/>
      <c r="BJ128" s="226" t="n"/>
      <c r="BK128" s="226" t="n"/>
      <c r="BL128" s="226" t="n"/>
      <c r="BM128" s="226" t="n"/>
      <c r="BN128" s="226" t="n"/>
      <c r="BO128" s="226" t="n"/>
      <c r="BP128" s="226" t="n"/>
      <c r="BQ128" s="226" t="n"/>
      <c r="BR128" s="226" t="n"/>
      <c r="BS128" s="226" t="n"/>
      <c r="BT128" s="226" t="n"/>
      <c r="BU128" s="226" t="n"/>
      <c r="BV128" s="226" t="n"/>
      <c r="BW128" s="226" t="n"/>
      <c r="BX128" s="226" t="n"/>
      <c r="BY128" s="226" t="n"/>
      <c r="BZ128" s="226" t="n"/>
      <c r="CA128" s="226" t="n"/>
      <c r="CB128" s="226" t="n"/>
      <c r="CC128" s="226" t="n"/>
      <c r="CD128" s="226" t="n"/>
      <c r="CE128" s="226" t="n"/>
      <c r="CF128" s="226" t="n"/>
      <c r="CG128" s="226" t="n"/>
      <c r="CH128" s="226" t="n"/>
      <c r="CI128" s="226" t="n"/>
    </row>
    <row r="129" ht="14.5" customHeight="1" s="213">
      <c r="BF129" s="214" t="n"/>
      <c r="BG129" s="226" t="n"/>
      <c r="BH129" s="226" t="n"/>
      <c r="BI129" s="226" t="n"/>
      <c r="BJ129" s="226" t="n"/>
      <c r="BK129" s="226" t="n"/>
      <c r="BL129" s="226" t="n"/>
      <c r="BM129" s="226" t="n"/>
      <c r="BN129" s="226" t="n"/>
      <c r="BO129" s="226" t="n"/>
      <c r="BP129" s="226" t="n"/>
      <c r="BQ129" s="226" t="n"/>
      <c r="BR129" s="226" t="n"/>
      <c r="BS129" s="226" t="n"/>
      <c r="BT129" s="226" t="n"/>
      <c r="BU129" s="226" t="n"/>
      <c r="BV129" s="226" t="n"/>
      <c r="BW129" s="226" t="n"/>
      <c r="BX129" s="226" t="n"/>
      <c r="BY129" s="226" t="n"/>
      <c r="BZ129" s="226" t="n"/>
      <c r="CA129" s="226" t="n"/>
      <c r="CB129" s="226" t="n"/>
      <c r="CC129" s="226" t="n"/>
      <c r="CD129" s="226" t="n"/>
      <c r="CE129" s="226" t="n"/>
      <c r="CF129" s="226" t="n"/>
      <c r="CG129" s="226" t="n"/>
      <c r="CH129" s="226" t="n"/>
      <c r="CI129" s="226" t="n"/>
    </row>
    <row r="130" ht="14.5" customHeight="1" s="213">
      <c r="BF130" s="214" t="n"/>
      <c r="BG130" s="226" t="n"/>
      <c r="BH130" s="226" t="n"/>
      <c r="BI130" s="226" t="n"/>
      <c r="BJ130" s="226" t="n"/>
      <c r="BK130" s="226" t="n"/>
      <c r="BL130" s="226" t="n"/>
      <c r="BM130" s="226" t="n"/>
      <c r="BN130" s="226" t="n"/>
      <c r="BO130" s="226" t="n"/>
      <c r="BP130" s="226" t="n"/>
      <c r="BQ130" s="226" t="n"/>
      <c r="BR130" s="226" t="n"/>
      <c r="BS130" s="226" t="n"/>
      <c r="BT130" s="226" t="n"/>
      <c r="BU130" s="226" t="n"/>
      <c r="BV130" s="226" t="n"/>
      <c r="BW130" s="226" t="n"/>
      <c r="BX130" s="226" t="n"/>
      <c r="BY130" s="226" t="n"/>
      <c r="BZ130" s="226" t="n"/>
      <c r="CA130" s="226" t="n"/>
      <c r="CB130" s="226" t="n"/>
      <c r="CC130" s="226" t="n"/>
      <c r="CD130" s="226" t="n"/>
      <c r="CE130" s="226" t="n"/>
      <c r="CF130" s="226" t="n"/>
      <c r="CG130" s="226" t="n"/>
      <c r="CH130" s="226" t="n"/>
      <c r="CI130" s="226" t="n"/>
    </row>
    <row r="131" ht="14.5" customHeight="1" s="213">
      <c r="BF131" s="214" t="n"/>
      <c r="BG131" s="226" t="n"/>
      <c r="BH131" s="226" t="n"/>
      <c r="BI131" s="226" t="n"/>
      <c r="BJ131" s="226" t="n"/>
      <c r="BK131" s="226" t="n"/>
      <c r="BL131" s="226" t="n"/>
      <c r="BM131" s="226" t="n"/>
      <c r="BN131" s="226" t="n"/>
      <c r="BO131" s="226" t="n"/>
      <c r="BP131" s="226" t="n"/>
      <c r="BQ131" s="226" t="n"/>
      <c r="BR131" s="226" t="n"/>
      <c r="BS131" s="226" t="n"/>
      <c r="BT131" s="226" t="n"/>
      <c r="BU131" s="226" t="n"/>
      <c r="BV131" s="226" t="n"/>
      <c r="BW131" s="226" t="n"/>
      <c r="BX131" s="226" t="n"/>
      <c r="BY131" s="226" t="n"/>
      <c r="BZ131" s="226" t="n"/>
      <c r="CA131" s="226" t="n"/>
      <c r="CB131" s="226" t="n"/>
      <c r="CC131" s="226" t="n"/>
      <c r="CD131" s="226" t="n"/>
      <c r="CE131" s="226" t="n"/>
      <c r="CF131" s="226" t="n"/>
      <c r="CG131" s="226" t="n"/>
      <c r="CH131" s="226" t="n"/>
      <c r="CI131" s="226" t="n"/>
    </row>
    <row r="132" ht="14.5" customHeight="1" s="213">
      <c r="BF132" s="214" t="n"/>
      <c r="BG132" s="226" t="n"/>
      <c r="BH132" s="226" t="n"/>
      <c r="BI132" s="226" t="n"/>
      <c r="BJ132" s="226" t="n"/>
      <c r="BK132" s="226" t="n"/>
      <c r="BL132" s="226" t="n"/>
      <c r="BM132" s="226" t="n"/>
      <c r="BN132" s="226" t="n"/>
      <c r="BO132" s="226" t="n"/>
      <c r="BP132" s="226" t="n"/>
      <c r="BQ132" s="226" t="n"/>
      <c r="BR132" s="226" t="n"/>
      <c r="BS132" s="226" t="n"/>
      <c r="BT132" s="226" t="n"/>
      <c r="BU132" s="226" t="n"/>
      <c r="BV132" s="226" t="n"/>
      <c r="BW132" s="226" t="n"/>
      <c r="BX132" s="226" t="n"/>
      <c r="BY132" s="226" t="n"/>
      <c r="BZ132" s="226" t="n"/>
      <c r="CA132" s="226" t="n"/>
      <c r="CB132" s="226" t="n"/>
      <c r="CC132" s="226" t="n"/>
      <c r="CD132" s="226" t="n"/>
      <c r="CE132" s="226" t="n"/>
      <c r="CF132" s="226" t="n"/>
      <c r="CG132" s="226" t="n"/>
      <c r="CH132" s="226" t="n"/>
      <c r="CI132" s="226" t="n"/>
    </row>
    <row r="135" ht="14.5" customHeight="1" s="213">
      <c r="BE135" s="218" t="n"/>
    </row>
    <row r="136" ht="14.5" customHeight="1" s="213">
      <c r="BE136" s="219" t="n"/>
    </row>
    <row r="137" ht="14.5" customHeight="1" s="213"/>
    <row r="138" ht="14.5" customHeight="1" s="213"/>
    <row r="140" ht="14.5" customHeight="1" s="213">
      <c r="BE140" s="183" t="n"/>
    </row>
    <row r="141" ht="14.5" customHeight="1" s="213"/>
    <row r="143" ht="14.5" customHeight="1" s="213">
      <c r="BE143" s="183" t="n"/>
    </row>
    <row r="144" ht="14.5" customHeight="1" s="213"/>
    <row r="146" ht="14.5" customHeight="1" s="213">
      <c r="BE146" s="183" t="n"/>
    </row>
    <row r="147" ht="14.5" customHeight="1" s="213"/>
    <row r="149" ht="14.5" customHeight="1" s="213">
      <c r="BE149" s="183" t="n"/>
    </row>
    <row r="150" ht="14.5" customHeight="1" s="213"/>
    <row r="152" ht="14.5" customHeight="1" s="213">
      <c r="BE152" s="183" t="n"/>
    </row>
    <row r="153" ht="14.5" customHeight="1" s="213"/>
    <row r="155" ht="14.5" customHeight="1" s="213">
      <c r="BE155" s="220" t="n"/>
    </row>
    <row r="156" ht="14.5" customHeight="1" s="213">
      <c r="BB156" s="184" t="n"/>
      <c r="BE156" s="197" t="n"/>
      <c r="BF156" s="197" t="n"/>
      <c r="BG156" s="197" t="n"/>
    </row>
    <row r="157" ht="14.5" customHeight="1" s="213">
      <c r="BF157" s="221" t="n"/>
      <c r="BG157" s="205" t="n"/>
    </row>
    <row r="158" ht="14.5" customHeight="1" s="213">
      <c r="BF158" s="221" t="n"/>
      <c r="BG158" s="205" t="n"/>
    </row>
    <row r="159" ht="14.5" customHeight="1" s="213">
      <c r="BF159" s="221" t="n"/>
      <c r="BG159" s="205" t="n"/>
    </row>
    <row r="161" ht="14.5" customHeight="1" s="213">
      <c r="BE161" s="183" t="n"/>
    </row>
    <row r="162" ht="14.5" customHeight="1" s="213"/>
    <row r="264" ht="14.5" customHeight="1" s="213">
      <c r="AW264" s="217" t="n"/>
      <c r="AX264" s="217" t="n"/>
      <c r="AY264" s="217" t="n"/>
      <c r="AZ264" s="217" t="n"/>
      <c r="BA264" s="217" t="n"/>
      <c r="BB264" s="217" t="n"/>
      <c r="BC264" s="217" t="n"/>
      <c r="BD264" s="217" t="n"/>
    </row>
  </sheetData>
  <mergeCells count="7">
    <mergeCell ref="BE146:BK147"/>
    <mergeCell ref="BE136:BK138"/>
    <mergeCell ref="BE149:BK150"/>
    <mergeCell ref="BE152:BK153"/>
    <mergeCell ref="BE140:BK141"/>
    <mergeCell ref="BE161:BK162"/>
    <mergeCell ref="BE143:BK144"/>
  </mergeCells>
  <hyperlinks>
    <hyperlink xmlns:r="http://schemas.openxmlformats.org/officeDocument/2006/relationships" ref="B2" tooltip="https://atb.nrel.gov/transportation/2024/battery_electric_vehicle_assumptions" display="Battery Electric Vehicle Assumptions | Transportation | 2024 | ATB | NLR" r:id="rId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theme="3"/>
    <outlinePr summaryBelow="1" summaryRight="1"/>
    <pageSetUpPr/>
  </sheetPr>
  <dimension ref="A1:BZ217"/>
  <sheetViews>
    <sheetView topLeftCell="A14" zoomScale="90" zoomScaleNormal="90" workbookViewId="0">
      <selection pane="topLeft" activeCell="I59" sqref="I59"/>
    </sheetView>
  </sheetViews>
  <sheetFormatPr baseColWidth="8" defaultColWidth="8.72428571428571" defaultRowHeight="14.5"/>
  <cols>
    <col width="30" customWidth="1" style="186" min="1" max="1"/>
    <col width="22" customWidth="1" style="186" min="2" max="2"/>
    <col width="12" customWidth="1" style="186" min="3" max="37"/>
    <col width="8.71428571428571" customWidth="1" style="186" min="38" max="39"/>
    <col width="12.8571428571429" customWidth="1" style="213" min="44" max="78"/>
  </cols>
  <sheetData>
    <row r="1" ht="18" customHeight="1" s="213">
      <c r="A1" s="151" t="inlineStr">
        <is>
          <t>EV battery INVCOST (million $ per GWh) - virgin and recycled routes, 35 regions</t>
        </is>
      </c>
    </row>
    <row r="2" ht="14.5" customHeight="1" s="213">
      <c r="A2" s="205" t="inlineStr">
        <is>
          <t>Blue = editable input.  Black = formula.  Yellow = key assumption to test.  INVCOST = BaseCost(chem) x FrontierIndex(route,year) x RegionMultiplier(tier,year).</t>
        </is>
      </c>
    </row>
    <row r="4" ht="14.5" customHeight="1" s="213">
      <c r="A4" s="218" t="inlineStr">
        <is>
          <t>1.  BASE COST BY CHEMISTRY (2023, China frontier)</t>
        </is>
      </c>
    </row>
    <row r="5" ht="23" customHeight="1" s="213">
      <c r="A5" s="154" t="inlineStr">
        <is>
          <t>Process - recycled</t>
        </is>
      </c>
      <c r="B5" s="154" t="inlineStr">
        <is>
          <t>Process - virgin</t>
        </is>
      </c>
      <c r="C5" s="154" t="inlineStr">
        <is>
          <t>Base 2023 recy</t>
        </is>
      </c>
      <c r="D5" s="154" t="inlineStr">
        <is>
          <t>Virgin/recy ratio</t>
        </is>
      </c>
      <c r="E5" s="154" t="inlineStr">
        <is>
          <t>Base 2023 virgin</t>
        </is>
      </c>
    </row>
    <row r="6" ht="14.5" customHeight="1" s="213">
      <c r="A6" s="155" t="inlineStr">
        <is>
          <t>Tra_EV_Batt-LFP_fromrecy</t>
        </is>
      </c>
      <c r="B6" s="155" t="inlineStr">
        <is>
          <t>Tra_EV_Batt-LFP</t>
        </is>
      </c>
      <c r="C6" s="227" t="n">
        <v>55.48673</v>
      </c>
      <c r="D6" s="228" t="n">
        <v>1.818</v>
      </c>
      <c r="E6" s="229">
        <f>C6*D6</f>
        <v/>
      </c>
    </row>
    <row r="7" ht="14.5" customHeight="1" s="213">
      <c r="A7" s="155" t="inlineStr">
        <is>
          <t>Tra_EV_Batt-LMO_fromrecy</t>
        </is>
      </c>
      <c r="B7" s="155" t="inlineStr">
        <is>
          <t>Tra_EV_Batt-LMO</t>
        </is>
      </c>
      <c r="C7" s="227" t="n">
        <v>66.32565</v>
      </c>
      <c r="D7" s="228" t="n">
        <v>1.818</v>
      </c>
      <c r="E7" s="229">
        <f>C7*D7</f>
        <v/>
      </c>
    </row>
    <row r="8" ht="14.5" customHeight="1" s="213">
      <c r="A8" s="155" t="inlineStr">
        <is>
          <t>Tra_EV_Batt-NCA_fromrecy</t>
        </is>
      </c>
      <c r="B8" s="155" t="inlineStr">
        <is>
          <t>Tra_EV_Batt-NCA</t>
        </is>
      </c>
      <c r="C8" s="227" t="n">
        <v>56.10147</v>
      </c>
      <c r="D8" s="228" t="n">
        <v>1.818</v>
      </c>
      <c r="E8" s="229">
        <f>C8*D8</f>
        <v/>
      </c>
    </row>
    <row r="9" ht="14.5" customHeight="1" s="213">
      <c r="A9" s="155" t="inlineStr">
        <is>
          <t>Tra_EV_Batt-NMC111_fromrecy</t>
        </is>
      </c>
      <c r="B9" s="155" t="inlineStr">
        <is>
          <t>Tra_EV_Batt-NMC111</t>
        </is>
      </c>
      <c r="C9" s="227" t="n">
        <v>55.55951</v>
      </c>
      <c r="D9" s="228" t="n">
        <v>1.818</v>
      </c>
      <c r="E9" s="229">
        <f>C9*D9</f>
        <v/>
      </c>
    </row>
    <row r="10" ht="14.5" customHeight="1" s="213">
      <c r="A10" s="155" t="inlineStr">
        <is>
          <t>Tra_EV_Batt-NMC532_fromrecy</t>
        </is>
      </c>
      <c r="B10" s="155" t="inlineStr">
        <is>
          <t>Tra_EV_Batt-NMC532</t>
        </is>
      </c>
      <c r="C10" s="227" t="n">
        <v>59.3677</v>
      </c>
      <c r="D10" s="228" t="n">
        <v>1.818</v>
      </c>
      <c r="E10" s="229">
        <f>C10*D10</f>
        <v/>
      </c>
    </row>
    <row r="11" ht="14.5" customHeight="1" s="213">
      <c r="A11" s="155" t="inlineStr">
        <is>
          <t>Tra_EV_Batt-NMC622_fromrecy</t>
        </is>
      </c>
      <c r="B11" s="155" t="inlineStr">
        <is>
          <t>Tra_EV_Batt-NMC622</t>
        </is>
      </c>
      <c r="C11" s="227" t="n">
        <v>57.33755</v>
      </c>
      <c r="D11" s="228" t="n">
        <v>1.818</v>
      </c>
      <c r="E11" s="229">
        <f>C11*D11</f>
        <v/>
      </c>
    </row>
    <row r="12" ht="14.5" customHeight="1" s="213">
      <c r="A12" s="155" t="inlineStr">
        <is>
          <t>Tra_EV_Batt-NMC811_fromrecy</t>
        </is>
      </c>
      <c r="B12" s="155" t="inlineStr">
        <is>
          <t>Tra_EV_Batt-NMC811</t>
        </is>
      </c>
      <c r="C12" s="227" t="n">
        <v>59.98948</v>
      </c>
      <c r="D12" s="228" t="n">
        <v>1.818</v>
      </c>
      <c r="E12" s="229">
        <f>C12*D12</f>
        <v/>
      </c>
    </row>
    <row r="13" ht="14.5" customHeight="1" s="213">
      <c r="A13" s="205" t="inlineStr">
        <is>
          <t>NAMED PARAMETER "Virgin/recy ratio" (column D) = 1.818, i.e. virgin battery-pack production cost is ~82% higher than recycled (recycled is ~45% cheaper), applied uniformly across chemistries. Sourced from: (1) Sederholm et al. 2025, ACS Energy Letters 10(1):107, DOI 10.1021/acsenergylett.4c02198 (EverBatt-based: recycling 33-53% less costly than virgin mining for several cathode materials); (2) Kannangara &amp; Bensebaa 2023, Batteries 9(7):375, DOI 10.3390/batteries9070375 (recycled cathode active material ~48% lower production cost than virgin). Midpoint of the two studies' central estimates (~43% and ~48%) used: 1/(1-0.45)=1.818. CAVEAT: both studies report whole-recycling-chain or cathode-active-material averages, not a per-metal breakdown; Gallagher et al. 2025 (Argonne, Adv. Energy Mater. 15(46), DOI 10.1002/aenm.202501813) suggests recycled lithium carbonate specifically may NOT beat the cheapest virgin brine/DLE routes, and no graphite-specific recycling discount was found - this ratio is a pack-level simplification, sweep it in sensitivity analysis (see sources.md).</t>
        </is>
      </c>
    </row>
    <row r="15" ht="14.5" customHeight="1" s="213">
      <c r="A15" s="218" t="inlineStr">
        <is>
          <t>2.  FRONTIER DECAY  -  Index(t) = Floor + (1-Floor) x EXP(-lambda x (t-2023))</t>
        </is>
      </c>
    </row>
    <row r="16" ht="14.5" customHeight="1" s="213">
      <c r="A16" s="154" t="inlineStr">
        <is>
          <t>Route</t>
        </is>
      </c>
      <c r="B16" s="154" t="inlineStr">
        <is>
          <t>Floor</t>
        </is>
      </c>
      <c r="C16" s="154" t="inlineStr">
        <is>
          <t>Lambda</t>
        </is>
      </c>
    </row>
    <row r="17" ht="14.5" customHeight="1" s="213">
      <c r="A17" s="159" t="inlineStr">
        <is>
          <t>recy</t>
        </is>
      </c>
      <c r="B17" s="230" t="n">
        <v>0.38</v>
      </c>
      <c r="C17" s="231" t="n">
        <v>0.0479</v>
      </c>
    </row>
    <row r="18" ht="14.5" customHeight="1" s="213">
      <c r="A18" s="159" t="inlineStr">
        <is>
          <t>virgin</t>
        </is>
      </c>
      <c r="B18" s="230" t="n">
        <v>0.46</v>
      </c>
      <c r="C18" s="231" t="n">
        <v>0.0451</v>
      </c>
    </row>
    <row r="20" ht="14.5" customHeight="1" s="213">
      <c r="A20" s="220" t="inlineStr">
        <is>
          <t>Frontier index (2023 = 1.000)</t>
        </is>
      </c>
    </row>
    <row r="21" ht="14.5" customHeight="1" s="213">
      <c r="A21" s="154" t="inlineStr">
        <is>
          <t>Route</t>
        </is>
      </c>
      <c r="B21" s="154" t="inlineStr">
        <is>
          <t>2023</t>
        </is>
      </c>
      <c r="C21" s="154" t="inlineStr">
        <is>
          <t>2050</t>
        </is>
      </c>
      <c r="D21" s="154" t="inlineStr">
        <is>
          <t>2100</t>
        </is>
      </c>
    </row>
    <row r="22" ht="14.5" customHeight="1" s="213">
      <c r="A22" s="159" t="inlineStr">
        <is>
          <t>recy</t>
        </is>
      </c>
      <c r="B22" s="232">
        <f>$B$17+(1-$B$17)*EXP(-$C$17*(2023-2023))</f>
        <v/>
      </c>
      <c r="C22" s="232">
        <f>$B$17+(1-$B$17)*EXP(-$C$17*(2050-2023))</f>
        <v/>
      </c>
      <c r="D22" s="232">
        <f>$B$17+(1-$B$17)*EXP(-$C$17*(2100-2023))</f>
        <v/>
      </c>
    </row>
    <row r="23" ht="14.5" customHeight="1" s="213">
      <c r="A23" s="159" t="inlineStr">
        <is>
          <t>virgin</t>
        </is>
      </c>
      <c r="B23" s="232">
        <f>$B$18+(1-$B$18)*EXP(-$C$18*(2023-2023))</f>
        <v/>
      </c>
      <c r="C23" s="232">
        <f>$B$18+(1-$B$18)*EXP(-$C$18*(2050-2023))</f>
        <v/>
      </c>
      <c r="D23" s="232">
        <f>$B$18+(1-$B$18)*EXP(-$C$18*(2100-2023))</f>
        <v/>
      </c>
    </row>
    <row r="24" ht="14.5" customHeight="1" s="213">
      <c r="A24" s="205" t="inlineStr">
        <is>
          <t>Recycling declines faster than virgin: less mature technology, more learning headroom. Anchor lambda to a published Li-ion learning rate (~15-20% per doubling) and cite it.</t>
        </is>
      </c>
    </row>
    <row r="26" ht="14.5" customHeight="1" s="213">
      <c r="A26" s="218" t="inlineStr">
        <is>
          <t>3.  REGION TIERS  -  Mult(t) = Mfloor + (M2023 - Mfloor) x EXP(-k x (t-2023))</t>
        </is>
      </c>
    </row>
    <row r="27" ht="14.5" customHeight="1" s="213">
      <c r="A27" s="154" t="inlineStr">
        <is>
          <t>Tier</t>
        </is>
      </c>
      <c r="B27" s="154" t="inlineStr">
        <is>
          <t>M 2023</t>
        </is>
      </c>
      <c r="C27" s="154" t="inlineStr">
        <is>
          <t>M floor</t>
        </is>
      </c>
      <c r="D27" s="154" t="inlineStr">
        <is>
          <t>k</t>
        </is>
      </c>
      <c r="E27" s="154" t="inlineStr">
        <is>
          <t>Rationale</t>
        </is>
      </c>
    </row>
    <row r="28" ht="14.5" customHeight="1" s="213">
      <c r="A28" s="159" t="inlineStr">
        <is>
          <t>Frontier</t>
        </is>
      </c>
      <c r="B28" s="230" t="n">
        <v>1</v>
      </c>
      <c r="C28" s="230" t="n">
        <v>1</v>
      </c>
      <c r="D28" s="233" t="n">
        <v>0</v>
      </c>
      <c r="E28" s="164" t="inlineStr">
        <is>
          <t>China. Global cost frontier, already near its floor.</t>
        </is>
      </c>
    </row>
    <row r="29" ht="14.5" customHeight="1" s="213">
      <c r="A29" s="159" t="inlineStr">
        <is>
          <t>Developed</t>
        </is>
      </c>
      <c r="B29" s="230" t="n">
        <v>1.75</v>
      </c>
      <c r="C29" s="230" t="n">
        <v>1.18</v>
      </c>
      <c r="D29" s="233" t="n">
        <v>0.04484</v>
      </c>
      <c r="E29" s="164" t="inlineStr">
        <is>
          <t>High labour, energy, permitting costs; strong catch-up potential.</t>
        </is>
      </c>
    </row>
    <row r="30" ht="14.5" customHeight="1" s="213">
      <c r="A30" s="159" t="inlineStr">
        <is>
          <t>Emerging</t>
        </is>
      </c>
      <c r="B30" s="230" t="n">
        <v>1.45</v>
      </c>
      <c r="C30" s="230" t="n">
        <v>1.08</v>
      </c>
      <c r="D30" s="233" t="n">
        <v>0.04846</v>
      </c>
      <c r="E30" s="164" t="inlineStr">
        <is>
          <t>Higher capital cost, no scale today; fastest convergence.</t>
        </is>
      </c>
    </row>
    <row r="31" ht="14.5" customHeight="1" s="213">
      <c r="A31" s="205" t="inlineStr">
        <is>
          <t>Floors stay above 1.00: industrial electricity price, permitting and labour differences do not vanish, so full convergence to parity would not be credible. Tier column below is editable.</t>
        </is>
      </c>
    </row>
    <row r="33" ht="14.5" customHeight="1" s="213">
      <c r="A33" s="218" t="inlineStr">
        <is>
          <t>4.  MULTIPLIER BY REGION</t>
        </is>
      </c>
    </row>
    <row r="34" ht="14.5" customHeight="1" s="213">
      <c r="A34" s="154" t="inlineStr">
        <is>
          <t>Region</t>
        </is>
      </c>
      <c r="B34" s="154" t="inlineStr">
        <is>
          <t>Tier</t>
        </is>
      </c>
      <c r="C34" s="154" t="inlineStr">
        <is>
          <t>2023</t>
        </is>
      </c>
      <c r="D34" s="154" t="inlineStr">
        <is>
          <t>2050</t>
        </is>
      </c>
      <c r="E34" s="154" t="inlineStr">
        <is>
          <t>2100</t>
        </is>
      </c>
    </row>
    <row r="35" ht="14.5" customHeight="1" s="213">
      <c r="A35" s="165" t="inlineStr">
        <is>
          <t>Africa_North</t>
        </is>
      </c>
      <c r="B35" s="166" t="inlineStr">
        <is>
          <t>Emerging</t>
        </is>
      </c>
      <c r="C35" s="234">
        <f>INDEX($C$28:$C$30,MATCH($B35,$A$28:$A$30,0))+(INDEX($B$28:$B$30,MATCH($B35,$A$28:$A$30,0))-INDEX($C$28:$C$30,MATCH($B35,$A$28:$A$30,0)))*EXP(-INDEX($D$28:$D$30,MATCH($B35,$A$28:$A$30,0))*(2023-2023))</f>
        <v/>
      </c>
      <c r="D35" s="234">
        <f>INDEX($C$28:$C$30,MATCH($B35,$A$28:$A$30,0))+(INDEX($B$28:$B$30,MATCH($B35,$A$28:$A$30,0))-INDEX($C$28:$C$30,MATCH($B35,$A$28:$A$30,0)))*EXP(-INDEX($D$28:$D$30,MATCH($B35,$A$28:$A$30,0))*(2050-2023))</f>
        <v/>
      </c>
      <c r="E35" s="234">
        <f>INDEX($C$28:$C$30,MATCH($B35,$A$28:$A$30,0))+(INDEX($B$28:$B$30,MATCH($B35,$A$28:$A$30,0))-INDEX($C$28:$C$30,MATCH($B35,$A$28:$A$30,0)))*EXP(-INDEX($D$28:$D$30,MATCH($B35,$A$28:$A$30,0))*(2100-2023))</f>
        <v/>
      </c>
    </row>
    <row r="36" ht="14.5" customHeight="1" s="213">
      <c r="A36" s="159" t="inlineStr">
        <is>
          <t>Africa_Other</t>
        </is>
      </c>
      <c r="B36" s="155" t="inlineStr">
        <is>
          <t>Emerging</t>
        </is>
      </c>
      <c r="C36" s="232">
        <f>INDEX($C$28:$C$30,MATCH($B36,$A$28:$A$30,0))+(INDEX($B$28:$B$30,MATCH($B36,$A$28:$A$30,0))-INDEX($C$28:$C$30,MATCH($B36,$A$28:$A$30,0)))*EXP(-INDEX($D$28:$D$30,MATCH($B36,$A$28:$A$30,0))*(2023-2023))</f>
        <v/>
      </c>
      <c r="D36" s="232">
        <f>INDEX($C$28:$C$30,MATCH($B36,$A$28:$A$30,0))+(INDEX($B$28:$B$30,MATCH($B36,$A$28:$A$30,0))-INDEX($C$28:$C$30,MATCH($B36,$A$28:$A$30,0)))*EXP(-INDEX($D$28:$D$30,MATCH($B36,$A$28:$A$30,0))*(2050-2023))</f>
        <v/>
      </c>
      <c r="E36" s="232">
        <f>INDEX($C$28:$C$30,MATCH($B36,$A$28:$A$30,0))+(INDEX($B$28:$B$30,MATCH($B36,$A$28:$A$30,0))-INDEX($C$28:$C$30,MATCH($B36,$A$28:$A$30,0)))*EXP(-INDEX($D$28:$D$30,MATCH($B36,$A$28:$A$30,0))*(2100-2023))</f>
        <v/>
      </c>
    </row>
    <row r="37" ht="14.5" customHeight="1" s="213">
      <c r="A37" s="165" t="inlineStr">
        <is>
          <t>Australia</t>
        </is>
      </c>
      <c r="B37" s="166" t="inlineStr">
        <is>
          <t>Developed</t>
        </is>
      </c>
      <c r="C37" s="234">
        <f>INDEX($C$28:$C$30,MATCH($B37,$A$28:$A$30,0))+(INDEX($B$28:$B$30,MATCH($B37,$A$28:$A$30,0))-INDEX($C$28:$C$30,MATCH($B37,$A$28:$A$30,0)))*EXP(-INDEX($D$28:$D$30,MATCH($B37,$A$28:$A$30,0))*(2023-2023))</f>
        <v/>
      </c>
      <c r="D37" s="234">
        <f>INDEX($C$28:$C$30,MATCH($B37,$A$28:$A$30,0))+(INDEX($B$28:$B$30,MATCH($B37,$A$28:$A$30,0))-INDEX($C$28:$C$30,MATCH($B37,$A$28:$A$30,0)))*EXP(-INDEX($D$28:$D$30,MATCH($B37,$A$28:$A$30,0))*(2050-2023))</f>
        <v/>
      </c>
      <c r="E37" s="234">
        <f>INDEX($C$28:$C$30,MATCH($B37,$A$28:$A$30,0))+(INDEX($B$28:$B$30,MATCH($B37,$A$28:$A$30,0))-INDEX($C$28:$C$30,MATCH($B37,$A$28:$A$30,0)))*EXP(-INDEX($D$28:$D$30,MATCH($B37,$A$28:$A$30,0))*(2100-2023))</f>
        <v/>
      </c>
    </row>
    <row r="38" ht="14.5" customHeight="1" s="213">
      <c r="A38" s="159" t="inlineStr">
        <is>
          <t>Austria</t>
        </is>
      </c>
      <c r="B38" s="155" t="inlineStr">
        <is>
          <t>Developed</t>
        </is>
      </c>
      <c r="C38" s="232">
        <f>INDEX($C$28:$C$30,MATCH($B38,$A$28:$A$30,0))+(INDEX($B$28:$B$30,MATCH($B38,$A$28:$A$30,0))-INDEX($C$28:$C$30,MATCH($B38,$A$28:$A$30,0)))*EXP(-INDEX($D$28:$D$30,MATCH($B38,$A$28:$A$30,0))*(2023-2023))</f>
        <v/>
      </c>
      <c r="D38" s="232">
        <f>INDEX($C$28:$C$30,MATCH($B38,$A$28:$A$30,0))+(INDEX($B$28:$B$30,MATCH($B38,$A$28:$A$30,0))-INDEX($C$28:$C$30,MATCH($B38,$A$28:$A$30,0)))*EXP(-INDEX($D$28:$D$30,MATCH($B38,$A$28:$A$30,0))*(2050-2023))</f>
        <v/>
      </c>
      <c r="E38" s="232">
        <f>INDEX($C$28:$C$30,MATCH($B38,$A$28:$A$30,0))+(INDEX($B$28:$B$30,MATCH($B38,$A$28:$A$30,0))-INDEX($C$28:$C$30,MATCH($B38,$A$28:$A$30,0)))*EXP(-INDEX($D$28:$D$30,MATCH($B38,$A$28:$A$30,0))*(2100-2023))</f>
        <v/>
      </c>
    </row>
    <row r="39" ht="14.5" customHeight="1" s="213">
      <c r="A39" s="165" t="inlineStr">
        <is>
          <t>Baltics</t>
        </is>
      </c>
      <c r="B39" s="166" t="inlineStr">
        <is>
          <t>Emerging</t>
        </is>
      </c>
      <c r="C39" s="234">
        <f>INDEX($C$28:$C$30,MATCH($B39,$A$28:$A$30,0))+(INDEX($B$28:$B$30,MATCH($B39,$A$28:$A$30,0))-INDEX($C$28:$C$30,MATCH($B39,$A$28:$A$30,0)))*EXP(-INDEX($D$28:$D$30,MATCH($B39,$A$28:$A$30,0))*(2023-2023))</f>
        <v/>
      </c>
      <c r="D39" s="234">
        <f>INDEX($C$28:$C$30,MATCH($B39,$A$28:$A$30,0))+(INDEX($B$28:$B$30,MATCH($B39,$A$28:$A$30,0))-INDEX($C$28:$C$30,MATCH($B39,$A$28:$A$30,0)))*EXP(-INDEX($D$28:$D$30,MATCH($B39,$A$28:$A$30,0))*(2050-2023))</f>
        <v/>
      </c>
      <c r="E39" s="234">
        <f>INDEX($C$28:$C$30,MATCH($B39,$A$28:$A$30,0))+(INDEX($B$28:$B$30,MATCH($B39,$A$28:$A$30,0))-INDEX($C$28:$C$30,MATCH($B39,$A$28:$A$30,0)))*EXP(-INDEX($D$28:$D$30,MATCH($B39,$A$28:$A$30,0))*(2100-2023))</f>
        <v/>
      </c>
    </row>
    <row r="40" ht="14.5" customHeight="1" s="213">
      <c r="A40" s="159" t="inlineStr">
        <is>
          <t>BeNeLux</t>
        </is>
      </c>
      <c r="B40" s="155" t="inlineStr">
        <is>
          <t>Developed</t>
        </is>
      </c>
      <c r="C40" s="232">
        <f>INDEX($C$28:$C$30,MATCH($B40,$A$28:$A$30,0))+(INDEX($B$28:$B$30,MATCH($B40,$A$28:$A$30,0))-INDEX($C$28:$C$30,MATCH($B40,$A$28:$A$30,0)))*EXP(-INDEX($D$28:$D$30,MATCH($B40,$A$28:$A$30,0))*(2023-2023))</f>
        <v/>
      </c>
      <c r="D40" s="232">
        <f>INDEX($C$28:$C$30,MATCH($B40,$A$28:$A$30,0))+(INDEX($B$28:$B$30,MATCH($B40,$A$28:$A$30,0))-INDEX($C$28:$C$30,MATCH($B40,$A$28:$A$30,0)))*EXP(-INDEX($D$28:$D$30,MATCH($B40,$A$28:$A$30,0))*(2050-2023))</f>
        <v/>
      </c>
      <c r="E40" s="232">
        <f>INDEX($C$28:$C$30,MATCH($B40,$A$28:$A$30,0))+(INDEX($B$28:$B$30,MATCH($B40,$A$28:$A$30,0))-INDEX($C$28:$C$30,MATCH($B40,$A$28:$A$30,0)))*EXP(-INDEX($D$28:$D$30,MATCH($B40,$A$28:$A$30,0))*(2100-2023))</f>
        <v/>
      </c>
    </row>
    <row r="41" ht="14.5" customHeight="1" s="213">
      <c r="A41" s="165" t="inlineStr">
        <is>
          <t>Brazil</t>
        </is>
      </c>
      <c r="B41" s="166" t="inlineStr">
        <is>
          <t>Emerging</t>
        </is>
      </c>
      <c r="C41" s="234">
        <f>INDEX($C$28:$C$30,MATCH($B41,$A$28:$A$30,0))+(INDEX($B$28:$B$30,MATCH($B41,$A$28:$A$30,0))-INDEX($C$28:$C$30,MATCH($B41,$A$28:$A$30,0)))*EXP(-INDEX($D$28:$D$30,MATCH($B41,$A$28:$A$30,0))*(2023-2023))</f>
        <v/>
      </c>
      <c r="D41" s="234">
        <f>INDEX($C$28:$C$30,MATCH($B41,$A$28:$A$30,0))+(INDEX($B$28:$B$30,MATCH($B41,$A$28:$A$30,0))-INDEX($C$28:$C$30,MATCH($B41,$A$28:$A$30,0)))*EXP(-INDEX($D$28:$D$30,MATCH($B41,$A$28:$A$30,0))*(2050-2023))</f>
        <v/>
      </c>
      <c r="E41" s="234">
        <f>INDEX($C$28:$C$30,MATCH($B41,$A$28:$A$30,0))+(INDEX($B$28:$B$30,MATCH($B41,$A$28:$A$30,0))-INDEX($C$28:$C$30,MATCH($B41,$A$28:$A$30,0)))*EXP(-INDEX($D$28:$D$30,MATCH($B41,$A$28:$A$30,0))*(2100-2023))</f>
        <v/>
      </c>
    </row>
    <row r="42" ht="14.5" customHeight="1" s="213">
      <c r="A42" s="159" t="inlineStr">
        <is>
          <t>China</t>
        </is>
      </c>
      <c r="B42" s="155" t="inlineStr">
        <is>
          <t>Frontier</t>
        </is>
      </c>
      <c r="C42" s="232">
        <f>INDEX($C$28:$C$30,MATCH($B42,$A$28:$A$30,0))+(INDEX($B$28:$B$30,MATCH($B42,$A$28:$A$30,0))-INDEX($C$28:$C$30,MATCH($B42,$A$28:$A$30,0)))*EXP(-INDEX($D$28:$D$30,MATCH($B42,$A$28:$A$30,0))*(2023-2023))</f>
        <v/>
      </c>
      <c r="D42" s="232">
        <f>INDEX($C$28:$C$30,MATCH($B42,$A$28:$A$30,0))+(INDEX($B$28:$B$30,MATCH($B42,$A$28:$A$30,0))-INDEX($C$28:$C$30,MATCH($B42,$A$28:$A$30,0)))*EXP(-INDEX($D$28:$D$30,MATCH($B42,$A$28:$A$30,0))*(2050-2023))</f>
        <v/>
      </c>
      <c r="E42" s="232">
        <f>INDEX($C$28:$C$30,MATCH($B42,$A$28:$A$30,0))+(INDEX($B$28:$B$30,MATCH($B42,$A$28:$A$30,0))-INDEX($C$28:$C$30,MATCH($B42,$A$28:$A$30,0)))*EXP(-INDEX($D$28:$D$30,MATCH($B42,$A$28:$A$30,0))*(2100-2023))</f>
        <v/>
      </c>
    </row>
    <row r="43" ht="14.5" customHeight="1" s="213">
      <c r="A43" s="165" t="inlineStr">
        <is>
          <t>CroSloven</t>
        </is>
      </c>
      <c r="B43" s="166" t="inlineStr">
        <is>
          <t>Emerging</t>
        </is>
      </c>
      <c r="C43" s="234">
        <f>INDEX($C$28:$C$30,MATCH($B43,$A$28:$A$30,0))+(INDEX($B$28:$B$30,MATCH($B43,$A$28:$A$30,0))-INDEX($C$28:$C$30,MATCH($B43,$A$28:$A$30,0)))*EXP(-INDEX($D$28:$D$30,MATCH($B43,$A$28:$A$30,0))*(2023-2023))</f>
        <v/>
      </c>
      <c r="D43" s="234">
        <f>INDEX($C$28:$C$30,MATCH($B43,$A$28:$A$30,0))+(INDEX($B$28:$B$30,MATCH($B43,$A$28:$A$30,0))-INDEX($C$28:$C$30,MATCH($B43,$A$28:$A$30,0)))*EXP(-INDEX($D$28:$D$30,MATCH($B43,$A$28:$A$30,0))*(2050-2023))</f>
        <v/>
      </c>
      <c r="E43" s="234">
        <f>INDEX($C$28:$C$30,MATCH($B43,$A$28:$A$30,0))+(INDEX($B$28:$B$30,MATCH($B43,$A$28:$A$30,0))-INDEX($C$28:$C$30,MATCH($B43,$A$28:$A$30,0)))*EXP(-INDEX($D$28:$D$30,MATCH($B43,$A$28:$A$30,0))*(2100-2023))</f>
        <v/>
      </c>
    </row>
    <row r="44" ht="14.5" customHeight="1" s="213">
      <c r="A44" s="159" t="inlineStr">
        <is>
          <t>CzechSlovak</t>
        </is>
      </c>
      <c r="B44" s="155" t="inlineStr">
        <is>
          <t>Emerging</t>
        </is>
      </c>
      <c r="C44" s="232">
        <f>INDEX($C$28:$C$30,MATCH($B44,$A$28:$A$30,0))+(INDEX($B$28:$B$30,MATCH($B44,$A$28:$A$30,0))-INDEX($C$28:$C$30,MATCH($B44,$A$28:$A$30,0)))*EXP(-INDEX($D$28:$D$30,MATCH($B44,$A$28:$A$30,0))*(2023-2023))</f>
        <v/>
      </c>
      <c r="D44" s="232">
        <f>INDEX($C$28:$C$30,MATCH($B44,$A$28:$A$30,0))+(INDEX($B$28:$B$30,MATCH($B44,$A$28:$A$30,0))-INDEX($C$28:$C$30,MATCH($B44,$A$28:$A$30,0)))*EXP(-INDEX($D$28:$D$30,MATCH($B44,$A$28:$A$30,0))*(2050-2023))</f>
        <v/>
      </c>
      <c r="E44" s="232">
        <f>INDEX($C$28:$C$30,MATCH($B44,$A$28:$A$30,0))+(INDEX($B$28:$B$30,MATCH($B44,$A$28:$A$30,0))-INDEX($C$28:$C$30,MATCH($B44,$A$28:$A$30,0)))*EXP(-INDEX($D$28:$D$30,MATCH($B44,$A$28:$A$30,0))*(2100-2023))</f>
        <v/>
      </c>
    </row>
    <row r="45" ht="14.5" customHeight="1" s="213">
      <c r="A45" s="165" t="inlineStr">
        <is>
          <t>France</t>
        </is>
      </c>
      <c r="B45" s="166" t="inlineStr">
        <is>
          <t>Developed</t>
        </is>
      </c>
      <c r="C45" s="234">
        <f>INDEX($C$28:$C$30,MATCH($B45,$A$28:$A$30,0))+(INDEX($B$28:$B$30,MATCH($B45,$A$28:$A$30,0))-INDEX($C$28:$C$30,MATCH($B45,$A$28:$A$30,0)))*EXP(-INDEX($D$28:$D$30,MATCH($B45,$A$28:$A$30,0))*(2023-2023))</f>
        <v/>
      </c>
      <c r="D45" s="234">
        <f>INDEX($C$28:$C$30,MATCH($B45,$A$28:$A$30,0))+(INDEX($B$28:$B$30,MATCH($B45,$A$28:$A$30,0))-INDEX($C$28:$C$30,MATCH($B45,$A$28:$A$30,0)))*EXP(-INDEX($D$28:$D$30,MATCH($B45,$A$28:$A$30,0))*(2050-2023))</f>
        <v/>
      </c>
      <c r="E45" s="234">
        <f>INDEX($C$28:$C$30,MATCH($B45,$A$28:$A$30,0))+(INDEX($B$28:$B$30,MATCH($B45,$A$28:$A$30,0))-INDEX($C$28:$C$30,MATCH($B45,$A$28:$A$30,0)))*EXP(-INDEX($D$28:$D$30,MATCH($B45,$A$28:$A$30,0))*(2100-2023))</f>
        <v/>
      </c>
    </row>
    <row r="46" ht="14.5" customHeight="1" s="213">
      <c r="A46" s="159" t="inlineStr">
        <is>
          <t>Germany</t>
        </is>
      </c>
      <c r="B46" s="155" t="inlineStr">
        <is>
          <t>Developed</t>
        </is>
      </c>
      <c r="C46" s="232">
        <f>INDEX($C$28:$C$30,MATCH($B46,$A$28:$A$30,0))+(INDEX($B$28:$B$30,MATCH($B46,$A$28:$A$30,0))-INDEX($C$28:$C$30,MATCH($B46,$A$28:$A$30,0)))*EXP(-INDEX($D$28:$D$30,MATCH($B46,$A$28:$A$30,0))*(2023-2023))</f>
        <v/>
      </c>
      <c r="D46" s="232">
        <f>INDEX($C$28:$C$30,MATCH($B46,$A$28:$A$30,0))+(INDEX($B$28:$B$30,MATCH($B46,$A$28:$A$30,0))-INDEX($C$28:$C$30,MATCH($B46,$A$28:$A$30,0)))*EXP(-INDEX($D$28:$D$30,MATCH($B46,$A$28:$A$30,0))*(2050-2023))</f>
        <v/>
      </c>
      <c r="E46" s="232">
        <f>INDEX($C$28:$C$30,MATCH($B46,$A$28:$A$30,0))+(INDEX($B$28:$B$30,MATCH($B46,$A$28:$A$30,0))-INDEX($C$28:$C$30,MATCH($B46,$A$28:$A$30,0)))*EXP(-INDEX($D$28:$D$30,MATCH($B46,$A$28:$A$30,0))*(2100-2023))</f>
        <v/>
      </c>
    </row>
    <row r="47" ht="14.5" customHeight="1" s="213">
      <c r="A47" s="165" t="inlineStr">
        <is>
          <t>GreeceCyp</t>
        </is>
      </c>
      <c r="B47" s="166" t="inlineStr">
        <is>
          <t>Emerging</t>
        </is>
      </c>
      <c r="C47" s="234">
        <f>INDEX($C$28:$C$30,MATCH($B47,$A$28:$A$30,0))+(INDEX($B$28:$B$30,MATCH($B47,$A$28:$A$30,0))-INDEX($C$28:$C$30,MATCH($B47,$A$28:$A$30,0)))*EXP(-INDEX($D$28:$D$30,MATCH($B47,$A$28:$A$30,0))*(2023-2023))</f>
        <v/>
      </c>
      <c r="D47" s="234">
        <f>INDEX($C$28:$C$30,MATCH($B47,$A$28:$A$30,0))+(INDEX($B$28:$B$30,MATCH($B47,$A$28:$A$30,0))-INDEX($C$28:$C$30,MATCH($B47,$A$28:$A$30,0)))*EXP(-INDEX($D$28:$D$30,MATCH($B47,$A$28:$A$30,0))*(2050-2023))</f>
        <v/>
      </c>
      <c r="E47" s="234">
        <f>INDEX($C$28:$C$30,MATCH($B47,$A$28:$A$30,0))+(INDEX($B$28:$B$30,MATCH($B47,$A$28:$A$30,0))-INDEX($C$28:$C$30,MATCH($B47,$A$28:$A$30,0)))*EXP(-INDEX($D$28:$D$30,MATCH($B47,$A$28:$A$30,0))*(2100-2023))</f>
        <v/>
      </c>
    </row>
    <row r="48" ht="14.5" customHeight="1" s="213">
      <c r="A48" s="159" t="inlineStr">
        <is>
          <t>HunRomBul</t>
        </is>
      </c>
      <c r="B48" s="155" t="inlineStr">
        <is>
          <t>Emerging</t>
        </is>
      </c>
      <c r="C48" s="232">
        <f>INDEX($C$28:$C$30,MATCH($B48,$A$28:$A$30,0))+(INDEX($B$28:$B$30,MATCH($B48,$A$28:$A$30,0))-INDEX($C$28:$C$30,MATCH($B48,$A$28:$A$30,0)))*EXP(-INDEX($D$28:$D$30,MATCH($B48,$A$28:$A$30,0))*(2023-2023))</f>
        <v/>
      </c>
      <c r="D48" s="232">
        <f>INDEX($C$28:$C$30,MATCH($B48,$A$28:$A$30,0))+(INDEX($B$28:$B$30,MATCH($B48,$A$28:$A$30,0))-INDEX($C$28:$C$30,MATCH($B48,$A$28:$A$30,0)))*EXP(-INDEX($D$28:$D$30,MATCH($B48,$A$28:$A$30,0))*(2050-2023))</f>
        <v/>
      </c>
      <c r="E48" s="232">
        <f>INDEX($C$28:$C$30,MATCH($B48,$A$28:$A$30,0))+(INDEX($B$28:$B$30,MATCH($B48,$A$28:$A$30,0))-INDEX($C$28:$C$30,MATCH($B48,$A$28:$A$30,0)))*EXP(-INDEX($D$28:$D$30,MATCH($B48,$A$28:$A$30,0))*(2100-2023))</f>
        <v/>
      </c>
    </row>
    <row r="49" ht="14.5" customHeight="1" s="213">
      <c r="A49" s="165" t="inlineStr">
        <is>
          <t>Iceland</t>
        </is>
      </c>
      <c r="B49" s="166" t="inlineStr">
        <is>
          <t>Developed</t>
        </is>
      </c>
      <c r="C49" s="234">
        <f>INDEX($C$28:$C$30,MATCH($B49,$A$28:$A$30,0))+(INDEX($B$28:$B$30,MATCH($B49,$A$28:$A$30,0))-INDEX($C$28:$C$30,MATCH($B49,$A$28:$A$30,0)))*EXP(-INDEX($D$28:$D$30,MATCH($B49,$A$28:$A$30,0))*(2023-2023))</f>
        <v/>
      </c>
      <c r="D49" s="234">
        <f>INDEX($C$28:$C$30,MATCH($B49,$A$28:$A$30,0))+(INDEX($B$28:$B$30,MATCH($B49,$A$28:$A$30,0))-INDEX($C$28:$C$30,MATCH($B49,$A$28:$A$30,0)))*EXP(-INDEX($D$28:$D$30,MATCH($B49,$A$28:$A$30,0))*(2050-2023))</f>
        <v/>
      </c>
      <c r="E49" s="234">
        <f>INDEX($C$28:$C$30,MATCH($B49,$A$28:$A$30,0))+(INDEX($B$28:$B$30,MATCH($B49,$A$28:$A$30,0))-INDEX($C$28:$C$30,MATCH($B49,$A$28:$A$30,0)))*EXP(-INDEX($D$28:$D$30,MATCH($B49,$A$28:$A$30,0))*(2100-2023))</f>
        <v/>
      </c>
    </row>
    <row r="50" ht="14.5" customHeight="1" s="213">
      <c r="A50" s="168" t="inlineStr">
        <is>
          <t>India</t>
        </is>
      </c>
      <c r="B50" s="169" t="inlineStr">
        <is>
          <t>Emerging</t>
        </is>
      </c>
      <c r="C50" s="235" t="n">
        <v>1.2</v>
      </c>
      <c r="D50" s="235" t="n">
        <v>1.1</v>
      </c>
      <c r="E50" s="235" t="n">
        <v>1.05</v>
      </c>
    </row>
    <row r="51" ht="14.5" customHeight="1" s="213">
      <c r="A51" s="165" t="inlineStr">
        <is>
          <t>Ireland</t>
        </is>
      </c>
      <c r="B51" s="166" t="inlineStr">
        <is>
          <t>Developed</t>
        </is>
      </c>
      <c r="C51" s="234">
        <f>INDEX($C$28:$C$30,MATCH($B51,$A$28:$A$30,0))+(INDEX($B$28:$B$30,MATCH($B51,$A$28:$A$30,0))-INDEX($C$28:$C$30,MATCH($B51,$A$28:$A$30,0)))*EXP(-INDEX($D$28:$D$30,MATCH($B51,$A$28:$A$30,0))*(2023-2023))</f>
        <v/>
      </c>
      <c r="D51" s="234">
        <f>INDEX($C$28:$C$30,MATCH($B51,$A$28:$A$30,0))+(INDEX($B$28:$B$30,MATCH($B51,$A$28:$A$30,0))-INDEX($C$28:$C$30,MATCH($B51,$A$28:$A$30,0)))*EXP(-INDEX($D$28:$D$30,MATCH($B51,$A$28:$A$30,0))*(2050-2023))</f>
        <v/>
      </c>
      <c r="E51" s="234">
        <f>INDEX($C$28:$C$30,MATCH($B51,$A$28:$A$30,0))+(INDEX($B$28:$B$30,MATCH($B51,$A$28:$A$30,0))-INDEX($C$28:$C$30,MATCH($B51,$A$28:$A$30,0)))*EXP(-INDEX($D$28:$D$30,MATCH($B51,$A$28:$A$30,0))*(2100-2023))</f>
        <v/>
      </c>
    </row>
    <row r="52" ht="14.5" customHeight="1" s="213">
      <c r="A52" s="159" t="inlineStr">
        <is>
          <t>ItalyMal</t>
        </is>
      </c>
      <c r="B52" s="155" t="inlineStr">
        <is>
          <t>Developed</t>
        </is>
      </c>
      <c r="C52" s="232">
        <f>INDEX($C$28:$C$30,MATCH($B52,$A$28:$A$30,0))+(INDEX($B$28:$B$30,MATCH($B52,$A$28:$A$30,0))-INDEX($C$28:$C$30,MATCH($B52,$A$28:$A$30,0)))*EXP(-INDEX($D$28:$D$30,MATCH($B52,$A$28:$A$30,0))*(2023-2023))</f>
        <v/>
      </c>
      <c r="D52" s="232">
        <f>INDEX($C$28:$C$30,MATCH($B52,$A$28:$A$30,0))+(INDEX($B$28:$B$30,MATCH($B52,$A$28:$A$30,0))-INDEX($C$28:$C$30,MATCH($B52,$A$28:$A$30,0)))*EXP(-INDEX($D$28:$D$30,MATCH($B52,$A$28:$A$30,0))*(2050-2023))</f>
        <v/>
      </c>
      <c r="E52" s="232">
        <f>INDEX($C$28:$C$30,MATCH($B52,$A$28:$A$30,0))+(INDEX($B$28:$B$30,MATCH($B52,$A$28:$A$30,0))-INDEX($C$28:$C$30,MATCH($B52,$A$28:$A$30,0)))*EXP(-INDEX($D$28:$D$30,MATCH($B52,$A$28:$A$30,0))*(2100-2023))</f>
        <v/>
      </c>
    </row>
    <row r="53" ht="14.5" customHeight="1" s="213">
      <c r="A53" s="171" t="inlineStr">
        <is>
          <t>Japan</t>
        </is>
      </c>
      <c r="B53" s="172" t="inlineStr">
        <is>
          <t>Developed</t>
        </is>
      </c>
      <c r="C53" s="235" t="n">
        <v>1.2</v>
      </c>
      <c r="D53" s="235" t="n">
        <v>1.1</v>
      </c>
      <c r="E53" s="235" t="n">
        <v>1.05</v>
      </c>
    </row>
    <row r="54" ht="14.5" customHeight="1" s="213">
      <c r="A54" s="159" t="inlineStr">
        <is>
          <t>LatAm</t>
        </is>
      </c>
      <c r="B54" s="155" t="inlineStr">
        <is>
          <t>Emerging</t>
        </is>
      </c>
      <c r="C54" s="232">
        <f>INDEX($C$28:$C$30,MATCH($B54,$A$28:$A$30,0))+(INDEX($B$28:$B$30,MATCH($B54,$A$28:$A$30,0))-INDEX($C$28:$C$30,MATCH($B54,$A$28:$A$30,0)))*EXP(-INDEX($D$28:$D$30,MATCH($B54,$A$28:$A$30,0))*(2023-2023))</f>
        <v/>
      </c>
      <c r="D54" s="232">
        <f>INDEX($C$28:$C$30,MATCH($B54,$A$28:$A$30,0))+(INDEX($B$28:$B$30,MATCH($B54,$A$28:$A$30,0))-INDEX($C$28:$C$30,MATCH($B54,$A$28:$A$30,0)))*EXP(-INDEX($D$28:$D$30,MATCH($B54,$A$28:$A$30,0))*(2050-2023))</f>
        <v/>
      </c>
      <c r="E54" s="232">
        <f>INDEX($C$28:$C$30,MATCH($B54,$A$28:$A$30,0))+(INDEX($B$28:$B$30,MATCH($B54,$A$28:$A$30,0))-INDEX($C$28:$C$30,MATCH($B54,$A$28:$A$30,0)))*EXP(-INDEX($D$28:$D$30,MATCH($B54,$A$28:$A$30,0))*(2100-2023))</f>
        <v/>
      </c>
    </row>
    <row r="55" ht="14.5" customHeight="1" s="213">
      <c r="A55" s="165" t="inlineStr">
        <is>
          <t>MidEast</t>
        </is>
      </c>
      <c r="B55" s="166" t="inlineStr">
        <is>
          <t>Emerging</t>
        </is>
      </c>
      <c r="C55" s="234">
        <f>INDEX($C$28:$C$30,MATCH($B55,$A$28:$A$30,0))+(INDEX($B$28:$B$30,MATCH($B55,$A$28:$A$30,0))-INDEX($C$28:$C$30,MATCH($B55,$A$28:$A$30,0)))*EXP(-INDEX($D$28:$D$30,MATCH($B55,$A$28:$A$30,0))*(2023-2023))</f>
        <v/>
      </c>
      <c r="D55" s="234">
        <f>INDEX($C$28:$C$30,MATCH($B55,$A$28:$A$30,0))+(INDEX($B$28:$B$30,MATCH($B55,$A$28:$A$30,0))-INDEX($C$28:$C$30,MATCH($B55,$A$28:$A$30,0)))*EXP(-INDEX($D$28:$D$30,MATCH($B55,$A$28:$A$30,0))*(2050-2023))</f>
        <v/>
      </c>
      <c r="E55" s="234">
        <f>INDEX($C$28:$C$30,MATCH($B55,$A$28:$A$30,0))+(INDEX($B$28:$B$30,MATCH($B55,$A$28:$A$30,0))-INDEX($C$28:$C$30,MATCH($B55,$A$28:$A$30,0)))*EXP(-INDEX($D$28:$D$30,MATCH($B55,$A$28:$A$30,0))*(2100-2023))</f>
        <v/>
      </c>
    </row>
    <row r="56" ht="14.5" customHeight="1" s="213">
      <c r="A56" s="168" t="inlineStr">
        <is>
          <t>NorthAm</t>
        </is>
      </c>
      <c r="B56" s="169" t="inlineStr">
        <is>
          <t>Developed, second tier</t>
        </is>
      </c>
      <c r="C56" s="235" t="n">
        <v>1.2</v>
      </c>
      <c r="D56" s="235" t="n">
        <v>1.1</v>
      </c>
      <c r="E56" s="235" t="n">
        <v>1.05</v>
      </c>
    </row>
    <row r="57" ht="14.5" customHeight="1" s="213">
      <c r="A57" s="165" t="inlineStr">
        <is>
          <t>Norway</t>
        </is>
      </c>
      <c r="B57" s="166" t="inlineStr">
        <is>
          <t>Developed</t>
        </is>
      </c>
      <c r="C57" s="234">
        <f>INDEX($C$28:$C$30,MATCH($B57,$A$28:$A$30,0))+(INDEX($B$28:$B$30,MATCH($B57,$A$28:$A$30,0))-INDEX($C$28:$C$30,MATCH($B57,$A$28:$A$30,0)))*EXP(-INDEX($D$28:$D$30,MATCH($B57,$A$28:$A$30,0))*(2023-2023))</f>
        <v/>
      </c>
      <c r="D57" s="234">
        <f>INDEX($C$28:$C$30,MATCH($B57,$A$28:$A$30,0))+(INDEX($B$28:$B$30,MATCH($B57,$A$28:$A$30,0))-INDEX($C$28:$C$30,MATCH($B57,$A$28:$A$30,0)))*EXP(-INDEX($D$28:$D$30,MATCH($B57,$A$28:$A$30,0))*(2050-2023))</f>
        <v/>
      </c>
      <c r="E57" s="234">
        <f>INDEX($C$28:$C$30,MATCH($B57,$A$28:$A$30,0))+(INDEX($B$28:$B$30,MATCH($B57,$A$28:$A$30,0))-INDEX($C$28:$C$30,MATCH($B57,$A$28:$A$30,0)))*EXP(-INDEX($D$28:$D$30,MATCH($B57,$A$28:$A$30,0))*(2100-2023))</f>
        <v/>
      </c>
    </row>
    <row r="58" ht="14.5" customHeight="1" s="213">
      <c r="A58" s="159" t="inlineStr">
        <is>
          <t>Poland</t>
        </is>
      </c>
      <c r="B58" s="155" t="inlineStr">
        <is>
          <t>Emerging</t>
        </is>
      </c>
      <c r="C58" s="232">
        <f>INDEX($C$28:$C$30,MATCH($B58,$A$28:$A$30,0))+(INDEX($B$28:$B$30,MATCH($B58,$A$28:$A$30,0))-INDEX($C$28:$C$30,MATCH($B58,$A$28:$A$30,0)))*EXP(-INDEX($D$28:$D$30,MATCH($B58,$A$28:$A$30,0))*(2023-2023))</f>
        <v/>
      </c>
      <c r="D58" s="232">
        <f>INDEX($C$28:$C$30,MATCH($B58,$A$28:$A$30,0))+(INDEX($B$28:$B$30,MATCH($B58,$A$28:$A$30,0))-INDEX($C$28:$C$30,MATCH($B58,$A$28:$A$30,0)))*EXP(-INDEX($D$28:$D$30,MATCH($B58,$A$28:$A$30,0))*(2050-2023))</f>
        <v/>
      </c>
      <c r="E58" s="232">
        <f>INDEX($C$28:$C$30,MATCH($B58,$A$28:$A$30,0))+(INDEX($B$28:$B$30,MATCH($B58,$A$28:$A$30,0))-INDEX($C$28:$C$30,MATCH($B58,$A$28:$A$30,0)))*EXP(-INDEX($D$28:$D$30,MATCH($B58,$A$28:$A$30,0))*(2100-2023))</f>
        <v/>
      </c>
    </row>
    <row r="59" ht="14.5" customHeight="1" s="213">
      <c r="A59" s="165" t="inlineStr">
        <is>
          <t>ROW</t>
        </is>
      </c>
      <c r="B59" s="166" t="inlineStr">
        <is>
          <t>Emerging</t>
        </is>
      </c>
      <c r="C59" s="234">
        <f>INDEX($C$28:$C$30,MATCH($B59,$A$28:$A$30,0))+(INDEX($B$28:$B$30,MATCH($B59,$A$28:$A$30,0))-INDEX($C$28:$C$30,MATCH($B59,$A$28:$A$30,0)))*EXP(-INDEX($D$28:$D$30,MATCH($B59,$A$28:$A$30,0))*(2023-2023))</f>
        <v/>
      </c>
      <c r="D59" s="234">
        <f>INDEX($C$28:$C$30,MATCH($B59,$A$28:$A$30,0))+(INDEX($B$28:$B$30,MATCH($B59,$A$28:$A$30,0))-INDEX($C$28:$C$30,MATCH($B59,$A$28:$A$30,0)))*EXP(-INDEX($D$28:$D$30,MATCH($B59,$A$28:$A$30,0))*(2050-2023))</f>
        <v/>
      </c>
      <c r="E59" s="234">
        <f>INDEX($C$28:$C$30,MATCH($B59,$A$28:$A$30,0))+(INDEX($B$28:$B$30,MATCH($B59,$A$28:$A$30,0))-INDEX($C$28:$C$30,MATCH($B59,$A$28:$A$30,0)))*EXP(-INDEX($D$28:$D$30,MATCH($B59,$A$28:$A$30,0))*(2100-2023))</f>
        <v/>
      </c>
    </row>
    <row r="60" ht="14.5" customHeight="1" s="213">
      <c r="A60" s="159" t="inlineStr">
        <is>
          <t>Russia</t>
        </is>
      </c>
      <c r="B60" s="155" t="inlineStr">
        <is>
          <t>Emerging</t>
        </is>
      </c>
      <c r="C60" s="232">
        <f>INDEX($C$28:$C$30,MATCH($B60,$A$28:$A$30,0))+(INDEX($B$28:$B$30,MATCH($B60,$A$28:$A$30,0))-INDEX($C$28:$C$30,MATCH($B60,$A$28:$A$30,0)))*EXP(-INDEX($D$28:$D$30,MATCH($B60,$A$28:$A$30,0))*(2023-2023))</f>
        <v/>
      </c>
      <c r="D60" s="232">
        <f>INDEX($C$28:$C$30,MATCH($B60,$A$28:$A$30,0))+(INDEX($B$28:$B$30,MATCH($B60,$A$28:$A$30,0))-INDEX($C$28:$C$30,MATCH($B60,$A$28:$A$30,0)))*EXP(-INDEX($D$28:$D$30,MATCH($B60,$A$28:$A$30,0))*(2050-2023))</f>
        <v/>
      </c>
      <c r="E60" s="232">
        <f>INDEX($C$28:$C$30,MATCH($B60,$A$28:$A$30,0))+(INDEX($B$28:$B$30,MATCH($B60,$A$28:$A$30,0))-INDEX($C$28:$C$30,MATCH($B60,$A$28:$A$30,0)))*EXP(-INDEX($D$28:$D$30,MATCH($B60,$A$28:$A$30,0))*(2100-2023))</f>
        <v/>
      </c>
    </row>
    <row r="61" ht="14.5" customHeight="1" s="213">
      <c r="A61" s="165" t="inlineStr">
        <is>
          <t>SaudiArabia</t>
        </is>
      </c>
      <c r="B61" s="166" t="inlineStr">
        <is>
          <t>Emerging</t>
        </is>
      </c>
      <c r="C61" s="234">
        <f>INDEX($C$28:$C$30,MATCH($B61,$A$28:$A$30,0))+(INDEX($B$28:$B$30,MATCH($B61,$A$28:$A$30,0))-INDEX($C$28:$C$30,MATCH($B61,$A$28:$A$30,0)))*EXP(-INDEX($D$28:$D$30,MATCH($B61,$A$28:$A$30,0))*(2023-2023))</f>
        <v/>
      </c>
      <c r="D61" s="234">
        <f>INDEX($C$28:$C$30,MATCH($B61,$A$28:$A$30,0))+(INDEX($B$28:$B$30,MATCH($B61,$A$28:$A$30,0))-INDEX($C$28:$C$30,MATCH($B61,$A$28:$A$30,0)))*EXP(-INDEX($D$28:$D$30,MATCH($B61,$A$28:$A$30,0))*(2050-2023))</f>
        <v/>
      </c>
      <c r="E61" s="234">
        <f>INDEX($C$28:$C$30,MATCH($B61,$A$28:$A$30,0))+(INDEX($B$28:$B$30,MATCH($B61,$A$28:$A$30,0))-INDEX($C$28:$C$30,MATCH($B61,$A$28:$A$30,0)))*EXP(-INDEX($D$28:$D$30,MATCH($B61,$A$28:$A$30,0))*(2100-2023))</f>
        <v/>
      </c>
    </row>
    <row r="62" ht="14.5" customHeight="1" s="213">
      <c r="A62" s="159" t="inlineStr">
        <is>
          <t>SouthAfrica</t>
        </is>
      </c>
      <c r="B62" s="155" t="inlineStr">
        <is>
          <t>Emerging</t>
        </is>
      </c>
      <c r="C62" s="232">
        <f>INDEX($C$28:$C$30,MATCH($B62,$A$28:$A$30,0))+(INDEX($B$28:$B$30,MATCH($B62,$A$28:$A$30,0))-INDEX($C$28:$C$30,MATCH($B62,$A$28:$A$30,0)))*EXP(-INDEX($D$28:$D$30,MATCH($B62,$A$28:$A$30,0))*(2023-2023))</f>
        <v/>
      </c>
      <c r="D62" s="232">
        <f>INDEX($C$28:$C$30,MATCH($B62,$A$28:$A$30,0))+(INDEX($B$28:$B$30,MATCH($B62,$A$28:$A$30,0))-INDEX($C$28:$C$30,MATCH($B62,$A$28:$A$30,0)))*EXP(-INDEX($D$28:$D$30,MATCH($B62,$A$28:$A$30,0))*(2050-2023))</f>
        <v/>
      </c>
      <c r="E62" s="232">
        <f>INDEX($C$28:$C$30,MATCH($B62,$A$28:$A$30,0))+(INDEX($B$28:$B$30,MATCH($B62,$A$28:$A$30,0))-INDEX($C$28:$C$30,MATCH($B62,$A$28:$A$30,0)))*EXP(-INDEX($D$28:$D$30,MATCH($B62,$A$28:$A$30,0))*(2100-2023))</f>
        <v/>
      </c>
    </row>
    <row r="63" ht="14.5" customHeight="1" s="213">
      <c r="A63" s="165" t="inlineStr">
        <is>
          <t>SpainPor</t>
        </is>
      </c>
      <c r="B63" s="166" t="inlineStr">
        <is>
          <t>Emerging</t>
        </is>
      </c>
      <c r="C63" s="234">
        <f>INDEX($C$28:$C$30,MATCH($B63,$A$28:$A$30,0))+(INDEX($B$28:$B$30,MATCH($B63,$A$28:$A$30,0))-INDEX($C$28:$C$30,MATCH($B63,$A$28:$A$30,0)))*EXP(-INDEX($D$28:$D$30,MATCH($B63,$A$28:$A$30,0))*(2023-2023))</f>
        <v/>
      </c>
      <c r="D63" s="234">
        <f>INDEX($C$28:$C$30,MATCH($B63,$A$28:$A$30,0))+(INDEX($B$28:$B$30,MATCH($B63,$A$28:$A$30,0))-INDEX($C$28:$C$30,MATCH($B63,$A$28:$A$30,0)))*EXP(-INDEX($D$28:$D$30,MATCH($B63,$A$28:$A$30,0))*(2050-2023))</f>
        <v/>
      </c>
      <c r="E63" s="234">
        <f>INDEX($C$28:$C$30,MATCH($B63,$A$28:$A$30,0))+(INDEX($B$28:$B$30,MATCH($B63,$A$28:$A$30,0))-INDEX($C$28:$C$30,MATCH($B63,$A$28:$A$30,0)))*EXP(-INDEX($D$28:$D$30,MATCH($B63,$A$28:$A$30,0))*(2100-2023))</f>
        <v/>
      </c>
    </row>
    <row r="64" ht="14.5" customHeight="1" s="213">
      <c r="A64" s="159" t="inlineStr">
        <is>
          <t>SweFinDen</t>
        </is>
      </c>
      <c r="B64" s="155" t="inlineStr">
        <is>
          <t>Developed</t>
        </is>
      </c>
      <c r="C64" s="232">
        <f>INDEX($C$28:$C$30,MATCH($B64,$A$28:$A$30,0))+(INDEX($B$28:$B$30,MATCH($B64,$A$28:$A$30,0))-INDEX($C$28:$C$30,MATCH($B64,$A$28:$A$30,0)))*EXP(-INDEX($D$28:$D$30,MATCH($B64,$A$28:$A$30,0))*(2023-2023))</f>
        <v/>
      </c>
      <c r="D64" s="232">
        <f>INDEX($C$28:$C$30,MATCH($B64,$A$28:$A$30,0))+(INDEX($B$28:$B$30,MATCH($B64,$A$28:$A$30,0))-INDEX($C$28:$C$30,MATCH($B64,$A$28:$A$30,0)))*EXP(-INDEX($D$28:$D$30,MATCH($B64,$A$28:$A$30,0))*(2050-2023))</f>
        <v/>
      </c>
      <c r="E64" s="232">
        <f>INDEX($C$28:$C$30,MATCH($B64,$A$28:$A$30,0))+(INDEX($B$28:$B$30,MATCH($B64,$A$28:$A$30,0))-INDEX($C$28:$C$30,MATCH($B64,$A$28:$A$30,0)))*EXP(-INDEX($D$28:$D$30,MATCH($B64,$A$28:$A$30,0))*(2100-2023))</f>
        <v/>
      </c>
    </row>
    <row r="65" ht="14.5" customHeight="1" s="213">
      <c r="A65" s="165" t="inlineStr">
        <is>
          <t>Switzerland</t>
        </is>
      </c>
      <c r="B65" s="166" t="inlineStr">
        <is>
          <t>Developed</t>
        </is>
      </c>
      <c r="C65" s="234">
        <f>INDEX($C$28:$C$30,MATCH($B65,$A$28:$A$30,0))+(INDEX($B$28:$B$30,MATCH($B65,$A$28:$A$30,0))-INDEX($C$28:$C$30,MATCH($B65,$A$28:$A$30,0)))*EXP(-INDEX($D$28:$D$30,MATCH($B65,$A$28:$A$30,0))*(2023-2023))</f>
        <v/>
      </c>
      <c r="D65" s="234">
        <f>INDEX($C$28:$C$30,MATCH($B65,$A$28:$A$30,0))+(INDEX($B$28:$B$30,MATCH($B65,$A$28:$A$30,0))-INDEX($C$28:$C$30,MATCH($B65,$A$28:$A$30,0)))*EXP(-INDEX($D$28:$D$30,MATCH($B65,$A$28:$A$30,0))*(2050-2023))</f>
        <v/>
      </c>
      <c r="E65" s="234">
        <f>INDEX($C$28:$C$30,MATCH($B65,$A$28:$A$30,0))+(INDEX($B$28:$B$30,MATCH($B65,$A$28:$A$30,0))-INDEX($C$28:$C$30,MATCH($B65,$A$28:$A$30,0)))*EXP(-INDEX($D$28:$D$30,MATCH($B65,$A$28:$A$30,0))*(2100-2023))</f>
        <v/>
      </c>
    </row>
    <row r="66" ht="14.5" customHeight="1" s="213">
      <c r="A66" s="159" t="inlineStr">
        <is>
          <t>Turkey</t>
        </is>
      </c>
      <c r="B66" s="155" t="inlineStr">
        <is>
          <t>Emerging</t>
        </is>
      </c>
      <c r="C66" s="232">
        <f>INDEX($C$28:$C$30,MATCH($B66,$A$28:$A$30,0))+(INDEX($B$28:$B$30,MATCH($B66,$A$28:$A$30,0))-INDEX($C$28:$C$30,MATCH($B66,$A$28:$A$30,0)))*EXP(-INDEX($D$28:$D$30,MATCH($B66,$A$28:$A$30,0))*(2023-2023))</f>
        <v/>
      </c>
      <c r="D66" s="232">
        <f>INDEX($C$28:$C$30,MATCH($B66,$A$28:$A$30,0))+(INDEX($B$28:$B$30,MATCH($B66,$A$28:$A$30,0))-INDEX($C$28:$C$30,MATCH($B66,$A$28:$A$30,0)))*EXP(-INDEX($D$28:$D$30,MATCH($B66,$A$28:$A$30,0))*(2050-2023))</f>
        <v/>
      </c>
      <c r="E66" s="232">
        <f>INDEX($C$28:$C$30,MATCH($B66,$A$28:$A$30,0))+(INDEX($B$28:$B$30,MATCH($B66,$A$28:$A$30,0))-INDEX($C$28:$C$30,MATCH($B66,$A$28:$A$30,0)))*EXP(-INDEX($D$28:$D$30,MATCH($B66,$A$28:$A$30,0))*(2100-2023))</f>
        <v/>
      </c>
    </row>
    <row r="67" ht="14.5" customHeight="1" s="213">
      <c r="A67" s="165" t="inlineStr">
        <is>
          <t>UK</t>
        </is>
      </c>
      <c r="B67" s="166" t="inlineStr">
        <is>
          <t>Developed</t>
        </is>
      </c>
      <c r="C67" s="234">
        <f>INDEX($C$28:$C$30,MATCH($B67,$A$28:$A$30,0))+(INDEX($B$28:$B$30,MATCH($B67,$A$28:$A$30,0))-INDEX($C$28:$C$30,MATCH($B67,$A$28:$A$30,0)))*EXP(-INDEX($D$28:$D$30,MATCH($B67,$A$28:$A$30,0))*(2023-2023))</f>
        <v/>
      </c>
      <c r="D67" s="234">
        <f>INDEX($C$28:$C$30,MATCH($B67,$A$28:$A$30,0))+(INDEX($B$28:$B$30,MATCH($B67,$A$28:$A$30,0))-INDEX($C$28:$C$30,MATCH($B67,$A$28:$A$30,0)))*EXP(-INDEX($D$28:$D$30,MATCH($B67,$A$28:$A$30,0))*(2050-2023))</f>
        <v/>
      </c>
      <c r="E67" s="234">
        <f>INDEX($C$28:$C$30,MATCH($B67,$A$28:$A$30,0))+(INDEX($B$28:$B$30,MATCH($B67,$A$28:$A$30,0))-INDEX($C$28:$C$30,MATCH($B67,$A$28:$A$30,0)))*EXP(-INDEX($D$28:$D$30,MATCH($B67,$A$28:$A$30,0))*(2100-2023))</f>
        <v/>
      </c>
    </row>
    <row r="68" ht="14.5" customHeight="1" s="213">
      <c r="A68" s="159" t="inlineStr">
        <is>
          <t>Ukraine</t>
        </is>
      </c>
      <c r="B68" s="155" t="inlineStr">
        <is>
          <t>Emerging</t>
        </is>
      </c>
      <c r="C68" s="232">
        <f>INDEX($C$28:$C$30,MATCH($B68,$A$28:$A$30,0))+(INDEX($B$28:$B$30,MATCH($B68,$A$28:$A$30,0))-INDEX($C$28:$C$30,MATCH($B68,$A$28:$A$30,0)))*EXP(-INDEX($D$28:$D$30,MATCH($B68,$A$28:$A$30,0))*(2023-2023))</f>
        <v/>
      </c>
      <c r="D68" s="232">
        <f>INDEX($C$28:$C$30,MATCH($B68,$A$28:$A$30,0))+(INDEX($B$28:$B$30,MATCH($B68,$A$28:$A$30,0))-INDEX($C$28:$C$30,MATCH($B68,$A$28:$A$30,0)))*EXP(-INDEX($D$28:$D$30,MATCH($B68,$A$28:$A$30,0))*(2050-2023))</f>
        <v/>
      </c>
      <c r="E68" s="232">
        <f>INDEX($C$28:$C$30,MATCH($B68,$A$28:$A$30,0))+(INDEX($B$28:$B$30,MATCH($B68,$A$28:$A$30,0))-INDEX($C$28:$C$30,MATCH($B68,$A$28:$A$30,0)))*EXP(-INDEX($D$28:$D$30,MATCH($B68,$A$28:$A$30,0))*(2100-2023))</f>
        <v/>
      </c>
    </row>
    <row r="69" ht="14.5" customHeight="1" s="213">
      <c r="A69" s="165" t="inlineStr">
        <is>
          <t>WestBalkans</t>
        </is>
      </c>
      <c r="B69" s="166" t="inlineStr">
        <is>
          <t>Emerging</t>
        </is>
      </c>
      <c r="C69" s="234">
        <f>INDEX($C$28:$C$30,MATCH($B69,$A$28:$A$30,0))+(INDEX($B$28:$B$30,MATCH($B69,$A$28:$A$30,0))-INDEX($C$28:$C$30,MATCH($B69,$A$28:$A$30,0)))*EXP(-INDEX($D$28:$D$30,MATCH($B69,$A$28:$A$30,0))*(2023-2023))</f>
        <v/>
      </c>
      <c r="D69" s="234">
        <f>INDEX($C$28:$C$30,MATCH($B69,$A$28:$A$30,0))+(INDEX($B$28:$B$30,MATCH($B69,$A$28:$A$30,0))-INDEX($C$28:$C$30,MATCH($B69,$A$28:$A$30,0)))*EXP(-INDEX($D$28:$D$30,MATCH($B69,$A$28:$A$30,0))*(2050-2023))</f>
        <v/>
      </c>
      <c r="E69" s="234">
        <f>INDEX($C$28:$C$30,MATCH($B69,$A$28:$A$30,0))+(INDEX($B$28:$B$30,MATCH($B69,$A$28:$A$30,0))-INDEX($C$28:$C$30,MATCH($B69,$A$28:$A$30,0)))*EXP(-INDEX($D$28:$D$30,MATCH($B69,$A$28:$A$30,0))*(2100-2023))</f>
        <v/>
      </c>
    </row>
    <row r="70" ht="14.5" customHeight="1" s="213">
      <c r="A70" s="218" t="inlineStr">
        <is>
          <t>5.  INVCOST - RECYCLED ROUTE   (paste each block into VEDA)</t>
        </is>
      </c>
      <c r="E70" s="186" t="inlineStr">
        <is>
          <t>same as virgin conversion cost)</t>
        </is>
      </c>
    </row>
    <row r="72" ht="14.5" customFormat="1" customHeight="1" s="149">
      <c r="A72" s="173" t="inlineStr">
        <is>
          <t>~TFM_INS: attribute=INVCOST</t>
        </is>
      </c>
      <c r="B72" s="174" t="n"/>
      <c r="C72" s="174" t="n"/>
      <c r="D72" s="174" t="n"/>
      <c r="E72" s="174" t="n"/>
      <c r="F72" s="174" t="n"/>
      <c r="G72" s="174" t="n"/>
      <c r="H72" s="174" t="n"/>
      <c r="I72" s="174" t="n"/>
      <c r="J72" s="174" t="n"/>
      <c r="K72" s="174" t="n"/>
      <c r="L72" s="174" t="n"/>
      <c r="M72" s="174" t="n"/>
      <c r="N72" s="174" t="n"/>
      <c r="O72" s="174" t="n"/>
      <c r="P72" s="174" t="n"/>
      <c r="Q72" s="174" t="n"/>
      <c r="R72" s="174" t="n"/>
      <c r="S72" s="174" t="n"/>
      <c r="T72" s="174" t="n"/>
      <c r="U72" s="174" t="n"/>
      <c r="V72" s="174" t="n"/>
      <c r="W72" s="174" t="n"/>
      <c r="X72" s="174" t="n"/>
      <c r="Y72" s="174" t="n"/>
      <c r="Z72" s="174" t="n"/>
      <c r="AA72" s="174" t="n"/>
      <c r="AB72" s="174" t="n"/>
      <c r="AC72" s="174" t="n"/>
      <c r="AD72" s="174" t="n"/>
      <c r="AE72" s="174" t="n"/>
      <c r="AF72" s="174" t="n"/>
      <c r="AG72" s="174" t="n"/>
      <c r="AH72" s="174" t="n"/>
      <c r="AI72" s="174" t="n"/>
      <c r="AJ72" s="174" t="n"/>
      <c r="AK72" s="174" t="n"/>
      <c r="AL72" s="174" t="n"/>
      <c r="AM72" s="174" t="n"/>
    </row>
    <row r="73" ht="14.5" customFormat="1" customHeight="1" s="149">
      <c r="A73" s="175" t="inlineStr">
        <is>
          <t>process</t>
        </is>
      </c>
      <c r="B73" s="175" t="inlineStr">
        <is>
          <t>year</t>
        </is>
      </c>
      <c r="C73" s="175" t="inlineStr">
        <is>
          <t>Africa_North</t>
        </is>
      </c>
      <c r="D73" s="175" t="inlineStr">
        <is>
          <t>Africa_Other</t>
        </is>
      </c>
      <c r="E73" s="175" t="inlineStr">
        <is>
          <t>Australia</t>
        </is>
      </c>
      <c r="F73" s="175" t="inlineStr">
        <is>
          <t>Austria</t>
        </is>
      </c>
      <c r="G73" s="175" t="inlineStr">
        <is>
          <t>Baltics</t>
        </is>
      </c>
      <c r="H73" s="175" t="inlineStr">
        <is>
          <t>BeNeLux</t>
        </is>
      </c>
      <c r="I73" s="175" t="inlineStr">
        <is>
          <t>Brazil</t>
        </is>
      </c>
      <c r="J73" s="175" t="inlineStr">
        <is>
          <t>China</t>
        </is>
      </c>
      <c r="K73" s="175" t="inlineStr">
        <is>
          <t>CroSloven</t>
        </is>
      </c>
      <c r="L73" s="175" t="inlineStr">
        <is>
          <t>CzechSlovak</t>
        </is>
      </c>
      <c r="M73" s="175" t="inlineStr">
        <is>
          <t>France</t>
        </is>
      </c>
      <c r="N73" s="175" t="inlineStr">
        <is>
          <t>Germany</t>
        </is>
      </c>
      <c r="O73" s="175" t="inlineStr">
        <is>
          <t>GreeceCyp</t>
        </is>
      </c>
      <c r="P73" s="175" t="inlineStr">
        <is>
          <t>HunRomBul</t>
        </is>
      </c>
      <c r="Q73" s="175" t="inlineStr">
        <is>
          <t>Iceland</t>
        </is>
      </c>
      <c r="R73" s="175" t="inlineStr">
        <is>
          <t>India</t>
        </is>
      </c>
      <c r="S73" s="175" t="inlineStr">
        <is>
          <t>Ireland</t>
        </is>
      </c>
      <c r="T73" s="175" t="inlineStr">
        <is>
          <t>ItalyMal</t>
        </is>
      </c>
      <c r="U73" s="175" t="inlineStr">
        <is>
          <t>Japan</t>
        </is>
      </c>
      <c r="V73" s="175" t="inlineStr">
        <is>
          <t>LatAm</t>
        </is>
      </c>
      <c r="W73" s="175" t="inlineStr">
        <is>
          <t>MidEast</t>
        </is>
      </c>
      <c r="X73" s="175" t="inlineStr">
        <is>
          <t>NorthAm</t>
        </is>
      </c>
      <c r="Y73" s="175" t="inlineStr">
        <is>
          <t>Norway</t>
        </is>
      </c>
      <c r="Z73" s="175" t="inlineStr">
        <is>
          <t>Poland</t>
        </is>
      </c>
      <c r="AA73" s="175" t="inlineStr">
        <is>
          <t>ROW</t>
        </is>
      </c>
      <c r="AB73" s="175" t="inlineStr">
        <is>
          <t>Russia</t>
        </is>
      </c>
      <c r="AC73" s="175" t="inlineStr">
        <is>
          <t>SaudiArabia</t>
        </is>
      </c>
      <c r="AD73" s="175" t="inlineStr">
        <is>
          <t>SouthAfrica</t>
        </is>
      </c>
      <c r="AE73" s="175" t="inlineStr">
        <is>
          <t>SpainPor</t>
        </is>
      </c>
      <c r="AF73" s="175" t="inlineStr">
        <is>
          <t>SweFinDen</t>
        </is>
      </c>
      <c r="AG73" s="175" t="inlineStr">
        <is>
          <t>Switzerland</t>
        </is>
      </c>
      <c r="AH73" s="175" t="inlineStr">
        <is>
          <t>Turkey</t>
        </is>
      </c>
      <c r="AI73" s="175" t="inlineStr">
        <is>
          <t>UK</t>
        </is>
      </c>
      <c r="AJ73" s="175" t="inlineStr">
        <is>
          <t>Ukraine</t>
        </is>
      </c>
      <c r="AK73" s="175" t="inlineStr">
        <is>
          <t>WestBalkans</t>
        </is>
      </c>
      <c r="AL73" s="174" t="n"/>
      <c r="AM73" s="174" t="n"/>
    </row>
    <row r="74" ht="14.5" customFormat="1" customHeight="1" s="149">
      <c r="A74" s="176">
        <f>A6</f>
        <v/>
      </c>
      <c r="B74" s="177" t="n">
        <v>2023</v>
      </c>
      <c r="C74" s="236">
        <f>$C$6*B$22*C$35</f>
        <v/>
      </c>
      <c r="D74" s="236">
        <f>$C$6*B$22*C$36</f>
        <v/>
      </c>
      <c r="E74" s="236">
        <f>$C$6*B$22*C$37</f>
        <v/>
      </c>
      <c r="F74" s="236">
        <f>$C$6*B$22*C$38</f>
        <v/>
      </c>
      <c r="G74" s="236">
        <f>$C$6*B$22*C$39</f>
        <v/>
      </c>
      <c r="H74" s="236">
        <f>$C$6*B$22*C$40</f>
        <v/>
      </c>
      <c r="I74" s="236">
        <f>$C$6*B$22*C$41</f>
        <v/>
      </c>
      <c r="J74" s="236">
        <f>$C$6*B$22*C$42</f>
        <v/>
      </c>
      <c r="K74" s="236">
        <f>$C$6*B$22*C$43</f>
        <v/>
      </c>
      <c r="L74" s="236">
        <f>$C$6*B$22*C$44</f>
        <v/>
      </c>
      <c r="M74" s="236">
        <f>$C$6*B$22*C$45</f>
        <v/>
      </c>
      <c r="N74" s="236">
        <f>$C$6*B$22*C$46</f>
        <v/>
      </c>
      <c r="O74" s="236">
        <f>$C$6*B$22*C$47</f>
        <v/>
      </c>
      <c r="P74" s="236">
        <f>$C$6*B$22*C$48</f>
        <v/>
      </c>
      <c r="Q74" s="236">
        <f>$C$6*B$22*C$49</f>
        <v/>
      </c>
      <c r="R74" s="236">
        <f>$C$6*B$22*C$50</f>
        <v/>
      </c>
      <c r="S74" s="236">
        <f>$C$6*B$22*C$51</f>
        <v/>
      </c>
      <c r="T74" s="236">
        <f>$C$6*B$22*C$52</f>
        <v/>
      </c>
      <c r="U74" s="236">
        <f>$C$6*B$22*C$53</f>
        <v/>
      </c>
      <c r="V74" s="236">
        <f>$C$6*B$22*C$54</f>
        <v/>
      </c>
      <c r="W74" s="236">
        <f>$C$6*B$22*C$55</f>
        <v/>
      </c>
      <c r="X74" s="236">
        <f>$C$6*B$22*C$56</f>
        <v/>
      </c>
      <c r="Y74" s="236">
        <f>$C$6*B$22*C$57</f>
        <v/>
      </c>
      <c r="Z74" s="236">
        <f>$C$6*B$22*C$58</f>
        <v/>
      </c>
      <c r="AA74" s="236">
        <f>$C$6*B$22*C$59</f>
        <v/>
      </c>
      <c r="AB74" s="236">
        <f>$C$6*B$22*C$60</f>
        <v/>
      </c>
      <c r="AC74" s="236">
        <f>$C$6*B$22*C$61</f>
        <v/>
      </c>
      <c r="AD74" s="236">
        <f>$C$6*B$22*C$62</f>
        <v/>
      </c>
      <c r="AE74" s="236">
        <f>$C$6*B$22*C$63</f>
        <v/>
      </c>
      <c r="AF74" s="236">
        <f>$C$6*B$22*C$64</f>
        <v/>
      </c>
      <c r="AG74" s="236">
        <f>$C$6*B$22*C$65</f>
        <v/>
      </c>
      <c r="AH74" s="236">
        <f>$C$6*B$22*C$66</f>
        <v/>
      </c>
      <c r="AI74" s="236">
        <f>$C$6*B$22*C$67</f>
        <v/>
      </c>
      <c r="AJ74" s="236">
        <f>$C$6*B$22*C$68</f>
        <v/>
      </c>
      <c r="AK74" s="236">
        <f>$C$6*B$22*C$69</f>
        <v/>
      </c>
      <c r="AL74" s="174" t="n"/>
      <c r="AM74" s="174" t="n"/>
    </row>
    <row r="75" ht="14.5" customFormat="1" customHeight="1" s="149">
      <c r="A75" s="176">
        <f>A7</f>
        <v/>
      </c>
      <c r="B75" s="177" t="n">
        <v>2023</v>
      </c>
      <c r="C75" s="236">
        <f>$C$7*B$22*C$35</f>
        <v/>
      </c>
      <c r="D75" s="236">
        <f>$C$7*B$22*C$36</f>
        <v/>
      </c>
      <c r="E75" s="236">
        <f>$C$7*B$22*C$37</f>
        <v/>
      </c>
      <c r="F75" s="236">
        <f>$C$7*B$22*C$38</f>
        <v/>
      </c>
      <c r="G75" s="236">
        <f>$C$7*B$22*C$39</f>
        <v/>
      </c>
      <c r="H75" s="236">
        <f>$C$7*B$22*C$40</f>
        <v/>
      </c>
      <c r="I75" s="236">
        <f>$C$7*B$22*C$41</f>
        <v/>
      </c>
      <c r="J75" s="236">
        <f>$C$7*B$22*C$42</f>
        <v/>
      </c>
      <c r="K75" s="236">
        <f>$C$7*B$22*C$43</f>
        <v/>
      </c>
      <c r="L75" s="236">
        <f>$C$7*B$22*C$44</f>
        <v/>
      </c>
      <c r="M75" s="236">
        <f>$C$7*B$22*C$45</f>
        <v/>
      </c>
      <c r="N75" s="236">
        <f>$C$7*B$22*C$46</f>
        <v/>
      </c>
      <c r="O75" s="236">
        <f>$C$7*B$22*C$47</f>
        <v/>
      </c>
      <c r="P75" s="236">
        <f>$C$7*B$22*C$48</f>
        <v/>
      </c>
      <c r="Q75" s="236">
        <f>$C$7*B$22*C$49</f>
        <v/>
      </c>
      <c r="R75" s="236">
        <f>$C$7*B$22*C$50</f>
        <v/>
      </c>
      <c r="S75" s="236">
        <f>$C$7*B$22*C$51</f>
        <v/>
      </c>
      <c r="T75" s="236">
        <f>$C$7*B$22*C$52</f>
        <v/>
      </c>
      <c r="U75" s="236">
        <f>$C$7*B$22*C$53</f>
        <v/>
      </c>
      <c r="V75" s="236">
        <f>$C$7*B$22*C$54</f>
        <v/>
      </c>
      <c r="W75" s="236">
        <f>$C$7*B$22*C$55</f>
        <v/>
      </c>
      <c r="X75" s="236">
        <f>$C$7*B$22*C$56</f>
        <v/>
      </c>
      <c r="Y75" s="236">
        <f>$C$7*B$22*C$57</f>
        <v/>
      </c>
      <c r="Z75" s="236">
        <f>$C$7*B$22*C$58</f>
        <v/>
      </c>
      <c r="AA75" s="236">
        <f>$C$7*B$22*C$59</f>
        <v/>
      </c>
      <c r="AB75" s="236">
        <f>$C$7*B$22*C$60</f>
        <v/>
      </c>
      <c r="AC75" s="236">
        <f>$C$7*B$22*C$61</f>
        <v/>
      </c>
      <c r="AD75" s="236">
        <f>$C$7*B$22*C$62</f>
        <v/>
      </c>
      <c r="AE75" s="236">
        <f>$C$7*B$22*C$63</f>
        <v/>
      </c>
      <c r="AF75" s="236">
        <f>$C$7*B$22*C$64</f>
        <v/>
      </c>
      <c r="AG75" s="236">
        <f>$C$7*B$22*C$65</f>
        <v/>
      </c>
      <c r="AH75" s="236">
        <f>$C$7*B$22*C$66</f>
        <v/>
      </c>
      <c r="AI75" s="236">
        <f>$C$7*B$22*C$67</f>
        <v/>
      </c>
      <c r="AJ75" s="236">
        <f>$C$7*B$22*C$68</f>
        <v/>
      </c>
      <c r="AK75" s="236">
        <f>$C$7*B$22*C$69</f>
        <v/>
      </c>
      <c r="AL75" s="174" t="n"/>
      <c r="AM75" s="174" t="n"/>
    </row>
    <row r="76" ht="14.5" customFormat="1" customHeight="1" s="149">
      <c r="A76" s="176">
        <f>A8</f>
        <v/>
      </c>
      <c r="B76" s="177" t="n">
        <v>2023</v>
      </c>
      <c r="C76" s="236">
        <f>$C$8*B$22*C$35</f>
        <v/>
      </c>
      <c r="D76" s="236">
        <f>$C$8*B$22*C$36</f>
        <v/>
      </c>
      <c r="E76" s="236">
        <f>$C$8*B$22*C$37</f>
        <v/>
      </c>
      <c r="F76" s="236">
        <f>$C$8*B$22*C$38</f>
        <v/>
      </c>
      <c r="G76" s="236">
        <f>$C$8*B$22*C$39</f>
        <v/>
      </c>
      <c r="H76" s="236">
        <f>$C$8*B$22*C$40</f>
        <v/>
      </c>
      <c r="I76" s="236">
        <f>$C$8*B$22*C$41</f>
        <v/>
      </c>
      <c r="J76" s="236">
        <f>$C$8*B$22*C$42</f>
        <v/>
      </c>
      <c r="K76" s="236">
        <f>$C$8*B$22*C$43</f>
        <v/>
      </c>
      <c r="L76" s="236">
        <f>$C$8*B$22*C$44</f>
        <v/>
      </c>
      <c r="M76" s="236">
        <f>$C$8*B$22*C$45</f>
        <v/>
      </c>
      <c r="N76" s="236">
        <f>$C$8*B$22*C$46</f>
        <v/>
      </c>
      <c r="O76" s="236">
        <f>$C$8*B$22*C$47</f>
        <v/>
      </c>
      <c r="P76" s="236">
        <f>$C$8*B$22*C$48</f>
        <v/>
      </c>
      <c r="Q76" s="236">
        <f>$C$8*B$22*C$49</f>
        <v/>
      </c>
      <c r="R76" s="236">
        <f>$C$8*B$22*C$50</f>
        <v/>
      </c>
      <c r="S76" s="236">
        <f>$C$8*B$22*C$51</f>
        <v/>
      </c>
      <c r="T76" s="236">
        <f>$C$8*B$22*C$52</f>
        <v/>
      </c>
      <c r="U76" s="236">
        <f>$C$8*B$22*C$53</f>
        <v/>
      </c>
      <c r="V76" s="236">
        <f>$C$8*B$22*C$54</f>
        <v/>
      </c>
      <c r="W76" s="236">
        <f>$C$8*B$22*C$55</f>
        <v/>
      </c>
      <c r="X76" s="236">
        <f>$C$8*B$22*C$56</f>
        <v/>
      </c>
      <c r="Y76" s="236">
        <f>$C$8*B$22*C$57</f>
        <v/>
      </c>
      <c r="Z76" s="236">
        <f>$C$8*B$22*C$58</f>
        <v/>
      </c>
      <c r="AA76" s="236">
        <f>$C$8*B$22*C$59</f>
        <v/>
      </c>
      <c r="AB76" s="236">
        <f>$C$8*B$22*C$60</f>
        <v/>
      </c>
      <c r="AC76" s="236">
        <f>$C$8*B$22*C$61</f>
        <v/>
      </c>
      <c r="AD76" s="236">
        <f>$C$8*B$22*C$62</f>
        <v/>
      </c>
      <c r="AE76" s="236">
        <f>$C$8*B$22*C$63</f>
        <v/>
      </c>
      <c r="AF76" s="236">
        <f>$C$8*B$22*C$64</f>
        <v/>
      </c>
      <c r="AG76" s="236">
        <f>$C$8*B$22*C$65</f>
        <v/>
      </c>
      <c r="AH76" s="236">
        <f>$C$8*B$22*C$66</f>
        <v/>
      </c>
      <c r="AI76" s="236">
        <f>$C$8*B$22*C$67</f>
        <v/>
      </c>
      <c r="AJ76" s="236">
        <f>$C$8*B$22*C$68</f>
        <v/>
      </c>
      <c r="AK76" s="236">
        <f>$C$8*B$22*C$69</f>
        <v/>
      </c>
      <c r="AL76" s="174" t="n"/>
      <c r="AM76" s="174" t="n"/>
    </row>
    <row r="77" ht="14.5" customFormat="1" customHeight="1" s="149">
      <c r="A77" s="176">
        <f>A9</f>
        <v/>
      </c>
      <c r="B77" s="177" t="n">
        <v>2023</v>
      </c>
      <c r="C77" s="236">
        <f>$C$9*B$22*C$35</f>
        <v/>
      </c>
      <c r="D77" s="236">
        <f>$C$9*B$22*C$36</f>
        <v/>
      </c>
      <c r="E77" s="236">
        <f>$C$9*B$22*C$37</f>
        <v/>
      </c>
      <c r="F77" s="236">
        <f>$C$9*B$22*C$38</f>
        <v/>
      </c>
      <c r="G77" s="236">
        <f>$C$9*B$22*C$39</f>
        <v/>
      </c>
      <c r="H77" s="236">
        <f>$C$9*B$22*C$40</f>
        <v/>
      </c>
      <c r="I77" s="236">
        <f>$C$9*B$22*C$41</f>
        <v/>
      </c>
      <c r="J77" s="236">
        <f>$C$9*B$22*C$42</f>
        <v/>
      </c>
      <c r="K77" s="236">
        <f>$C$9*B$22*C$43</f>
        <v/>
      </c>
      <c r="L77" s="236">
        <f>$C$9*B$22*C$44</f>
        <v/>
      </c>
      <c r="M77" s="236">
        <f>$C$9*B$22*C$45</f>
        <v/>
      </c>
      <c r="N77" s="236">
        <f>$C$9*B$22*C$46</f>
        <v/>
      </c>
      <c r="O77" s="236">
        <f>$C$9*B$22*C$47</f>
        <v/>
      </c>
      <c r="P77" s="236">
        <f>$C$9*B$22*C$48</f>
        <v/>
      </c>
      <c r="Q77" s="236">
        <f>$C$9*B$22*C$49</f>
        <v/>
      </c>
      <c r="R77" s="236">
        <f>$C$9*B$22*C$50</f>
        <v/>
      </c>
      <c r="S77" s="236">
        <f>$C$9*B$22*C$51</f>
        <v/>
      </c>
      <c r="T77" s="236">
        <f>$C$9*B$22*C$52</f>
        <v/>
      </c>
      <c r="U77" s="236">
        <f>$C$9*B$22*C$53</f>
        <v/>
      </c>
      <c r="V77" s="236">
        <f>$C$9*B$22*C$54</f>
        <v/>
      </c>
      <c r="W77" s="236">
        <f>$C$9*B$22*C$55</f>
        <v/>
      </c>
      <c r="X77" s="236">
        <f>$C$9*B$22*C$56</f>
        <v/>
      </c>
      <c r="Y77" s="236">
        <f>$C$9*B$22*C$57</f>
        <v/>
      </c>
      <c r="Z77" s="236">
        <f>$C$9*B$22*C$58</f>
        <v/>
      </c>
      <c r="AA77" s="236">
        <f>$C$9*B$22*C$59</f>
        <v/>
      </c>
      <c r="AB77" s="236">
        <f>$C$9*B$22*C$60</f>
        <v/>
      </c>
      <c r="AC77" s="236">
        <f>$C$9*B$22*C$61</f>
        <v/>
      </c>
      <c r="AD77" s="236">
        <f>$C$9*B$22*C$62</f>
        <v/>
      </c>
      <c r="AE77" s="236">
        <f>$C$9*B$22*C$63</f>
        <v/>
      </c>
      <c r="AF77" s="236">
        <f>$C$9*B$22*C$64</f>
        <v/>
      </c>
      <c r="AG77" s="236">
        <f>$C$9*B$22*C$65</f>
        <v/>
      </c>
      <c r="AH77" s="236">
        <f>$C$9*B$22*C$66</f>
        <v/>
      </c>
      <c r="AI77" s="236">
        <f>$C$9*B$22*C$67</f>
        <v/>
      </c>
      <c r="AJ77" s="236">
        <f>$C$9*B$22*C$68</f>
        <v/>
      </c>
      <c r="AK77" s="236">
        <f>$C$9*B$22*C$69</f>
        <v/>
      </c>
      <c r="AL77" s="174" t="n"/>
      <c r="AM77" s="174" t="n"/>
    </row>
    <row r="78" ht="14.5" customFormat="1" customHeight="1" s="149">
      <c r="A78" s="176">
        <f>A10</f>
        <v/>
      </c>
      <c r="B78" s="177" t="n">
        <v>2023</v>
      </c>
      <c r="C78" s="236">
        <f>$C$10*B$22*C$35</f>
        <v/>
      </c>
      <c r="D78" s="236">
        <f>$C$10*B$22*C$36</f>
        <v/>
      </c>
      <c r="E78" s="236">
        <f>$C$10*B$22*C$37</f>
        <v/>
      </c>
      <c r="F78" s="236">
        <f>$C$10*B$22*C$38</f>
        <v/>
      </c>
      <c r="G78" s="236">
        <f>$C$10*B$22*C$39</f>
        <v/>
      </c>
      <c r="H78" s="236">
        <f>$C$10*B$22*C$40</f>
        <v/>
      </c>
      <c r="I78" s="236">
        <f>$C$10*B$22*C$41</f>
        <v/>
      </c>
      <c r="J78" s="236">
        <f>$C$10*B$22*C$42</f>
        <v/>
      </c>
      <c r="K78" s="236">
        <f>$C$10*B$22*C$43</f>
        <v/>
      </c>
      <c r="L78" s="236">
        <f>$C$10*B$22*C$44</f>
        <v/>
      </c>
      <c r="M78" s="236">
        <f>$C$10*B$22*C$45</f>
        <v/>
      </c>
      <c r="N78" s="236">
        <f>$C$10*B$22*C$46</f>
        <v/>
      </c>
      <c r="O78" s="236">
        <f>$C$10*B$22*C$47</f>
        <v/>
      </c>
      <c r="P78" s="236">
        <f>$C$10*B$22*C$48</f>
        <v/>
      </c>
      <c r="Q78" s="236">
        <f>$C$10*B$22*C$49</f>
        <v/>
      </c>
      <c r="R78" s="236">
        <f>$C$10*B$22*C$50</f>
        <v/>
      </c>
      <c r="S78" s="236">
        <f>$C$10*B$22*C$51</f>
        <v/>
      </c>
      <c r="T78" s="236">
        <f>$C$10*B$22*C$52</f>
        <v/>
      </c>
      <c r="U78" s="236">
        <f>$C$10*B$22*C$53</f>
        <v/>
      </c>
      <c r="V78" s="236">
        <f>$C$10*B$22*C$54</f>
        <v/>
      </c>
      <c r="W78" s="236">
        <f>$C$10*B$22*C$55</f>
        <v/>
      </c>
      <c r="X78" s="236">
        <f>$C$10*B$22*C$56</f>
        <v/>
      </c>
      <c r="Y78" s="236">
        <f>$C$10*B$22*C$57</f>
        <v/>
      </c>
      <c r="Z78" s="236">
        <f>$C$10*B$22*C$58</f>
        <v/>
      </c>
      <c r="AA78" s="236">
        <f>$C$10*B$22*C$59</f>
        <v/>
      </c>
      <c r="AB78" s="236">
        <f>$C$10*B$22*C$60</f>
        <v/>
      </c>
      <c r="AC78" s="236">
        <f>$C$10*B$22*C$61</f>
        <v/>
      </c>
      <c r="AD78" s="236">
        <f>$C$10*B$22*C$62</f>
        <v/>
      </c>
      <c r="AE78" s="236">
        <f>$C$10*B$22*C$63</f>
        <v/>
      </c>
      <c r="AF78" s="236">
        <f>$C$10*B$22*C$64</f>
        <v/>
      </c>
      <c r="AG78" s="236">
        <f>$C$10*B$22*C$65</f>
        <v/>
      </c>
      <c r="AH78" s="236">
        <f>$C$10*B$22*C$66</f>
        <v/>
      </c>
      <c r="AI78" s="236">
        <f>$C$10*B$22*C$67</f>
        <v/>
      </c>
      <c r="AJ78" s="236">
        <f>$C$10*B$22*C$68</f>
        <v/>
      </c>
      <c r="AK78" s="236">
        <f>$C$10*B$22*C$69</f>
        <v/>
      </c>
      <c r="AL78" s="174" t="n"/>
      <c r="AM78" s="174" t="n"/>
    </row>
    <row r="79" ht="14.5" customFormat="1" customHeight="1" s="149">
      <c r="A79" s="176">
        <f>A11</f>
        <v/>
      </c>
      <c r="B79" s="177" t="n">
        <v>2023</v>
      </c>
      <c r="C79" s="236">
        <f>$C$11*B$22*C$35</f>
        <v/>
      </c>
      <c r="D79" s="236">
        <f>$C$11*B$22*C$36</f>
        <v/>
      </c>
      <c r="E79" s="236">
        <f>$C$11*B$22*C$37</f>
        <v/>
      </c>
      <c r="F79" s="236">
        <f>$C$11*B$22*C$38</f>
        <v/>
      </c>
      <c r="G79" s="236">
        <f>$C$11*B$22*C$39</f>
        <v/>
      </c>
      <c r="H79" s="236">
        <f>$C$11*B$22*C$40</f>
        <v/>
      </c>
      <c r="I79" s="236">
        <f>$C$11*B$22*C$41</f>
        <v/>
      </c>
      <c r="J79" s="236">
        <f>$C$11*B$22*C$42</f>
        <v/>
      </c>
      <c r="K79" s="236">
        <f>$C$11*B$22*C$43</f>
        <v/>
      </c>
      <c r="L79" s="236">
        <f>$C$11*B$22*C$44</f>
        <v/>
      </c>
      <c r="M79" s="236">
        <f>$C$11*B$22*C$45</f>
        <v/>
      </c>
      <c r="N79" s="236">
        <f>$C$11*B$22*C$46</f>
        <v/>
      </c>
      <c r="O79" s="236">
        <f>$C$11*B$22*C$47</f>
        <v/>
      </c>
      <c r="P79" s="236">
        <f>$C$11*B$22*C$48</f>
        <v/>
      </c>
      <c r="Q79" s="236">
        <f>$C$11*B$22*C$49</f>
        <v/>
      </c>
      <c r="R79" s="236">
        <f>$C$11*B$22*C$50</f>
        <v/>
      </c>
      <c r="S79" s="236">
        <f>$C$11*B$22*C$51</f>
        <v/>
      </c>
      <c r="T79" s="236">
        <f>$C$11*B$22*C$52</f>
        <v/>
      </c>
      <c r="U79" s="236">
        <f>$C$11*B$22*C$53</f>
        <v/>
      </c>
      <c r="V79" s="236">
        <f>$C$11*B$22*C$54</f>
        <v/>
      </c>
      <c r="W79" s="236">
        <f>$C$11*B$22*C$55</f>
        <v/>
      </c>
      <c r="X79" s="236">
        <f>$C$11*B$22*C$56</f>
        <v/>
      </c>
      <c r="Y79" s="236">
        <f>$C$11*B$22*C$57</f>
        <v/>
      </c>
      <c r="Z79" s="236">
        <f>$C$11*B$22*C$58</f>
        <v/>
      </c>
      <c r="AA79" s="236">
        <f>$C$11*B$22*C$59</f>
        <v/>
      </c>
      <c r="AB79" s="236">
        <f>$C$11*B$22*C$60</f>
        <v/>
      </c>
      <c r="AC79" s="236">
        <f>$C$11*B$22*C$61</f>
        <v/>
      </c>
      <c r="AD79" s="236">
        <f>$C$11*B$22*C$62</f>
        <v/>
      </c>
      <c r="AE79" s="236">
        <f>$C$11*B$22*C$63</f>
        <v/>
      </c>
      <c r="AF79" s="236">
        <f>$C$11*B$22*C$64</f>
        <v/>
      </c>
      <c r="AG79" s="236">
        <f>$C$11*B$22*C$65</f>
        <v/>
      </c>
      <c r="AH79" s="236">
        <f>$C$11*B$22*C$66</f>
        <v/>
      </c>
      <c r="AI79" s="236">
        <f>$C$11*B$22*C$67</f>
        <v/>
      </c>
      <c r="AJ79" s="236">
        <f>$C$11*B$22*C$68</f>
        <v/>
      </c>
      <c r="AK79" s="236">
        <f>$C$11*B$22*C$69</f>
        <v/>
      </c>
      <c r="AL79" s="174" t="n"/>
      <c r="AM79" s="174" t="n"/>
    </row>
    <row r="80" ht="14.5" customFormat="1" customHeight="1" s="149">
      <c r="A80" s="176">
        <f>A12</f>
        <v/>
      </c>
      <c r="B80" s="177" t="n">
        <v>2023</v>
      </c>
      <c r="C80" s="236">
        <f>$C$12*B$22*C$35</f>
        <v/>
      </c>
      <c r="D80" s="236">
        <f>$C$12*B$22*C$36</f>
        <v/>
      </c>
      <c r="E80" s="236">
        <f>$C$12*B$22*C$37</f>
        <v/>
      </c>
      <c r="F80" s="236">
        <f>$C$12*B$22*C$38</f>
        <v/>
      </c>
      <c r="G80" s="236">
        <f>$C$12*B$22*C$39</f>
        <v/>
      </c>
      <c r="H80" s="236">
        <f>$C$12*B$22*C$40</f>
        <v/>
      </c>
      <c r="I80" s="236">
        <f>$C$12*B$22*C$41</f>
        <v/>
      </c>
      <c r="J80" s="236">
        <f>$C$12*B$22*C$42</f>
        <v/>
      </c>
      <c r="K80" s="236">
        <f>$C$12*B$22*C$43</f>
        <v/>
      </c>
      <c r="L80" s="236">
        <f>$C$12*B$22*C$44</f>
        <v/>
      </c>
      <c r="M80" s="236">
        <f>$C$12*B$22*C$45</f>
        <v/>
      </c>
      <c r="N80" s="236">
        <f>$C$12*B$22*C$46</f>
        <v/>
      </c>
      <c r="O80" s="236">
        <f>$C$12*B$22*C$47</f>
        <v/>
      </c>
      <c r="P80" s="236">
        <f>$C$12*B$22*C$48</f>
        <v/>
      </c>
      <c r="Q80" s="236">
        <f>$C$12*B$22*C$49</f>
        <v/>
      </c>
      <c r="R80" s="236">
        <f>$C$12*B$22*C$50</f>
        <v/>
      </c>
      <c r="S80" s="236">
        <f>$C$12*B$22*C$51</f>
        <v/>
      </c>
      <c r="T80" s="236">
        <f>$C$12*B$22*C$52</f>
        <v/>
      </c>
      <c r="U80" s="236">
        <f>$C$12*B$22*C$53</f>
        <v/>
      </c>
      <c r="V80" s="236">
        <f>$C$12*B$22*C$54</f>
        <v/>
      </c>
      <c r="W80" s="236">
        <f>$C$12*B$22*C$55</f>
        <v/>
      </c>
      <c r="X80" s="236">
        <f>$C$12*B$22*C$56</f>
        <v/>
      </c>
      <c r="Y80" s="236">
        <f>$C$12*B$22*C$57</f>
        <v/>
      </c>
      <c r="Z80" s="236">
        <f>$C$12*B$22*C$58</f>
        <v/>
      </c>
      <c r="AA80" s="236">
        <f>$C$12*B$22*C$59</f>
        <v/>
      </c>
      <c r="AB80" s="236">
        <f>$C$12*B$22*C$60</f>
        <v/>
      </c>
      <c r="AC80" s="236">
        <f>$C$12*B$22*C$61</f>
        <v/>
      </c>
      <c r="AD80" s="236">
        <f>$C$12*B$22*C$62</f>
        <v/>
      </c>
      <c r="AE80" s="236">
        <f>$C$12*B$22*C$63</f>
        <v/>
      </c>
      <c r="AF80" s="236">
        <f>$C$12*B$22*C$64</f>
        <v/>
      </c>
      <c r="AG80" s="236">
        <f>$C$12*B$22*C$65</f>
        <v/>
      </c>
      <c r="AH80" s="236">
        <f>$C$12*B$22*C$66</f>
        <v/>
      </c>
      <c r="AI80" s="236">
        <f>$C$12*B$22*C$67</f>
        <v/>
      </c>
      <c r="AJ80" s="236">
        <f>$C$12*B$22*C$68</f>
        <v/>
      </c>
      <c r="AK80" s="236">
        <f>$C$12*B$22*C$69</f>
        <v/>
      </c>
      <c r="AL80" s="174" t="n"/>
      <c r="AM80" s="174" t="n"/>
    </row>
    <row r="81" ht="14.5" customFormat="1" customHeight="1" s="149">
      <c r="A81" s="174" t="n"/>
      <c r="B81" s="174" t="n"/>
      <c r="C81" s="174" t="n"/>
      <c r="D81" s="174" t="n"/>
      <c r="E81" s="174" t="n"/>
      <c r="F81" s="174" t="n"/>
      <c r="G81" s="174" t="n"/>
      <c r="H81" s="174" t="n"/>
      <c r="I81" s="174" t="n"/>
      <c r="J81" s="174" t="n"/>
      <c r="K81" s="174" t="n"/>
      <c r="L81" s="174" t="n"/>
      <c r="M81" s="174" t="n"/>
      <c r="N81" s="174" t="n"/>
      <c r="O81" s="174" t="n"/>
      <c r="P81" s="174" t="n"/>
      <c r="Q81" s="174" t="n"/>
      <c r="R81" s="174" t="n"/>
      <c r="S81" s="174" t="n"/>
      <c r="T81" s="174" t="n"/>
      <c r="U81" s="174" t="n"/>
      <c r="V81" s="174" t="n"/>
      <c r="W81" s="174" t="n"/>
      <c r="X81" s="174" t="n"/>
      <c r="Y81" s="174" t="n"/>
      <c r="Z81" s="174" t="n"/>
      <c r="AA81" s="174" t="n"/>
      <c r="AB81" s="174" t="n"/>
      <c r="AC81" s="174" t="n"/>
      <c r="AD81" s="174" t="n"/>
      <c r="AE81" s="174" t="n"/>
      <c r="AF81" s="174" t="n"/>
      <c r="AG81" s="174" t="n"/>
      <c r="AH81" s="174" t="n"/>
      <c r="AI81" s="174" t="n"/>
      <c r="AJ81" s="174" t="n"/>
      <c r="AK81" s="174" t="n"/>
      <c r="AL81" s="174" t="n"/>
      <c r="AM81" s="174" t="n"/>
    </row>
    <row r="82" ht="14.5" customFormat="1" customHeight="1" s="149">
      <c r="A82" s="173" t="inlineStr">
        <is>
          <t>~TFM_INS: attribute=INVCOST</t>
        </is>
      </c>
      <c r="B82" s="174" t="n"/>
      <c r="C82" s="174" t="n"/>
      <c r="D82" s="174" t="n"/>
      <c r="E82" s="174" t="n"/>
      <c r="F82" s="174" t="n"/>
      <c r="G82" s="174" t="n"/>
      <c r="H82" s="174" t="n"/>
      <c r="I82" s="174" t="n"/>
      <c r="J82" s="174" t="n"/>
      <c r="K82" s="174" t="n"/>
      <c r="L82" s="174" t="n"/>
      <c r="M82" s="174" t="n"/>
      <c r="N82" s="174" t="n"/>
      <c r="O82" s="174" t="n"/>
      <c r="P82" s="174" t="n"/>
      <c r="Q82" s="174" t="n"/>
      <c r="R82" s="174" t="n"/>
      <c r="S82" s="174" t="n"/>
      <c r="T82" s="174" t="n"/>
      <c r="U82" s="174" t="n"/>
      <c r="V82" s="174" t="n"/>
      <c r="W82" s="174" t="n"/>
      <c r="X82" s="174" t="n"/>
      <c r="Y82" s="174" t="n"/>
      <c r="Z82" s="174" t="n"/>
      <c r="AA82" s="174" t="n"/>
      <c r="AB82" s="174" t="n"/>
      <c r="AC82" s="174" t="n"/>
      <c r="AD82" s="174" t="n"/>
      <c r="AE82" s="174" t="n"/>
      <c r="AF82" s="174" t="n"/>
      <c r="AG82" s="174" t="n"/>
      <c r="AH82" s="174" t="n"/>
      <c r="AI82" s="174" t="n"/>
      <c r="AJ82" s="174" t="n"/>
      <c r="AK82" s="174" t="n"/>
      <c r="AL82" s="174" t="n"/>
      <c r="AM82" s="174" t="n"/>
    </row>
    <row r="83" ht="14.5" customFormat="1" customHeight="1" s="149">
      <c r="A83" s="175" t="inlineStr">
        <is>
          <t>process</t>
        </is>
      </c>
      <c r="B83" s="175" t="inlineStr">
        <is>
          <t>year</t>
        </is>
      </c>
      <c r="C83" s="175" t="inlineStr">
        <is>
          <t>Africa_North</t>
        </is>
      </c>
      <c r="D83" s="175" t="inlineStr">
        <is>
          <t>Africa_Other</t>
        </is>
      </c>
      <c r="E83" s="175" t="inlineStr">
        <is>
          <t>Australia</t>
        </is>
      </c>
      <c r="F83" s="175" t="inlineStr">
        <is>
          <t>Austria</t>
        </is>
      </c>
      <c r="G83" s="175" t="inlineStr">
        <is>
          <t>Baltics</t>
        </is>
      </c>
      <c r="H83" s="175" t="inlineStr">
        <is>
          <t>BeNeLux</t>
        </is>
      </c>
      <c r="I83" s="175" t="inlineStr">
        <is>
          <t>Brazil</t>
        </is>
      </c>
      <c r="J83" s="175" t="inlineStr">
        <is>
          <t>China</t>
        </is>
      </c>
      <c r="K83" s="175" t="inlineStr">
        <is>
          <t>CroSloven</t>
        </is>
      </c>
      <c r="L83" s="175" t="inlineStr">
        <is>
          <t>CzechSlovak</t>
        </is>
      </c>
      <c r="M83" s="175" t="inlineStr">
        <is>
          <t>France</t>
        </is>
      </c>
      <c r="N83" s="175" t="inlineStr">
        <is>
          <t>Germany</t>
        </is>
      </c>
      <c r="O83" s="175" t="inlineStr">
        <is>
          <t>GreeceCyp</t>
        </is>
      </c>
      <c r="P83" s="175" t="inlineStr">
        <is>
          <t>HunRomBul</t>
        </is>
      </c>
      <c r="Q83" s="175" t="inlineStr">
        <is>
          <t>Iceland</t>
        </is>
      </c>
      <c r="R83" s="175" t="inlineStr">
        <is>
          <t>India</t>
        </is>
      </c>
      <c r="S83" s="175" t="inlineStr">
        <is>
          <t>Ireland</t>
        </is>
      </c>
      <c r="T83" s="175" t="inlineStr">
        <is>
          <t>ItalyMal</t>
        </is>
      </c>
      <c r="U83" s="175" t="inlineStr">
        <is>
          <t>Japan</t>
        </is>
      </c>
      <c r="V83" s="175" t="inlineStr">
        <is>
          <t>LatAm</t>
        </is>
      </c>
      <c r="W83" s="175" t="inlineStr">
        <is>
          <t>MidEast</t>
        </is>
      </c>
      <c r="X83" s="175" t="inlineStr">
        <is>
          <t>NorthAm</t>
        </is>
      </c>
      <c r="Y83" s="175" t="inlineStr">
        <is>
          <t>Norway</t>
        </is>
      </c>
      <c r="Z83" s="175" t="inlineStr">
        <is>
          <t>Poland</t>
        </is>
      </c>
      <c r="AA83" s="175" t="inlineStr">
        <is>
          <t>ROW</t>
        </is>
      </c>
      <c r="AB83" s="175" t="inlineStr">
        <is>
          <t>Russia</t>
        </is>
      </c>
      <c r="AC83" s="175" t="inlineStr">
        <is>
          <t>SaudiArabia</t>
        </is>
      </c>
      <c r="AD83" s="175" t="inlineStr">
        <is>
          <t>SouthAfrica</t>
        </is>
      </c>
      <c r="AE83" s="175" t="inlineStr">
        <is>
          <t>SpainPor</t>
        </is>
      </c>
      <c r="AF83" s="175" t="inlineStr">
        <is>
          <t>SweFinDen</t>
        </is>
      </c>
      <c r="AG83" s="175" t="inlineStr">
        <is>
          <t>Switzerland</t>
        </is>
      </c>
      <c r="AH83" s="175" t="inlineStr">
        <is>
          <t>Turkey</t>
        </is>
      </c>
      <c r="AI83" s="175" t="inlineStr">
        <is>
          <t>UK</t>
        </is>
      </c>
      <c r="AJ83" s="175" t="inlineStr">
        <is>
          <t>Ukraine</t>
        </is>
      </c>
      <c r="AK83" s="175" t="inlineStr">
        <is>
          <t>WestBalkans</t>
        </is>
      </c>
      <c r="AL83" s="174" t="n"/>
      <c r="AM83" s="174" t="n"/>
    </row>
    <row r="84" ht="14.5" customFormat="1" customHeight="1" s="149">
      <c r="A84" s="176">
        <f>A6</f>
        <v/>
      </c>
      <c r="B84" s="177" t="n">
        <v>2050</v>
      </c>
      <c r="C84" s="236">
        <f>$C$6*C$22*D$35</f>
        <v/>
      </c>
      <c r="D84" s="236">
        <f>$C$6*C$22*D$36</f>
        <v/>
      </c>
      <c r="E84" s="236">
        <f>$C$6*C$22*D$37</f>
        <v/>
      </c>
      <c r="F84" s="236">
        <f>$C$6*C$22*D$38</f>
        <v/>
      </c>
      <c r="G84" s="236">
        <f>$C$6*C$22*D$39</f>
        <v/>
      </c>
      <c r="H84" s="236">
        <f>$C$6*C$22*D$40</f>
        <v/>
      </c>
      <c r="I84" s="236">
        <f>$C$6*C$22*D$41</f>
        <v/>
      </c>
      <c r="J84" s="236">
        <f>$C$6*C$22*D$42</f>
        <v/>
      </c>
      <c r="K84" s="236">
        <f>$C$6*C$22*D$43</f>
        <v/>
      </c>
      <c r="L84" s="236">
        <f>$C$6*C$22*D$44</f>
        <v/>
      </c>
      <c r="M84" s="236">
        <f>$C$6*C$22*D$45</f>
        <v/>
      </c>
      <c r="N84" s="236">
        <f>$C$6*C$22*D$46</f>
        <v/>
      </c>
      <c r="O84" s="236">
        <f>$C$6*C$22*D$47</f>
        <v/>
      </c>
      <c r="P84" s="236">
        <f>$C$6*C$22*D$48</f>
        <v/>
      </c>
      <c r="Q84" s="236">
        <f>$C$6*C$22*D$49</f>
        <v/>
      </c>
      <c r="R84" s="236">
        <f>$C$6*C$22*D$50</f>
        <v/>
      </c>
      <c r="S84" s="236">
        <f>$C$6*C$22*D$51</f>
        <v/>
      </c>
      <c r="T84" s="236">
        <f>$C$6*C$22*D$52</f>
        <v/>
      </c>
      <c r="U84" s="236">
        <f>$C$6*C$22*D$53</f>
        <v/>
      </c>
      <c r="V84" s="236">
        <f>$C$6*C$22*D$54</f>
        <v/>
      </c>
      <c r="W84" s="236">
        <f>$C$6*C$22*D$55</f>
        <v/>
      </c>
      <c r="X84" s="236">
        <f>$C$6*C$22*D$56</f>
        <v/>
      </c>
      <c r="Y84" s="236">
        <f>$C$6*C$22*D$57</f>
        <v/>
      </c>
      <c r="Z84" s="236">
        <f>$C$6*C$22*D$58</f>
        <v/>
      </c>
      <c r="AA84" s="236">
        <f>$C$6*C$22*D$59</f>
        <v/>
      </c>
      <c r="AB84" s="236">
        <f>$C$6*C$22*D$60</f>
        <v/>
      </c>
      <c r="AC84" s="236">
        <f>$C$6*C$22*D$61</f>
        <v/>
      </c>
      <c r="AD84" s="236">
        <f>$C$6*C$22*D$62</f>
        <v/>
      </c>
      <c r="AE84" s="236">
        <f>$C$6*C$22*D$63</f>
        <v/>
      </c>
      <c r="AF84" s="236">
        <f>$C$6*C$22*D$64</f>
        <v/>
      </c>
      <c r="AG84" s="236">
        <f>$C$6*C$22*D$65</f>
        <v/>
      </c>
      <c r="AH84" s="236">
        <f>$C$6*C$22*D$66</f>
        <v/>
      </c>
      <c r="AI84" s="236">
        <f>$C$6*C$22*D$67</f>
        <v/>
      </c>
      <c r="AJ84" s="236">
        <f>$C$6*C$22*D$68</f>
        <v/>
      </c>
      <c r="AK84" s="236">
        <f>$C$6*C$22*D$69</f>
        <v/>
      </c>
      <c r="AL84" s="174" t="n"/>
      <c r="AM84" s="174" t="n"/>
    </row>
    <row r="85" ht="14.5" customFormat="1" customHeight="1" s="149">
      <c r="A85" s="176">
        <f>A7</f>
        <v/>
      </c>
      <c r="B85" s="177" t="n">
        <v>2050</v>
      </c>
      <c r="C85" s="236">
        <f>$C$7*C$22*D$35</f>
        <v/>
      </c>
      <c r="D85" s="236">
        <f>$C$7*C$22*D$36</f>
        <v/>
      </c>
      <c r="E85" s="236">
        <f>$C$7*C$22*D$37</f>
        <v/>
      </c>
      <c r="F85" s="236">
        <f>$C$7*C$22*D$38</f>
        <v/>
      </c>
      <c r="G85" s="236">
        <f>$C$7*C$22*D$39</f>
        <v/>
      </c>
      <c r="H85" s="236">
        <f>$C$7*C$22*D$40</f>
        <v/>
      </c>
      <c r="I85" s="236">
        <f>$C$7*C$22*D$41</f>
        <v/>
      </c>
      <c r="J85" s="236">
        <f>$C$7*C$22*D$42</f>
        <v/>
      </c>
      <c r="K85" s="236">
        <f>$C$7*C$22*D$43</f>
        <v/>
      </c>
      <c r="L85" s="236">
        <f>$C$7*C$22*D$44</f>
        <v/>
      </c>
      <c r="M85" s="236">
        <f>$C$7*C$22*D$45</f>
        <v/>
      </c>
      <c r="N85" s="236">
        <f>$C$7*C$22*D$46</f>
        <v/>
      </c>
      <c r="O85" s="236">
        <f>$C$7*C$22*D$47</f>
        <v/>
      </c>
      <c r="P85" s="236">
        <f>$C$7*C$22*D$48</f>
        <v/>
      </c>
      <c r="Q85" s="236">
        <f>$C$7*C$22*D$49</f>
        <v/>
      </c>
      <c r="R85" s="236">
        <f>$C$7*C$22*D$50</f>
        <v/>
      </c>
      <c r="S85" s="236">
        <f>$C$7*C$22*D$51</f>
        <v/>
      </c>
      <c r="T85" s="236">
        <f>$C$7*C$22*D$52</f>
        <v/>
      </c>
      <c r="U85" s="236">
        <f>$C$7*C$22*D$53</f>
        <v/>
      </c>
      <c r="V85" s="236">
        <f>$C$7*C$22*D$54</f>
        <v/>
      </c>
      <c r="W85" s="236">
        <f>$C$7*C$22*D$55</f>
        <v/>
      </c>
      <c r="X85" s="236">
        <f>$C$7*C$22*D$56</f>
        <v/>
      </c>
      <c r="Y85" s="236">
        <f>$C$7*C$22*D$57</f>
        <v/>
      </c>
      <c r="Z85" s="236">
        <f>$C$7*C$22*D$58</f>
        <v/>
      </c>
      <c r="AA85" s="236">
        <f>$C$7*C$22*D$59</f>
        <v/>
      </c>
      <c r="AB85" s="236">
        <f>$C$7*C$22*D$60</f>
        <v/>
      </c>
      <c r="AC85" s="236">
        <f>$C$7*C$22*D$61</f>
        <v/>
      </c>
      <c r="AD85" s="236">
        <f>$C$7*C$22*D$62</f>
        <v/>
      </c>
      <c r="AE85" s="236">
        <f>$C$7*C$22*D$63</f>
        <v/>
      </c>
      <c r="AF85" s="236">
        <f>$C$7*C$22*D$64</f>
        <v/>
      </c>
      <c r="AG85" s="236">
        <f>$C$7*C$22*D$65</f>
        <v/>
      </c>
      <c r="AH85" s="236">
        <f>$C$7*C$22*D$66</f>
        <v/>
      </c>
      <c r="AI85" s="236">
        <f>$C$7*C$22*D$67</f>
        <v/>
      </c>
      <c r="AJ85" s="236">
        <f>$C$7*C$22*D$68</f>
        <v/>
      </c>
      <c r="AK85" s="236">
        <f>$C$7*C$22*D$69</f>
        <v/>
      </c>
      <c r="AL85" s="174" t="n"/>
      <c r="AM85" s="174" t="n"/>
    </row>
    <row r="86" ht="14.5" customFormat="1" customHeight="1" s="149">
      <c r="A86" s="176">
        <f>A8</f>
        <v/>
      </c>
      <c r="B86" s="177" t="n">
        <v>2050</v>
      </c>
      <c r="C86" s="236">
        <f>$C$8*C$22*D$35</f>
        <v/>
      </c>
      <c r="D86" s="236">
        <f>$C$8*C$22*D$36</f>
        <v/>
      </c>
      <c r="E86" s="236">
        <f>$C$8*C$22*D$37</f>
        <v/>
      </c>
      <c r="F86" s="236">
        <f>$C$8*C$22*D$38</f>
        <v/>
      </c>
      <c r="G86" s="236">
        <f>$C$8*C$22*D$39</f>
        <v/>
      </c>
      <c r="H86" s="236">
        <f>$C$8*C$22*D$40</f>
        <v/>
      </c>
      <c r="I86" s="236">
        <f>$C$8*C$22*D$41</f>
        <v/>
      </c>
      <c r="J86" s="236">
        <f>$C$8*C$22*D$42</f>
        <v/>
      </c>
      <c r="K86" s="236">
        <f>$C$8*C$22*D$43</f>
        <v/>
      </c>
      <c r="L86" s="236">
        <f>$C$8*C$22*D$44</f>
        <v/>
      </c>
      <c r="M86" s="236">
        <f>$C$8*C$22*D$45</f>
        <v/>
      </c>
      <c r="N86" s="236">
        <f>$C$8*C$22*D$46</f>
        <v/>
      </c>
      <c r="O86" s="236">
        <f>$C$8*C$22*D$47</f>
        <v/>
      </c>
      <c r="P86" s="236">
        <f>$C$8*C$22*D$48</f>
        <v/>
      </c>
      <c r="Q86" s="236">
        <f>$C$8*C$22*D$49</f>
        <v/>
      </c>
      <c r="R86" s="236">
        <f>$C$8*C$22*D$50</f>
        <v/>
      </c>
      <c r="S86" s="236">
        <f>$C$8*C$22*D$51</f>
        <v/>
      </c>
      <c r="T86" s="236">
        <f>$C$8*C$22*D$52</f>
        <v/>
      </c>
      <c r="U86" s="236">
        <f>$C$8*C$22*D$53</f>
        <v/>
      </c>
      <c r="V86" s="236">
        <f>$C$8*C$22*D$54</f>
        <v/>
      </c>
      <c r="W86" s="236">
        <f>$C$8*C$22*D$55</f>
        <v/>
      </c>
      <c r="X86" s="236">
        <f>$C$8*C$22*D$56</f>
        <v/>
      </c>
      <c r="Y86" s="236">
        <f>$C$8*C$22*D$57</f>
        <v/>
      </c>
      <c r="Z86" s="236">
        <f>$C$8*C$22*D$58</f>
        <v/>
      </c>
      <c r="AA86" s="236">
        <f>$C$8*C$22*D$59</f>
        <v/>
      </c>
      <c r="AB86" s="236">
        <f>$C$8*C$22*D$60</f>
        <v/>
      </c>
      <c r="AC86" s="236">
        <f>$C$8*C$22*D$61</f>
        <v/>
      </c>
      <c r="AD86" s="236">
        <f>$C$8*C$22*D$62</f>
        <v/>
      </c>
      <c r="AE86" s="236">
        <f>$C$8*C$22*D$63</f>
        <v/>
      </c>
      <c r="AF86" s="236">
        <f>$C$8*C$22*D$64</f>
        <v/>
      </c>
      <c r="AG86" s="236">
        <f>$C$8*C$22*D$65</f>
        <v/>
      </c>
      <c r="AH86" s="236">
        <f>$C$8*C$22*D$66</f>
        <v/>
      </c>
      <c r="AI86" s="236">
        <f>$C$8*C$22*D$67</f>
        <v/>
      </c>
      <c r="AJ86" s="236">
        <f>$C$8*C$22*D$68</f>
        <v/>
      </c>
      <c r="AK86" s="236">
        <f>$C$8*C$22*D$69</f>
        <v/>
      </c>
      <c r="AL86" s="174" t="n"/>
      <c r="AM86" s="174" t="n"/>
    </row>
    <row r="87" ht="14.5" customFormat="1" customHeight="1" s="149">
      <c r="A87" s="176">
        <f>A9</f>
        <v/>
      </c>
      <c r="B87" s="177" t="n">
        <v>2050</v>
      </c>
      <c r="C87" s="236">
        <f>$C$9*C$22*D$35</f>
        <v/>
      </c>
      <c r="D87" s="236">
        <f>$C$9*C$22*D$36</f>
        <v/>
      </c>
      <c r="E87" s="236">
        <f>$C$9*C$22*D$37</f>
        <v/>
      </c>
      <c r="F87" s="236">
        <f>$C$9*C$22*D$38</f>
        <v/>
      </c>
      <c r="G87" s="236">
        <f>$C$9*C$22*D$39</f>
        <v/>
      </c>
      <c r="H87" s="236">
        <f>$C$9*C$22*D$40</f>
        <v/>
      </c>
      <c r="I87" s="236">
        <f>$C$9*C$22*D$41</f>
        <v/>
      </c>
      <c r="J87" s="236">
        <f>$C$9*C$22*D$42</f>
        <v/>
      </c>
      <c r="K87" s="236">
        <f>$C$9*C$22*D$43</f>
        <v/>
      </c>
      <c r="L87" s="236">
        <f>$C$9*C$22*D$44</f>
        <v/>
      </c>
      <c r="M87" s="236">
        <f>$C$9*C$22*D$45</f>
        <v/>
      </c>
      <c r="N87" s="236">
        <f>$C$9*C$22*D$46</f>
        <v/>
      </c>
      <c r="O87" s="236">
        <f>$C$9*C$22*D$47</f>
        <v/>
      </c>
      <c r="P87" s="236">
        <f>$C$9*C$22*D$48</f>
        <v/>
      </c>
      <c r="Q87" s="236">
        <f>$C$9*C$22*D$49</f>
        <v/>
      </c>
      <c r="R87" s="236">
        <f>$C$9*C$22*D$50</f>
        <v/>
      </c>
      <c r="S87" s="236">
        <f>$C$9*C$22*D$51</f>
        <v/>
      </c>
      <c r="T87" s="236">
        <f>$C$9*C$22*D$52</f>
        <v/>
      </c>
      <c r="U87" s="236">
        <f>$C$9*C$22*D$53</f>
        <v/>
      </c>
      <c r="V87" s="236">
        <f>$C$9*C$22*D$54</f>
        <v/>
      </c>
      <c r="W87" s="236">
        <f>$C$9*C$22*D$55</f>
        <v/>
      </c>
      <c r="X87" s="236">
        <f>$C$9*C$22*D$56</f>
        <v/>
      </c>
      <c r="Y87" s="236">
        <f>$C$9*C$22*D$57</f>
        <v/>
      </c>
      <c r="Z87" s="236">
        <f>$C$9*C$22*D$58</f>
        <v/>
      </c>
      <c r="AA87" s="236">
        <f>$C$9*C$22*D$59</f>
        <v/>
      </c>
      <c r="AB87" s="236">
        <f>$C$9*C$22*D$60</f>
        <v/>
      </c>
      <c r="AC87" s="236">
        <f>$C$9*C$22*D$61</f>
        <v/>
      </c>
      <c r="AD87" s="236">
        <f>$C$9*C$22*D$62</f>
        <v/>
      </c>
      <c r="AE87" s="236">
        <f>$C$9*C$22*D$63</f>
        <v/>
      </c>
      <c r="AF87" s="236">
        <f>$C$9*C$22*D$64</f>
        <v/>
      </c>
      <c r="AG87" s="236">
        <f>$C$9*C$22*D$65</f>
        <v/>
      </c>
      <c r="AH87" s="236">
        <f>$C$9*C$22*D$66</f>
        <v/>
      </c>
      <c r="AI87" s="236">
        <f>$C$9*C$22*D$67</f>
        <v/>
      </c>
      <c r="AJ87" s="236">
        <f>$C$9*C$22*D$68</f>
        <v/>
      </c>
      <c r="AK87" s="236">
        <f>$C$9*C$22*D$69</f>
        <v/>
      </c>
      <c r="AL87" s="174" t="n"/>
      <c r="AM87" s="174" t="n"/>
    </row>
    <row r="88" ht="14.5" customFormat="1" customHeight="1" s="149">
      <c r="A88" s="176">
        <f>A10</f>
        <v/>
      </c>
      <c r="B88" s="177" t="n">
        <v>2050</v>
      </c>
      <c r="C88" s="236">
        <f>$C$10*C$22*D$35</f>
        <v/>
      </c>
      <c r="D88" s="236">
        <f>$C$10*C$22*D$36</f>
        <v/>
      </c>
      <c r="E88" s="236">
        <f>$C$10*C$22*D$37</f>
        <v/>
      </c>
      <c r="F88" s="236">
        <f>$C$10*C$22*D$38</f>
        <v/>
      </c>
      <c r="G88" s="236">
        <f>$C$10*C$22*D$39</f>
        <v/>
      </c>
      <c r="H88" s="236">
        <f>$C$10*C$22*D$40</f>
        <v/>
      </c>
      <c r="I88" s="236">
        <f>$C$10*C$22*D$41</f>
        <v/>
      </c>
      <c r="J88" s="236">
        <f>$C$10*C$22*D$42</f>
        <v/>
      </c>
      <c r="K88" s="236">
        <f>$C$10*C$22*D$43</f>
        <v/>
      </c>
      <c r="L88" s="236">
        <f>$C$10*C$22*D$44</f>
        <v/>
      </c>
      <c r="M88" s="236">
        <f>$C$10*C$22*D$45</f>
        <v/>
      </c>
      <c r="N88" s="236">
        <f>$C$10*C$22*D$46</f>
        <v/>
      </c>
      <c r="O88" s="236">
        <f>$C$10*C$22*D$47</f>
        <v/>
      </c>
      <c r="P88" s="236">
        <f>$C$10*C$22*D$48</f>
        <v/>
      </c>
      <c r="Q88" s="236">
        <f>$C$10*C$22*D$49</f>
        <v/>
      </c>
      <c r="R88" s="236">
        <f>$C$10*C$22*D$50</f>
        <v/>
      </c>
      <c r="S88" s="236">
        <f>$C$10*C$22*D$51</f>
        <v/>
      </c>
      <c r="T88" s="236">
        <f>$C$10*C$22*D$52</f>
        <v/>
      </c>
      <c r="U88" s="236">
        <f>$C$10*C$22*D$53</f>
        <v/>
      </c>
      <c r="V88" s="236">
        <f>$C$10*C$22*D$54</f>
        <v/>
      </c>
      <c r="W88" s="236">
        <f>$C$10*C$22*D$55</f>
        <v/>
      </c>
      <c r="X88" s="236">
        <f>$C$10*C$22*D$56</f>
        <v/>
      </c>
      <c r="Y88" s="236">
        <f>$C$10*C$22*D$57</f>
        <v/>
      </c>
      <c r="Z88" s="236">
        <f>$C$10*C$22*D$58</f>
        <v/>
      </c>
      <c r="AA88" s="236">
        <f>$C$10*C$22*D$59</f>
        <v/>
      </c>
      <c r="AB88" s="236">
        <f>$C$10*C$22*D$60</f>
        <v/>
      </c>
      <c r="AC88" s="236">
        <f>$C$10*C$22*D$61</f>
        <v/>
      </c>
      <c r="AD88" s="236">
        <f>$C$10*C$22*D$62</f>
        <v/>
      </c>
      <c r="AE88" s="236">
        <f>$C$10*C$22*D$63</f>
        <v/>
      </c>
      <c r="AF88" s="236">
        <f>$C$10*C$22*D$64</f>
        <v/>
      </c>
      <c r="AG88" s="236">
        <f>$C$10*C$22*D$65</f>
        <v/>
      </c>
      <c r="AH88" s="236">
        <f>$C$10*C$22*D$66</f>
        <v/>
      </c>
      <c r="AI88" s="236">
        <f>$C$10*C$22*D$67</f>
        <v/>
      </c>
      <c r="AJ88" s="236">
        <f>$C$10*C$22*D$68</f>
        <v/>
      </c>
      <c r="AK88" s="236">
        <f>$C$10*C$22*D$69</f>
        <v/>
      </c>
      <c r="AL88" s="174" t="n"/>
      <c r="AM88" s="174" t="n"/>
    </row>
    <row r="89" ht="14.5" customFormat="1" customHeight="1" s="149">
      <c r="A89" s="176">
        <f>A11</f>
        <v/>
      </c>
      <c r="B89" s="177" t="n">
        <v>2050</v>
      </c>
      <c r="C89" s="236">
        <f>$C$11*C$22*D$35</f>
        <v/>
      </c>
      <c r="D89" s="236">
        <f>$C$11*C$22*D$36</f>
        <v/>
      </c>
      <c r="E89" s="236">
        <f>$C$11*C$22*D$37</f>
        <v/>
      </c>
      <c r="F89" s="236">
        <f>$C$11*C$22*D$38</f>
        <v/>
      </c>
      <c r="G89" s="236">
        <f>$C$11*C$22*D$39</f>
        <v/>
      </c>
      <c r="H89" s="236">
        <f>$C$11*C$22*D$40</f>
        <v/>
      </c>
      <c r="I89" s="236">
        <f>$C$11*C$22*D$41</f>
        <v/>
      </c>
      <c r="J89" s="236">
        <f>$C$11*C$22*D$42</f>
        <v/>
      </c>
      <c r="K89" s="236">
        <f>$C$11*C$22*D$43</f>
        <v/>
      </c>
      <c r="L89" s="236">
        <f>$C$11*C$22*D$44</f>
        <v/>
      </c>
      <c r="M89" s="236">
        <f>$C$11*C$22*D$45</f>
        <v/>
      </c>
      <c r="N89" s="236">
        <f>$C$11*C$22*D$46</f>
        <v/>
      </c>
      <c r="O89" s="236">
        <f>$C$11*C$22*D$47</f>
        <v/>
      </c>
      <c r="P89" s="236">
        <f>$C$11*C$22*D$48</f>
        <v/>
      </c>
      <c r="Q89" s="236">
        <f>$C$11*C$22*D$49</f>
        <v/>
      </c>
      <c r="R89" s="236">
        <f>$C$11*C$22*D$50</f>
        <v/>
      </c>
      <c r="S89" s="236">
        <f>$C$11*C$22*D$51</f>
        <v/>
      </c>
      <c r="T89" s="236">
        <f>$C$11*C$22*D$52</f>
        <v/>
      </c>
      <c r="U89" s="236">
        <f>$C$11*C$22*D$53</f>
        <v/>
      </c>
      <c r="V89" s="236">
        <f>$C$11*C$22*D$54</f>
        <v/>
      </c>
      <c r="W89" s="236">
        <f>$C$11*C$22*D$55</f>
        <v/>
      </c>
      <c r="X89" s="236">
        <f>$C$11*C$22*D$56</f>
        <v/>
      </c>
      <c r="Y89" s="236">
        <f>$C$11*C$22*D$57</f>
        <v/>
      </c>
      <c r="Z89" s="236">
        <f>$C$11*C$22*D$58</f>
        <v/>
      </c>
      <c r="AA89" s="236">
        <f>$C$11*C$22*D$59</f>
        <v/>
      </c>
      <c r="AB89" s="236">
        <f>$C$11*C$22*D$60</f>
        <v/>
      </c>
      <c r="AC89" s="236">
        <f>$C$11*C$22*D$61</f>
        <v/>
      </c>
      <c r="AD89" s="236">
        <f>$C$11*C$22*D$62</f>
        <v/>
      </c>
      <c r="AE89" s="236">
        <f>$C$11*C$22*D$63</f>
        <v/>
      </c>
      <c r="AF89" s="236">
        <f>$C$11*C$22*D$64</f>
        <v/>
      </c>
      <c r="AG89" s="236">
        <f>$C$11*C$22*D$65</f>
        <v/>
      </c>
      <c r="AH89" s="236">
        <f>$C$11*C$22*D$66</f>
        <v/>
      </c>
      <c r="AI89" s="236">
        <f>$C$11*C$22*D$67</f>
        <v/>
      </c>
      <c r="AJ89" s="236">
        <f>$C$11*C$22*D$68</f>
        <v/>
      </c>
      <c r="AK89" s="236">
        <f>$C$11*C$22*D$69</f>
        <v/>
      </c>
      <c r="AL89" s="174" t="n"/>
      <c r="AM89" s="174" t="n"/>
    </row>
    <row r="90" ht="14.5" customFormat="1" customHeight="1" s="149">
      <c r="A90" s="176">
        <f>A12</f>
        <v/>
      </c>
      <c r="B90" s="177" t="n">
        <v>2050</v>
      </c>
      <c r="C90" s="236">
        <f>$C$12*C$22*D$35</f>
        <v/>
      </c>
      <c r="D90" s="236">
        <f>$C$12*C$22*D$36</f>
        <v/>
      </c>
      <c r="E90" s="236">
        <f>$C$12*C$22*D$37</f>
        <v/>
      </c>
      <c r="F90" s="236">
        <f>$C$12*C$22*D$38</f>
        <v/>
      </c>
      <c r="G90" s="236">
        <f>$C$12*C$22*D$39</f>
        <v/>
      </c>
      <c r="H90" s="236">
        <f>$C$12*C$22*D$40</f>
        <v/>
      </c>
      <c r="I90" s="236">
        <f>$C$12*C$22*D$41</f>
        <v/>
      </c>
      <c r="J90" s="236">
        <f>$C$12*C$22*D$42</f>
        <v/>
      </c>
      <c r="K90" s="236">
        <f>$C$12*C$22*D$43</f>
        <v/>
      </c>
      <c r="L90" s="236">
        <f>$C$12*C$22*D$44</f>
        <v/>
      </c>
      <c r="M90" s="236">
        <f>$C$12*C$22*D$45</f>
        <v/>
      </c>
      <c r="N90" s="236">
        <f>$C$12*C$22*D$46</f>
        <v/>
      </c>
      <c r="O90" s="236">
        <f>$C$12*C$22*D$47</f>
        <v/>
      </c>
      <c r="P90" s="236">
        <f>$C$12*C$22*D$48</f>
        <v/>
      </c>
      <c r="Q90" s="236">
        <f>$C$12*C$22*D$49</f>
        <v/>
      </c>
      <c r="R90" s="236">
        <f>$C$12*C$22*D$50</f>
        <v/>
      </c>
      <c r="S90" s="236">
        <f>$C$12*C$22*D$51</f>
        <v/>
      </c>
      <c r="T90" s="236">
        <f>$C$12*C$22*D$52</f>
        <v/>
      </c>
      <c r="U90" s="236">
        <f>$C$12*C$22*D$53</f>
        <v/>
      </c>
      <c r="V90" s="236">
        <f>$C$12*C$22*D$54</f>
        <v/>
      </c>
      <c r="W90" s="236">
        <f>$C$12*C$22*D$55</f>
        <v/>
      </c>
      <c r="X90" s="236">
        <f>$C$12*C$22*D$56</f>
        <v/>
      </c>
      <c r="Y90" s="236">
        <f>$C$12*C$22*D$57</f>
        <v/>
      </c>
      <c r="Z90" s="236">
        <f>$C$12*C$22*D$58</f>
        <v/>
      </c>
      <c r="AA90" s="236">
        <f>$C$12*C$22*D$59</f>
        <v/>
      </c>
      <c r="AB90" s="236">
        <f>$C$12*C$22*D$60</f>
        <v/>
      </c>
      <c r="AC90" s="236">
        <f>$C$12*C$22*D$61</f>
        <v/>
      </c>
      <c r="AD90" s="236">
        <f>$C$12*C$22*D$62</f>
        <v/>
      </c>
      <c r="AE90" s="236">
        <f>$C$12*C$22*D$63</f>
        <v/>
      </c>
      <c r="AF90" s="236">
        <f>$C$12*C$22*D$64</f>
        <v/>
      </c>
      <c r="AG90" s="236">
        <f>$C$12*C$22*D$65</f>
        <v/>
      </c>
      <c r="AH90" s="236">
        <f>$C$12*C$22*D$66</f>
        <v/>
      </c>
      <c r="AI90" s="236">
        <f>$C$12*C$22*D$67</f>
        <v/>
      </c>
      <c r="AJ90" s="236">
        <f>$C$12*C$22*D$68</f>
        <v/>
      </c>
      <c r="AK90" s="236">
        <f>$C$12*C$22*D$69</f>
        <v/>
      </c>
      <c r="AL90" s="174" t="n"/>
      <c r="AM90" s="174" t="n"/>
    </row>
    <row r="91" ht="14.5" customFormat="1" customHeight="1" s="149">
      <c r="A91" s="174" t="n"/>
      <c r="B91" s="174" t="n"/>
      <c r="C91" s="174" t="n"/>
      <c r="D91" s="174" t="n"/>
      <c r="E91" s="174" t="n"/>
      <c r="F91" s="174" t="n"/>
      <c r="G91" s="174" t="n"/>
      <c r="H91" s="174" t="n"/>
      <c r="I91" s="174" t="n"/>
      <c r="J91" s="174" t="n"/>
      <c r="K91" s="174" t="n"/>
      <c r="L91" s="174" t="n"/>
      <c r="M91" s="174" t="n"/>
      <c r="N91" s="174" t="n"/>
      <c r="O91" s="174" t="n"/>
      <c r="P91" s="174" t="n"/>
      <c r="Q91" s="174" t="n"/>
      <c r="R91" s="174" t="n"/>
      <c r="S91" s="174" t="n"/>
      <c r="T91" s="174" t="n"/>
      <c r="U91" s="174" t="n"/>
      <c r="V91" s="174" t="n"/>
      <c r="W91" s="174" t="n"/>
      <c r="X91" s="174" t="n"/>
      <c r="Y91" s="174" t="n"/>
      <c r="Z91" s="174" t="n"/>
      <c r="AA91" s="174" t="n"/>
      <c r="AB91" s="174" t="n"/>
      <c r="AC91" s="174" t="n"/>
      <c r="AD91" s="174" t="n"/>
      <c r="AE91" s="174" t="n"/>
      <c r="AF91" s="174" t="n"/>
      <c r="AG91" s="174" t="n"/>
      <c r="AH91" s="174" t="n"/>
      <c r="AI91" s="174" t="n"/>
      <c r="AJ91" s="174" t="n"/>
      <c r="AK91" s="174" t="n"/>
      <c r="AL91" s="174" t="n"/>
      <c r="AM91" s="174" t="n"/>
    </row>
    <row r="92" ht="14.5" customFormat="1" customHeight="1" s="149">
      <c r="A92" s="173" t="inlineStr">
        <is>
          <t>~TFM_INS: attribute=INVCOST</t>
        </is>
      </c>
      <c r="B92" s="174" t="n"/>
      <c r="C92" s="174" t="n"/>
      <c r="D92" s="174" t="n"/>
      <c r="E92" s="174" t="n"/>
      <c r="F92" s="174" t="n"/>
      <c r="G92" s="174" t="n"/>
      <c r="H92" s="174" t="n"/>
      <c r="I92" s="174" t="n"/>
      <c r="J92" s="174" t="n"/>
      <c r="K92" s="174" t="n"/>
      <c r="L92" s="174" t="n"/>
      <c r="M92" s="174" t="n"/>
      <c r="N92" s="174" t="n"/>
      <c r="O92" s="174" t="n"/>
      <c r="P92" s="174" t="n"/>
      <c r="Q92" s="174" t="n"/>
      <c r="R92" s="174" t="n"/>
      <c r="S92" s="174" t="n"/>
      <c r="T92" s="174" t="n"/>
      <c r="U92" s="174" t="n"/>
      <c r="V92" s="174" t="n"/>
      <c r="W92" s="174" t="n"/>
      <c r="X92" s="174" t="n"/>
      <c r="Y92" s="174" t="n"/>
      <c r="Z92" s="174" t="n"/>
      <c r="AA92" s="174" t="n"/>
      <c r="AB92" s="174" t="n"/>
      <c r="AC92" s="174" t="n"/>
      <c r="AD92" s="174" t="n"/>
      <c r="AE92" s="174" t="n"/>
      <c r="AF92" s="174" t="n"/>
      <c r="AG92" s="174" t="n"/>
      <c r="AH92" s="174" t="n"/>
      <c r="AI92" s="174" t="n"/>
      <c r="AJ92" s="174" t="n"/>
      <c r="AK92" s="174" t="n"/>
      <c r="AL92" s="174" t="n"/>
      <c r="AM92" s="174" t="n"/>
    </row>
    <row r="93" ht="14.5" customFormat="1" customHeight="1" s="149">
      <c r="A93" s="175" t="inlineStr">
        <is>
          <t>process</t>
        </is>
      </c>
      <c r="B93" s="175" t="inlineStr">
        <is>
          <t>year</t>
        </is>
      </c>
      <c r="C93" s="175" t="inlineStr">
        <is>
          <t>Africa_North</t>
        </is>
      </c>
      <c r="D93" s="175" t="inlineStr">
        <is>
          <t>Africa_Other</t>
        </is>
      </c>
      <c r="E93" s="175" t="inlineStr">
        <is>
          <t>Australia</t>
        </is>
      </c>
      <c r="F93" s="175" t="inlineStr">
        <is>
          <t>Austria</t>
        </is>
      </c>
      <c r="G93" s="175" t="inlineStr">
        <is>
          <t>Baltics</t>
        </is>
      </c>
      <c r="H93" s="175" t="inlineStr">
        <is>
          <t>BeNeLux</t>
        </is>
      </c>
      <c r="I93" s="175" t="inlineStr">
        <is>
          <t>Brazil</t>
        </is>
      </c>
      <c r="J93" s="175" t="inlineStr">
        <is>
          <t>China</t>
        </is>
      </c>
      <c r="K93" s="175" t="inlineStr">
        <is>
          <t>CroSloven</t>
        </is>
      </c>
      <c r="L93" s="175" t="inlineStr">
        <is>
          <t>CzechSlovak</t>
        </is>
      </c>
      <c r="M93" s="175" t="inlineStr">
        <is>
          <t>France</t>
        </is>
      </c>
      <c r="N93" s="175" t="inlineStr">
        <is>
          <t>Germany</t>
        </is>
      </c>
      <c r="O93" s="175" t="inlineStr">
        <is>
          <t>GreeceCyp</t>
        </is>
      </c>
      <c r="P93" s="175" t="inlineStr">
        <is>
          <t>HunRomBul</t>
        </is>
      </c>
      <c r="Q93" s="175" t="inlineStr">
        <is>
          <t>Iceland</t>
        </is>
      </c>
      <c r="R93" s="175" t="inlineStr">
        <is>
          <t>India</t>
        </is>
      </c>
      <c r="S93" s="175" t="inlineStr">
        <is>
          <t>Ireland</t>
        </is>
      </c>
      <c r="T93" s="175" t="inlineStr">
        <is>
          <t>ItalyMal</t>
        </is>
      </c>
      <c r="U93" s="175" t="inlineStr">
        <is>
          <t>Japan</t>
        </is>
      </c>
      <c r="V93" s="175" t="inlineStr">
        <is>
          <t>LatAm</t>
        </is>
      </c>
      <c r="W93" s="175" t="inlineStr">
        <is>
          <t>MidEast</t>
        </is>
      </c>
      <c r="X93" s="175" t="inlineStr">
        <is>
          <t>NorthAm</t>
        </is>
      </c>
      <c r="Y93" s="175" t="inlineStr">
        <is>
          <t>Norway</t>
        </is>
      </c>
      <c r="Z93" s="175" t="inlineStr">
        <is>
          <t>Poland</t>
        </is>
      </c>
      <c r="AA93" s="175" t="inlineStr">
        <is>
          <t>ROW</t>
        </is>
      </c>
      <c r="AB93" s="175" t="inlineStr">
        <is>
          <t>Russia</t>
        </is>
      </c>
      <c r="AC93" s="175" t="inlineStr">
        <is>
          <t>SaudiArabia</t>
        </is>
      </c>
      <c r="AD93" s="175" t="inlineStr">
        <is>
          <t>SouthAfrica</t>
        </is>
      </c>
      <c r="AE93" s="175" t="inlineStr">
        <is>
          <t>SpainPor</t>
        </is>
      </c>
      <c r="AF93" s="175" t="inlineStr">
        <is>
          <t>SweFinDen</t>
        </is>
      </c>
      <c r="AG93" s="175" t="inlineStr">
        <is>
          <t>Switzerland</t>
        </is>
      </c>
      <c r="AH93" s="175" t="inlineStr">
        <is>
          <t>Turkey</t>
        </is>
      </c>
      <c r="AI93" s="175" t="inlineStr">
        <is>
          <t>UK</t>
        </is>
      </c>
      <c r="AJ93" s="175" t="inlineStr">
        <is>
          <t>Ukraine</t>
        </is>
      </c>
      <c r="AK93" s="175" t="inlineStr">
        <is>
          <t>WestBalkans</t>
        </is>
      </c>
      <c r="AL93" s="174" t="n"/>
      <c r="AM93" s="174" t="n"/>
    </row>
    <row r="94" ht="14.5" customFormat="1" customHeight="1" s="149">
      <c r="A94" s="176">
        <f>A6</f>
        <v/>
      </c>
      <c r="B94" s="177" t="n">
        <v>2100</v>
      </c>
      <c r="C94" s="236">
        <f>$C$6*D$22*E$35</f>
        <v/>
      </c>
      <c r="D94" s="236">
        <f>$C$6*D$22*E$36</f>
        <v/>
      </c>
      <c r="E94" s="236">
        <f>$C$6*D$22*E$37</f>
        <v/>
      </c>
      <c r="F94" s="236">
        <f>$C$6*D$22*E$38</f>
        <v/>
      </c>
      <c r="G94" s="236">
        <f>$C$6*D$22*E$39</f>
        <v/>
      </c>
      <c r="H94" s="236">
        <f>$C$6*D$22*E$40</f>
        <v/>
      </c>
      <c r="I94" s="236">
        <f>$C$6*D$22*E$41</f>
        <v/>
      </c>
      <c r="J94" s="236">
        <f>$C$6*D$22*E$42</f>
        <v/>
      </c>
      <c r="K94" s="236">
        <f>$C$6*D$22*E$43</f>
        <v/>
      </c>
      <c r="L94" s="236">
        <f>$C$6*D$22*E$44</f>
        <v/>
      </c>
      <c r="M94" s="236">
        <f>$C$6*D$22*E$45</f>
        <v/>
      </c>
      <c r="N94" s="236">
        <f>$C$6*D$22*E$46</f>
        <v/>
      </c>
      <c r="O94" s="236">
        <f>$C$6*D$22*E$47</f>
        <v/>
      </c>
      <c r="P94" s="236">
        <f>$C$6*D$22*E$48</f>
        <v/>
      </c>
      <c r="Q94" s="236">
        <f>$C$6*D$22*E$49</f>
        <v/>
      </c>
      <c r="R94" s="236">
        <f>$C$6*D$22*E$50</f>
        <v/>
      </c>
      <c r="S94" s="236">
        <f>$C$6*D$22*E$51</f>
        <v/>
      </c>
      <c r="T94" s="236">
        <f>$C$6*D$22*E$52</f>
        <v/>
      </c>
      <c r="U94" s="236">
        <f>$C$6*D$22*E$53</f>
        <v/>
      </c>
      <c r="V94" s="236">
        <f>$C$6*D$22*E$54</f>
        <v/>
      </c>
      <c r="W94" s="236">
        <f>$C$6*D$22*E$55</f>
        <v/>
      </c>
      <c r="X94" s="236">
        <f>$C$6*D$22*E$56</f>
        <v/>
      </c>
      <c r="Y94" s="236">
        <f>$C$6*D$22*E$57</f>
        <v/>
      </c>
      <c r="Z94" s="236">
        <f>$C$6*D$22*E$58</f>
        <v/>
      </c>
      <c r="AA94" s="236">
        <f>$C$6*D$22*E$59</f>
        <v/>
      </c>
      <c r="AB94" s="236">
        <f>$C$6*D$22*E$60</f>
        <v/>
      </c>
      <c r="AC94" s="236">
        <f>$C$6*D$22*E$61</f>
        <v/>
      </c>
      <c r="AD94" s="236">
        <f>$C$6*D$22*E$62</f>
        <v/>
      </c>
      <c r="AE94" s="236">
        <f>$C$6*D$22*E$63</f>
        <v/>
      </c>
      <c r="AF94" s="236">
        <f>$C$6*D$22*E$64</f>
        <v/>
      </c>
      <c r="AG94" s="236">
        <f>$C$6*D$22*E$65</f>
        <v/>
      </c>
      <c r="AH94" s="236">
        <f>$C$6*D$22*E$66</f>
        <v/>
      </c>
      <c r="AI94" s="236">
        <f>$C$6*D$22*E$67</f>
        <v/>
      </c>
      <c r="AJ94" s="236">
        <f>$C$6*D$22*E$68</f>
        <v/>
      </c>
      <c r="AK94" s="236">
        <f>$C$6*D$22*E$69</f>
        <v/>
      </c>
      <c r="AL94" s="174" t="n"/>
      <c r="AM94" s="174" t="n"/>
    </row>
    <row r="95" ht="14.5" customFormat="1" customHeight="1" s="149">
      <c r="A95" s="176">
        <f>A7</f>
        <v/>
      </c>
      <c r="B95" s="177" t="n">
        <v>2100</v>
      </c>
      <c r="C95" s="236">
        <f>$C$7*D$22*E$35</f>
        <v/>
      </c>
      <c r="D95" s="236">
        <f>$C$7*D$22*E$36</f>
        <v/>
      </c>
      <c r="E95" s="236">
        <f>$C$7*D$22*E$37</f>
        <v/>
      </c>
      <c r="F95" s="236">
        <f>$C$7*D$22*E$38</f>
        <v/>
      </c>
      <c r="G95" s="236">
        <f>$C$7*D$22*E$39</f>
        <v/>
      </c>
      <c r="H95" s="236">
        <f>$C$7*D$22*E$40</f>
        <v/>
      </c>
      <c r="I95" s="236">
        <f>$C$7*D$22*E$41</f>
        <v/>
      </c>
      <c r="J95" s="236">
        <f>$C$7*D$22*E$42</f>
        <v/>
      </c>
      <c r="K95" s="236">
        <f>$C$7*D$22*E$43</f>
        <v/>
      </c>
      <c r="L95" s="236">
        <f>$C$7*D$22*E$44</f>
        <v/>
      </c>
      <c r="M95" s="236">
        <f>$C$7*D$22*E$45</f>
        <v/>
      </c>
      <c r="N95" s="236">
        <f>$C$7*D$22*E$46</f>
        <v/>
      </c>
      <c r="O95" s="236">
        <f>$C$7*D$22*E$47</f>
        <v/>
      </c>
      <c r="P95" s="236">
        <f>$C$7*D$22*E$48</f>
        <v/>
      </c>
      <c r="Q95" s="236">
        <f>$C$7*D$22*E$49</f>
        <v/>
      </c>
      <c r="R95" s="236">
        <f>$C$7*D$22*E$50</f>
        <v/>
      </c>
      <c r="S95" s="236">
        <f>$C$7*D$22*E$51</f>
        <v/>
      </c>
      <c r="T95" s="236">
        <f>$C$7*D$22*E$52</f>
        <v/>
      </c>
      <c r="U95" s="236">
        <f>$C$7*D$22*E$53</f>
        <v/>
      </c>
      <c r="V95" s="236">
        <f>$C$7*D$22*E$54</f>
        <v/>
      </c>
      <c r="W95" s="236">
        <f>$C$7*D$22*E$55</f>
        <v/>
      </c>
      <c r="X95" s="236">
        <f>$C$7*D$22*E$56</f>
        <v/>
      </c>
      <c r="Y95" s="236">
        <f>$C$7*D$22*E$57</f>
        <v/>
      </c>
      <c r="Z95" s="236">
        <f>$C$7*D$22*E$58</f>
        <v/>
      </c>
      <c r="AA95" s="236">
        <f>$C$7*D$22*E$59</f>
        <v/>
      </c>
      <c r="AB95" s="236">
        <f>$C$7*D$22*E$60</f>
        <v/>
      </c>
      <c r="AC95" s="236">
        <f>$C$7*D$22*E$61</f>
        <v/>
      </c>
      <c r="AD95" s="236">
        <f>$C$7*D$22*E$62</f>
        <v/>
      </c>
      <c r="AE95" s="236">
        <f>$C$7*D$22*E$63</f>
        <v/>
      </c>
      <c r="AF95" s="236">
        <f>$C$7*D$22*E$64</f>
        <v/>
      </c>
      <c r="AG95" s="236">
        <f>$C$7*D$22*E$65</f>
        <v/>
      </c>
      <c r="AH95" s="236">
        <f>$C$7*D$22*E$66</f>
        <v/>
      </c>
      <c r="AI95" s="236">
        <f>$C$7*D$22*E$67</f>
        <v/>
      </c>
      <c r="AJ95" s="236">
        <f>$C$7*D$22*E$68</f>
        <v/>
      </c>
      <c r="AK95" s="236">
        <f>$C$7*D$22*E$69</f>
        <v/>
      </c>
      <c r="AL95" s="174" t="n"/>
      <c r="AM95" s="174" t="n"/>
    </row>
    <row r="96" ht="14.5" customFormat="1" customHeight="1" s="149">
      <c r="A96" s="176">
        <f>A8</f>
        <v/>
      </c>
      <c r="B96" s="177" t="n">
        <v>2100</v>
      </c>
      <c r="C96" s="236">
        <f>$C$8*D$22*E$35</f>
        <v/>
      </c>
      <c r="D96" s="236">
        <f>$C$8*D$22*E$36</f>
        <v/>
      </c>
      <c r="E96" s="236">
        <f>$C$8*D$22*E$37</f>
        <v/>
      </c>
      <c r="F96" s="236">
        <f>$C$8*D$22*E$38</f>
        <v/>
      </c>
      <c r="G96" s="236">
        <f>$C$8*D$22*E$39</f>
        <v/>
      </c>
      <c r="H96" s="236">
        <f>$C$8*D$22*E$40</f>
        <v/>
      </c>
      <c r="I96" s="236">
        <f>$C$8*D$22*E$41</f>
        <v/>
      </c>
      <c r="J96" s="236">
        <f>$C$8*D$22*E$42</f>
        <v/>
      </c>
      <c r="K96" s="236">
        <f>$C$8*D$22*E$43</f>
        <v/>
      </c>
      <c r="L96" s="236">
        <f>$C$8*D$22*E$44</f>
        <v/>
      </c>
      <c r="M96" s="236">
        <f>$C$8*D$22*E$45</f>
        <v/>
      </c>
      <c r="N96" s="236">
        <f>$C$8*D$22*E$46</f>
        <v/>
      </c>
      <c r="O96" s="236">
        <f>$C$8*D$22*E$47</f>
        <v/>
      </c>
      <c r="P96" s="236">
        <f>$C$8*D$22*E$48</f>
        <v/>
      </c>
      <c r="Q96" s="236">
        <f>$C$8*D$22*E$49</f>
        <v/>
      </c>
      <c r="R96" s="236">
        <f>$C$8*D$22*E$50</f>
        <v/>
      </c>
      <c r="S96" s="236">
        <f>$C$8*D$22*E$51</f>
        <v/>
      </c>
      <c r="T96" s="236">
        <f>$C$8*D$22*E$52</f>
        <v/>
      </c>
      <c r="U96" s="236">
        <f>$C$8*D$22*E$53</f>
        <v/>
      </c>
      <c r="V96" s="236">
        <f>$C$8*D$22*E$54</f>
        <v/>
      </c>
      <c r="W96" s="236">
        <f>$C$8*D$22*E$55</f>
        <v/>
      </c>
      <c r="X96" s="236">
        <f>$C$8*D$22*E$56</f>
        <v/>
      </c>
      <c r="Y96" s="236">
        <f>$C$8*D$22*E$57</f>
        <v/>
      </c>
      <c r="Z96" s="236">
        <f>$C$8*D$22*E$58</f>
        <v/>
      </c>
      <c r="AA96" s="236">
        <f>$C$8*D$22*E$59</f>
        <v/>
      </c>
      <c r="AB96" s="236">
        <f>$C$8*D$22*E$60</f>
        <v/>
      </c>
      <c r="AC96" s="236">
        <f>$C$8*D$22*E$61</f>
        <v/>
      </c>
      <c r="AD96" s="236">
        <f>$C$8*D$22*E$62</f>
        <v/>
      </c>
      <c r="AE96" s="236">
        <f>$C$8*D$22*E$63</f>
        <v/>
      </c>
      <c r="AF96" s="236">
        <f>$C$8*D$22*E$64</f>
        <v/>
      </c>
      <c r="AG96" s="236">
        <f>$C$8*D$22*E$65</f>
        <v/>
      </c>
      <c r="AH96" s="236">
        <f>$C$8*D$22*E$66</f>
        <v/>
      </c>
      <c r="AI96" s="236">
        <f>$C$8*D$22*E$67</f>
        <v/>
      </c>
      <c r="AJ96" s="236">
        <f>$C$8*D$22*E$68</f>
        <v/>
      </c>
      <c r="AK96" s="236">
        <f>$C$8*D$22*E$69</f>
        <v/>
      </c>
      <c r="AL96" s="174" t="n"/>
      <c r="AM96" s="174" t="n"/>
    </row>
    <row r="97" ht="14.5" customFormat="1" customHeight="1" s="149">
      <c r="A97" s="176">
        <f>A9</f>
        <v/>
      </c>
      <c r="B97" s="177" t="n">
        <v>2100</v>
      </c>
      <c r="C97" s="236">
        <f>$C$9*D$22*E$35</f>
        <v/>
      </c>
      <c r="D97" s="236">
        <f>$C$9*D$22*E$36</f>
        <v/>
      </c>
      <c r="E97" s="236">
        <f>$C$9*D$22*E$37</f>
        <v/>
      </c>
      <c r="F97" s="236">
        <f>$C$9*D$22*E$38</f>
        <v/>
      </c>
      <c r="G97" s="236">
        <f>$C$9*D$22*E$39</f>
        <v/>
      </c>
      <c r="H97" s="236">
        <f>$C$9*D$22*E$40</f>
        <v/>
      </c>
      <c r="I97" s="236">
        <f>$C$9*D$22*E$41</f>
        <v/>
      </c>
      <c r="J97" s="236">
        <f>$C$9*D$22*E$42</f>
        <v/>
      </c>
      <c r="K97" s="236">
        <f>$C$9*D$22*E$43</f>
        <v/>
      </c>
      <c r="L97" s="236">
        <f>$C$9*D$22*E$44</f>
        <v/>
      </c>
      <c r="M97" s="236">
        <f>$C$9*D$22*E$45</f>
        <v/>
      </c>
      <c r="N97" s="236">
        <f>$C$9*D$22*E$46</f>
        <v/>
      </c>
      <c r="O97" s="236">
        <f>$C$9*D$22*E$47</f>
        <v/>
      </c>
      <c r="P97" s="236">
        <f>$C$9*D$22*E$48</f>
        <v/>
      </c>
      <c r="Q97" s="236">
        <f>$C$9*D$22*E$49</f>
        <v/>
      </c>
      <c r="R97" s="236">
        <f>$C$9*D$22*E$50</f>
        <v/>
      </c>
      <c r="S97" s="236">
        <f>$C$9*D$22*E$51</f>
        <v/>
      </c>
      <c r="T97" s="236">
        <f>$C$9*D$22*E$52</f>
        <v/>
      </c>
      <c r="U97" s="236">
        <f>$C$9*D$22*E$53</f>
        <v/>
      </c>
      <c r="V97" s="236">
        <f>$C$9*D$22*E$54</f>
        <v/>
      </c>
      <c r="W97" s="236">
        <f>$C$9*D$22*E$55</f>
        <v/>
      </c>
      <c r="X97" s="236">
        <f>$C$9*D$22*E$56</f>
        <v/>
      </c>
      <c r="Y97" s="236">
        <f>$C$9*D$22*E$57</f>
        <v/>
      </c>
      <c r="Z97" s="236">
        <f>$C$9*D$22*E$58</f>
        <v/>
      </c>
      <c r="AA97" s="236">
        <f>$C$9*D$22*E$59</f>
        <v/>
      </c>
      <c r="AB97" s="236">
        <f>$C$9*D$22*E$60</f>
        <v/>
      </c>
      <c r="AC97" s="236">
        <f>$C$9*D$22*E$61</f>
        <v/>
      </c>
      <c r="AD97" s="236">
        <f>$C$9*D$22*E$62</f>
        <v/>
      </c>
      <c r="AE97" s="236">
        <f>$C$9*D$22*E$63</f>
        <v/>
      </c>
      <c r="AF97" s="236">
        <f>$C$9*D$22*E$64</f>
        <v/>
      </c>
      <c r="AG97" s="236">
        <f>$C$9*D$22*E$65</f>
        <v/>
      </c>
      <c r="AH97" s="236">
        <f>$C$9*D$22*E$66</f>
        <v/>
      </c>
      <c r="AI97" s="236">
        <f>$C$9*D$22*E$67</f>
        <v/>
      </c>
      <c r="AJ97" s="236">
        <f>$C$9*D$22*E$68</f>
        <v/>
      </c>
      <c r="AK97" s="236">
        <f>$C$9*D$22*E$69</f>
        <v/>
      </c>
      <c r="AL97" s="174" t="n"/>
      <c r="AM97" s="174" t="n"/>
    </row>
    <row r="98" ht="14.5" customFormat="1" customHeight="1" s="149">
      <c r="A98" s="176">
        <f>A10</f>
        <v/>
      </c>
      <c r="B98" s="177" t="n">
        <v>2100</v>
      </c>
      <c r="C98" s="236">
        <f>$C$10*D$22*E$35</f>
        <v/>
      </c>
      <c r="D98" s="236">
        <f>$C$10*D$22*E$36</f>
        <v/>
      </c>
      <c r="E98" s="236">
        <f>$C$10*D$22*E$37</f>
        <v/>
      </c>
      <c r="F98" s="236">
        <f>$C$10*D$22*E$38</f>
        <v/>
      </c>
      <c r="G98" s="236">
        <f>$C$10*D$22*E$39</f>
        <v/>
      </c>
      <c r="H98" s="236">
        <f>$C$10*D$22*E$40</f>
        <v/>
      </c>
      <c r="I98" s="236">
        <f>$C$10*D$22*E$41</f>
        <v/>
      </c>
      <c r="J98" s="236">
        <f>$C$10*D$22*E$42</f>
        <v/>
      </c>
      <c r="K98" s="236">
        <f>$C$10*D$22*E$43</f>
        <v/>
      </c>
      <c r="L98" s="236">
        <f>$C$10*D$22*E$44</f>
        <v/>
      </c>
      <c r="M98" s="236">
        <f>$C$10*D$22*E$45</f>
        <v/>
      </c>
      <c r="N98" s="236">
        <f>$C$10*D$22*E$46</f>
        <v/>
      </c>
      <c r="O98" s="236">
        <f>$C$10*D$22*E$47</f>
        <v/>
      </c>
      <c r="P98" s="236">
        <f>$C$10*D$22*E$48</f>
        <v/>
      </c>
      <c r="Q98" s="236">
        <f>$C$10*D$22*E$49</f>
        <v/>
      </c>
      <c r="R98" s="236">
        <f>$C$10*D$22*E$50</f>
        <v/>
      </c>
      <c r="S98" s="236">
        <f>$C$10*D$22*E$51</f>
        <v/>
      </c>
      <c r="T98" s="236">
        <f>$C$10*D$22*E$52</f>
        <v/>
      </c>
      <c r="U98" s="236">
        <f>$C$10*D$22*E$53</f>
        <v/>
      </c>
      <c r="V98" s="236">
        <f>$C$10*D$22*E$54</f>
        <v/>
      </c>
      <c r="W98" s="236">
        <f>$C$10*D$22*E$55</f>
        <v/>
      </c>
      <c r="X98" s="236">
        <f>$C$10*D$22*E$56</f>
        <v/>
      </c>
      <c r="Y98" s="236">
        <f>$C$10*D$22*E$57</f>
        <v/>
      </c>
      <c r="Z98" s="236">
        <f>$C$10*D$22*E$58</f>
        <v/>
      </c>
      <c r="AA98" s="236">
        <f>$C$10*D$22*E$59</f>
        <v/>
      </c>
      <c r="AB98" s="236">
        <f>$C$10*D$22*E$60</f>
        <v/>
      </c>
      <c r="AC98" s="236">
        <f>$C$10*D$22*E$61</f>
        <v/>
      </c>
      <c r="AD98" s="236">
        <f>$C$10*D$22*E$62</f>
        <v/>
      </c>
      <c r="AE98" s="236">
        <f>$C$10*D$22*E$63</f>
        <v/>
      </c>
      <c r="AF98" s="236">
        <f>$C$10*D$22*E$64</f>
        <v/>
      </c>
      <c r="AG98" s="236">
        <f>$C$10*D$22*E$65</f>
        <v/>
      </c>
      <c r="AH98" s="236">
        <f>$C$10*D$22*E$66</f>
        <v/>
      </c>
      <c r="AI98" s="236">
        <f>$C$10*D$22*E$67</f>
        <v/>
      </c>
      <c r="AJ98" s="236">
        <f>$C$10*D$22*E$68</f>
        <v/>
      </c>
      <c r="AK98" s="236">
        <f>$C$10*D$22*E$69</f>
        <v/>
      </c>
      <c r="AL98" s="174" t="n"/>
      <c r="AM98" s="174" t="n"/>
    </row>
    <row r="99" ht="14.5" customFormat="1" customHeight="1" s="149">
      <c r="A99" s="176">
        <f>A11</f>
        <v/>
      </c>
      <c r="B99" s="177" t="n">
        <v>2100</v>
      </c>
      <c r="C99" s="236">
        <f>$C$11*D$22*E$35</f>
        <v/>
      </c>
      <c r="D99" s="236">
        <f>$C$11*D$22*E$36</f>
        <v/>
      </c>
      <c r="E99" s="236">
        <f>$C$11*D$22*E$37</f>
        <v/>
      </c>
      <c r="F99" s="236">
        <f>$C$11*D$22*E$38</f>
        <v/>
      </c>
      <c r="G99" s="236">
        <f>$C$11*D$22*E$39</f>
        <v/>
      </c>
      <c r="H99" s="236">
        <f>$C$11*D$22*E$40</f>
        <v/>
      </c>
      <c r="I99" s="236">
        <f>$C$11*D$22*E$41</f>
        <v/>
      </c>
      <c r="J99" s="236">
        <f>$C$11*D$22*E$42</f>
        <v/>
      </c>
      <c r="K99" s="236">
        <f>$C$11*D$22*E$43</f>
        <v/>
      </c>
      <c r="L99" s="236">
        <f>$C$11*D$22*E$44</f>
        <v/>
      </c>
      <c r="M99" s="236">
        <f>$C$11*D$22*E$45</f>
        <v/>
      </c>
      <c r="N99" s="236">
        <f>$C$11*D$22*E$46</f>
        <v/>
      </c>
      <c r="O99" s="236">
        <f>$C$11*D$22*E$47</f>
        <v/>
      </c>
      <c r="P99" s="236">
        <f>$C$11*D$22*E$48</f>
        <v/>
      </c>
      <c r="Q99" s="236">
        <f>$C$11*D$22*E$49</f>
        <v/>
      </c>
      <c r="R99" s="236">
        <f>$C$11*D$22*E$50</f>
        <v/>
      </c>
      <c r="S99" s="236">
        <f>$C$11*D$22*E$51</f>
        <v/>
      </c>
      <c r="T99" s="236">
        <f>$C$11*D$22*E$52</f>
        <v/>
      </c>
      <c r="U99" s="236">
        <f>$C$11*D$22*E$53</f>
        <v/>
      </c>
      <c r="V99" s="236">
        <f>$C$11*D$22*E$54</f>
        <v/>
      </c>
      <c r="W99" s="236">
        <f>$C$11*D$22*E$55</f>
        <v/>
      </c>
      <c r="X99" s="236">
        <f>$C$11*D$22*E$56</f>
        <v/>
      </c>
      <c r="Y99" s="236">
        <f>$C$11*D$22*E$57</f>
        <v/>
      </c>
      <c r="Z99" s="236">
        <f>$C$11*D$22*E$58</f>
        <v/>
      </c>
      <c r="AA99" s="236">
        <f>$C$11*D$22*E$59</f>
        <v/>
      </c>
      <c r="AB99" s="236">
        <f>$C$11*D$22*E$60</f>
        <v/>
      </c>
      <c r="AC99" s="236">
        <f>$C$11*D$22*E$61</f>
        <v/>
      </c>
      <c r="AD99" s="236">
        <f>$C$11*D$22*E$62</f>
        <v/>
      </c>
      <c r="AE99" s="236">
        <f>$C$11*D$22*E$63</f>
        <v/>
      </c>
      <c r="AF99" s="236">
        <f>$C$11*D$22*E$64</f>
        <v/>
      </c>
      <c r="AG99" s="236">
        <f>$C$11*D$22*E$65</f>
        <v/>
      </c>
      <c r="AH99" s="236">
        <f>$C$11*D$22*E$66</f>
        <v/>
      </c>
      <c r="AI99" s="236">
        <f>$C$11*D$22*E$67</f>
        <v/>
      </c>
      <c r="AJ99" s="236">
        <f>$C$11*D$22*E$68</f>
        <v/>
      </c>
      <c r="AK99" s="236">
        <f>$C$11*D$22*E$69</f>
        <v/>
      </c>
      <c r="AL99" s="174" t="n"/>
      <c r="AM99" s="174" t="n"/>
    </row>
    <row r="100" ht="14.5" customFormat="1" customHeight="1" s="149">
      <c r="A100" s="176">
        <f>A12</f>
        <v/>
      </c>
      <c r="B100" s="177" t="n">
        <v>2100</v>
      </c>
      <c r="C100" s="236">
        <f>$C$12*D$22*E$35</f>
        <v/>
      </c>
      <c r="D100" s="236">
        <f>$C$12*D$22*E$36</f>
        <v/>
      </c>
      <c r="E100" s="236">
        <f>$C$12*D$22*E$37</f>
        <v/>
      </c>
      <c r="F100" s="236">
        <f>$C$12*D$22*E$38</f>
        <v/>
      </c>
      <c r="G100" s="236">
        <f>$C$12*D$22*E$39</f>
        <v/>
      </c>
      <c r="H100" s="236">
        <f>$C$12*D$22*E$40</f>
        <v/>
      </c>
      <c r="I100" s="236">
        <f>$C$12*D$22*E$41</f>
        <v/>
      </c>
      <c r="J100" s="236">
        <f>$C$12*D$22*E$42</f>
        <v/>
      </c>
      <c r="K100" s="236">
        <f>$C$12*D$22*E$43</f>
        <v/>
      </c>
      <c r="L100" s="236">
        <f>$C$12*D$22*E$44</f>
        <v/>
      </c>
      <c r="M100" s="236">
        <f>$C$12*D$22*E$45</f>
        <v/>
      </c>
      <c r="N100" s="236">
        <f>$C$12*D$22*E$46</f>
        <v/>
      </c>
      <c r="O100" s="236">
        <f>$C$12*D$22*E$47</f>
        <v/>
      </c>
      <c r="P100" s="236">
        <f>$C$12*D$22*E$48</f>
        <v/>
      </c>
      <c r="Q100" s="236">
        <f>$C$12*D$22*E$49</f>
        <v/>
      </c>
      <c r="R100" s="236">
        <f>$C$12*D$22*E$50</f>
        <v/>
      </c>
      <c r="S100" s="236">
        <f>$C$12*D$22*E$51</f>
        <v/>
      </c>
      <c r="T100" s="236">
        <f>$C$12*D$22*E$52</f>
        <v/>
      </c>
      <c r="U100" s="236">
        <f>$C$12*D$22*E$53</f>
        <v/>
      </c>
      <c r="V100" s="236">
        <f>$C$12*D$22*E$54</f>
        <v/>
      </c>
      <c r="W100" s="236">
        <f>$C$12*D$22*E$55</f>
        <v/>
      </c>
      <c r="X100" s="236">
        <f>$C$12*D$22*E$56</f>
        <v/>
      </c>
      <c r="Y100" s="236">
        <f>$C$12*D$22*E$57</f>
        <v/>
      </c>
      <c r="Z100" s="236">
        <f>$C$12*D$22*E$58</f>
        <v/>
      </c>
      <c r="AA100" s="236">
        <f>$C$12*D$22*E$59</f>
        <v/>
      </c>
      <c r="AB100" s="236">
        <f>$C$12*D$22*E$60</f>
        <v/>
      </c>
      <c r="AC100" s="236">
        <f>$C$12*D$22*E$61</f>
        <v/>
      </c>
      <c r="AD100" s="236">
        <f>$C$12*D$22*E$62</f>
        <v/>
      </c>
      <c r="AE100" s="236">
        <f>$C$12*D$22*E$63</f>
        <v/>
      </c>
      <c r="AF100" s="236">
        <f>$C$12*D$22*E$64</f>
        <v/>
      </c>
      <c r="AG100" s="236">
        <f>$C$12*D$22*E$65</f>
        <v/>
      </c>
      <c r="AH100" s="236">
        <f>$C$12*D$22*E$66</f>
        <v/>
      </c>
      <c r="AI100" s="236">
        <f>$C$12*D$22*E$67</f>
        <v/>
      </c>
      <c r="AJ100" s="236">
        <f>$C$12*D$22*E$68</f>
        <v/>
      </c>
      <c r="AK100" s="236">
        <f>$C$12*D$22*E$69</f>
        <v/>
      </c>
      <c r="AL100" s="174" t="n"/>
      <c r="AM100" s="174" t="n"/>
    </row>
    <row r="102" ht="14.5" customHeight="1" s="213">
      <c r="A102" s="218" t="inlineStr">
        <is>
          <t>6.  INVCOST - VIRGIN ROUTE   (paste each block into VEDA)</t>
        </is>
      </c>
    </row>
    <row r="104" ht="14.5" customHeight="1" s="213">
      <c r="A104" s="212" t="n"/>
    </row>
    <row r="105" ht="14.5" customHeight="1" s="213">
      <c r="A105" s="154" t="inlineStr">
        <is>
          <t>process</t>
        </is>
      </c>
      <c r="B105" s="154" t="inlineStr">
        <is>
          <t>year</t>
        </is>
      </c>
      <c r="C105" s="154" t="inlineStr">
        <is>
          <t>Africa_North</t>
        </is>
      </c>
      <c r="D105" s="154" t="inlineStr">
        <is>
          <t>Africa_Other</t>
        </is>
      </c>
      <c r="E105" s="154" t="inlineStr">
        <is>
          <t>Australia</t>
        </is>
      </c>
      <c r="F105" s="154" t="inlineStr">
        <is>
          <t>Austria</t>
        </is>
      </c>
      <c r="G105" s="154" t="inlineStr">
        <is>
          <t>Baltics</t>
        </is>
      </c>
      <c r="H105" s="154" t="inlineStr">
        <is>
          <t>BeNeLux</t>
        </is>
      </c>
      <c r="I105" s="154" t="inlineStr">
        <is>
          <t>Brazil</t>
        </is>
      </c>
      <c r="J105" s="154" t="inlineStr">
        <is>
          <t>China</t>
        </is>
      </c>
      <c r="K105" s="154" t="inlineStr">
        <is>
          <t>CroSloven</t>
        </is>
      </c>
      <c r="L105" s="154" t="inlineStr">
        <is>
          <t>CzechSlovak</t>
        </is>
      </c>
      <c r="M105" s="154" t="inlineStr">
        <is>
          <t>France</t>
        </is>
      </c>
      <c r="N105" s="154" t="inlineStr">
        <is>
          <t>Germany</t>
        </is>
      </c>
      <c r="O105" s="154" t="inlineStr">
        <is>
          <t>GreeceCyp</t>
        </is>
      </c>
      <c r="P105" s="154" t="inlineStr">
        <is>
          <t>HunRomBul</t>
        </is>
      </c>
      <c r="Q105" s="154" t="inlineStr">
        <is>
          <t>Iceland</t>
        </is>
      </c>
      <c r="R105" s="154" t="inlineStr">
        <is>
          <t>India</t>
        </is>
      </c>
      <c r="S105" s="154" t="inlineStr">
        <is>
          <t>Ireland</t>
        </is>
      </c>
      <c r="T105" s="154" t="inlineStr">
        <is>
          <t>ItalyMal</t>
        </is>
      </c>
      <c r="U105" s="154" t="inlineStr">
        <is>
          <t>Japan</t>
        </is>
      </c>
      <c r="V105" s="154" t="inlineStr">
        <is>
          <t>LatAm</t>
        </is>
      </c>
      <c r="W105" s="154" t="inlineStr">
        <is>
          <t>MidEast</t>
        </is>
      </c>
      <c r="X105" s="154" t="inlineStr">
        <is>
          <t>NorthAm</t>
        </is>
      </c>
      <c r="Y105" s="154" t="inlineStr">
        <is>
          <t>Norway</t>
        </is>
      </c>
      <c r="Z105" s="154" t="inlineStr">
        <is>
          <t>Poland</t>
        </is>
      </c>
      <c r="AA105" s="154" t="inlineStr">
        <is>
          <t>ROW</t>
        </is>
      </c>
      <c r="AB105" s="154" t="inlineStr">
        <is>
          <t>Russia</t>
        </is>
      </c>
      <c r="AC105" s="154" t="inlineStr">
        <is>
          <t>SaudiArabia</t>
        </is>
      </c>
      <c r="AD105" s="154" t="inlineStr">
        <is>
          <t>SouthAfrica</t>
        </is>
      </c>
      <c r="AE105" s="154" t="inlineStr">
        <is>
          <t>SpainPor</t>
        </is>
      </c>
      <c r="AF105" s="154" t="inlineStr">
        <is>
          <t>SweFinDen</t>
        </is>
      </c>
      <c r="AG105" s="154" t="inlineStr">
        <is>
          <t>Switzerland</t>
        </is>
      </c>
      <c r="AH105" s="154" t="inlineStr">
        <is>
          <t>Turkey</t>
        </is>
      </c>
      <c r="AI105" s="154" t="inlineStr">
        <is>
          <t>UK</t>
        </is>
      </c>
      <c r="AJ105" s="154" t="inlineStr">
        <is>
          <t>Ukraine</t>
        </is>
      </c>
      <c r="AK105" s="154" t="inlineStr">
        <is>
          <t>WestBalkans</t>
        </is>
      </c>
    </row>
    <row r="106" ht="14.5" customHeight="1" s="213">
      <c r="A106" s="165">
        <f>B6</f>
        <v/>
      </c>
      <c r="B106" s="180" t="n">
        <v>2023</v>
      </c>
      <c r="C106" s="234">
        <f>$E$6*B$23*C$35</f>
        <v/>
      </c>
      <c r="D106" s="234">
        <f>$E$6*B$23*C$36</f>
        <v/>
      </c>
      <c r="E106" s="234">
        <f>$E$6*B$23*C$37</f>
        <v/>
      </c>
      <c r="F106" s="234">
        <f>$E$6*B$23*C$38</f>
        <v/>
      </c>
      <c r="G106" s="234">
        <f>$E$6*B$23*C$39</f>
        <v/>
      </c>
      <c r="H106" s="234">
        <f>$E$6*B$23*C$40</f>
        <v/>
      </c>
      <c r="I106" s="234">
        <f>$E$6*B$23*C$41</f>
        <v/>
      </c>
      <c r="J106" s="234">
        <f>$E$6*B$23*C$42</f>
        <v/>
      </c>
      <c r="K106" s="234">
        <f>$E$6*B$23*C$43</f>
        <v/>
      </c>
      <c r="L106" s="234">
        <f>$E$6*B$23*C$44</f>
        <v/>
      </c>
      <c r="M106" s="234">
        <f>$E$6*B$23*C$45</f>
        <v/>
      </c>
      <c r="N106" s="234">
        <f>$E$6*B$23*C$46</f>
        <v/>
      </c>
      <c r="O106" s="234">
        <f>$E$6*B$23*C$47</f>
        <v/>
      </c>
      <c r="P106" s="234">
        <f>$E$6*B$23*C$48</f>
        <v/>
      </c>
      <c r="Q106" s="234">
        <f>$E$6*B$23*C$49</f>
        <v/>
      </c>
      <c r="R106" s="234">
        <f>$E$6*B$23*C$50</f>
        <v/>
      </c>
      <c r="S106" s="234">
        <f>$E$6*B$23*C$51</f>
        <v/>
      </c>
      <c r="T106" s="234">
        <f>$E$6*B$23*C$52</f>
        <v/>
      </c>
      <c r="U106" s="234">
        <f>$E$6*B$23*C$53</f>
        <v/>
      </c>
      <c r="V106" s="234">
        <f>$E$6*B$23*C$54</f>
        <v/>
      </c>
      <c r="W106" s="234">
        <f>$E$6*B$23*C$55</f>
        <v/>
      </c>
      <c r="X106" s="234">
        <f>$E$6*B$23*C$56</f>
        <v/>
      </c>
      <c r="Y106" s="234">
        <f>$E$6*B$23*C$57</f>
        <v/>
      </c>
      <c r="Z106" s="234">
        <f>$E$6*B$23*C$58</f>
        <v/>
      </c>
      <c r="AA106" s="234">
        <f>$E$6*B$23*C$59</f>
        <v/>
      </c>
      <c r="AB106" s="234">
        <f>$E$6*B$23*C$60</f>
        <v/>
      </c>
      <c r="AC106" s="234">
        <f>$E$6*B$23*C$61</f>
        <v/>
      </c>
      <c r="AD106" s="234">
        <f>$E$6*B$23*C$62</f>
        <v/>
      </c>
      <c r="AE106" s="234">
        <f>$E$6*B$23*C$63</f>
        <v/>
      </c>
      <c r="AF106" s="234">
        <f>$E$6*B$23*C$64</f>
        <v/>
      </c>
      <c r="AG106" s="234">
        <f>$E$6*B$23*C$65</f>
        <v/>
      </c>
      <c r="AH106" s="234">
        <f>$E$6*B$23*C$66</f>
        <v/>
      </c>
      <c r="AI106" s="234">
        <f>$E$6*B$23*C$67</f>
        <v/>
      </c>
      <c r="AJ106" s="234">
        <f>$E$6*B$23*C$68</f>
        <v/>
      </c>
      <c r="AK106" s="234">
        <f>$E$6*B$23*C$69</f>
        <v/>
      </c>
    </row>
    <row r="107" ht="14.5" customHeight="1" s="213">
      <c r="A107" s="159">
        <f>B7</f>
        <v/>
      </c>
      <c r="B107" s="181" t="n">
        <v>2023</v>
      </c>
      <c r="C107" s="232">
        <f>$E$7*B$23*C$35</f>
        <v/>
      </c>
      <c r="D107" s="232">
        <f>$E$7*B$23*C$36</f>
        <v/>
      </c>
      <c r="E107" s="232">
        <f>$E$7*B$23*C$37</f>
        <v/>
      </c>
      <c r="F107" s="232">
        <f>$E$7*B$23*C$38</f>
        <v/>
      </c>
      <c r="G107" s="232">
        <f>$E$7*B$23*C$39</f>
        <v/>
      </c>
      <c r="H107" s="232">
        <f>$E$7*B$23*C$40</f>
        <v/>
      </c>
      <c r="I107" s="232">
        <f>$E$7*B$23*C$41</f>
        <v/>
      </c>
      <c r="J107" s="232">
        <f>$E$7*B$23*C$42</f>
        <v/>
      </c>
      <c r="K107" s="232">
        <f>$E$7*B$23*C$43</f>
        <v/>
      </c>
      <c r="L107" s="232">
        <f>$E$7*B$23*C$44</f>
        <v/>
      </c>
      <c r="M107" s="232">
        <f>$E$7*B$23*C$45</f>
        <v/>
      </c>
      <c r="N107" s="232">
        <f>$E$7*B$23*C$46</f>
        <v/>
      </c>
      <c r="O107" s="232">
        <f>$E$7*B$23*C$47</f>
        <v/>
      </c>
      <c r="P107" s="232">
        <f>$E$7*B$23*C$48</f>
        <v/>
      </c>
      <c r="Q107" s="232">
        <f>$E$7*B$23*C$49</f>
        <v/>
      </c>
      <c r="R107" s="232">
        <f>$E$7*B$23*C$50</f>
        <v/>
      </c>
      <c r="S107" s="232">
        <f>$E$7*B$23*C$51</f>
        <v/>
      </c>
      <c r="T107" s="232">
        <f>$E$7*B$23*C$52</f>
        <v/>
      </c>
      <c r="U107" s="232">
        <f>$E$7*B$23*C$53</f>
        <v/>
      </c>
      <c r="V107" s="232">
        <f>$E$7*B$23*C$54</f>
        <v/>
      </c>
      <c r="W107" s="232">
        <f>$E$7*B$23*C$55</f>
        <v/>
      </c>
      <c r="X107" s="232">
        <f>$E$7*B$23*C$56</f>
        <v/>
      </c>
      <c r="Y107" s="232">
        <f>$E$7*B$23*C$57</f>
        <v/>
      </c>
      <c r="Z107" s="232">
        <f>$E$7*B$23*C$58</f>
        <v/>
      </c>
      <c r="AA107" s="232">
        <f>$E$7*B$23*C$59</f>
        <v/>
      </c>
      <c r="AB107" s="232">
        <f>$E$7*B$23*C$60</f>
        <v/>
      </c>
      <c r="AC107" s="232">
        <f>$E$7*B$23*C$61</f>
        <v/>
      </c>
      <c r="AD107" s="232">
        <f>$E$7*B$23*C$62</f>
        <v/>
      </c>
      <c r="AE107" s="232">
        <f>$E$7*B$23*C$63</f>
        <v/>
      </c>
      <c r="AF107" s="232">
        <f>$E$7*B$23*C$64</f>
        <v/>
      </c>
      <c r="AG107" s="232">
        <f>$E$7*B$23*C$65</f>
        <v/>
      </c>
      <c r="AH107" s="232">
        <f>$E$7*B$23*C$66</f>
        <v/>
      </c>
      <c r="AI107" s="232">
        <f>$E$7*B$23*C$67</f>
        <v/>
      </c>
      <c r="AJ107" s="232">
        <f>$E$7*B$23*C$68</f>
        <v/>
      </c>
      <c r="AK107" s="232">
        <f>$E$7*B$23*C$69</f>
        <v/>
      </c>
    </row>
    <row r="108" ht="14.5" customHeight="1" s="213">
      <c r="A108" s="165">
        <f>B8</f>
        <v/>
      </c>
      <c r="B108" s="180" t="n">
        <v>2023</v>
      </c>
      <c r="C108" s="234">
        <f>$E$8*B$23*C$35</f>
        <v/>
      </c>
      <c r="D108" s="234">
        <f>$E$8*B$23*C$36</f>
        <v/>
      </c>
      <c r="E108" s="234">
        <f>$E$8*B$23*C$37</f>
        <v/>
      </c>
      <c r="F108" s="234">
        <f>$E$8*B$23*C$38</f>
        <v/>
      </c>
      <c r="G108" s="234">
        <f>$E$8*B$23*C$39</f>
        <v/>
      </c>
      <c r="H108" s="234">
        <f>$E$8*B$23*C$40</f>
        <v/>
      </c>
      <c r="I108" s="234">
        <f>$E$8*B$23*C$41</f>
        <v/>
      </c>
      <c r="J108" s="234">
        <f>$E$8*B$23*C$42</f>
        <v/>
      </c>
      <c r="K108" s="234">
        <f>$E$8*B$23*C$43</f>
        <v/>
      </c>
      <c r="L108" s="234">
        <f>$E$8*B$23*C$44</f>
        <v/>
      </c>
      <c r="M108" s="234">
        <f>$E$8*B$23*C$45</f>
        <v/>
      </c>
      <c r="N108" s="234">
        <f>$E$8*B$23*C$46</f>
        <v/>
      </c>
      <c r="O108" s="234">
        <f>$E$8*B$23*C$47</f>
        <v/>
      </c>
      <c r="P108" s="234">
        <f>$E$8*B$23*C$48</f>
        <v/>
      </c>
      <c r="Q108" s="234">
        <f>$E$8*B$23*C$49</f>
        <v/>
      </c>
      <c r="R108" s="234">
        <f>$E$8*B$23*C$50</f>
        <v/>
      </c>
      <c r="S108" s="234">
        <f>$E$8*B$23*C$51</f>
        <v/>
      </c>
      <c r="T108" s="234">
        <f>$E$8*B$23*C$52</f>
        <v/>
      </c>
      <c r="U108" s="234">
        <f>$E$8*B$23*C$53</f>
        <v/>
      </c>
      <c r="V108" s="234">
        <f>$E$8*B$23*C$54</f>
        <v/>
      </c>
      <c r="W108" s="234">
        <f>$E$8*B$23*C$55</f>
        <v/>
      </c>
      <c r="X108" s="234">
        <f>$E$8*B$23*C$56</f>
        <v/>
      </c>
      <c r="Y108" s="234">
        <f>$E$8*B$23*C$57</f>
        <v/>
      </c>
      <c r="Z108" s="234">
        <f>$E$8*B$23*C$58</f>
        <v/>
      </c>
      <c r="AA108" s="234">
        <f>$E$8*B$23*C$59</f>
        <v/>
      </c>
      <c r="AB108" s="234">
        <f>$E$8*B$23*C$60</f>
        <v/>
      </c>
      <c r="AC108" s="234">
        <f>$E$8*B$23*C$61</f>
        <v/>
      </c>
      <c r="AD108" s="234">
        <f>$E$8*B$23*C$62</f>
        <v/>
      </c>
      <c r="AE108" s="234">
        <f>$E$8*B$23*C$63</f>
        <v/>
      </c>
      <c r="AF108" s="234">
        <f>$E$8*B$23*C$64</f>
        <v/>
      </c>
      <c r="AG108" s="234">
        <f>$E$8*B$23*C$65</f>
        <v/>
      </c>
      <c r="AH108" s="234">
        <f>$E$8*B$23*C$66</f>
        <v/>
      </c>
      <c r="AI108" s="234">
        <f>$E$8*B$23*C$67</f>
        <v/>
      </c>
      <c r="AJ108" s="234">
        <f>$E$8*B$23*C$68</f>
        <v/>
      </c>
      <c r="AK108" s="234">
        <f>$E$8*B$23*C$69</f>
        <v/>
      </c>
    </row>
    <row r="109" ht="14.5" customHeight="1" s="213">
      <c r="A109" s="159">
        <f>B9</f>
        <v/>
      </c>
      <c r="B109" s="181" t="n">
        <v>2023</v>
      </c>
      <c r="C109" s="232">
        <f>$E$9*B$23*C$35</f>
        <v/>
      </c>
      <c r="D109" s="232">
        <f>$E$9*B$23*C$36</f>
        <v/>
      </c>
      <c r="E109" s="232">
        <f>$E$9*B$23*C$37</f>
        <v/>
      </c>
      <c r="F109" s="232">
        <f>$E$9*B$23*C$38</f>
        <v/>
      </c>
      <c r="G109" s="232">
        <f>$E$9*B$23*C$39</f>
        <v/>
      </c>
      <c r="H109" s="232">
        <f>$E$9*B$23*C$40</f>
        <v/>
      </c>
      <c r="I109" s="232">
        <f>$E$9*B$23*C$41</f>
        <v/>
      </c>
      <c r="J109" s="232">
        <f>$E$9*B$23*C$42</f>
        <v/>
      </c>
      <c r="K109" s="232">
        <f>$E$9*B$23*C$43</f>
        <v/>
      </c>
      <c r="L109" s="232">
        <f>$E$9*B$23*C$44</f>
        <v/>
      </c>
      <c r="M109" s="232">
        <f>$E$9*B$23*C$45</f>
        <v/>
      </c>
      <c r="N109" s="232">
        <f>$E$9*B$23*C$46</f>
        <v/>
      </c>
      <c r="O109" s="232">
        <f>$E$9*B$23*C$47</f>
        <v/>
      </c>
      <c r="P109" s="232">
        <f>$E$9*B$23*C$48</f>
        <v/>
      </c>
      <c r="Q109" s="232">
        <f>$E$9*B$23*C$49</f>
        <v/>
      </c>
      <c r="R109" s="232">
        <f>$E$9*B$23*C$50</f>
        <v/>
      </c>
      <c r="S109" s="232">
        <f>$E$9*B$23*C$51</f>
        <v/>
      </c>
      <c r="T109" s="232">
        <f>$E$9*B$23*C$52</f>
        <v/>
      </c>
      <c r="U109" s="232">
        <f>$E$9*B$23*C$53</f>
        <v/>
      </c>
      <c r="V109" s="232">
        <f>$E$9*B$23*C$54</f>
        <v/>
      </c>
      <c r="W109" s="232">
        <f>$E$9*B$23*C$55</f>
        <v/>
      </c>
      <c r="X109" s="232">
        <f>$E$9*B$23*C$56</f>
        <v/>
      </c>
      <c r="Y109" s="232">
        <f>$E$9*B$23*C$57</f>
        <v/>
      </c>
      <c r="Z109" s="232">
        <f>$E$9*B$23*C$58</f>
        <v/>
      </c>
      <c r="AA109" s="232">
        <f>$E$9*B$23*C$59</f>
        <v/>
      </c>
      <c r="AB109" s="232">
        <f>$E$9*B$23*C$60</f>
        <v/>
      </c>
      <c r="AC109" s="232">
        <f>$E$9*B$23*C$61</f>
        <v/>
      </c>
      <c r="AD109" s="232">
        <f>$E$9*B$23*C$62</f>
        <v/>
      </c>
      <c r="AE109" s="232">
        <f>$E$9*B$23*C$63</f>
        <v/>
      </c>
      <c r="AF109" s="232">
        <f>$E$9*B$23*C$64</f>
        <v/>
      </c>
      <c r="AG109" s="232">
        <f>$E$9*B$23*C$65</f>
        <v/>
      </c>
      <c r="AH109" s="232">
        <f>$E$9*B$23*C$66</f>
        <v/>
      </c>
      <c r="AI109" s="232">
        <f>$E$9*B$23*C$67</f>
        <v/>
      </c>
      <c r="AJ109" s="232">
        <f>$E$9*B$23*C$68</f>
        <v/>
      </c>
      <c r="AK109" s="232">
        <f>$E$9*B$23*C$69</f>
        <v/>
      </c>
    </row>
    <row r="110" ht="14.5" customHeight="1" s="213">
      <c r="A110" s="165">
        <f>B10</f>
        <v/>
      </c>
      <c r="B110" s="180" t="n">
        <v>2023</v>
      </c>
      <c r="C110" s="234">
        <f>$E$10*B$23*C$35</f>
        <v/>
      </c>
      <c r="D110" s="234">
        <f>$E$10*B$23*C$36</f>
        <v/>
      </c>
      <c r="E110" s="234">
        <f>$E$10*B$23*C$37</f>
        <v/>
      </c>
      <c r="F110" s="234">
        <f>$E$10*B$23*C$38</f>
        <v/>
      </c>
      <c r="G110" s="234">
        <f>$E$10*B$23*C$39</f>
        <v/>
      </c>
      <c r="H110" s="234">
        <f>$E$10*B$23*C$40</f>
        <v/>
      </c>
      <c r="I110" s="234">
        <f>$E$10*B$23*C$41</f>
        <v/>
      </c>
      <c r="J110" s="234">
        <f>$E$10*B$23*C$42</f>
        <v/>
      </c>
      <c r="K110" s="234">
        <f>$E$10*B$23*C$43</f>
        <v/>
      </c>
      <c r="L110" s="234">
        <f>$E$10*B$23*C$44</f>
        <v/>
      </c>
      <c r="M110" s="234">
        <f>$E$10*B$23*C$45</f>
        <v/>
      </c>
      <c r="N110" s="234">
        <f>$E$10*B$23*C$46</f>
        <v/>
      </c>
      <c r="O110" s="234">
        <f>$E$10*B$23*C$47</f>
        <v/>
      </c>
      <c r="P110" s="234">
        <f>$E$10*B$23*C$48</f>
        <v/>
      </c>
      <c r="Q110" s="234">
        <f>$E$10*B$23*C$49</f>
        <v/>
      </c>
      <c r="R110" s="234">
        <f>$E$10*B$23*C$50</f>
        <v/>
      </c>
      <c r="S110" s="234">
        <f>$E$10*B$23*C$51</f>
        <v/>
      </c>
      <c r="T110" s="234">
        <f>$E$10*B$23*C$52</f>
        <v/>
      </c>
      <c r="U110" s="234">
        <f>$E$10*B$23*C$53</f>
        <v/>
      </c>
      <c r="V110" s="234">
        <f>$E$10*B$23*C$54</f>
        <v/>
      </c>
      <c r="W110" s="234">
        <f>$E$10*B$23*C$55</f>
        <v/>
      </c>
      <c r="X110" s="234">
        <f>$E$10*B$23*C$56</f>
        <v/>
      </c>
      <c r="Y110" s="234">
        <f>$E$10*B$23*C$57</f>
        <v/>
      </c>
      <c r="Z110" s="234">
        <f>$E$10*B$23*C$58</f>
        <v/>
      </c>
      <c r="AA110" s="234">
        <f>$E$10*B$23*C$59</f>
        <v/>
      </c>
      <c r="AB110" s="234">
        <f>$E$10*B$23*C$60</f>
        <v/>
      </c>
      <c r="AC110" s="234">
        <f>$E$10*B$23*C$61</f>
        <v/>
      </c>
      <c r="AD110" s="234">
        <f>$E$10*B$23*C$62</f>
        <v/>
      </c>
      <c r="AE110" s="234">
        <f>$E$10*B$23*C$63</f>
        <v/>
      </c>
      <c r="AF110" s="234">
        <f>$E$10*B$23*C$64</f>
        <v/>
      </c>
      <c r="AG110" s="234">
        <f>$E$10*B$23*C$65</f>
        <v/>
      </c>
      <c r="AH110" s="234">
        <f>$E$10*B$23*C$66</f>
        <v/>
      </c>
      <c r="AI110" s="234">
        <f>$E$10*B$23*C$67</f>
        <v/>
      </c>
      <c r="AJ110" s="234">
        <f>$E$10*B$23*C$68</f>
        <v/>
      </c>
      <c r="AK110" s="234">
        <f>$E$10*B$23*C$69</f>
        <v/>
      </c>
    </row>
    <row r="111" ht="14.5" customHeight="1" s="213">
      <c r="A111" s="159">
        <f>B11</f>
        <v/>
      </c>
      <c r="B111" s="181" t="n">
        <v>2023</v>
      </c>
      <c r="C111" s="232">
        <f>$E$11*B$23*C$35</f>
        <v/>
      </c>
      <c r="D111" s="232">
        <f>$E$11*B$23*C$36</f>
        <v/>
      </c>
      <c r="E111" s="232">
        <f>$E$11*B$23*C$37</f>
        <v/>
      </c>
      <c r="F111" s="232">
        <f>$E$11*B$23*C$38</f>
        <v/>
      </c>
      <c r="G111" s="232">
        <f>$E$11*B$23*C$39</f>
        <v/>
      </c>
      <c r="H111" s="232">
        <f>$E$11*B$23*C$40</f>
        <v/>
      </c>
      <c r="I111" s="232">
        <f>$E$11*B$23*C$41</f>
        <v/>
      </c>
      <c r="J111" s="232">
        <f>$E$11*B$23*C$42</f>
        <v/>
      </c>
      <c r="K111" s="232">
        <f>$E$11*B$23*C$43</f>
        <v/>
      </c>
      <c r="L111" s="232">
        <f>$E$11*B$23*C$44</f>
        <v/>
      </c>
      <c r="M111" s="232">
        <f>$E$11*B$23*C$45</f>
        <v/>
      </c>
      <c r="N111" s="232">
        <f>$E$11*B$23*C$46</f>
        <v/>
      </c>
      <c r="O111" s="232">
        <f>$E$11*B$23*C$47</f>
        <v/>
      </c>
      <c r="P111" s="232">
        <f>$E$11*B$23*C$48</f>
        <v/>
      </c>
      <c r="Q111" s="232">
        <f>$E$11*B$23*C$49</f>
        <v/>
      </c>
      <c r="R111" s="232">
        <f>$E$11*B$23*C$50</f>
        <v/>
      </c>
      <c r="S111" s="232">
        <f>$E$11*B$23*C$51</f>
        <v/>
      </c>
      <c r="T111" s="232">
        <f>$E$11*B$23*C$52</f>
        <v/>
      </c>
      <c r="U111" s="232">
        <f>$E$11*B$23*C$53</f>
        <v/>
      </c>
      <c r="V111" s="232">
        <f>$E$11*B$23*C$54</f>
        <v/>
      </c>
      <c r="W111" s="232">
        <f>$E$11*B$23*C$55</f>
        <v/>
      </c>
      <c r="X111" s="232">
        <f>$E$11*B$23*C$56</f>
        <v/>
      </c>
      <c r="Y111" s="232">
        <f>$E$11*B$23*C$57</f>
        <v/>
      </c>
      <c r="Z111" s="232">
        <f>$E$11*B$23*C$58</f>
        <v/>
      </c>
      <c r="AA111" s="232">
        <f>$E$11*B$23*C$59</f>
        <v/>
      </c>
      <c r="AB111" s="232">
        <f>$E$11*B$23*C$60</f>
        <v/>
      </c>
      <c r="AC111" s="232">
        <f>$E$11*B$23*C$61</f>
        <v/>
      </c>
      <c r="AD111" s="232">
        <f>$E$11*B$23*C$62</f>
        <v/>
      </c>
      <c r="AE111" s="232">
        <f>$E$11*B$23*C$63</f>
        <v/>
      </c>
      <c r="AF111" s="232">
        <f>$E$11*B$23*C$64</f>
        <v/>
      </c>
      <c r="AG111" s="232">
        <f>$E$11*B$23*C$65</f>
        <v/>
      </c>
      <c r="AH111" s="232">
        <f>$E$11*B$23*C$66</f>
        <v/>
      </c>
      <c r="AI111" s="232">
        <f>$E$11*B$23*C$67</f>
        <v/>
      </c>
      <c r="AJ111" s="232">
        <f>$E$11*B$23*C$68</f>
        <v/>
      </c>
      <c r="AK111" s="232">
        <f>$E$11*B$23*C$69</f>
        <v/>
      </c>
    </row>
    <row r="112" ht="14.5" customHeight="1" s="213">
      <c r="A112" s="165">
        <f>B12</f>
        <v/>
      </c>
      <c r="B112" s="180" t="n">
        <v>2023</v>
      </c>
      <c r="C112" s="234">
        <f>$E$12*B$23*C$35</f>
        <v/>
      </c>
      <c r="D112" s="234">
        <f>$E$12*B$23*C$36</f>
        <v/>
      </c>
      <c r="E112" s="234">
        <f>$E$12*B$23*C$37</f>
        <v/>
      </c>
      <c r="F112" s="234">
        <f>$E$12*B$23*C$38</f>
        <v/>
      </c>
      <c r="G112" s="234">
        <f>$E$12*B$23*C$39</f>
        <v/>
      </c>
      <c r="H112" s="234">
        <f>$E$12*B$23*C$40</f>
        <v/>
      </c>
      <c r="I112" s="234">
        <f>$E$12*B$23*C$41</f>
        <v/>
      </c>
      <c r="J112" s="234">
        <f>$E$12*B$23*C$42</f>
        <v/>
      </c>
      <c r="K112" s="234">
        <f>$E$12*B$23*C$43</f>
        <v/>
      </c>
      <c r="L112" s="234">
        <f>$E$12*B$23*C$44</f>
        <v/>
      </c>
      <c r="M112" s="234">
        <f>$E$12*B$23*C$45</f>
        <v/>
      </c>
      <c r="N112" s="234">
        <f>$E$12*B$23*C$46</f>
        <v/>
      </c>
      <c r="O112" s="234">
        <f>$E$12*B$23*C$47</f>
        <v/>
      </c>
      <c r="P112" s="234">
        <f>$E$12*B$23*C$48</f>
        <v/>
      </c>
      <c r="Q112" s="234">
        <f>$E$12*B$23*C$49</f>
        <v/>
      </c>
      <c r="R112" s="234">
        <f>$E$12*B$23*C$50</f>
        <v/>
      </c>
      <c r="S112" s="234">
        <f>$E$12*B$23*C$51</f>
        <v/>
      </c>
      <c r="T112" s="234">
        <f>$E$12*B$23*C$52</f>
        <v/>
      </c>
      <c r="U112" s="234">
        <f>$E$12*B$23*C$53</f>
        <v/>
      </c>
      <c r="V112" s="234">
        <f>$E$12*B$23*C$54</f>
        <v/>
      </c>
      <c r="W112" s="234">
        <f>$E$12*B$23*C$55</f>
        <v/>
      </c>
      <c r="X112" s="234">
        <f>$E$12*B$23*C$56</f>
        <v/>
      </c>
      <c r="Y112" s="234">
        <f>$E$12*B$23*C$57</f>
        <v/>
      </c>
      <c r="Z112" s="234">
        <f>$E$12*B$23*C$58</f>
        <v/>
      </c>
      <c r="AA112" s="234">
        <f>$E$12*B$23*C$59</f>
        <v/>
      </c>
      <c r="AB112" s="234">
        <f>$E$12*B$23*C$60</f>
        <v/>
      </c>
      <c r="AC112" s="234">
        <f>$E$12*B$23*C$61</f>
        <v/>
      </c>
      <c r="AD112" s="234">
        <f>$E$12*B$23*C$62</f>
        <v/>
      </c>
      <c r="AE112" s="234">
        <f>$E$12*B$23*C$63</f>
        <v/>
      </c>
      <c r="AF112" s="234">
        <f>$E$12*B$23*C$64</f>
        <v/>
      </c>
      <c r="AG112" s="234">
        <f>$E$12*B$23*C$65</f>
        <v/>
      </c>
      <c r="AH112" s="234">
        <f>$E$12*B$23*C$66</f>
        <v/>
      </c>
      <c r="AI112" s="234">
        <f>$E$12*B$23*C$67</f>
        <v/>
      </c>
      <c r="AJ112" s="234">
        <f>$E$12*B$23*C$68</f>
        <v/>
      </c>
      <c r="AK112" s="234">
        <f>$E$12*B$23*C$69</f>
        <v/>
      </c>
    </row>
    <row r="113" ht="14.5" customHeight="1" s="213">
      <c r="A113" s="186" t="inlineStr">
        <is>
          <t>na</t>
        </is>
      </c>
      <c r="C113" s="186">
        <f>C106</f>
        <v/>
      </c>
      <c r="D113" s="186">
        <f>D106</f>
        <v/>
      </c>
      <c r="E113" s="186">
        <f>E106</f>
        <v/>
      </c>
      <c r="F113" s="186">
        <f>F106</f>
        <v/>
      </c>
      <c r="G113" s="186">
        <f>G106</f>
        <v/>
      </c>
      <c r="H113" s="186">
        <f>H106</f>
        <v/>
      </c>
      <c r="I113" s="186">
        <f>I106</f>
        <v/>
      </c>
      <c r="J113" s="186">
        <f>J106</f>
        <v/>
      </c>
      <c r="K113" s="186">
        <f>K106</f>
        <v/>
      </c>
      <c r="L113" s="186">
        <f>L106</f>
        <v/>
      </c>
      <c r="M113" s="186">
        <f>M106</f>
        <v/>
      </c>
      <c r="N113" s="186">
        <f>N106</f>
        <v/>
      </c>
      <c r="O113" s="186">
        <f>O106</f>
        <v/>
      </c>
      <c r="P113" s="186">
        <f>P106</f>
        <v/>
      </c>
      <c r="Q113" s="186">
        <f>Q106</f>
        <v/>
      </c>
      <c r="R113" s="186">
        <f>R106</f>
        <v/>
      </c>
      <c r="S113" s="186">
        <f>S106</f>
        <v/>
      </c>
      <c r="T113" s="186">
        <f>T106</f>
        <v/>
      </c>
      <c r="U113" s="186">
        <f>U106</f>
        <v/>
      </c>
      <c r="V113" s="186">
        <f>V106</f>
        <v/>
      </c>
      <c r="W113" s="186">
        <f>W106</f>
        <v/>
      </c>
      <c r="X113" s="186">
        <f>X106</f>
        <v/>
      </c>
      <c r="Y113" s="186">
        <f>Y106</f>
        <v/>
      </c>
      <c r="Z113" s="186">
        <f>Z106</f>
        <v/>
      </c>
      <c r="AA113" s="186">
        <f>AA106</f>
        <v/>
      </c>
      <c r="AB113" s="186">
        <f>AB106</f>
        <v/>
      </c>
      <c r="AC113" s="186">
        <f>AC106</f>
        <v/>
      </c>
      <c r="AD113" s="186">
        <f>AD106</f>
        <v/>
      </c>
      <c r="AE113" s="186">
        <f>AE106</f>
        <v/>
      </c>
      <c r="AF113" s="186">
        <f>AF106</f>
        <v/>
      </c>
      <c r="AG113" s="186">
        <f>AG106</f>
        <v/>
      </c>
      <c r="AH113" s="186">
        <f>AH106</f>
        <v/>
      </c>
      <c r="AI113" s="186">
        <f>AI106</f>
        <v/>
      </c>
      <c r="AJ113" s="186">
        <f>AJ106</f>
        <v/>
      </c>
      <c r="AK113" s="186">
        <f>AK106</f>
        <v/>
      </c>
    </row>
    <row r="114" ht="14.5" customHeight="1" s="213">
      <c r="A114" s="212" t="n"/>
    </row>
    <row r="115" ht="14.5" customHeight="1" s="213">
      <c r="A115" s="154" t="inlineStr">
        <is>
          <t>process</t>
        </is>
      </c>
      <c r="B115" s="154" t="inlineStr">
        <is>
          <t>year</t>
        </is>
      </c>
      <c r="C115" s="154" t="inlineStr">
        <is>
          <t>Africa_North</t>
        </is>
      </c>
      <c r="D115" s="154" t="inlineStr">
        <is>
          <t>Africa_Other</t>
        </is>
      </c>
      <c r="E115" s="154" t="inlineStr">
        <is>
          <t>Australia</t>
        </is>
      </c>
      <c r="F115" s="154" t="inlineStr">
        <is>
          <t>Austria</t>
        </is>
      </c>
      <c r="G115" s="154" t="inlineStr">
        <is>
          <t>Baltics</t>
        </is>
      </c>
      <c r="H115" s="154" t="inlineStr">
        <is>
          <t>BeNeLux</t>
        </is>
      </c>
      <c r="I115" s="154" t="inlineStr">
        <is>
          <t>Brazil</t>
        </is>
      </c>
      <c r="J115" s="154" t="inlineStr">
        <is>
          <t>China</t>
        </is>
      </c>
      <c r="K115" s="154" t="inlineStr">
        <is>
          <t>CroSloven</t>
        </is>
      </c>
      <c r="L115" s="154" t="inlineStr">
        <is>
          <t>CzechSlovak</t>
        </is>
      </c>
      <c r="M115" s="154" t="inlineStr">
        <is>
          <t>France</t>
        </is>
      </c>
      <c r="N115" s="154" t="inlineStr">
        <is>
          <t>Germany</t>
        </is>
      </c>
      <c r="O115" s="154" t="inlineStr">
        <is>
          <t>GreeceCyp</t>
        </is>
      </c>
      <c r="P115" s="154" t="inlineStr">
        <is>
          <t>HunRomBul</t>
        </is>
      </c>
      <c r="Q115" s="154" t="inlineStr">
        <is>
          <t>Iceland</t>
        </is>
      </c>
      <c r="R115" s="154" t="inlineStr">
        <is>
          <t>India</t>
        </is>
      </c>
      <c r="S115" s="154" t="inlineStr">
        <is>
          <t>Ireland</t>
        </is>
      </c>
      <c r="T115" s="154" t="inlineStr">
        <is>
          <t>ItalyMal</t>
        </is>
      </c>
      <c r="U115" s="154" t="inlineStr">
        <is>
          <t>Japan</t>
        </is>
      </c>
      <c r="V115" s="154" t="inlineStr">
        <is>
          <t>LatAm</t>
        </is>
      </c>
      <c r="W115" s="154" t="inlineStr">
        <is>
          <t>MidEast</t>
        </is>
      </c>
      <c r="X115" s="154" t="inlineStr">
        <is>
          <t>NorthAm</t>
        </is>
      </c>
      <c r="Y115" s="154" t="inlineStr">
        <is>
          <t>Norway</t>
        </is>
      </c>
      <c r="Z115" s="154" t="inlineStr">
        <is>
          <t>Poland</t>
        </is>
      </c>
      <c r="AA115" s="154" t="inlineStr">
        <is>
          <t>ROW</t>
        </is>
      </c>
      <c r="AB115" s="154" t="inlineStr">
        <is>
          <t>Russia</t>
        </is>
      </c>
      <c r="AC115" s="154" t="inlineStr">
        <is>
          <t>SaudiArabia</t>
        </is>
      </c>
      <c r="AD115" s="154" t="inlineStr">
        <is>
          <t>SouthAfrica</t>
        </is>
      </c>
      <c r="AE115" s="154" t="inlineStr">
        <is>
          <t>SpainPor</t>
        </is>
      </c>
      <c r="AF115" s="154" t="inlineStr">
        <is>
          <t>SweFinDen</t>
        </is>
      </c>
      <c r="AG115" s="154" t="inlineStr">
        <is>
          <t>Switzerland</t>
        </is>
      </c>
      <c r="AH115" s="154" t="inlineStr">
        <is>
          <t>Turkey</t>
        </is>
      </c>
      <c r="AI115" s="154" t="inlineStr">
        <is>
          <t>UK</t>
        </is>
      </c>
      <c r="AJ115" s="154" t="inlineStr">
        <is>
          <t>Ukraine</t>
        </is>
      </c>
      <c r="AK115" s="154" t="inlineStr">
        <is>
          <t>WestBalkans</t>
        </is>
      </c>
    </row>
    <row r="116" ht="14.5" customHeight="1" s="213">
      <c r="A116" s="165">
        <f>B6</f>
        <v/>
      </c>
      <c r="B116" s="180" t="n">
        <v>2050</v>
      </c>
      <c r="C116" s="234">
        <f>$E$6*C$23*D$35</f>
        <v/>
      </c>
      <c r="D116" s="234">
        <f>$E$6*C$23*D$36</f>
        <v/>
      </c>
      <c r="E116" s="234">
        <f>$E$6*C$23*D$37</f>
        <v/>
      </c>
      <c r="F116" s="234">
        <f>$E$6*C$23*D$38</f>
        <v/>
      </c>
      <c r="G116" s="234">
        <f>$E$6*C$23*D$39</f>
        <v/>
      </c>
      <c r="H116" s="234">
        <f>$E$6*C$23*D$40</f>
        <v/>
      </c>
      <c r="I116" s="234">
        <f>$E$6*C$23*D$41</f>
        <v/>
      </c>
      <c r="J116" s="234">
        <f>$E$6*C$23*D$42</f>
        <v/>
      </c>
      <c r="K116" s="234">
        <f>$E$6*C$23*D$43</f>
        <v/>
      </c>
      <c r="L116" s="234">
        <f>$E$6*C$23*D$44</f>
        <v/>
      </c>
      <c r="M116" s="234">
        <f>$E$6*C$23*D$45</f>
        <v/>
      </c>
      <c r="N116" s="234">
        <f>$E$6*C$23*D$46</f>
        <v/>
      </c>
      <c r="O116" s="234">
        <f>$E$6*C$23*D$47</f>
        <v/>
      </c>
      <c r="P116" s="234">
        <f>$E$6*C$23*D$48</f>
        <v/>
      </c>
      <c r="Q116" s="234">
        <f>$E$6*C$23*D$49</f>
        <v/>
      </c>
      <c r="R116" s="234">
        <f>$E$6*C$23*D$50</f>
        <v/>
      </c>
      <c r="S116" s="234">
        <f>$E$6*C$23*D$51</f>
        <v/>
      </c>
      <c r="T116" s="234">
        <f>$E$6*C$23*D$52</f>
        <v/>
      </c>
      <c r="U116" s="234">
        <f>$E$6*C$23*D$53</f>
        <v/>
      </c>
      <c r="V116" s="234">
        <f>$E$6*C$23*D$54</f>
        <v/>
      </c>
      <c r="W116" s="234">
        <f>$E$6*C$23*D$55</f>
        <v/>
      </c>
      <c r="X116" s="234">
        <f>$E$6*C$23*D$56</f>
        <v/>
      </c>
      <c r="Y116" s="234">
        <f>$E$6*C$23*D$57</f>
        <v/>
      </c>
      <c r="Z116" s="234">
        <f>$E$6*C$23*D$58</f>
        <v/>
      </c>
      <c r="AA116" s="234">
        <f>$E$6*C$23*D$59</f>
        <v/>
      </c>
      <c r="AB116" s="234">
        <f>$E$6*C$23*D$60</f>
        <v/>
      </c>
      <c r="AC116" s="234">
        <f>$E$6*C$23*D$61</f>
        <v/>
      </c>
      <c r="AD116" s="234">
        <f>$E$6*C$23*D$62</f>
        <v/>
      </c>
      <c r="AE116" s="234">
        <f>$E$6*C$23*D$63</f>
        <v/>
      </c>
      <c r="AF116" s="234">
        <f>$E$6*C$23*D$64</f>
        <v/>
      </c>
      <c r="AG116" s="234">
        <f>$E$6*C$23*D$65</f>
        <v/>
      </c>
      <c r="AH116" s="234">
        <f>$E$6*C$23*D$66</f>
        <v/>
      </c>
      <c r="AI116" s="234">
        <f>$E$6*C$23*D$67</f>
        <v/>
      </c>
      <c r="AJ116" s="234">
        <f>$E$6*C$23*D$68</f>
        <v/>
      </c>
      <c r="AK116" s="234">
        <f>$E$6*C$23*D$69</f>
        <v/>
      </c>
    </row>
    <row r="117" ht="14.5" customHeight="1" s="213">
      <c r="A117" s="159">
        <f>B7</f>
        <v/>
      </c>
      <c r="B117" s="181" t="n">
        <v>2050</v>
      </c>
      <c r="C117" s="232">
        <f>$E$7*C$23*D$35</f>
        <v/>
      </c>
      <c r="D117" s="232">
        <f>$E$7*C$23*D$36</f>
        <v/>
      </c>
      <c r="E117" s="232">
        <f>$E$7*C$23*D$37</f>
        <v/>
      </c>
      <c r="F117" s="232">
        <f>$E$7*C$23*D$38</f>
        <v/>
      </c>
      <c r="G117" s="232">
        <f>$E$7*C$23*D$39</f>
        <v/>
      </c>
      <c r="H117" s="232">
        <f>$E$7*C$23*D$40</f>
        <v/>
      </c>
      <c r="I117" s="232">
        <f>$E$7*C$23*D$41</f>
        <v/>
      </c>
      <c r="J117" s="232">
        <f>$E$7*C$23*D$42</f>
        <v/>
      </c>
      <c r="K117" s="232">
        <f>$E$7*C$23*D$43</f>
        <v/>
      </c>
      <c r="L117" s="232">
        <f>$E$7*C$23*D$44</f>
        <v/>
      </c>
      <c r="M117" s="232">
        <f>$E$7*C$23*D$45</f>
        <v/>
      </c>
      <c r="N117" s="232">
        <f>$E$7*C$23*D$46</f>
        <v/>
      </c>
      <c r="O117" s="232">
        <f>$E$7*C$23*D$47</f>
        <v/>
      </c>
      <c r="P117" s="232">
        <f>$E$7*C$23*D$48</f>
        <v/>
      </c>
      <c r="Q117" s="232">
        <f>$E$7*C$23*D$49</f>
        <v/>
      </c>
      <c r="R117" s="232">
        <f>$E$7*C$23*D$50</f>
        <v/>
      </c>
      <c r="S117" s="232">
        <f>$E$7*C$23*D$51</f>
        <v/>
      </c>
      <c r="T117" s="232">
        <f>$E$7*C$23*D$52</f>
        <v/>
      </c>
      <c r="U117" s="232">
        <f>$E$7*C$23*D$53</f>
        <v/>
      </c>
      <c r="V117" s="232">
        <f>$E$7*C$23*D$54</f>
        <v/>
      </c>
      <c r="W117" s="232">
        <f>$E$7*C$23*D$55</f>
        <v/>
      </c>
      <c r="X117" s="232">
        <f>$E$7*C$23*D$56</f>
        <v/>
      </c>
      <c r="Y117" s="232">
        <f>$E$7*C$23*D$57</f>
        <v/>
      </c>
      <c r="Z117" s="232">
        <f>$E$7*C$23*D$58</f>
        <v/>
      </c>
      <c r="AA117" s="232">
        <f>$E$7*C$23*D$59</f>
        <v/>
      </c>
      <c r="AB117" s="232">
        <f>$E$7*C$23*D$60</f>
        <v/>
      </c>
      <c r="AC117" s="232">
        <f>$E$7*C$23*D$61</f>
        <v/>
      </c>
      <c r="AD117" s="232">
        <f>$E$7*C$23*D$62</f>
        <v/>
      </c>
      <c r="AE117" s="232">
        <f>$E$7*C$23*D$63</f>
        <v/>
      </c>
      <c r="AF117" s="232">
        <f>$E$7*C$23*D$64</f>
        <v/>
      </c>
      <c r="AG117" s="232">
        <f>$E$7*C$23*D$65</f>
        <v/>
      </c>
      <c r="AH117" s="232">
        <f>$E$7*C$23*D$66</f>
        <v/>
      </c>
      <c r="AI117" s="232">
        <f>$E$7*C$23*D$67</f>
        <v/>
      </c>
      <c r="AJ117" s="232">
        <f>$E$7*C$23*D$68</f>
        <v/>
      </c>
      <c r="AK117" s="232">
        <f>$E$7*C$23*D$69</f>
        <v/>
      </c>
    </row>
    <row r="118" ht="14.5" customHeight="1" s="213">
      <c r="A118" s="165">
        <f>B8</f>
        <v/>
      </c>
      <c r="B118" s="180" t="n">
        <v>2050</v>
      </c>
      <c r="C118" s="234">
        <f>$E$8*C$23*D$35</f>
        <v/>
      </c>
      <c r="D118" s="234">
        <f>$E$8*C$23*D$36</f>
        <v/>
      </c>
      <c r="E118" s="234">
        <f>$E$8*C$23*D$37</f>
        <v/>
      </c>
      <c r="F118" s="234">
        <f>$E$8*C$23*D$38</f>
        <v/>
      </c>
      <c r="G118" s="234">
        <f>$E$8*C$23*D$39</f>
        <v/>
      </c>
      <c r="H118" s="234">
        <f>$E$8*C$23*D$40</f>
        <v/>
      </c>
      <c r="I118" s="234">
        <f>$E$8*C$23*D$41</f>
        <v/>
      </c>
      <c r="J118" s="234">
        <f>$E$8*C$23*D$42</f>
        <v/>
      </c>
      <c r="K118" s="234">
        <f>$E$8*C$23*D$43</f>
        <v/>
      </c>
      <c r="L118" s="234">
        <f>$E$8*C$23*D$44</f>
        <v/>
      </c>
      <c r="M118" s="234">
        <f>$E$8*C$23*D$45</f>
        <v/>
      </c>
      <c r="N118" s="234">
        <f>$E$8*C$23*D$46</f>
        <v/>
      </c>
      <c r="O118" s="234">
        <f>$E$8*C$23*D$47</f>
        <v/>
      </c>
      <c r="P118" s="234">
        <f>$E$8*C$23*D$48</f>
        <v/>
      </c>
      <c r="Q118" s="234">
        <f>$E$8*C$23*D$49</f>
        <v/>
      </c>
      <c r="R118" s="234">
        <f>$E$8*C$23*D$50</f>
        <v/>
      </c>
      <c r="S118" s="234">
        <f>$E$8*C$23*D$51</f>
        <v/>
      </c>
      <c r="T118" s="234">
        <f>$E$8*C$23*D$52</f>
        <v/>
      </c>
      <c r="U118" s="234">
        <f>$E$8*C$23*D$53</f>
        <v/>
      </c>
      <c r="V118" s="234">
        <f>$E$8*C$23*D$54</f>
        <v/>
      </c>
      <c r="W118" s="234">
        <f>$E$8*C$23*D$55</f>
        <v/>
      </c>
      <c r="X118" s="234">
        <f>$E$8*C$23*D$56</f>
        <v/>
      </c>
      <c r="Y118" s="234">
        <f>$E$8*C$23*D$57</f>
        <v/>
      </c>
      <c r="Z118" s="234">
        <f>$E$8*C$23*D$58</f>
        <v/>
      </c>
      <c r="AA118" s="234">
        <f>$E$8*C$23*D$59</f>
        <v/>
      </c>
      <c r="AB118" s="234">
        <f>$E$8*C$23*D$60</f>
        <v/>
      </c>
      <c r="AC118" s="234">
        <f>$E$8*C$23*D$61</f>
        <v/>
      </c>
      <c r="AD118" s="234">
        <f>$E$8*C$23*D$62</f>
        <v/>
      </c>
      <c r="AE118" s="234">
        <f>$E$8*C$23*D$63</f>
        <v/>
      </c>
      <c r="AF118" s="234">
        <f>$E$8*C$23*D$64</f>
        <v/>
      </c>
      <c r="AG118" s="234">
        <f>$E$8*C$23*D$65</f>
        <v/>
      </c>
      <c r="AH118" s="234">
        <f>$E$8*C$23*D$66</f>
        <v/>
      </c>
      <c r="AI118" s="234">
        <f>$E$8*C$23*D$67</f>
        <v/>
      </c>
      <c r="AJ118" s="234">
        <f>$E$8*C$23*D$68</f>
        <v/>
      </c>
      <c r="AK118" s="234">
        <f>$E$8*C$23*D$69</f>
        <v/>
      </c>
    </row>
    <row r="119" ht="14.5" customHeight="1" s="213">
      <c r="A119" s="159">
        <f>B9</f>
        <v/>
      </c>
      <c r="B119" s="181" t="n">
        <v>2050</v>
      </c>
      <c r="C119" s="232">
        <f>$E$9*C$23*D$35</f>
        <v/>
      </c>
      <c r="D119" s="232">
        <f>$E$9*C$23*D$36</f>
        <v/>
      </c>
      <c r="E119" s="232">
        <f>$E$9*C$23*D$37</f>
        <v/>
      </c>
      <c r="F119" s="232">
        <f>$E$9*C$23*D$38</f>
        <v/>
      </c>
      <c r="G119" s="232">
        <f>$E$9*C$23*D$39</f>
        <v/>
      </c>
      <c r="H119" s="232">
        <f>$E$9*C$23*D$40</f>
        <v/>
      </c>
      <c r="I119" s="232">
        <f>$E$9*C$23*D$41</f>
        <v/>
      </c>
      <c r="J119" s="232">
        <f>$E$9*C$23*D$42</f>
        <v/>
      </c>
      <c r="K119" s="232">
        <f>$E$9*C$23*D$43</f>
        <v/>
      </c>
      <c r="L119" s="232">
        <f>$E$9*C$23*D$44</f>
        <v/>
      </c>
      <c r="M119" s="232">
        <f>$E$9*C$23*D$45</f>
        <v/>
      </c>
      <c r="N119" s="232">
        <f>$E$9*C$23*D$46</f>
        <v/>
      </c>
      <c r="O119" s="232">
        <f>$E$9*C$23*D$47</f>
        <v/>
      </c>
      <c r="P119" s="232">
        <f>$E$9*C$23*D$48</f>
        <v/>
      </c>
      <c r="Q119" s="232">
        <f>$E$9*C$23*D$49</f>
        <v/>
      </c>
      <c r="R119" s="232">
        <f>$E$9*C$23*D$50</f>
        <v/>
      </c>
      <c r="S119" s="232">
        <f>$E$9*C$23*D$51</f>
        <v/>
      </c>
      <c r="T119" s="232">
        <f>$E$9*C$23*D$52</f>
        <v/>
      </c>
      <c r="U119" s="232">
        <f>$E$9*C$23*D$53</f>
        <v/>
      </c>
      <c r="V119" s="232">
        <f>$E$9*C$23*D$54</f>
        <v/>
      </c>
      <c r="W119" s="232">
        <f>$E$9*C$23*D$55</f>
        <v/>
      </c>
      <c r="X119" s="232">
        <f>$E$9*C$23*D$56</f>
        <v/>
      </c>
      <c r="Y119" s="232">
        <f>$E$9*C$23*D$57</f>
        <v/>
      </c>
      <c r="Z119" s="232">
        <f>$E$9*C$23*D$58</f>
        <v/>
      </c>
      <c r="AA119" s="232">
        <f>$E$9*C$23*D$59</f>
        <v/>
      </c>
      <c r="AB119" s="232">
        <f>$E$9*C$23*D$60</f>
        <v/>
      </c>
      <c r="AC119" s="232">
        <f>$E$9*C$23*D$61</f>
        <v/>
      </c>
      <c r="AD119" s="232">
        <f>$E$9*C$23*D$62</f>
        <v/>
      </c>
      <c r="AE119" s="232">
        <f>$E$9*C$23*D$63</f>
        <v/>
      </c>
      <c r="AF119" s="232">
        <f>$E$9*C$23*D$64</f>
        <v/>
      </c>
      <c r="AG119" s="232">
        <f>$E$9*C$23*D$65</f>
        <v/>
      </c>
      <c r="AH119" s="232">
        <f>$E$9*C$23*D$66</f>
        <v/>
      </c>
      <c r="AI119" s="232">
        <f>$E$9*C$23*D$67</f>
        <v/>
      </c>
      <c r="AJ119" s="232">
        <f>$E$9*C$23*D$68</f>
        <v/>
      </c>
      <c r="AK119" s="232">
        <f>$E$9*C$23*D$69</f>
        <v/>
      </c>
    </row>
    <row r="120" ht="14.5" customHeight="1" s="213">
      <c r="A120" s="165">
        <f>B10</f>
        <v/>
      </c>
      <c r="B120" s="180" t="n">
        <v>2050</v>
      </c>
      <c r="C120" s="234">
        <f>$E$10*C$23*D$35</f>
        <v/>
      </c>
      <c r="D120" s="234">
        <f>$E$10*C$23*D$36</f>
        <v/>
      </c>
      <c r="E120" s="234">
        <f>$E$10*C$23*D$37</f>
        <v/>
      </c>
      <c r="F120" s="234">
        <f>$E$10*C$23*D$38</f>
        <v/>
      </c>
      <c r="G120" s="234">
        <f>$E$10*C$23*D$39</f>
        <v/>
      </c>
      <c r="H120" s="234">
        <f>$E$10*C$23*D$40</f>
        <v/>
      </c>
      <c r="I120" s="234">
        <f>$E$10*C$23*D$41</f>
        <v/>
      </c>
      <c r="J120" s="234">
        <f>$E$10*C$23*D$42</f>
        <v/>
      </c>
      <c r="K120" s="234">
        <f>$E$10*C$23*D$43</f>
        <v/>
      </c>
      <c r="L120" s="234">
        <f>$E$10*C$23*D$44</f>
        <v/>
      </c>
      <c r="M120" s="234">
        <f>$E$10*C$23*D$45</f>
        <v/>
      </c>
      <c r="N120" s="234">
        <f>$E$10*C$23*D$46</f>
        <v/>
      </c>
      <c r="O120" s="234">
        <f>$E$10*C$23*D$47</f>
        <v/>
      </c>
      <c r="P120" s="234">
        <f>$E$10*C$23*D$48</f>
        <v/>
      </c>
      <c r="Q120" s="234">
        <f>$E$10*C$23*D$49</f>
        <v/>
      </c>
      <c r="R120" s="234">
        <f>$E$10*C$23*D$50</f>
        <v/>
      </c>
      <c r="S120" s="234">
        <f>$E$10*C$23*D$51</f>
        <v/>
      </c>
      <c r="T120" s="234">
        <f>$E$10*C$23*D$52</f>
        <v/>
      </c>
      <c r="U120" s="234">
        <f>$E$10*C$23*D$53</f>
        <v/>
      </c>
      <c r="V120" s="234">
        <f>$E$10*C$23*D$54</f>
        <v/>
      </c>
      <c r="W120" s="234">
        <f>$E$10*C$23*D$55</f>
        <v/>
      </c>
      <c r="X120" s="234">
        <f>$E$10*C$23*D$56</f>
        <v/>
      </c>
      <c r="Y120" s="234">
        <f>$E$10*C$23*D$57</f>
        <v/>
      </c>
      <c r="Z120" s="234">
        <f>$E$10*C$23*D$58</f>
        <v/>
      </c>
      <c r="AA120" s="234">
        <f>$E$10*C$23*D$59</f>
        <v/>
      </c>
      <c r="AB120" s="234">
        <f>$E$10*C$23*D$60</f>
        <v/>
      </c>
      <c r="AC120" s="234">
        <f>$E$10*C$23*D$61</f>
        <v/>
      </c>
      <c r="AD120" s="234">
        <f>$E$10*C$23*D$62</f>
        <v/>
      </c>
      <c r="AE120" s="234">
        <f>$E$10*C$23*D$63</f>
        <v/>
      </c>
      <c r="AF120" s="234">
        <f>$E$10*C$23*D$64</f>
        <v/>
      </c>
      <c r="AG120" s="234">
        <f>$E$10*C$23*D$65</f>
        <v/>
      </c>
      <c r="AH120" s="234">
        <f>$E$10*C$23*D$66</f>
        <v/>
      </c>
      <c r="AI120" s="234">
        <f>$E$10*C$23*D$67</f>
        <v/>
      </c>
      <c r="AJ120" s="234">
        <f>$E$10*C$23*D$68</f>
        <v/>
      </c>
      <c r="AK120" s="234">
        <f>$E$10*C$23*D$69</f>
        <v/>
      </c>
    </row>
    <row r="121" ht="14.5" customHeight="1" s="213">
      <c r="A121" s="159">
        <f>B11</f>
        <v/>
      </c>
      <c r="B121" s="181" t="n">
        <v>2050</v>
      </c>
      <c r="C121" s="232">
        <f>$E$11*C$23*D$35</f>
        <v/>
      </c>
      <c r="D121" s="232">
        <f>$E$11*C$23*D$36</f>
        <v/>
      </c>
      <c r="E121" s="232">
        <f>$E$11*C$23*D$37</f>
        <v/>
      </c>
      <c r="F121" s="232">
        <f>$E$11*C$23*D$38</f>
        <v/>
      </c>
      <c r="G121" s="232">
        <f>$E$11*C$23*D$39</f>
        <v/>
      </c>
      <c r="H121" s="232">
        <f>$E$11*C$23*D$40</f>
        <v/>
      </c>
      <c r="I121" s="232">
        <f>$E$11*C$23*D$41</f>
        <v/>
      </c>
      <c r="J121" s="232">
        <f>$E$11*C$23*D$42</f>
        <v/>
      </c>
      <c r="K121" s="232">
        <f>$E$11*C$23*D$43</f>
        <v/>
      </c>
      <c r="L121" s="232">
        <f>$E$11*C$23*D$44</f>
        <v/>
      </c>
      <c r="M121" s="232">
        <f>$E$11*C$23*D$45</f>
        <v/>
      </c>
      <c r="N121" s="232">
        <f>$E$11*C$23*D$46</f>
        <v/>
      </c>
      <c r="O121" s="232">
        <f>$E$11*C$23*D$47</f>
        <v/>
      </c>
      <c r="P121" s="232">
        <f>$E$11*C$23*D$48</f>
        <v/>
      </c>
      <c r="Q121" s="232">
        <f>$E$11*C$23*D$49</f>
        <v/>
      </c>
      <c r="R121" s="232">
        <f>$E$11*C$23*D$50</f>
        <v/>
      </c>
      <c r="S121" s="232">
        <f>$E$11*C$23*D$51</f>
        <v/>
      </c>
      <c r="T121" s="232">
        <f>$E$11*C$23*D$52</f>
        <v/>
      </c>
      <c r="U121" s="232">
        <f>$E$11*C$23*D$53</f>
        <v/>
      </c>
      <c r="V121" s="232">
        <f>$E$11*C$23*D$54</f>
        <v/>
      </c>
      <c r="W121" s="232">
        <f>$E$11*C$23*D$55</f>
        <v/>
      </c>
      <c r="X121" s="232">
        <f>$E$11*C$23*D$56</f>
        <v/>
      </c>
      <c r="Y121" s="232">
        <f>$E$11*C$23*D$57</f>
        <v/>
      </c>
      <c r="Z121" s="232">
        <f>$E$11*C$23*D$58</f>
        <v/>
      </c>
      <c r="AA121" s="232">
        <f>$E$11*C$23*D$59</f>
        <v/>
      </c>
      <c r="AB121" s="232">
        <f>$E$11*C$23*D$60</f>
        <v/>
      </c>
      <c r="AC121" s="232">
        <f>$E$11*C$23*D$61</f>
        <v/>
      </c>
      <c r="AD121" s="232">
        <f>$E$11*C$23*D$62</f>
        <v/>
      </c>
      <c r="AE121" s="232">
        <f>$E$11*C$23*D$63</f>
        <v/>
      </c>
      <c r="AF121" s="232">
        <f>$E$11*C$23*D$64</f>
        <v/>
      </c>
      <c r="AG121" s="232">
        <f>$E$11*C$23*D$65</f>
        <v/>
      </c>
      <c r="AH121" s="232">
        <f>$E$11*C$23*D$66</f>
        <v/>
      </c>
      <c r="AI121" s="232">
        <f>$E$11*C$23*D$67</f>
        <v/>
      </c>
      <c r="AJ121" s="232">
        <f>$E$11*C$23*D$68</f>
        <v/>
      </c>
      <c r="AK121" s="232">
        <f>$E$11*C$23*D$69</f>
        <v/>
      </c>
    </row>
    <row r="122" ht="14.5" customHeight="1" s="213">
      <c r="A122" s="165">
        <f>B12</f>
        <v/>
      </c>
      <c r="B122" s="180" t="n">
        <v>2050</v>
      </c>
      <c r="C122" s="234">
        <f>$E$12*C$23*D$35</f>
        <v/>
      </c>
      <c r="D122" s="234">
        <f>$E$12*C$23*D$36</f>
        <v/>
      </c>
      <c r="E122" s="234">
        <f>$E$12*C$23*D$37</f>
        <v/>
      </c>
      <c r="F122" s="234">
        <f>$E$12*C$23*D$38</f>
        <v/>
      </c>
      <c r="G122" s="234">
        <f>$E$12*C$23*D$39</f>
        <v/>
      </c>
      <c r="H122" s="234">
        <f>$E$12*C$23*D$40</f>
        <v/>
      </c>
      <c r="I122" s="234">
        <f>$E$12*C$23*D$41</f>
        <v/>
      </c>
      <c r="J122" s="234">
        <f>$E$12*C$23*D$42</f>
        <v/>
      </c>
      <c r="K122" s="234">
        <f>$E$12*C$23*D$43</f>
        <v/>
      </c>
      <c r="L122" s="234">
        <f>$E$12*C$23*D$44</f>
        <v/>
      </c>
      <c r="M122" s="234">
        <f>$E$12*C$23*D$45</f>
        <v/>
      </c>
      <c r="N122" s="234">
        <f>$E$12*C$23*D$46</f>
        <v/>
      </c>
      <c r="O122" s="234">
        <f>$E$12*C$23*D$47</f>
        <v/>
      </c>
      <c r="P122" s="234">
        <f>$E$12*C$23*D$48</f>
        <v/>
      </c>
      <c r="Q122" s="234">
        <f>$E$12*C$23*D$49</f>
        <v/>
      </c>
      <c r="R122" s="234">
        <f>$E$12*C$23*D$50</f>
        <v/>
      </c>
      <c r="S122" s="234">
        <f>$E$12*C$23*D$51</f>
        <v/>
      </c>
      <c r="T122" s="234">
        <f>$E$12*C$23*D$52</f>
        <v/>
      </c>
      <c r="U122" s="234">
        <f>$E$12*C$23*D$53</f>
        <v/>
      </c>
      <c r="V122" s="234">
        <f>$E$12*C$23*D$54</f>
        <v/>
      </c>
      <c r="W122" s="234">
        <f>$E$12*C$23*D$55</f>
        <v/>
      </c>
      <c r="X122" s="234">
        <f>$E$12*C$23*D$56</f>
        <v/>
      </c>
      <c r="Y122" s="234">
        <f>$E$12*C$23*D$57</f>
        <v/>
      </c>
      <c r="Z122" s="234">
        <f>$E$12*C$23*D$58</f>
        <v/>
      </c>
      <c r="AA122" s="234">
        <f>$E$12*C$23*D$59</f>
        <v/>
      </c>
      <c r="AB122" s="234">
        <f>$E$12*C$23*D$60</f>
        <v/>
      </c>
      <c r="AC122" s="234">
        <f>$E$12*C$23*D$61</f>
        <v/>
      </c>
      <c r="AD122" s="234">
        <f>$E$12*C$23*D$62</f>
        <v/>
      </c>
      <c r="AE122" s="234">
        <f>$E$12*C$23*D$63</f>
        <v/>
      </c>
      <c r="AF122" s="234">
        <f>$E$12*C$23*D$64</f>
        <v/>
      </c>
      <c r="AG122" s="234">
        <f>$E$12*C$23*D$65</f>
        <v/>
      </c>
      <c r="AH122" s="234">
        <f>$E$12*C$23*D$66</f>
        <v/>
      </c>
      <c r="AI122" s="234">
        <f>$E$12*C$23*D$67</f>
        <v/>
      </c>
      <c r="AJ122" s="234">
        <f>$E$12*C$23*D$68</f>
        <v/>
      </c>
      <c r="AK122" s="234">
        <f>$E$12*C$23*D$69</f>
        <v/>
      </c>
    </row>
    <row r="123" ht="14.5" customHeight="1" s="213">
      <c r="C123" s="186">
        <f>C116</f>
        <v/>
      </c>
      <c r="D123" s="186">
        <f>D116</f>
        <v/>
      </c>
      <c r="E123" s="186">
        <f>E116</f>
        <v/>
      </c>
      <c r="F123" s="186">
        <f>F116</f>
        <v/>
      </c>
      <c r="G123" s="186">
        <f>G116</f>
        <v/>
      </c>
      <c r="H123" s="186">
        <f>H116</f>
        <v/>
      </c>
      <c r="I123" s="186">
        <f>I116</f>
        <v/>
      </c>
      <c r="J123" s="186">
        <f>J116</f>
        <v/>
      </c>
      <c r="K123" s="186">
        <f>K116</f>
        <v/>
      </c>
      <c r="L123" s="186">
        <f>L116</f>
        <v/>
      </c>
      <c r="M123" s="186">
        <f>M116</f>
        <v/>
      </c>
      <c r="N123" s="186">
        <f>N116</f>
        <v/>
      </c>
      <c r="O123" s="186">
        <f>O116</f>
        <v/>
      </c>
      <c r="P123" s="186">
        <f>P116</f>
        <v/>
      </c>
      <c r="Q123" s="186">
        <f>Q116</f>
        <v/>
      </c>
      <c r="R123" s="186">
        <f>R116</f>
        <v/>
      </c>
      <c r="S123" s="186">
        <f>S116</f>
        <v/>
      </c>
      <c r="T123" s="186">
        <f>T116</f>
        <v/>
      </c>
      <c r="U123" s="186">
        <f>U116</f>
        <v/>
      </c>
      <c r="V123" s="186">
        <f>V116</f>
        <v/>
      </c>
      <c r="W123" s="186">
        <f>W116</f>
        <v/>
      </c>
      <c r="X123" s="186">
        <f>X116</f>
        <v/>
      </c>
      <c r="Y123" s="186">
        <f>Y116</f>
        <v/>
      </c>
      <c r="Z123" s="186">
        <f>Z116</f>
        <v/>
      </c>
      <c r="AA123" s="186">
        <f>AA116</f>
        <v/>
      </c>
      <c r="AB123" s="186">
        <f>AB116</f>
        <v/>
      </c>
      <c r="AC123" s="186">
        <f>AC116</f>
        <v/>
      </c>
      <c r="AD123" s="186">
        <f>AD116</f>
        <v/>
      </c>
      <c r="AE123" s="186">
        <f>AE116</f>
        <v/>
      </c>
      <c r="AF123" s="186">
        <f>AF116</f>
        <v/>
      </c>
      <c r="AG123" s="186">
        <f>AG116</f>
        <v/>
      </c>
      <c r="AH123" s="186">
        <f>AH116</f>
        <v/>
      </c>
      <c r="AI123" s="186">
        <f>AI116</f>
        <v/>
      </c>
      <c r="AJ123" s="186">
        <f>AJ116</f>
        <v/>
      </c>
      <c r="AK123" s="186">
        <f>AK116</f>
        <v/>
      </c>
    </row>
    <row r="124" ht="14.5" customHeight="1" s="213">
      <c r="A124" s="212" t="n"/>
    </row>
    <row r="125" ht="14.5" customHeight="1" s="213">
      <c r="A125" s="154" t="inlineStr">
        <is>
          <t>process</t>
        </is>
      </c>
      <c r="B125" s="154" t="inlineStr">
        <is>
          <t>year</t>
        </is>
      </c>
      <c r="C125" s="154" t="inlineStr">
        <is>
          <t>Africa_North</t>
        </is>
      </c>
      <c r="D125" s="154" t="inlineStr">
        <is>
          <t>Africa_Other</t>
        </is>
      </c>
      <c r="E125" s="154" t="inlineStr">
        <is>
          <t>Australia</t>
        </is>
      </c>
      <c r="F125" s="154" t="inlineStr">
        <is>
          <t>Austria</t>
        </is>
      </c>
      <c r="G125" s="154" t="inlineStr">
        <is>
          <t>Baltics</t>
        </is>
      </c>
      <c r="H125" s="154" t="inlineStr">
        <is>
          <t>BeNeLux</t>
        </is>
      </c>
      <c r="I125" s="154" t="inlineStr">
        <is>
          <t>Brazil</t>
        </is>
      </c>
      <c r="J125" s="154" t="inlineStr">
        <is>
          <t>China</t>
        </is>
      </c>
      <c r="K125" s="154" t="inlineStr">
        <is>
          <t>CroSloven</t>
        </is>
      </c>
      <c r="L125" s="154" t="inlineStr">
        <is>
          <t>CzechSlovak</t>
        </is>
      </c>
      <c r="M125" s="154" t="inlineStr">
        <is>
          <t>France</t>
        </is>
      </c>
      <c r="N125" s="154" t="inlineStr">
        <is>
          <t>Germany</t>
        </is>
      </c>
      <c r="O125" s="154" t="inlineStr">
        <is>
          <t>GreeceCyp</t>
        </is>
      </c>
      <c r="P125" s="154" t="inlineStr">
        <is>
          <t>HunRomBul</t>
        </is>
      </c>
      <c r="Q125" s="154" t="inlineStr">
        <is>
          <t>Iceland</t>
        </is>
      </c>
      <c r="R125" s="154" t="inlineStr">
        <is>
          <t>India</t>
        </is>
      </c>
      <c r="S125" s="154" t="inlineStr">
        <is>
          <t>Ireland</t>
        </is>
      </c>
      <c r="T125" s="154" t="inlineStr">
        <is>
          <t>ItalyMal</t>
        </is>
      </c>
      <c r="U125" s="154" t="inlineStr">
        <is>
          <t>Japan</t>
        </is>
      </c>
      <c r="V125" s="154" t="inlineStr">
        <is>
          <t>LatAm</t>
        </is>
      </c>
      <c r="W125" s="154" t="inlineStr">
        <is>
          <t>MidEast</t>
        </is>
      </c>
      <c r="X125" s="154" t="inlineStr">
        <is>
          <t>NorthAm</t>
        </is>
      </c>
      <c r="Y125" s="154" t="inlineStr">
        <is>
          <t>Norway</t>
        </is>
      </c>
      <c r="Z125" s="154" t="inlineStr">
        <is>
          <t>Poland</t>
        </is>
      </c>
      <c r="AA125" s="154" t="inlineStr">
        <is>
          <t>ROW</t>
        </is>
      </c>
      <c r="AB125" s="154" t="inlineStr">
        <is>
          <t>Russia</t>
        </is>
      </c>
      <c r="AC125" s="154" t="inlineStr">
        <is>
          <t>SaudiArabia</t>
        </is>
      </c>
      <c r="AD125" s="154" t="inlineStr">
        <is>
          <t>SouthAfrica</t>
        </is>
      </c>
      <c r="AE125" s="154" t="inlineStr">
        <is>
          <t>SpainPor</t>
        </is>
      </c>
      <c r="AF125" s="154" t="inlineStr">
        <is>
          <t>SweFinDen</t>
        </is>
      </c>
      <c r="AG125" s="154" t="inlineStr">
        <is>
          <t>Switzerland</t>
        </is>
      </c>
      <c r="AH125" s="154" t="inlineStr">
        <is>
          <t>Turkey</t>
        </is>
      </c>
      <c r="AI125" s="154" t="inlineStr">
        <is>
          <t>UK</t>
        </is>
      </c>
      <c r="AJ125" s="154" t="inlineStr">
        <is>
          <t>Ukraine</t>
        </is>
      </c>
      <c r="AK125" s="154" t="inlineStr">
        <is>
          <t>WestBalkans</t>
        </is>
      </c>
    </row>
    <row r="126" ht="14.5" customHeight="1" s="213">
      <c r="A126" s="165">
        <f>B6</f>
        <v/>
      </c>
      <c r="B126" s="180" t="n">
        <v>2100</v>
      </c>
      <c r="C126" s="234">
        <f>$E$6*D$23*E$35</f>
        <v/>
      </c>
      <c r="D126" s="234">
        <f>$E$6*D$23*E$36</f>
        <v/>
      </c>
      <c r="E126" s="234">
        <f>$E$6*D$23*E$37</f>
        <v/>
      </c>
      <c r="F126" s="234">
        <f>$E$6*D$23*E$38</f>
        <v/>
      </c>
      <c r="G126" s="234">
        <f>$E$6*D$23*E$39</f>
        <v/>
      </c>
      <c r="H126" s="234">
        <f>$E$6*D$23*E$40</f>
        <v/>
      </c>
      <c r="I126" s="234">
        <f>$E$6*D$23*E$41</f>
        <v/>
      </c>
      <c r="J126" s="234">
        <f>$E$6*D$23*E$42</f>
        <v/>
      </c>
      <c r="K126" s="234">
        <f>$E$6*D$23*E$43</f>
        <v/>
      </c>
      <c r="L126" s="234">
        <f>$E$6*D$23*E$44</f>
        <v/>
      </c>
      <c r="M126" s="234">
        <f>$E$6*D$23*E$45</f>
        <v/>
      </c>
      <c r="N126" s="234">
        <f>$E$6*D$23*E$46</f>
        <v/>
      </c>
      <c r="O126" s="234">
        <f>$E$6*D$23*E$47</f>
        <v/>
      </c>
      <c r="P126" s="234">
        <f>$E$6*D$23*E$48</f>
        <v/>
      </c>
      <c r="Q126" s="234">
        <f>$E$6*D$23*E$49</f>
        <v/>
      </c>
      <c r="R126" s="234">
        <f>$E$6*D$23*E$50</f>
        <v/>
      </c>
      <c r="S126" s="234">
        <f>$E$6*D$23*E$51</f>
        <v/>
      </c>
      <c r="T126" s="234">
        <f>$E$6*D$23*E$52</f>
        <v/>
      </c>
      <c r="U126" s="234">
        <f>$E$6*D$23*E$53</f>
        <v/>
      </c>
      <c r="V126" s="234">
        <f>$E$6*D$23*E$54</f>
        <v/>
      </c>
      <c r="W126" s="234">
        <f>$E$6*D$23*E$55</f>
        <v/>
      </c>
      <c r="X126" s="234">
        <f>$E$6*D$23*E$56</f>
        <v/>
      </c>
      <c r="Y126" s="234">
        <f>$E$6*D$23*E$57</f>
        <v/>
      </c>
      <c r="Z126" s="234">
        <f>$E$6*D$23*E$58</f>
        <v/>
      </c>
      <c r="AA126" s="234">
        <f>$E$6*D$23*E$59</f>
        <v/>
      </c>
      <c r="AB126" s="234">
        <f>$E$6*D$23*E$60</f>
        <v/>
      </c>
      <c r="AC126" s="234">
        <f>$E$6*D$23*E$61</f>
        <v/>
      </c>
      <c r="AD126" s="234">
        <f>$E$6*D$23*E$62</f>
        <v/>
      </c>
      <c r="AE126" s="234">
        <f>$E$6*D$23*E$63</f>
        <v/>
      </c>
      <c r="AF126" s="234">
        <f>$E$6*D$23*E$64</f>
        <v/>
      </c>
      <c r="AG126" s="234">
        <f>$E$6*D$23*E$65</f>
        <v/>
      </c>
      <c r="AH126" s="234">
        <f>$E$6*D$23*E$66</f>
        <v/>
      </c>
      <c r="AI126" s="234">
        <f>$E$6*D$23*E$67</f>
        <v/>
      </c>
      <c r="AJ126" s="234">
        <f>$E$6*D$23*E$68</f>
        <v/>
      </c>
      <c r="AK126" s="234">
        <f>$E$6*D$23*E$69</f>
        <v/>
      </c>
    </row>
    <row r="127" ht="14.5" customHeight="1" s="213">
      <c r="A127" s="159">
        <f>B7</f>
        <v/>
      </c>
      <c r="B127" s="181" t="n">
        <v>2100</v>
      </c>
      <c r="C127" s="232">
        <f>$E$7*D$23*E$35</f>
        <v/>
      </c>
      <c r="D127" s="232">
        <f>$E$7*D$23*E$36</f>
        <v/>
      </c>
      <c r="E127" s="232">
        <f>$E$7*D$23*E$37</f>
        <v/>
      </c>
      <c r="F127" s="232">
        <f>$E$7*D$23*E$38</f>
        <v/>
      </c>
      <c r="G127" s="232">
        <f>$E$7*D$23*E$39</f>
        <v/>
      </c>
      <c r="H127" s="232">
        <f>$E$7*D$23*E$40</f>
        <v/>
      </c>
      <c r="I127" s="232">
        <f>$E$7*D$23*E$41</f>
        <v/>
      </c>
      <c r="J127" s="232">
        <f>$E$7*D$23*E$42</f>
        <v/>
      </c>
      <c r="K127" s="232">
        <f>$E$7*D$23*E$43</f>
        <v/>
      </c>
      <c r="L127" s="232">
        <f>$E$7*D$23*E$44</f>
        <v/>
      </c>
      <c r="M127" s="232">
        <f>$E$7*D$23*E$45</f>
        <v/>
      </c>
      <c r="N127" s="232">
        <f>$E$7*D$23*E$46</f>
        <v/>
      </c>
      <c r="O127" s="232">
        <f>$E$7*D$23*E$47</f>
        <v/>
      </c>
      <c r="P127" s="232">
        <f>$E$7*D$23*E$48</f>
        <v/>
      </c>
      <c r="Q127" s="232">
        <f>$E$7*D$23*E$49</f>
        <v/>
      </c>
      <c r="R127" s="232">
        <f>$E$7*D$23*E$50</f>
        <v/>
      </c>
      <c r="S127" s="232">
        <f>$E$7*D$23*E$51</f>
        <v/>
      </c>
      <c r="T127" s="232">
        <f>$E$7*D$23*E$52</f>
        <v/>
      </c>
      <c r="U127" s="232">
        <f>$E$7*D$23*E$53</f>
        <v/>
      </c>
      <c r="V127" s="232">
        <f>$E$7*D$23*E$54</f>
        <v/>
      </c>
      <c r="W127" s="232">
        <f>$E$7*D$23*E$55</f>
        <v/>
      </c>
      <c r="X127" s="232">
        <f>$E$7*D$23*E$56</f>
        <v/>
      </c>
      <c r="Y127" s="232">
        <f>$E$7*D$23*E$57</f>
        <v/>
      </c>
      <c r="Z127" s="232">
        <f>$E$7*D$23*E$58</f>
        <v/>
      </c>
      <c r="AA127" s="232">
        <f>$E$7*D$23*E$59</f>
        <v/>
      </c>
      <c r="AB127" s="232">
        <f>$E$7*D$23*E$60</f>
        <v/>
      </c>
      <c r="AC127" s="232">
        <f>$E$7*D$23*E$61</f>
        <v/>
      </c>
      <c r="AD127" s="232">
        <f>$E$7*D$23*E$62</f>
        <v/>
      </c>
      <c r="AE127" s="232">
        <f>$E$7*D$23*E$63</f>
        <v/>
      </c>
      <c r="AF127" s="232">
        <f>$E$7*D$23*E$64</f>
        <v/>
      </c>
      <c r="AG127" s="232">
        <f>$E$7*D$23*E$65</f>
        <v/>
      </c>
      <c r="AH127" s="232">
        <f>$E$7*D$23*E$66</f>
        <v/>
      </c>
      <c r="AI127" s="232">
        <f>$E$7*D$23*E$67</f>
        <v/>
      </c>
      <c r="AJ127" s="232">
        <f>$E$7*D$23*E$68</f>
        <v/>
      </c>
      <c r="AK127" s="232">
        <f>$E$7*D$23*E$69</f>
        <v/>
      </c>
    </row>
    <row r="128" ht="14.5" customHeight="1" s="213">
      <c r="A128" s="165">
        <f>B8</f>
        <v/>
      </c>
      <c r="B128" s="180" t="n">
        <v>2100</v>
      </c>
      <c r="C128" s="234">
        <f>$E$8*D$23*E$35</f>
        <v/>
      </c>
      <c r="D128" s="234">
        <f>$E$8*D$23*E$36</f>
        <v/>
      </c>
      <c r="E128" s="234">
        <f>$E$8*D$23*E$37</f>
        <v/>
      </c>
      <c r="F128" s="234">
        <f>$E$8*D$23*E$38</f>
        <v/>
      </c>
      <c r="G128" s="234">
        <f>$E$8*D$23*E$39</f>
        <v/>
      </c>
      <c r="H128" s="234">
        <f>$E$8*D$23*E$40</f>
        <v/>
      </c>
      <c r="I128" s="234">
        <f>$E$8*D$23*E$41</f>
        <v/>
      </c>
      <c r="J128" s="234">
        <f>$E$8*D$23*E$42</f>
        <v/>
      </c>
      <c r="K128" s="234">
        <f>$E$8*D$23*E$43</f>
        <v/>
      </c>
      <c r="L128" s="234">
        <f>$E$8*D$23*E$44</f>
        <v/>
      </c>
      <c r="M128" s="234">
        <f>$E$8*D$23*E$45</f>
        <v/>
      </c>
      <c r="N128" s="234">
        <f>$E$8*D$23*E$46</f>
        <v/>
      </c>
      <c r="O128" s="234">
        <f>$E$8*D$23*E$47</f>
        <v/>
      </c>
      <c r="P128" s="234">
        <f>$E$8*D$23*E$48</f>
        <v/>
      </c>
      <c r="Q128" s="234">
        <f>$E$8*D$23*E$49</f>
        <v/>
      </c>
      <c r="R128" s="234">
        <f>$E$8*D$23*E$50</f>
        <v/>
      </c>
      <c r="S128" s="234">
        <f>$E$8*D$23*E$51</f>
        <v/>
      </c>
      <c r="T128" s="234">
        <f>$E$8*D$23*E$52</f>
        <v/>
      </c>
      <c r="U128" s="234">
        <f>$E$8*D$23*E$53</f>
        <v/>
      </c>
      <c r="V128" s="234">
        <f>$E$8*D$23*E$54</f>
        <v/>
      </c>
      <c r="W128" s="234">
        <f>$E$8*D$23*E$55</f>
        <v/>
      </c>
      <c r="X128" s="234">
        <f>$E$8*D$23*E$56</f>
        <v/>
      </c>
      <c r="Y128" s="234">
        <f>$E$8*D$23*E$57</f>
        <v/>
      </c>
      <c r="Z128" s="234">
        <f>$E$8*D$23*E$58</f>
        <v/>
      </c>
      <c r="AA128" s="234">
        <f>$E$8*D$23*E$59</f>
        <v/>
      </c>
      <c r="AB128" s="234">
        <f>$E$8*D$23*E$60</f>
        <v/>
      </c>
      <c r="AC128" s="234">
        <f>$E$8*D$23*E$61</f>
        <v/>
      </c>
      <c r="AD128" s="234">
        <f>$E$8*D$23*E$62</f>
        <v/>
      </c>
      <c r="AE128" s="234">
        <f>$E$8*D$23*E$63</f>
        <v/>
      </c>
      <c r="AF128" s="234">
        <f>$E$8*D$23*E$64</f>
        <v/>
      </c>
      <c r="AG128" s="234">
        <f>$E$8*D$23*E$65</f>
        <v/>
      </c>
      <c r="AH128" s="234">
        <f>$E$8*D$23*E$66</f>
        <v/>
      </c>
      <c r="AI128" s="234">
        <f>$E$8*D$23*E$67</f>
        <v/>
      </c>
      <c r="AJ128" s="234">
        <f>$E$8*D$23*E$68</f>
        <v/>
      </c>
      <c r="AK128" s="234">
        <f>$E$8*D$23*E$69</f>
        <v/>
      </c>
    </row>
    <row r="129" ht="14.5" customHeight="1" s="213">
      <c r="A129" s="159">
        <f>B9</f>
        <v/>
      </c>
      <c r="B129" s="181" t="n">
        <v>2100</v>
      </c>
      <c r="C129" s="232">
        <f>$E$9*D$23*E$35</f>
        <v/>
      </c>
      <c r="D129" s="232">
        <f>$E$9*D$23*E$36</f>
        <v/>
      </c>
      <c r="E129" s="232">
        <f>$E$9*D$23*E$37</f>
        <v/>
      </c>
      <c r="F129" s="232">
        <f>$E$9*D$23*E$38</f>
        <v/>
      </c>
      <c r="G129" s="232">
        <f>$E$9*D$23*E$39</f>
        <v/>
      </c>
      <c r="H129" s="232">
        <f>$E$9*D$23*E$40</f>
        <v/>
      </c>
      <c r="I129" s="232">
        <f>$E$9*D$23*E$41</f>
        <v/>
      </c>
      <c r="J129" s="232">
        <f>$E$9*D$23*E$42</f>
        <v/>
      </c>
      <c r="K129" s="232">
        <f>$E$9*D$23*E$43</f>
        <v/>
      </c>
      <c r="L129" s="232">
        <f>$E$9*D$23*E$44</f>
        <v/>
      </c>
      <c r="M129" s="232">
        <f>$E$9*D$23*E$45</f>
        <v/>
      </c>
      <c r="N129" s="232">
        <f>$E$9*D$23*E$46</f>
        <v/>
      </c>
      <c r="O129" s="232">
        <f>$E$9*D$23*E$47</f>
        <v/>
      </c>
      <c r="P129" s="232">
        <f>$E$9*D$23*E$48</f>
        <v/>
      </c>
      <c r="Q129" s="232">
        <f>$E$9*D$23*E$49</f>
        <v/>
      </c>
      <c r="R129" s="232">
        <f>$E$9*D$23*E$50</f>
        <v/>
      </c>
      <c r="S129" s="232">
        <f>$E$9*D$23*E$51</f>
        <v/>
      </c>
      <c r="T129" s="232">
        <f>$E$9*D$23*E$52</f>
        <v/>
      </c>
      <c r="U129" s="232">
        <f>$E$9*D$23*E$53</f>
        <v/>
      </c>
      <c r="V129" s="232">
        <f>$E$9*D$23*E$54</f>
        <v/>
      </c>
      <c r="W129" s="232">
        <f>$E$9*D$23*E$55</f>
        <v/>
      </c>
      <c r="X129" s="232">
        <f>$E$9*D$23*E$56</f>
        <v/>
      </c>
      <c r="Y129" s="232">
        <f>$E$9*D$23*E$57</f>
        <v/>
      </c>
      <c r="Z129" s="232">
        <f>$E$9*D$23*E$58</f>
        <v/>
      </c>
      <c r="AA129" s="232">
        <f>$E$9*D$23*E$59</f>
        <v/>
      </c>
      <c r="AB129" s="232">
        <f>$E$9*D$23*E$60</f>
        <v/>
      </c>
      <c r="AC129" s="232">
        <f>$E$9*D$23*E$61</f>
        <v/>
      </c>
      <c r="AD129" s="232">
        <f>$E$9*D$23*E$62</f>
        <v/>
      </c>
      <c r="AE129" s="232">
        <f>$E$9*D$23*E$63</f>
        <v/>
      </c>
      <c r="AF129" s="232">
        <f>$E$9*D$23*E$64</f>
        <v/>
      </c>
      <c r="AG129" s="232">
        <f>$E$9*D$23*E$65</f>
        <v/>
      </c>
      <c r="AH129" s="232">
        <f>$E$9*D$23*E$66</f>
        <v/>
      </c>
      <c r="AI129" s="232">
        <f>$E$9*D$23*E$67</f>
        <v/>
      </c>
      <c r="AJ129" s="232">
        <f>$E$9*D$23*E$68</f>
        <v/>
      </c>
      <c r="AK129" s="232">
        <f>$E$9*D$23*E$69</f>
        <v/>
      </c>
    </row>
    <row r="130" ht="14.5" customHeight="1" s="213">
      <c r="A130" s="165">
        <f>B10</f>
        <v/>
      </c>
      <c r="B130" s="180" t="n">
        <v>2100</v>
      </c>
      <c r="C130" s="234">
        <f>$E$10*D$23*E$35</f>
        <v/>
      </c>
      <c r="D130" s="234">
        <f>$E$10*D$23*E$36</f>
        <v/>
      </c>
      <c r="E130" s="234">
        <f>$E$10*D$23*E$37</f>
        <v/>
      </c>
      <c r="F130" s="234">
        <f>$E$10*D$23*E$38</f>
        <v/>
      </c>
      <c r="G130" s="234">
        <f>$E$10*D$23*E$39</f>
        <v/>
      </c>
      <c r="H130" s="234">
        <f>$E$10*D$23*E$40</f>
        <v/>
      </c>
      <c r="I130" s="234">
        <f>$E$10*D$23*E$41</f>
        <v/>
      </c>
      <c r="J130" s="234">
        <f>$E$10*D$23*E$42</f>
        <v/>
      </c>
      <c r="K130" s="234">
        <f>$E$10*D$23*E$43</f>
        <v/>
      </c>
      <c r="L130" s="234">
        <f>$E$10*D$23*E$44</f>
        <v/>
      </c>
      <c r="M130" s="234">
        <f>$E$10*D$23*E$45</f>
        <v/>
      </c>
      <c r="N130" s="234">
        <f>$E$10*D$23*E$46</f>
        <v/>
      </c>
      <c r="O130" s="234">
        <f>$E$10*D$23*E$47</f>
        <v/>
      </c>
      <c r="P130" s="234">
        <f>$E$10*D$23*E$48</f>
        <v/>
      </c>
      <c r="Q130" s="234">
        <f>$E$10*D$23*E$49</f>
        <v/>
      </c>
      <c r="R130" s="234">
        <f>$E$10*D$23*E$50</f>
        <v/>
      </c>
      <c r="S130" s="234">
        <f>$E$10*D$23*E$51</f>
        <v/>
      </c>
      <c r="T130" s="234">
        <f>$E$10*D$23*E$52</f>
        <v/>
      </c>
      <c r="U130" s="234">
        <f>$E$10*D$23*E$53</f>
        <v/>
      </c>
      <c r="V130" s="234">
        <f>$E$10*D$23*E$54</f>
        <v/>
      </c>
      <c r="W130" s="234">
        <f>$E$10*D$23*E$55</f>
        <v/>
      </c>
      <c r="X130" s="234">
        <f>$E$10*D$23*E$56</f>
        <v/>
      </c>
      <c r="Y130" s="234">
        <f>$E$10*D$23*E$57</f>
        <v/>
      </c>
      <c r="Z130" s="234">
        <f>$E$10*D$23*E$58</f>
        <v/>
      </c>
      <c r="AA130" s="234">
        <f>$E$10*D$23*E$59</f>
        <v/>
      </c>
      <c r="AB130" s="234">
        <f>$E$10*D$23*E$60</f>
        <v/>
      </c>
      <c r="AC130" s="234">
        <f>$E$10*D$23*E$61</f>
        <v/>
      </c>
      <c r="AD130" s="234">
        <f>$E$10*D$23*E$62</f>
        <v/>
      </c>
      <c r="AE130" s="234">
        <f>$E$10*D$23*E$63</f>
        <v/>
      </c>
      <c r="AF130" s="234">
        <f>$E$10*D$23*E$64</f>
        <v/>
      </c>
      <c r="AG130" s="234">
        <f>$E$10*D$23*E$65</f>
        <v/>
      </c>
      <c r="AH130" s="234">
        <f>$E$10*D$23*E$66</f>
        <v/>
      </c>
      <c r="AI130" s="234">
        <f>$E$10*D$23*E$67</f>
        <v/>
      </c>
      <c r="AJ130" s="234">
        <f>$E$10*D$23*E$68</f>
        <v/>
      </c>
      <c r="AK130" s="234">
        <f>$E$10*D$23*E$69</f>
        <v/>
      </c>
    </row>
    <row r="131" ht="14.5" customHeight="1" s="213">
      <c r="A131" s="159">
        <f>B11</f>
        <v/>
      </c>
      <c r="B131" s="181" t="n">
        <v>2100</v>
      </c>
      <c r="C131" s="232">
        <f>$E$11*D$23*E$35</f>
        <v/>
      </c>
      <c r="D131" s="232">
        <f>$E$11*D$23*E$36</f>
        <v/>
      </c>
      <c r="E131" s="232">
        <f>$E$11*D$23*E$37</f>
        <v/>
      </c>
      <c r="F131" s="232">
        <f>$E$11*D$23*E$38</f>
        <v/>
      </c>
      <c r="G131" s="232">
        <f>$E$11*D$23*E$39</f>
        <v/>
      </c>
      <c r="H131" s="232">
        <f>$E$11*D$23*E$40</f>
        <v/>
      </c>
      <c r="I131" s="232">
        <f>$E$11*D$23*E$41</f>
        <v/>
      </c>
      <c r="J131" s="232">
        <f>$E$11*D$23*E$42</f>
        <v/>
      </c>
      <c r="K131" s="232">
        <f>$E$11*D$23*E$43</f>
        <v/>
      </c>
      <c r="L131" s="232">
        <f>$E$11*D$23*E$44</f>
        <v/>
      </c>
      <c r="M131" s="232">
        <f>$E$11*D$23*E$45</f>
        <v/>
      </c>
      <c r="N131" s="232">
        <f>$E$11*D$23*E$46</f>
        <v/>
      </c>
      <c r="O131" s="232">
        <f>$E$11*D$23*E$47</f>
        <v/>
      </c>
      <c r="P131" s="232">
        <f>$E$11*D$23*E$48</f>
        <v/>
      </c>
      <c r="Q131" s="232">
        <f>$E$11*D$23*E$49</f>
        <v/>
      </c>
      <c r="R131" s="232">
        <f>$E$11*D$23*E$50</f>
        <v/>
      </c>
      <c r="S131" s="232">
        <f>$E$11*D$23*E$51</f>
        <v/>
      </c>
      <c r="T131" s="232">
        <f>$E$11*D$23*E$52</f>
        <v/>
      </c>
      <c r="U131" s="232">
        <f>$E$11*D$23*E$53</f>
        <v/>
      </c>
      <c r="V131" s="232">
        <f>$E$11*D$23*E$54</f>
        <v/>
      </c>
      <c r="W131" s="232">
        <f>$E$11*D$23*E$55</f>
        <v/>
      </c>
      <c r="X131" s="232">
        <f>$E$11*D$23*E$56</f>
        <v/>
      </c>
      <c r="Y131" s="232">
        <f>$E$11*D$23*E$57</f>
        <v/>
      </c>
      <c r="Z131" s="232">
        <f>$E$11*D$23*E$58</f>
        <v/>
      </c>
      <c r="AA131" s="232">
        <f>$E$11*D$23*E$59</f>
        <v/>
      </c>
      <c r="AB131" s="232">
        <f>$E$11*D$23*E$60</f>
        <v/>
      </c>
      <c r="AC131" s="232">
        <f>$E$11*D$23*E$61</f>
        <v/>
      </c>
      <c r="AD131" s="232">
        <f>$E$11*D$23*E$62</f>
        <v/>
      </c>
      <c r="AE131" s="232">
        <f>$E$11*D$23*E$63</f>
        <v/>
      </c>
      <c r="AF131" s="232">
        <f>$E$11*D$23*E$64</f>
        <v/>
      </c>
      <c r="AG131" s="232">
        <f>$E$11*D$23*E$65</f>
        <v/>
      </c>
      <c r="AH131" s="232">
        <f>$E$11*D$23*E$66</f>
        <v/>
      </c>
      <c r="AI131" s="232">
        <f>$E$11*D$23*E$67</f>
        <v/>
      </c>
      <c r="AJ131" s="232">
        <f>$E$11*D$23*E$68</f>
        <v/>
      </c>
      <c r="AK131" s="232">
        <f>$E$11*D$23*E$69</f>
        <v/>
      </c>
    </row>
    <row r="132" ht="14.5" customHeight="1" s="213">
      <c r="A132" s="165">
        <f>B12</f>
        <v/>
      </c>
      <c r="B132" s="180" t="n">
        <v>2100</v>
      </c>
      <c r="C132" s="234">
        <f>$E$12*D$23*E$35</f>
        <v/>
      </c>
      <c r="D132" s="234">
        <f>$E$12*D$23*E$36</f>
        <v/>
      </c>
      <c r="E132" s="234">
        <f>$E$12*D$23*E$37</f>
        <v/>
      </c>
      <c r="F132" s="234">
        <f>$E$12*D$23*E$38</f>
        <v/>
      </c>
      <c r="G132" s="234">
        <f>$E$12*D$23*E$39</f>
        <v/>
      </c>
      <c r="H132" s="234">
        <f>$E$12*D$23*E$40</f>
        <v/>
      </c>
      <c r="I132" s="234">
        <f>$E$12*D$23*E$41</f>
        <v/>
      </c>
      <c r="J132" s="234">
        <f>$E$12*D$23*E$42</f>
        <v/>
      </c>
      <c r="K132" s="234">
        <f>$E$12*D$23*E$43</f>
        <v/>
      </c>
      <c r="L132" s="234">
        <f>$E$12*D$23*E$44</f>
        <v/>
      </c>
      <c r="M132" s="234">
        <f>$E$12*D$23*E$45</f>
        <v/>
      </c>
      <c r="N132" s="234">
        <f>$E$12*D$23*E$46</f>
        <v/>
      </c>
      <c r="O132" s="234">
        <f>$E$12*D$23*E$47</f>
        <v/>
      </c>
      <c r="P132" s="234">
        <f>$E$12*D$23*E$48</f>
        <v/>
      </c>
      <c r="Q132" s="234">
        <f>$E$12*D$23*E$49</f>
        <v/>
      </c>
      <c r="R132" s="234">
        <f>$E$12*D$23*E$50</f>
        <v/>
      </c>
      <c r="S132" s="234">
        <f>$E$12*D$23*E$51</f>
        <v/>
      </c>
      <c r="T132" s="234">
        <f>$E$12*D$23*E$52</f>
        <v/>
      </c>
      <c r="U132" s="234">
        <f>$E$12*D$23*E$53</f>
        <v/>
      </c>
      <c r="V132" s="234">
        <f>$E$12*D$23*E$54</f>
        <v/>
      </c>
      <c r="W132" s="234">
        <f>$E$12*D$23*E$55</f>
        <v/>
      </c>
      <c r="X132" s="234">
        <f>$E$12*D$23*E$56</f>
        <v/>
      </c>
      <c r="Y132" s="234">
        <f>$E$12*D$23*E$57</f>
        <v/>
      </c>
      <c r="Z132" s="234">
        <f>$E$12*D$23*E$58</f>
        <v/>
      </c>
      <c r="AA132" s="234">
        <f>$E$12*D$23*E$59</f>
        <v/>
      </c>
      <c r="AB132" s="234">
        <f>$E$12*D$23*E$60</f>
        <v/>
      </c>
      <c r="AC132" s="234">
        <f>$E$12*D$23*E$61</f>
        <v/>
      </c>
      <c r="AD132" s="234">
        <f>$E$12*D$23*E$62</f>
        <v/>
      </c>
      <c r="AE132" s="234">
        <f>$E$12*D$23*E$63</f>
        <v/>
      </c>
      <c r="AF132" s="234">
        <f>$E$12*D$23*E$64</f>
        <v/>
      </c>
      <c r="AG132" s="234">
        <f>$E$12*D$23*E$65</f>
        <v/>
      </c>
      <c r="AH132" s="234">
        <f>$E$12*D$23*E$66</f>
        <v/>
      </c>
      <c r="AI132" s="234">
        <f>$E$12*D$23*E$67</f>
        <v/>
      </c>
      <c r="AJ132" s="234">
        <f>$E$12*D$23*E$68</f>
        <v/>
      </c>
      <c r="AK132" s="234">
        <f>$E$12*D$23*E$69</f>
        <v/>
      </c>
    </row>
    <row r="133" ht="14.5" customHeight="1" s="213">
      <c r="C133" s="186">
        <f>C126</f>
        <v/>
      </c>
      <c r="D133" s="186">
        <f>D126</f>
        <v/>
      </c>
      <c r="E133" s="186">
        <f>E126</f>
        <v/>
      </c>
      <c r="F133" s="186">
        <f>F126</f>
        <v/>
      </c>
      <c r="G133" s="186">
        <f>G126</f>
        <v/>
      </c>
      <c r="H133" s="186">
        <f>H126</f>
        <v/>
      </c>
      <c r="I133" s="186">
        <f>I126</f>
        <v/>
      </c>
      <c r="J133" s="186">
        <f>J126</f>
        <v/>
      </c>
      <c r="K133" s="186">
        <f>K126</f>
        <v/>
      </c>
      <c r="L133" s="186">
        <f>L126</f>
        <v/>
      </c>
      <c r="M133" s="186">
        <f>M126</f>
        <v/>
      </c>
      <c r="N133" s="186">
        <f>N126</f>
        <v/>
      </c>
      <c r="O133" s="186">
        <f>O126</f>
        <v/>
      </c>
      <c r="P133" s="186">
        <f>P126</f>
        <v/>
      </c>
      <c r="Q133" s="186">
        <f>Q126</f>
        <v/>
      </c>
      <c r="R133" s="186">
        <f>R126</f>
        <v/>
      </c>
      <c r="S133" s="186">
        <f>S126</f>
        <v/>
      </c>
      <c r="T133" s="186">
        <f>T126</f>
        <v/>
      </c>
      <c r="U133" s="186">
        <f>U126</f>
        <v/>
      </c>
      <c r="V133" s="186">
        <f>V126</f>
        <v/>
      </c>
      <c r="W133" s="186">
        <f>W126</f>
        <v/>
      </c>
      <c r="X133" s="186">
        <f>X126</f>
        <v/>
      </c>
      <c r="Y133" s="186">
        <f>Y126</f>
        <v/>
      </c>
      <c r="Z133" s="186">
        <f>Z126</f>
        <v/>
      </c>
      <c r="AA133" s="186">
        <f>AA126</f>
        <v/>
      </c>
      <c r="AB133" s="186">
        <f>AB126</f>
        <v/>
      </c>
      <c r="AC133" s="186">
        <f>AC126</f>
        <v/>
      </c>
      <c r="AD133" s="186">
        <f>AD126</f>
        <v/>
      </c>
      <c r="AE133" s="186">
        <f>AE126</f>
        <v/>
      </c>
      <c r="AF133" s="186">
        <f>AF126</f>
        <v/>
      </c>
      <c r="AG133" s="186">
        <f>AG126</f>
        <v/>
      </c>
      <c r="AH133" s="186">
        <f>AH126</f>
        <v/>
      </c>
      <c r="AI133" s="186">
        <f>AI126</f>
        <v/>
      </c>
      <c r="AJ133" s="186">
        <f>AJ126</f>
        <v/>
      </c>
      <c r="AK133" s="186">
        <f>AK126</f>
        <v/>
      </c>
    </row>
    <row r="139" ht="14.5" customHeight="1" s="213">
      <c r="A139" s="56" t="inlineStr">
        <is>
          <t>~TFM_INS: attribute=ACT_COST</t>
        </is>
      </c>
      <c r="B139" s="56" t="n"/>
      <c r="C139" s="56" t="n"/>
      <c r="D139" s="56" t="n"/>
      <c r="E139" s="56" t="n"/>
      <c r="AP139" s="56" t="inlineStr">
        <is>
          <t>~TFM_INS: attribute=INVCOST</t>
        </is>
      </c>
      <c r="AQ139" s="56" t="n"/>
      <c r="AR139" s="56" t="n"/>
      <c r="AS139" s="56" t="n"/>
      <c r="AT139" s="56" t="n"/>
    </row>
    <row r="140" ht="14.5" customHeight="1" s="213">
      <c r="A140" s="56" t="inlineStr">
        <is>
          <t>process</t>
        </is>
      </c>
      <c r="B140" s="56" t="inlineStr">
        <is>
          <t>year</t>
        </is>
      </c>
      <c r="C140" s="154" t="inlineStr">
        <is>
          <t>Africa_North</t>
        </is>
      </c>
      <c r="D140" s="154" t="inlineStr">
        <is>
          <t>Africa_Other</t>
        </is>
      </c>
      <c r="E140" s="154" t="inlineStr">
        <is>
          <t>Australia</t>
        </is>
      </c>
      <c r="F140" s="154" t="inlineStr">
        <is>
          <t>Austria</t>
        </is>
      </c>
      <c r="G140" s="154" t="inlineStr">
        <is>
          <t>Baltics</t>
        </is>
      </c>
      <c r="H140" s="154" t="inlineStr">
        <is>
          <t>BeNeLux</t>
        </is>
      </c>
      <c r="I140" s="154" t="inlineStr">
        <is>
          <t>Brazil</t>
        </is>
      </c>
      <c r="J140" s="154" t="inlineStr">
        <is>
          <t>China</t>
        </is>
      </c>
      <c r="K140" s="154" t="inlineStr">
        <is>
          <t>CroSloven</t>
        </is>
      </c>
      <c r="L140" s="154" t="inlineStr">
        <is>
          <t>CzechSlovak</t>
        </is>
      </c>
      <c r="M140" s="154" t="inlineStr">
        <is>
          <t>France</t>
        </is>
      </c>
      <c r="N140" s="154" t="inlineStr">
        <is>
          <t>Germany</t>
        </is>
      </c>
      <c r="O140" s="154" t="inlineStr">
        <is>
          <t>GreeceCyp</t>
        </is>
      </c>
      <c r="P140" s="154" t="inlineStr">
        <is>
          <t>HunRomBul</t>
        </is>
      </c>
      <c r="Q140" s="154" t="inlineStr">
        <is>
          <t>Iceland</t>
        </is>
      </c>
      <c r="R140" s="154" t="inlineStr">
        <is>
          <t>India</t>
        </is>
      </c>
      <c r="S140" s="154" t="inlineStr">
        <is>
          <t>Ireland</t>
        </is>
      </c>
      <c r="T140" s="154" t="inlineStr">
        <is>
          <t>ItalyMal</t>
        </is>
      </c>
      <c r="U140" s="154" t="inlineStr">
        <is>
          <t>Japan</t>
        </is>
      </c>
      <c r="V140" s="154" t="inlineStr">
        <is>
          <t>LatAm</t>
        </is>
      </c>
      <c r="W140" s="154" t="inlineStr">
        <is>
          <t>MidEast</t>
        </is>
      </c>
      <c r="X140" s="154" t="inlineStr">
        <is>
          <t>NorthAm</t>
        </is>
      </c>
      <c r="Y140" s="154" t="inlineStr">
        <is>
          <t>Norway</t>
        </is>
      </c>
      <c r="Z140" s="154" t="inlineStr">
        <is>
          <t>Poland</t>
        </is>
      </c>
      <c r="AA140" s="154" t="inlineStr">
        <is>
          <t>ROW</t>
        </is>
      </c>
      <c r="AB140" s="154" t="inlineStr">
        <is>
          <t>Russia</t>
        </is>
      </c>
      <c r="AC140" s="154" t="inlineStr">
        <is>
          <t>SaudiArabia</t>
        </is>
      </c>
      <c r="AD140" s="154" t="inlineStr">
        <is>
          <t>SouthAfrica</t>
        </is>
      </c>
      <c r="AE140" s="154" t="inlineStr">
        <is>
          <t>SpainPor</t>
        </is>
      </c>
      <c r="AF140" s="154" t="inlineStr">
        <is>
          <t>SweFinDen</t>
        </is>
      </c>
      <c r="AG140" s="154" t="inlineStr">
        <is>
          <t>Switzerland</t>
        </is>
      </c>
      <c r="AH140" s="154" t="inlineStr">
        <is>
          <t>Turkey</t>
        </is>
      </c>
      <c r="AI140" s="154" t="inlineStr">
        <is>
          <t>UK</t>
        </is>
      </c>
      <c r="AJ140" s="154" t="inlineStr">
        <is>
          <t>Ukraine</t>
        </is>
      </c>
      <c r="AK140" s="154" t="inlineStr">
        <is>
          <t>WestBalkans</t>
        </is>
      </c>
      <c r="AP140" s="56" t="inlineStr">
        <is>
          <t>process</t>
        </is>
      </c>
      <c r="AQ140" s="56" t="inlineStr">
        <is>
          <t>year</t>
        </is>
      </c>
      <c r="AR140" s="154" t="inlineStr">
        <is>
          <t>Africa_North</t>
        </is>
      </c>
      <c r="AS140" s="154" t="inlineStr">
        <is>
          <t>Africa_Other</t>
        </is>
      </c>
      <c r="AT140" s="154" t="inlineStr">
        <is>
          <t>Australia</t>
        </is>
      </c>
      <c r="AU140" s="154" t="inlineStr">
        <is>
          <t>Austria</t>
        </is>
      </c>
      <c r="AV140" s="154" t="inlineStr">
        <is>
          <t>Baltics</t>
        </is>
      </c>
      <c r="AW140" s="154" t="inlineStr">
        <is>
          <t>BeNeLux</t>
        </is>
      </c>
      <c r="AX140" s="154" t="inlineStr">
        <is>
          <t>Brazil</t>
        </is>
      </c>
      <c r="AY140" s="154" t="inlineStr">
        <is>
          <t>China</t>
        </is>
      </c>
      <c r="AZ140" s="154" t="inlineStr">
        <is>
          <t>CroSloven</t>
        </is>
      </c>
      <c r="BA140" s="154" t="inlineStr">
        <is>
          <t>CzechSlovak</t>
        </is>
      </c>
      <c r="BB140" s="154" t="inlineStr">
        <is>
          <t>France</t>
        </is>
      </c>
      <c r="BC140" s="154" t="inlineStr">
        <is>
          <t>Germany</t>
        </is>
      </c>
      <c r="BD140" s="154" t="inlineStr">
        <is>
          <t>GreeceCyp</t>
        </is>
      </c>
      <c r="BE140" s="154" t="inlineStr">
        <is>
          <t>HunRomBul</t>
        </is>
      </c>
      <c r="BF140" s="154" t="inlineStr">
        <is>
          <t>Iceland</t>
        </is>
      </c>
      <c r="BG140" s="154" t="inlineStr">
        <is>
          <t>India</t>
        </is>
      </c>
      <c r="BH140" s="154" t="inlineStr">
        <is>
          <t>Ireland</t>
        </is>
      </c>
      <c r="BI140" s="154" t="inlineStr">
        <is>
          <t>ItalyMal</t>
        </is>
      </c>
      <c r="BJ140" s="154" t="inlineStr">
        <is>
          <t>Japan</t>
        </is>
      </c>
      <c r="BK140" s="154" t="inlineStr">
        <is>
          <t>LatAm</t>
        </is>
      </c>
      <c r="BL140" s="154" t="inlineStr">
        <is>
          <t>MidEast</t>
        </is>
      </c>
      <c r="BM140" s="154" t="inlineStr">
        <is>
          <t>NorthAm</t>
        </is>
      </c>
      <c r="BN140" s="154" t="inlineStr">
        <is>
          <t>Norway</t>
        </is>
      </c>
      <c r="BO140" s="154" t="inlineStr">
        <is>
          <t>Poland</t>
        </is>
      </c>
      <c r="BP140" s="154" t="inlineStr">
        <is>
          <t>ROW</t>
        </is>
      </c>
      <c r="BQ140" s="154" t="inlineStr">
        <is>
          <t>Russia</t>
        </is>
      </c>
      <c r="BR140" s="154" t="inlineStr">
        <is>
          <t>SaudiArabia</t>
        </is>
      </c>
      <c r="BS140" s="154" t="inlineStr">
        <is>
          <t>SouthAfrica</t>
        </is>
      </c>
      <c r="BT140" s="154" t="inlineStr">
        <is>
          <t>SpainPor</t>
        </is>
      </c>
      <c r="BU140" s="154" t="inlineStr">
        <is>
          <t>SweFinDen</t>
        </is>
      </c>
      <c r="BV140" s="154" t="inlineStr">
        <is>
          <t>Switzerland</t>
        </is>
      </c>
      <c r="BW140" s="154" t="inlineStr">
        <is>
          <t>Turkey</t>
        </is>
      </c>
      <c r="BX140" s="154" t="inlineStr">
        <is>
          <t>UK</t>
        </is>
      </c>
      <c r="BY140" s="154" t="inlineStr">
        <is>
          <t>Ukraine</t>
        </is>
      </c>
      <c r="BZ140" s="154" t="inlineStr">
        <is>
          <t>WestBalkans</t>
        </is>
      </c>
    </row>
    <row r="141" ht="14.5" customHeight="1" s="213">
      <c r="A141" s="56" t="inlineStr">
        <is>
          <t>Tra_EV_Batt-LFP_virgin</t>
        </is>
      </c>
      <c r="B141" s="56" t="n">
        <v>2023</v>
      </c>
      <c r="C141" s="56">
        <f>C106*70%</f>
        <v/>
      </c>
      <c r="D141" s="56">
        <f>D106*70%</f>
        <v/>
      </c>
      <c r="E141" s="56">
        <f>E106*70%</f>
        <v/>
      </c>
      <c r="F141" s="56">
        <f>F106*70%</f>
        <v/>
      </c>
      <c r="G141" s="56">
        <f>G106*70%</f>
        <v/>
      </c>
      <c r="H141" s="56">
        <f>H106*70%</f>
        <v/>
      </c>
      <c r="I141" s="56">
        <f>I106*70%</f>
        <v/>
      </c>
      <c r="J141" s="56">
        <f>J106*70%</f>
        <v/>
      </c>
      <c r="K141" s="56">
        <f>K106*70%</f>
        <v/>
      </c>
      <c r="L141" s="56">
        <f>L106*70%</f>
        <v/>
      </c>
      <c r="M141" s="56">
        <f>M106*70%</f>
        <v/>
      </c>
      <c r="N141" s="56">
        <f>N106*70%</f>
        <v/>
      </c>
      <c r="O141" s="56">
        <f>O106*70%</f>
        <v/>
      </c>
      <c r="P141" s="56">
        <f>P106*70%</f>
        <v/>
      </c>
      <c r="Q141" s="56">
        <f>Q106*70%</f>
        <v/>
      </c>
      <c r="R141" s="56">
        <f>R106*70%</f>
        <v/>
      </c>
      <c r="S141" s="56">
        <f>S106*70%</f>
        <v/>
      </c>
      <c r="T141" s="56">
        <f>T106*70%</f>
        <v/>
      </c>
      <c r="U141" s="56">
        <f>U106*70%</f>
        <v/>
      </c>
      <c r="V141" s="56">
        <f>V106*70%</f>
        <v/>
      </c>
      <c r="W141" s="56">
        <f>W106*70%</f>
        <v/>
      </c>
      <c r="X141" s="56">
        <f>X106*70%</f>
        <v/>
      </c>
      <c r="Y141" s="56">
        <f>Y106*70%</f>
        <v/>
      </c>
      <c r="Z141" s="56">
        <f>Z106*70%</f>
        <v/>
      </c>
      <c r="AA141" s="56">
        <f>AA106*70%</f>
        <v/>
      </c>
      <c r="AB141" s="56">
        <f>AB106*70%</f>
        <v/>
      </c>
      <c r="AC141" s="56">
        <f>AC106*70%</f>
        <v/>
      </c>
      <c r="AD141" s="56">
        <f>AD106*70%</f>
        <v/>
      </c>
      <c r="AE141" s="56">
        <f>AE106*70%</f>
        <v/>
      </c>
      <c r="AF141" s="56">
        <f>AF106*70%</f>
        <v/>
      </c>
      <c r="AG141" s="56">
        <f>AG106*70%</f>
        <v/>
      </c>
      <c r="AH141" s="56">
        <f>AH106*70%</f>
        <v/>
      </c>
      <c r="AI141" s="56">
        <f>AI106*70%</f>
        <v/>
      </c>
      <c r="AJ141" s="56">
        <f>AJ106*70%</f>
        <v/>
      </c>
      <c r="AK141" s="56">
        <f>AK106*70%</f>
        <v/>
      </c>
      <c r="AP141" s="56" t="inlineStr">
        <is>
          <t>Tra_EV_Batt-LFP_virgin_pack</t>
        </is>
      </c>
      <c r="AQ141" s="56" t="n">
        <v>2023</v>
      </c>
      <c r="AR141" s="56">
        <f>C106*30%</f>
        <v/>
      </c>
      <c r="AS141" s="56">
        <f>D106*30%</f>
        <v/>
      </c>
      <c r="AT141" s="56">
        <f>E106*30%</f>
        <v/>
      </c>
      <c r="AU141" s="56">
        <f>F106*30%</f>
        <v/>
      </c>
      <c r="AV141" s="56">
        <f>G106*30%</f>
        <v/>
      </c>
      <c r="AW141" s="56">
        <f>H106*30%</f>
        <v/>
      </c>
      <c r="AX141" s="56">
        <f>I106*30%</f>
        <v/>
      </c>
      <c r="AY141" s="56">
        <f>J106*30%</f>
        <v/>
      </c>
      <c r="AZ141" s="56">
        <f>K106*30%</f>
        <v/>
      </c>
      <c r="BA141" s="56">
        <f>L106*30%</f>
        <v/>
      </c>
      <c r="BB141" s="56">
        <f>M106*30%</f>
        <v/>
      </c>
      <c r="BC141" s="56">
        <f>N106*30%</f>
        <v/>
      </c>
      <c r="BD141" s="56">
        <f>O106*30%</f>
        <v/>
      </c>
      <c r="BE141" s="56">
        <f>P106*30%</f>
        <v/>
      </c>
      <c r="BF141" s="56">
        <f>Q106*30%</f>
        <v/>
      </c>
      <c r="BG141" s="56">
        <f>R106*30%</f>
        <v/>
      </c>
      <c r="BH141" s="56">
        <f>S106*30%</f>
        <v/>
      </c>
      <c r="BI141" s="56">
        <f>T106*30%</f>
        <v/>
      </c>
      <c r="BJ141" s="56">
        <f>U106*30%</f>
        <v/>
      </c>
      <c r="BK141" s="56">
        <f>V106*30%</f>
        <v/>
      </c>
      <c r="BL141" s="56">
        <f>W106*30%</f>
        <v/>
      </c>
      <c r="BM141" s="56">
        <f>X106*30%</f>
        <v/>
      </c>
      <c r="BN141" s="56">
        <f>Y106*30%</f>
        <v/>
      </c>
      <c r="BO141" s="56">
        <f>Z106*30%</f>
        <v/>
      </c>
      <c r="BP141" s="56">
        <f>AA106*30%</f>
        <v/>
      </c>
      <c r="BQ141" s="56">
        <f>AB106*30%</f>
        <v/>
      </c>
      <c r="BR141" s="56">
        <f>AC106*30%</f>
        <v/>
      </c>
      <c r="BS141" s="56">
        <f>AD106*30%</f>
        <v/>
      </c>
      <c r="BT141" s="56">
        <f>AE106*30%</f>
        <v/>
      </c>
      <c r="BU141" s="56">
        <f>AF106*30%</f>
        <v/>
      </c>
      <c r="BV141" s="56">
        <f>AG106*30%</f>
        <v/>
      </c>
      <c r="BW141" s="56">
        <f>AH106*30%</f>
        <v/>
      </c>
      <c r="BX141" s="56">
        <f>AI106*30%</f>
        <v/>
      </c>
      <c r="BY141" s="56">
        <f>AJ106*30%</f>
        <v/>
      </c>
      <c r="BZ141" s="56">
        <f>AK106*30%</f>
        <v/>
      </c>
    </row>
    <row r="142" ht="14.5" customHeight="1" s="213">
      <c r="A142" s="56" t="inlineStr">
        <is>
          <t>Tra_EV_Batt-LMO_virgin</t>
        </is>
      </c>
      <c r="B142" s="56" t="n">
        <v>2023</v>
      </c>
      <c r="C142" s="56">
        <f>C107*70%</f>
        <v/>
      </c>
      <c r="D142" s="56">
        <f>D107*70%</f>
        <v/>
      </c>
      <c r="E142" s="56">
        <f>E107*70%</f>
        <v/>
      </c>
      <c r="F142" s="56">
        <f>F107*70%</f>
        <v/>
      </c>
      <c r="G142" s="56">
        <f>G107*70%</f>
        <v/>
      </c>
      <c r="H142" s="56">
        <f>H107*70%</f>
        <v/>
      </c>
      <c r="I142" s="56">
        <f>I107*70%</f>
        <v/>
      </c>
      <c r="J142" s="56">
        <f>J107*70%</f>
        <v/>
      </c>
      <c r="K142" s="56">
        <f>K107*70%</f>
        <v/>
      </c>
      <c r="L142" s="56">
        <f>L107*70%</f>
        <v/>
      </c>
      <c r="M142" s="56">
        <f>M107*70%</f>
        <v/>
      </c>
      <c r="N142" s="56">
        <f>N107*70%</f>
        <v/>
      </c>
      <c r="O142" s="56">
        <f>O107*70%</f>
        <v/>
      </c>
      <c r="P142" s="56">
        <f>P107*70%</f>
        <v/>
      </c>
      <c r="Q142" s="56">
        <f>Q107*70%</f>
        <v/>
      </c>
      <c r="R142" s="56">
        <f>R107*70%</f>
        <v/>
      </c>
      <c r="S142" s="56">
        <f>S107*70%</f>
        <v/>
      </c>
      <c r="T142" s="56">
        <f>T107*70%</f>
        <v/>
      </c>
      <c r="U142" s="56">
        <f>U107*70%</f>
        <v/>
      </c>
      <c r="V142" s="56">
        <f>V107*70%</f>
        <v/>
      </c>
      <c r="W142" s="56">
        <f>W107*70%</f>
        <v/>
      </c>
      <c r="X142" s="56">
        <f>X107*70%</f>
        <v/>
      </c>
      <c r="Y142" s="56">
        <f>Y107*70%</f>
        <v/>
      </c>
      <c r="Z142" s="56">
        <f>Z107*70%</f>
        <v/>
      </c>
      <c r="AA142" s="56">
        <f>AA107*70%</f>
        <v/>
      </c>
      <c r="AB142" s="56">
        <f>AB107*70%</f>
        <v/>
      </c>
      <c r="AC142" s="56">
        <f>AC107*70%</f>
        <v/>
      </c>
      <c r="AD142" s="56">
        <f>AD107*70%</f>
        <v/>
      </c>
      <c r="AE142" s="56">
        <f>AE107*70%</f>
        <v/>
      </c>
      <c r="AF142" s="56">
        <f>AF107*70%</f>
        <v/>
      </c>
      <c r="AG142" s="56">
        <f>AG107*70%</f>
        <v/>
      </c>
      <c r="AH142" s="56">
        <f>AH107*70%</f>
        <v/>
      </c>
      <c r="AI142" s="56">
        <f>AI107*70%</f>
        <v/>
      </c>
      <c r="AJ142" s="56">
        <f>AJ107*70%</f>
        <v/>
      </c>
      <c r="AK142" s="56">
        <f>AK107*70%</f>
        <v/>
      </c>
      <c r="AP142" s="56" t="inlineStr">
        <is>
          <t>Tra_EV_Batt-LMO_virgin_pack</t>
        </is>
      </c>
      <c r="AQ142" s="56" t="n">
        <v>2023</v>
      </c>
      <c r="AR142" s="56">
        <f>C107*30%</f>
        <v/>
      </c>
      <c r="AS142" s="56">
        <f>D107*30%</f>
        <v/>
      </c>
      <c r="AT142" s="56">
        <f>E107*30%</f>
        <v/>
      </c>
      <c r="AU142" s="56">
        <f>F107*30%</f>
        <v/>
      </c>
      <c r="AV142" s="56">
        <f>G107*30%</f>
        <v/>
      </c>
      <c r="AW142" s="56">
        <f>H107*30%</f>
        <v/>
      </c>
      <c r="AX142" s="56">
        <f>I107*30%</f>
        <v/>
      </c>
      <c r="AY142" s="56">
        <f>J107*30%</f>
        <v/>
      </c>
      <c r="AZ142" s="56">
        <f>K107*30%</f>
        <v/>
      </c>
      <c r="BA142" s="56">
        <f>L107*30%</f>
        <v/>
      </c>
      <c r="BB142" s="56">
        <f>M107*30%</f>
        <v/>
      </c>
      <c r="BC142" s="56">
        <f>N107*30%</f>
        <v/>
      </c>
      <c r="BD142" s="56">
        <f>O107*30%</f>
        <v/>
      </c>
      <c r="BE142" s="56">
        <f>P107*30%</f>
        <v/>
      </c>
      <c r="BF142" s="56">
        <f>Q107*30%</f>
        <v/>
      </c>
      <c r="BG142" s="56">
        <f>R107*30%</f>
        <v/>
      </c>
      <c r="BH142" s="56">
        <f>S107*30%</f>
        <v/>
      </c>
      <c r="BI142" s="56">
        <f>T107*30%</f>
        <v/>
      </c>
      <c r="BJ142" s="56">
        <f>U107*30%</f>
        <v/>
      </c>
      <c r="BK142" s="56">
        <f>V107*30%</f>
        <v/>
      </c>
      <c r="BL142" s="56">
        <f>W107*30%</f>
        <v/>
      </c>
      <c r="BM142" s="56">
        <f>X107*30%</f>
        <v/>
      </c>
      <c r="BN142" s="56">
        <f>Y107*30%</f>
        <v/>
      </c>
      <c r="BO142" s="56">
        <f>Z107*30%</f>
        <v/>
      </c>
      <c r="BP142" s="56">
        <f>AA107*30%</f>
        <v/>
      </c>
      <c r="BQ142" s="56">
        <f>AB107*30%</f>
        <v/>
      </c>
      <c r="BR142" s="56">
        <f>AC107*30%</f>
        <v/>
      </c>
      <c r="BS142" s="56">
        <f>AD107*30%</f>
        <v/>
      </c>
      <c r="BT142" s="56">
        <f>AE107*30%</f>
        <v/>
      </c>
      <c r="BU142" s="56">
        <f>AF107*30%</f>
        <v/>
      </c>
      <c r="BV142" s="56">
        <f>AG107*30%</f>
        <v/>
      </c>
      <c r="BW142" s="56">
        <f>AH107*30%</f>
        <v/>
      </c>
      <c r="BX142" s="56">
        <f>AI107*30%</f>
        <v/>
      </c>
      <c r="BY142" s="56">
        <f>AJ107*30%</f>
        <v/>
      </c>
      <c r="BZ142" s="56">
        <f>AK107*30%</f>
        <v/>
      </c>
    </row>
    <row r="143" ht="14.5" customHeight="1" s="213">
      <c r="A143" s="56" t="inlineStr">
        <is>
          <t>Tra_EV_Batt-NCA_virgin</t>
        </is>
      </c>
      <c r="B143" s="56" t="n">
        <v>2023</v>
      </c>
      <c r="C143" s="56">
        <f>C108*70%</f>
        <v/>
      </c>
      <c r="D143" s="56">
        <f>D108*70%</f>
        <v/>
      </c>
      <c r="E143" s="56">
        <f>E108*70%</f>
        <v/>
      </c>
      <c r="F143" s="56">
        <f>F108*70%</f>
        <v/>
      </c>
      <c r="G143" s="56">
        <f>G108*70%</f>
        <v/>
      </c>
      <c r="H143" s="56">
        <f>H108*70%</f>
        <v/>
      </c>
      <c r="I143" s="56">
        <f>I108*70%</f>
        <v/>
      </c>
      <c r="J143" s="56">
        <f>J108*70%</f>
        <v/>
      </c>
      <c r="K143" s="56">
        <f>K108*70%</f>
        <v/>
      </c>
      <c r="L143" s="56">
        <f>L108*70%</f>
        <v/>
      </c>
      <c r="M143" s="56">
        <f>M108*70%</f>
        <v/>
      </c>
      <c r="N143" s="56">
        <f>N108*70%</f>
        <v/>
      </c>
      <c r="O143" s="56">
        <f>O108*70%</f>
        <v/>
      </c>
      <c r="P143" s="56">
        <f>P108*70%</f>
        <v/>
      </c>
      <c r="Q143" s="56">
        <f>Q108*70%</f>
        <v/>
      </c>
      <c r="R143" s="56">
        <f>R108*70%</f>
        <v/>
      </c>
      <c r="S143" s="56">
        <f>S108*70%</f>
        <v/>
      </c>
      <c r="T143" s="56">
        <f>T108*70%</f>
        <v/>
      </c>
      <c r="U143" s="56">
        <f>U108*70%</f>
        <v/>
      </c>
      <c r="V143" s="56">
        <f>V108*70%</f>
        <v/>
      </c>
      <c r="W143" s="56">
        <f>W108*70%</f>
        <v/>
      </c>
      <c r="X143" s="56">
        <f>X108*70%</f>
        <v/>
      </c>
      <c r="Y143" s="56">
        <f>Y108*70%</f>
        <v/>
      </c>
      <c r="Z143" s="56">
        <f>Z108*70%</f>
        <v/>
      </c>
      <c r="AA143" s="56">
        <f>AA108*70%</f>
        <v/>
      </c>
      <c r="AB143" s="56">
        <f>AB108*70%</f>
        <v/>
      </c>
      <c r="AC143" s="56">
        <f>AC108*70%</f>
        <v/>
      </c>
      <c r="AD143" s="56">
        <f>AD108*70%</f>
        <v/>
      </c>
      <c r="AE143" s="56">
        <f>AE108*70%</f>
        <v/>
      </c>
      <c r="AF143" s="56">
        <f>AF108*70%</f>
        <v/>
      </c>
      <c r="AG143" s="56">
        <f>AG108*70%</f>
        <v/>
      </c>
      <c r="AH143" s="56">
        <f>AH108*70%</f>
        <v/>
      </c>
      <c r="AI143" s="56">
        <f>AI108*70%</f>
        <v/>
      </c>
      <c r="AJ143" s="56">
        <f>AJ108*70%</f>
        <v/>
      </c>
      <c r="AK143" s="56">
        <f>AK108*70%</f>
        <v/>
      </c>
      <c r="AP143" s="56" t="inlineStr">
        <is>
          <t>Tra_EV_Batt-NCA_virgin_pack</t>
        </is>
      </c>
      <c r="AQ143" s="56" t="n">
        <v>2023</v>
      </c>
      <c r="AR143" s="56">
        <f>C108*30%</f>
        <v/>
      </c>
      <c r="AS143" s="56">
        <f>D108*30%</f>
        <v/>
      </c>
      <c r="AT143" s="56">
        <f>E108*30%</f>
        <v/>
      </c>
      <c r="AU143" s="56">
        <f>F108*30%</f>
        <v/>
      </c>
      <c r="AV143" s="56">
        <f>G108*30%</f>
        <v/>
      </c>
      <c r="AW143" s="56">
        <f>H108*30%</f>
        <v/>
      </c>
      <c r="AX143" s="56">
        <f>I108*30%</f>
        <v/>
      </c>
      <c r="AY143" s="56">
        <f>J108*30%</f>
        <v/>
      </c>
      <c r="AZ143" s="56">
        <f>K108*30%</f>
        <v/>
      </c>
      <c r="BA143" s="56">
        <f>L108*30%</f>
        <v/>
      </c>
      <c r="BB143" s="56">
        <f>M108*30%</f>
        <v/>
      </c>
      <c r="BC143" s="56">
        <f>N108*30%</f>
        <v/>
      </c>
      <c r="BD143" s="56">
        <f>O108*30%</f>
        <v/>
      </c>
      <c r="BE143" s="56">
        <f>P108*30%</f>
        <v/>
      </c>
      <c r="BF143" s="56">
        <f>Q108*30%</f>
        <v/>
      </c>
      <c r="BG143" s="56">
        <f>R108*30%</f>
        <v/>
      </c>
      <c r="BH143" s="56">
        <f>S108*30%</f>
        <v/>
      </c>
      <c r="BI143" s="56">
        <f>T108*30%</f>
        <v/>
      </c>
      <c r="BJ143" s="56">
        <f>U108*30%</f>
        <v/>
      </c>
      <c r="BK143" s="56">
        <f>V108*30%</f>
        <v/>
      </c>
      <c r="BL143" s="56">
        <f>W108*30%</f>
        <v/>
      </c>
      <c r="BM143" s="56">
        <f>X108*30%</f>
        <v/>
      </c>
      <c r="BN143" s="56">
        <f>Y108*30%</f>
        <v/>
      </c>
      <c r="BO143" s="56">
        <f>Z108*30%</f>
        <v/>
      </c>
      <c r="BP143" s="56">
        <f>AA108*30%</f>
        <v/>
      </c>
      <c r="BQ143" s="56">
        <f>AB108*30%</f>
        <v/>
      </c>
      <c r="BR143" s="56">
        <f>AC108*30%</f>
        <v/>
      </c>
      <c r="BS143" s="56">
        <f>AD108*30%</f>
        <v/>
      </c>
      <c r="BT143" s="56">
        <f>AE108*30%</f>
        <v/>
      </c>
      <c r="BU143" s="56">
        <f>AF108*30%</f>
        <v/>
      </c>
      <c r="BV143" s="56">
        <f>AG108*30%</f>
        <v/>
      </c>
      <c r="BW143" s="56">
        <f>AH108*30%</f>
        <v/>
      </c>
      <c r="BX143" s="56">
        <f>AI108*30%</f>
        <v/>
      </c>
      <c r="BY143" s="56">
        <f>AJ108*30%</f>
        <v/>
      </c>
      <c r="BZ143" s="56">
        <f>AK108*30%</f>
        <v/>
      </c>
    </row>
    <row r="144" ht="14.5" customHeight="1" s="213">
      <c r="A144" s="56" t="inlineStr">
        <is>
          <t>Tra_EV_Batt-NMC111_virgin</t>
        </is>
      </c>
      <c r="B144" s="56" t="n">
        <v>2023</v>
      </c>
      <c r="C144" s="56">
        <f>C109*70%</f>
        <v/>
      </c>
      <c r="D144" s="56">
        <f>D109*70%</f>
        <v/>
      </c>
      <c r="E144" s="56">
        <f>E109*70%</f>
        <v/>
      </c>
      <c r="F144" s="56">
        <f>F109*70%</f>
        <v/>
      </c>
      <c r="G144" s="56">
        <f>G109*70%</f>
        <v/>
      </c>
      <c r="H144" s="56">
        <f>H109*70%</f>
        <v/>
      </c>
      <c r="I144" s="56">
        <f>I109*70%</f>
        <v/>
      </c>
      <c r="J144" s="56">
        <f>J109*70%</f>
        <v/>
      </c>
      <c r="K144" s="56">
        <f>K109*70%</f>
        <v/>
      </c>
      <c r="L144" s="56">
        <f>L109*70%</f>
        <v/>
      </c>
      <c r="M144" s="56">
        <f>M109*70%</f>
        <v/>
      </c>
      <c r="N144" s="56">
        <f>N109*70%</f>
        <v/>
      </c>
      <c r="O144" s="56">
        <f>O109*70%</f>
        <v/>
      </c>
      <c r="P144" s="56">
        <f>P109*70%</f>
        <v/>
      </c>
      <c r="Q144" s="56">
        <f>Q109*70%</f>
        <v/>
      </c>
      <c r="R144" s="56">
        <f>R109*70%</f>
        <v/>
      </c>
      <c r="S144" s="56">
        <f>S109*70%</f>
        <v/>
      </c>
      <c r="T144" s="56">
        <f>T109*70%</f>
        <v/>
      </c>
      <c r="U144" s="56">
        <f>U109*70%</f>
        <v/>
      </c>
      <c r="V144" s="56">
        <f>V109*70%</f>
        <v/>
      </c>
      <c r="W144" s="56">
        <f>W109*70%</f>
        <v/>
      </c>
      <c r="X144" s="56">
        <f>X109*70%</f>
        <v/>
      </c>
      <c r="Y144" s="56">
        <f>Y109*70%</f>
        <v/>
      </c>
      <c r="Z144" s="56">
        <f>Z109*70%</f>
        <v/>
      </c>
      <c r="AA144" s="56">
        <f>AA109*70%</f>
        <v/>
      </c>
      <c r="AB144" s="56">
        <f>AB109*70%</f>
        <v/>
      </c>
      <c r="AC144" s="56">
        <f>AC109*70%</f>
        <v/>
      </c>
      <c r="AD144" s="56">
        <f>AD109*70%</f>
        <v/>
      </c>
      <c r="AE144" s="56">
        <f>AE109*70%</f>
        <v/>
      </c>
      <c r="AF144" s="56">
        <f>AF109*70%</f>
        <v/>
      </c>
      <c r="AG144" s="56">
        <f>AG109*70%</f>
        <v/>
      </c>
      <c r="AH144" s="56">
        <f>AH109*70%</f>
        <v/>
      </c>
      <c r="AI144" s="56">
        <f>AI109*70%</f>
        <v/>
      </c>
      <c r="AJ144" s="56">
        <f>AJ109*70%</f>
        <v/>
      </c>
      <c r="AK144" s="56">
        <f>AK109*70%</f>
        <v/>
      </c>
      <c r="AP144" s="56" t="inlineStr">
        <is>
          <t>Tra_EV_Batt-NMC111_virgin_pack</t>
        </is>
      </c>
      <c r="AQ144" s="56" t="n">
        <v>2023</v>
      </c>
      <c r="AR144" s="56">
        <f>C109*30%</f>
        <v/>
      </c>
      <c r="AS144" s="56">
        <f>D109*30%</f>
        <v/>
      </c>
      <c r="AT144" s="56">
        <f>E109*30%</f>
        <v/>
      </c>
      <c r="AU144" s="56">
        <f>F109*30%</f>
        <v/>
      </c>
      <c r="AV144" s="56">
        <f>G109*30%</f>
        <v/>
      </c>
      <c r="AW144" s="56">
        <f>H109*30%</f>
        <v/>
      </c>
      <c r="AX144" s="56">
        <f>I109*30%</f>
        <v/>
      </c>
      <c r="AY144" s="56">
        <f>J109*30%</f>
        <v/>
      </c>
      <c r="AZ144" s="56">
        <f>K109*30%</f>
        <v/>
      </c>
      <c r="BA144" s="56">
        <f>L109*30%</f>
        <v/>
      </c>
      <c r="BB144" s="56">
        <f>M109*30%</f>
        <v/>
      </c>
      <c r="BC144" s="56">
        <f>N109*30%</f>
        <v/>
      </c>
      <c r="BD144" s="56">
        <f>O109*30%</f>
        <v/>
      </c>
      <c r="BE144" s="56">
        <f>P109*30%</f>
        <v/>
      </c>
      <c r="BF144" s="56">
        <f>Q109*30%</f>
        <v/>
      </c>
      <c r="BG144" s="56">
        <f>R109*30%</f>
        <v/>
      </c>
      <c r="BH144" s="56">
        <f>S109*30%</f>
        <v/>
      </c>
      <c r="BI144" s="56">
        <f>T109*30%</f>
        <v/>
      </c>
      <c r="BJ144" s="56">
        <f>U109*30%</f>
        <v/>
      </c>
      <c r="BK144" s="56">
        <f>V109*30%</f>
        <v/>
      </c>
      <c r="BL144" s="56">
        <f>W109*30%</f>
        <v/>
      </c>
      <c r="BM144" s="56">
        <f>X109*30%</f>
        <v/>
      </c>
      <c r="BN144" s="56">
        <f>Y109*30%</f>
        <v/>
      </c>
      <c r="BO144" s="56">
        <f>Z109*30%</f>
        <v/>
      </c>
      <c r="BP144" s="56">
        <f>AA109*30%</f>
        <v/>
      </c>
      <c r="BQ144" s="56">
        <f>AB109*30%</f>
        <v/>
      </c>
      <c r="BR144" s="56">
        <f>AC109*30%</f>
        <v/>
      </c>
      <c r="BS144" s="56">
        <f>AD109*30%</f>
        <v/>
      </c>
      <c r="BT144" s="56">
        <f>AE109*30%</f>
        <v/>
      </c>
      <c r="BU144" s="56">
        <f>AF109*30%</f>
        <v/>
      </c>
      <c r="BV144" s="56">
        <f>AG109*30%</f>
        <v/>
      </c>
      <c r="BW144" s="56">
        <f>AH109*30%</f>
        <v/>
      </c>
      <c r="BX144" s="56">
        <f>AI109*30%</f>
        <v/>
      </c>
      <c r="BY144" s="56">
        <f>AJ109*30%</f>
        <v/>
      </c>
      <c r="BZ144" s="56">
        <f>AK109*30%</f>
        <v/>
      </c>
    </row>
    <row r="145" ht="14.5" customHeight="1" s="213">
      <c r="A145" s="56" t="inlineStr">
        <is>
          <t>Tra_EV_Batt-NMC532_virgin</t>
        </is>
      </c>
      <c r="B145" s="56" t="n">
        <v>2023</v>
      </c>
      <c r="C145" s="56">
        <f>C110*70%</f>
        <v/>
      </c>
      <c r="D145" s="56">
        <f>D110*70%</f>
        <v/>
      </c>
      <c r="E145" s="56">
        <f>E110*70%</f>
        <v/>
      </c>
      <c r="F145" s="56">
        <f>F110*70%</f>
        <v/>
      </c>
      <c r="G145" s="56">
        <f>G110*70%</f>
        <v/>
      </c>
      <c r="H145" s="56">
        <f>H110*70%</f>
        <v/>
      </c>
      <c r="I145" s="56">
        <f>I110*70%</f>
        <v/>
      </c>
      <c r="J145" s="56">
        <f>J110*70%</f>
        <v/>
      </c>
      <c r="K145" s="56">
        <f>K110*70%</f>
        <v/>
      </c>
      <c r="L145" s="56">
        <f>L110*70%</f>
        <v/>
      </c>
      <c r="M145" s="56">
        <f>M110*70%</f>
        <v/>
      </c>
      <c r="N145" s="56">
        <f>N110*70%</f>
        <v/>
      </c>
      <c r="O145" s="56">
        <f>O110*70%</f>
        <v/>
      </c>
      <c r="P145" s="56">
        <f>P110*70%</f>
        <v/>
      </c>
      <c r="Q145" s="56">
        <f>Q110*70%</f>
        <v/>
      </c>
      <c r="R145" s="56">
        <f>R110*70%</f>
        <v/>
      </c>
      <c r="S145" s="56">
        <f>S110*70%</f>
        <v/>
      </c>
      <c r="T145" s="56">
        <f>T110*70%</f>
        <v/>
      </c>
      <c r="U145" s="56">
        <f>U110*70%</f>
        <v/>
      </c>
      <c r="V145" s="56">
        <f>V110*70%</f>
        <v/>
      </c>
      <c r="W145" s="56">
        <f>W110*70%</f>
        <v/>
      </c>
      <c r="X145" s="56">
        <f>X110*70%</f>
        <v/>
      </c>
      <c r="Y145" s="56">
        <f>Y110*70%</f>
        <v/>
      </c>
      <c r="Z145" s="56">
        <f>Z110*70%</f>
        <v/>
      </c>
      <c r="AA145" s="56">
        <f>AA110*70%</f>
        <v/>
      </c>
      <c r="AB145" s="56">
        <f>AB110*70%</f>
        <v/>
      </c>
      <c r="AC145" s="56">
        <f>AC110*70%</f>
        <v/>
      </c>
      <c r="AD145" s="56">
        <f>AD110*70%</f>
        <v/>
      </c>
      <c r="AE145" s="56">
        <f>AE110*70%</f>
        <v/>
      </c>
      <c r="AF145" s="56">
        <f>AF110*70%</f>
        <v/>
      </c>
      <c r="AG145" s="56">
        <f>AG110*70%</f>
        <v/>
      </c>
      <c r="AH145" s="56">
        <f>AH110*70%</f>
        <v/>
      </c>
      <c r="AI145" s="56">
        <f>AI110*70%</f>
        <v/>
      </c>
      <c r="AJ145" s="56">
        <f>AJ110*70%</f>
        <v/>
      </c>
      <c r="AK145" s="56">
        <f>AK110*70%</f>
        <v/>
      </c>
      <c r="AP145" s="56" t="inlineStr">
        <is>
          <t>Tra_EV_Batt-NMC532_virgin_pack</t>
        </is>
      </c>
      <c r="AQ145" s="56" t="n">
        <v>2023</v>
      </c>
      <c r="AR145" s="56">
        <f>C110*30%</f>
        <v/>
      </c>
      <c r="AS145" s="56">
        <f>D110*30%</f>
        <v/>
      </c>
      <c r="AT145" s="56">
        <f>E110*30%</f>
        <v/>
      </c>
      <c r="AU145" s="56">
        <f>F110*30%</f>
        <v/>
      </c>
      <c r="AV145" s="56">
        <f>G110*30%</f>
        <v/>
      </c>
      <c r="AW145" s="56">
        <f>H110*30%</f>
        <v/>
      </c>
      <c r="AX145" s="56">
        <f>I110*30%</f>
        <v/>
      </c>
      <c r="AY145" s="56">
        <f>J110*30%</f>
        <v/>
      </c>
      <c r="AZ145" s="56">
        <f>K110*30%</f>
        <v/>
      </c>
      <c r="BA145" s="56">
        <f>L110*30%</f>
        <v/>
      </c>
      <c r="BB145" s="56">
        <f>M110*30%</f>
        <v/>
      </c>
      <c r="BC145" s="56">
        <f>N110*30%</f>
        <v/>
      </c>
      <c r="BD145" s="56">
        <f>O110*30%</f>
        <v/>
      </c>
      <c r="BE145" s="56">
        <f>P110*30%</f>
        <v/>
      </c>
      <c r="BF145" s="56">
        <f>Q110*30%</f>
        <v/>
      </c>
      <c r="BG145" s="56">
        <f>R110*30%</f>
        <v/>
      </c>
      <c r="BH145" s="56">
        <f>S110*30%</f>
        <v/>
      </c>
      <c r="BI145" s="56">
        <f>T110*30%</f>
        <v/>
      </c>
      <c r="BJ145" s="56">
        <f>U110*30%</f>
        <v/>
      </c>
      <c r="BK145" s="56">
        <f>V110*30%</f>
        <v/>
      </c>
      <c r="BL145" s="56">
        <f>W110*30%</f>
        <v/>
      </c>
      <c r="BM145" s="56">
        <f>X110*30%</f>
        <v/>
      </c>
      <c r="BN145" s="56">
        <f>Y110*30%</f>
        <v/>
      </c>
      <c r="BO145" s="56">
        <f>Z110*30%</f>
        <v/>
      </c>
      <c r="BP145" s="56">
        <f>AA110*30%</f>
        <v/>
      </c>
      <c r="BQ145" s="56">
        <f>AB110*30%</f>
        <v/>
      </c>
      <c r="BR145" s="56">
        <f>AC110*30%</f>
        <v/>
      </c>
      <c r="BS145" s="56">
        <f>AD110*30%</f>
        <v/>
      </c>
      <c r="BT145" s="56">
        <f>AE110*30%</f>
        <v/>
      </c>
      <c r="BU145" s="56">
        <f>AF110*30%</f>
        <v/>
      </c>
      <c r="BV145" s="56">
        <f>AG110*30%</f>
        <v/>
      </c>
      <c r="BW145" s="56">
        <f>AH110*30%</f>
        <v/>
      </c>
      <c r="BX145" s="56">
        <f>AI110*30%</f>
        <v/>
      </c>
      <c r="BY145" s="56">
        <f>AJ110*30%</f>
        <v/>
      </c>
      <c r="BZ145" s="56">
        <f>AK110*30%</f>
        <v/>
      </c>
    </row>
    <row r="146" ht="14.5" customHeight="1" s="213">
      <c r="A146" s="56" t="inlineStr">
        <is>
          <t>Tra_EV_Batt-NMC622_virgin</t>
        </is>
      </c>
      <c r="B146" s="56" t="n">
        <v>2023</v>
      </c>
      <c r="C146" s="56">
        <f>C111*70%</f>
        <v/>
      </c>
      <c r="D146" s="56">
        <f>D111*70%</f>
        <v/>
      </c>
      <c r="E146" s="56">
        <f>E111*70%</f>
        <v/>
      </c>
      <c r="F146" s="56">
        <f>F111*70%</f>
        <v/>
      </c>
      <c r="G146" s="56">
        <f>G111*70%</f>
        <v/>
      </c>
      <c r="H146" s="56">
        <f>H111*70%</f>
        <v/>
      </c>
      <c r="I146" s="56">
        <f>I111*70%</f>
        <v/>
      </c>
      <c r="J146" s="56">
        <f>J111*70%</f>
        <v/>
      </c>
      <c r="K146" s="56">
        <f>K111*70%</f>
        <v/>
      </c>
      <c r="L146" s="56">
        <f>L111*70%</f>
        <v/>
      </c>
      <c r="M146" s="56">
        <f>M111*70%</f>
        <v/>
      </c>
      <c r="N146" s="56">
        <f>N111*70%</f>
        <v/>
      </c>
      <c r="O146" s="56">
        <f>O111*70%</f>
        <v/>
      </c>
      <c r="P146" s="56">
        <f>P111*70%</f>
        <v/>
      </c>
      <c r="Q146" s="56">
        <f>Q111*70%</f>
        <v/>
      </c>
      <c r="R146" s="56">
        <f>R111*70%</f>
        <v/>
      </c>
      <c r="S146" s="56">
        <f>S111*70%</f>
        <v/>
      </c>
      <c r="T146" s="56">
        <f>T111*70%</f>
        <v/>
      </c>
      <c r="U146" s="56">
        <f>U111*70%</f>
        <v/>
      </c>
      <c r="V146" s="56">
        <f>V111*70%</f>
        <v/>
      </c>
      <c r="W146" s="56">
        <f>W111*70%</f>
        <v/>
      </c>
      <c r="X146" s="56">
        <f>X111*70%</f>
        <v/>
      </c>
      <c r="Y146" s="56">
        <f>Y111*70%</f>
        <v/>
      </c>
      <c r="Z146" s="56">
        <f>Z111*70%</f>
        <v/>
      </c>
      <c r="AA146" s="56">
        <f>AA111*70%</f>
        <v/>
      </c>
      <c r="AB146" s="56">
        <f>AB111*70%</f>
        <v/>
      </c>
      <c r="AC146" s="56">
        <f>AC111*70%</f>
        <v/>
      </c>
      <c r="AD146" s="56">
        <f>AD111*70%</f>
        <v/>
      </c>
      <c r="AE146" s="56">
        <f>AE111*70%</f>
        <v/>
      </c>
      <c r="AF146" s="56">
        <f>AF111*70%</f>
        <v/>
      </c>
      <c r="AG146" s="56">
        <f>AG111*70%</f>
        <v/>
      </c>
      <c r="AH146" s="56">
        <f>AH111*70%</f>
        <v/>
      </c>
      <c r="AI146" s="56">
        <f>AI111*70%</f>
        <v/>
      </c>
      <c r="AJ146" s="56">
        <f>AJ111*70%</f>
        <v/>
      </c>
      <c r="AK146" s="56">
        <f>AK111*70%</f>
        <v/>
      </c>
      <c r="AP146" s="56" t="inlineStr">
        <is>
          <t>Tra_EV_Batt-NMC622_virgin_pack</t>
        </is>
      </c>
      <c r="AQ146" s="56" t="n">
        <v>2023</v>
      </c>
      <c r="AR146" s="56">
        <f>C111*30%</f>
        <v/>
      </c>
      <c r="AS146" s="56">
        <f>D111*30%</f>
        <v/>
      </c>
      <c r="AT146" s="56">
        <f>E111*30%</f>
        <v/>
      </c>
      <c r="AU146" s="56">
        <f>F111*30%</f>
        <v/>
      </c>
      <c r="AV146" s="56">
        <f>G111*30%</f>
        <v/>
      </c>
      <c r="AW146" s="56">
        <f>H111*30%</f>
        <v/>
      </c>
      <c r="AX146" s="56">
        <f>I111*30%</f>
        <v/>
      </c>
      <c r="AY146" s="56">
        <f>J111*30%</f>
        <v/>
      </c>
      <c r="AZ146" s="56">
        <f>K111*30%</f>
        <v/>
      </c>
      <c r="BA146" s="56">
        <f>L111*30%</f>
        <v/>
      </c>
      <c r="BB146" s="56">
        <f>M111*30%</f>
        <v/>
      </c>
      <c r="BC146" s="56">
        <f>N111*30%</f>
        <v/>
      </c>
      <c r="BD146" s="56">
        <f>O111*30%</f>
        <v/>
      </c>
      <c r="BE146" s="56">
        <f>P111*30%</f>
        <v/>
      </c>
      <c r="BF146" s="56">
        <f>Q111*30%</f>
        <v/>
      </c>
      <c r="BG146" s="56">
        <f>R111*30%</f>
        <v/>
      </c>
      <c r="BH146" s="56">
        <f>S111*30%</f>
        <v/>
      </c>
      <c r="BI146" s="56">
        <f>T111*30%</f>
        <v/>
      </c>
      <c r="BJ146" s="56">
        <f>U111*30%</f>
        <v/>
      </c>
      <c r="BK146" s="56">
        <f>V111*30%</f>
        <v/>
      </c>
      <c r="BL146" s="56">
        <f>W111*30%</f>
        <v/>
      </c>
      <c r="BM146" s="56">
        <f>X111*30%</f>
        <v/>
      </c>
      <c r="BN146" s="56">
        <f>Y111*30%</f>
        <v/>
      </c>
      <c r="BO146" s="56">
        <f>Z111*30%</f>
        <v/>
      </c>
      <c r="BP146" s="56">
        <f>AA111*30%</f>
        <v/>
      </c>
      <c r="BQ146" s="56">
        <f>AB111*30%</f>
        <v/>
      </c>
      <c r="BR146" s="56">
        <f>AC111*30%</f>
        <v/>
      </c>
      <c r="BS146" s="56">
        <f>AD111*30%</f>
        <v/>
      </c>
      <c r="BT146" s="56">
        <f>AE111*30%</f>
        <v/>
      </c>
      <c r="BU146" s="56">
        <f>AF111*30%</f>
        <v/>
      </c>
      <c r="BV146" s="56">
        <f>AG111*30%</f>
        <v/>
      </c>
      <c r="BW146" s="56">
        <f>AH111*30%</f>
        <v/>
      </c>
      <c r="BX146" s="56">
        <f>AI111*30%</f>
        <v/>
      </c>
      <c r="BY146" s="56">
        <f>AJ111*30%</f>
        <v/>
      </c>
      <c r="BZ146" s="56">
        <f>AK111*30%</f>
        <v/>
      </c>
    </row>
    <row r="147" ht="14.5" customHeight="1" s="213">
      <c r="A147" s="56" t="inlineStr">
        <is>
          <t>Tra_EV_Batt-NMC811_virgin</t>
        </is>
      </c>
      <c r="B147" s="56" t="n">
        <v>2023</v>
      </c>
      <c r="C147" s="56">
        <f>C112*70%</f>
        <v/>
      </c>
      <c r="D147" s="56">
        <f>D112*70%</f>
        <v/>
      </c>
      <c r="E147" s="56">
        <f>E112*70%</f>
        <v/>
      </c>
      <c r="F147" s="56">
        <f>F112*70%</f>
        <v/>
      </c>
      <c r="G147" s="56">
        <f>G112*70%</f>
        <v/>
      </c>
      <c r="H147" s="56">
        <f>H112*70%</f>
        <v/>
      </c>
      <c r="I147" s="56">
        <f>I112*70%</f>
        <v/>
      </c>
      <c r="J147" s="56">
        <f>J112*70%</f>
        <v/>
      </c>
      <c r="K147" s="56">
        <f>K112*70%</f>
        <v/>
      </c>
      <c r="L147" s="56">
        <f>L112*70%</f>
        <v/>
      </c>
      <c r="M147" s="56">
        <f>M112*70%</f>
        <v/>
      </c>
      <c r="N147" s="56">
        <f>N112*70%</f>
        <v/>
      </c>
      <c r="O147" s="56">
        <f>O112*70%</f>
        <v/>
      </c>
      <c r="P147" s="56">
        <f>P112*70%</f>
        <v/>
      </c>
      <c r="Q147" s="56">
        <f>Q112*70%</f>
        <v/>
      </c>
      <c r="R147" s="56">
        <f>R112*70%</f>
        <v/>
      </c>
      <c r="S147" s="56">
        <f>S112*70%</f>
        <v/>
      </c>
      <c r="T147" s="56">
        <f>T112*70%</f>
        <v/>
      </c>
      <c r="U147" s="56">
        <f>U112*70%</f>
        <v/>
      </c>
      <c r="V147" s="56">
        <f>V112*70%</f>
        <v/>
      </c>
      <c r="W147" s="56">
        <f>W112*70%</f>
        <v/>
      </c>
      <c r="X147" s="56">
        <f>X112*70%</f>
        <v/>
      </c>
      <c r="Y147" s="56">
        <f>Y112*70%</f>
        <v/>
      </c>
      <c r="Z147" s="56">
        <f>Z112*70%</f>
        <v/>
      </c>
      <c r="AA147" s="56">
        <f>AA112*70%</f>
        <v/>
      </c>
      <c r="AB147" s="56">
        <f>AB112*70%</f>
        <v/>
      </c>
      <c r="AC147" s="56">
        <f>AC112*70%</f>
        <v/>
      </c>
      <c r="AD147" s="56">
        <f>AD112*70%</f>
        <v/>
      </c>
      <c r="AE147" s="56">
        <f>AE112*70%</f>
        <v/>
      </c>
      <c r="AF147" s="56">
        <f>AF112*70%</f>
        <v/>
      </c>
      <c r="AG147" s="56">
        <f>AG112*70%</f>
        <v/>
      </c>
      <c r="AH147" s="56">
        <f>AH112*70%</f>
        <v/>
      </c>
      <c r="AI147" s="56">
        <f>AI112*70%</f>
        <v/>
      </c>
      <c r="AJ147" s="56">
        <f>AJ112*70%</f>
        <v/>
      </c>
      <c r="AK147" s="56">
        <f>AK112*70%</f>
        <v/>
      </c>
      <c r="AP147" s="56" t="inlineStr">
        <is>
          <t>Tra_EV_Batt-NMC811_virgin_pack</t>
        </is>
      </c>
      <c r="AQ147" s="56" t="n">
        <v>2023</v>
      </c>
      <c r="AR147" s="56">
        <f>C112*30%</f>
        <v/>
      </c>
      <c r="AS147" s="56">
        <f>D112*30%</f>
        <v/>
      </c>
      <c r="AT147" s="56">
        <f>E112*30%</f>
        <v/>
      </c>
      <c r="AU147" s="56">
        <f>F112*30%</f>
        <v/>
      </c>
      <c r="AV147" s="56">
        <f>G112*30%</f>
        <v/>
      </c>
      <c r="AW147" s="56">
        <f>H112*30%</f>
        <v/>
      </c>
      <c r="AX147" s="56">
        <f>I112*30%</f>
        <v/>
      </c>
      <c r="AY147" s="56">
        <f>J112*30%</f>
        <v/>
      </c>
      <c r="AZ147" s="56">
        <f>K112*30%</f>
        <v/>
      </c>
      <c r="BA147" s="56">
        <f>L112*30%</f>
        <v/>
      </c>
      <c r="BB147" s="56">
        <f>M112*30%</f>
        <v/>
      </c>
      <c r="BC147" s="56">
        <f>N112*30%</f>
        <v/>
      </c>
      <c r="BD147" s="56">
        <f>O112*30%</f>
        <v/>
      </c>
      <c r="BE147" s="56">
        <f>P112*30%</f>
        <v/>
      </c>
      <c r="BF147" s="56">
        <f>Q112*30%</f>
        <v/>
      </c>
      <c r="BG147" s="56">
        <f>R112*30%</f>
        <v/>
      </c>
      <c r="BH147" s="56">
        <f>S112*30%</f>
        <v/>
      </c>
      <c r="BI147" s="56">
        <f>T112*30%</f>
        <v/>
      </c>
      <c r="BJ147" s="56">
        <f>U112*30%</f>
        <v/>
      </c>
      <c r="BK147" s="56">
        <f>V112*30%</f>
        <v/>
      </c>
      <c r="BL147" s="56">
        <f>W112*30%</f>
        <v/>
      </c>
      <c r="BM147" s="56">
        <f>X112*30%</f>
        <v/>
      </c>
      <c r="BN147" s="56">
        <f>Y112*30%</f>
        <v/>
      </c>
      <c r="BO147" s="56">
        <f>Z112*30%</f>
        <v/>
      </c>
      <c r="BP147" s="56">
        <f>AA112*30%</f>
        <v/>
      </c>
      <c r="BQ147" s="56">
        <f>AB112*30%</f>
        <v/>
      </c>
      <c r="BR147" s="56">
        <f>AC112*30%</f>
        <v/>
      </c>
      <c r="BS147" s="56">
        <f>AD112*30%</f>
        <v/>
      </c>
      <c r="BT147" s="56">
        <f>AE112*30%</f>
        <v/>
      </c>
      <c r="BU147" s="56">
        <f>AF112*30%</f>
        <v/>
      </c>
      <c r="BV147" s="56">
        <f>AG112*30%</f>
        <v/>
      </c>
      <c r="BW147" s="56">
        <f>AH112*30%</f>
        <v/>
      </c>
      <c r="BX147" s="56">
        <f>AI112*30%</f>
        <v/>
      </c>
      <c r="BY147" s="56">
        <f>AJ112*30%</f>
        <v/>
      </c>
      <c r="BZ147" s="56">
        <f>AK112*30%</f>
        <v/>
      </c>
    </row>
    <row r="148" ht="14.5" customHeight="1" s="213">
      <c r="A148" s="56" t="inlineStr">
        <is>
          <t>Tra_EV_Batt-Sodium_virgin</t>
        </is>
      </c>
      <c r="B148" s="56" t="n">
        <v>2023</v>
      </c>
      <c r="C148" s="56">
        <f>C113*70%</f>
        <v/>
      </c>
      <c r="D148" s="56">
        <f>D113*70%</f>
        <v/>
      </c>
      <c r="E148" s="56">
        <f>E113*70%</f>
        <v/>
      </c>
      <c r="F148" s="56">
        <f>F113*70%</f>
        <v/>
      </c>
      <c r="G148" s="56">
        <f>G113*70%</f>
        <v/>
      </c>
      <c r="H148" s="56">
        <f>H113*70%</f>
        <v/>
      </c>
      <c r="I148" s="56">
        <f>I113*70%</f>
        <v/>
      </c>
      <c r="J148" s="56">
        <f>J113*70%</f>
        <v/>
      </c>
      <c r="K148" s="56">
        <f>K113*70%</f>
        <v/>
      </c>
      <c r="L148" s="56">
        <f>L113*70%</f>
        <v/>
      </c>
      <c r="M148" s="56">
        <f>M113*70%</f>
        <v/>
      </c>
      <c r="N148" s="56">
        <f>N113*70%</f>
        <v/>
      </c>
      <c r="O148" s="56">
        <f>O113*70%</f>
        <v/>
      </c>
      <c r="P148" s="56">
        <f>P113*70%</f>
        <v/>
      </c>
      <c r="Q148" s="56">
        <f>Q113*70%</f>
        <v/>
      </c>
      <c r="R148" s="56">
        <f>R113*70%</f>
        <v/>
      </c>
      <c r="S148" s="56">
        <f>S113*70%</f>
        <v/>
      </c>
      <c r="T148" s="56">
        <f>T113*70%</f>
        <v/>
      </c>
      <c r="U148" s="56">
        <f>U113*70%</f>
        <v/>
      </c>
      <c r="V148" s="56">
        <f>V113*70%</f>
        <v/>
      </c>
      <c r="W148" s="56">
        <f>W113*70%</f>
        <v/>
      </c>
      <c r="X148" s="56">
        <f>X113*70%</f>
        <v/>
      </c>
      <c r="Y148" s="56">
        <f>Y113*70%</f>
        <v/>
      </c>
      <c r="Z148" s="56">
        <f>Z113*70%</f>
        <v/>
      </c>
      <c r="AA148" s="56">
        <f>AA113*70%</f>
        <v/>
      </c>
      <c r="AB148" s="56">
        <f>AB113*70%</f>
        <v/>
      </c>
      <c r="AC148" s="56">
        <f>AC113*70%</f>
        <v/>
      </c>
      <c r="AD148" s="56">
        <f>AD113*70%</f>
        <v/>
      </c>
      <c r="AE148" s="56">
        <f>AE113*70%</f>
        <v/>
      </c>
      <c r="AF148" s="56">
        <f>AF113*70%</f>
        <v/>
      </c>
      <c r="AG148" s="56">
        <f>AG113*70%</f>
        <v/>
      </c>
      <c r="AH148" s="56">
        <f>AH113*70%</f>
        <v/>
      </c>
      <c r="AI148" s="56">
        <f>AI113*70%</f>
        <v/>
      </c>
      <c r="AJ148" s="56">
        <f>AJ113*70%</f>
        <v/>
      </c>
      <c r="AK148" s="56">
        <f>AK113*70%</f>
        <v/>
      </c>
      <c r="AP148" s="56" t="inlineStr">
        <is>
          <t>Tra_EV_Batt-Sodium_virgin_pack</t>
        </is>
      </c>
      <c r="AQ148" s="56" t="n">
        <v>2023</v>
      </c>
      <c r="AR148" s="56">
        <f>C113*30%</f>
        <v/>
      </c>
      <c r="AS148" s="56">
        <f>D113*30%</f>
        <v/>
      </c>
      <c r="AT148" s="56">
        <f>E113*30%</f>
        <v/>
      </c>
      <c r="AU148" s="56">
        <f>F113*30%</f>
        <v/>
      </c>
      <c r="AV148" s="56">
        <f>G113*30%</f>
        <v/>
      </c>
      <c r="AW148" s="56">
        <f>H113*30%</f>
        <v/>
      </c>
      <c r="AX148" s="56">
        <f>I113*30%</f>
        <v/>
      </c>
      <c r="AY148" s="56">
        <f>J113*30%</f>
        <v/>
      </c>
      <c r="AZ148" s="56">
        <f>K113*30%</f>
        <v/>
      </c>
      <c r="BA148" s="56">
        <f>L113*30%</f>
        <v/>
      </c>
      <c r="BB148" s="56">
        <f>M113*30%</f>
        <v/>
      </c>
      <c r="BC148" s="56">
        <f>N113*30%</f>
        <v/>
      </c>
      <c r="BD148" s="56">
        <f>O113*30%</f>
        <v/>
      </c>
      <c r="BE148" s="56">
        <f>P113*30%</f>
        <v/>
      </c>
      <c r="BF148" s="56">
        <f>Q113*30%</f>
        <v/>
      </c>
      <c r="BG148" s="56">
        <f>R113*30%</f>
        <v/>
      </c>
      <c r="BH148" s="56">
        <f>S113*30%</f>
        <v/>
      </c>
      <c r="BI148" s="56">
        <f>T113*30%</f>
        <v/>
      </c>
      <c r="BJ148" s="56">
        <f>U113*30%</f>
        <v/>
      </c>
      <c r="BK148" s="56">
        <f>V113*30%</f>
        <v/>
      </c>
      <c r="BL148" s="56">
        <f>W113*30%</f>
        <v/>
      </c>
      <c r="BM148" s="56">
        <f>X113*30%</f>
        <v/>
      </c>
      <c r="BN148" s="56">
        <f>Y113*30%</f>
        <v/>
      </c>
      <c r="BO148" s="56">
        <f>Z113*30%</f>
        <v/>
      </c>
      <c r="BP148" s="56">
        <f>AA113*30%</f>
        <v/>
      </c>
      <c r="BQ148" s="56">
        <f>AB113*30%</f>
        <v/>
      </c>
      <c r="BR148" s="56">
        <f>AC113*30%</f>
        <v/>
      </c>
      <c r="BS148" s="56">
        <f>AD113*30%</f>
        <v/>
      </c>
      <c r="BT148" s="56">
        <f>AE113*30%</f>
        <v/>
      </c>
      <c r="BU148" s="56">
        <f>AF113*30%</f>
        <v/>
      </c>
      <c r="BV148" s="56">
        <f>AG113*30%</f>
        <v/>
      </c>
      <c r="BW148" s="56">
        <f>AH113*30%</f>
        <v/>
      </c>
      <c r="BX148" s="56">
        <f>AI113*30%</f>
        <v/>
      </c>
      <c r="BY148" s="56">
        <f>AJ113*30%</f>
        <v/>
      </c>
      <c r="BZ148" s="56">
        <f>AK113*30%</f>
        <v/>
      </c>
    </row>
    <row r="152" ht="14.5" customHeight="1" s="213">
      <c r="A152" s="56" t="inlineStr">
        <is>
          <t>~TFM_INS: attribute=ACT_COST</t>
        </is>
      </c>
      <c r="B152" s="56" t="n"/>
      <c r="C152" s="56" t="n"/>
      <c r="D152" s="56" t="n"/>
      <c r="E152" s="56" t="n"/>
      <c r="AP152" s="56" t="inlineStr">
        <is>
          <t>~TFM_INS: attribute=INVCOST</t>
        </is>
      </c>
      <c r="AQ152" s="56" t="n"/>
      <c r="AR152" s="56" t="n"/>
      <c r="AS152" s="56" t="n"/>
      <c r="AT152" s="56" t="n"/>
    </row>
    <row r="153" ht="14.5" customHeight="1" s="213">
      <c r="A153" s="56" t="inlineStr">
        <is>
          <t>process</t>
        </is>
      </c>
      <c r="B153" s="56" t="inlineStr">
        <is>
          <t>year</t>
        </is>
      </c>
      <c r="C153" s="154" t="inlineStr">
        <is>
          <t>Africa_North</t>
        </is>
      </c>
      <c r="D153" s="154" t="inlineStr">
        <is>
          <t>Africa_Other</t>
        </is>
      </c>
      <c r="E153" s="154" t="inlineStr">
        <is>
          <t>Australia</t>
        </is>
      </c>
      <c r="F153" s="154" t="inlineStr">
        <is>
          <t>Austria</t>
        </is>
      </c>
      <c r="G153" s="154" t="inlineStr">
        <is>
          <t>Baltics</t>
        </is>
      </c>
      <c r="H153" s="154" t="inlineStr">
        <is>
          <t>BeNeLux</t>
        </is>
      </c>
      <c r="I153" s="154" t="inlineStr">
        <is>
          <t>Brazil</t>
        </is>
      </c>
      <c r="J153" s="154" t="inlineStr">
        <is>
          <t>China</t>
        </is>
      </c>
      <c r="K153" s="154" t="inlineStr">
        <is>
          <t>CroSloven</t>
        </is>
      </c>
      <c r="L153" s="154" t="inlineStr">
        <is>
          <t>CzechSlovak</t>
        </is>
      </c>
      <c r="M153" s="154" t="inlineStr">
        <is>
          <t>France</t>
        </is>
      </c>
      <c r="N153" s="154" t="inlineStr">
        <is>
          <t>Germany</t>
        </is>
      </c>
      <c r="O153" s="154" t="inlineStr">
        <is>
          <t>GreeceCyp</t>
        </is>
      </c>
      <c r="P153" s="154" t="inlineStr">
        <is>
          <t>HunRomBul</t>
        </is>
      </c>
      <c r="Q153" s="154" t="inlineStr">
        <is>
          <t>Iceland</t>
        </is>
      </c>
      <c r="R153" s="154" t="inlineStr">
        <is>
          <t>India</t>
        </is>
      </c>
      <c r="S153" s="154" t="inlineStr">
        <is>
          <t>Ireland</t>
        </is>
      </c>
      <c r="T153" s="154" t="inlineStr">
        <is>
          <t>ItalyMal</t>
        </is>
      </c>
      <c r="U153" s="154" t="inlineStr">
        <is>
          <t>Japan</t>
        </is>
      </c>
      <c r="V153" s="154" t="inlineStr">
        <is>
          <t>LatAm</t>
        </is>
      </c>
      <c r="W153" s="154" t="inlineStr">
        <is>
          <t>MidEast</t>
        </is>
      </c>
      <c r="X153" s="154" t="inlineStr">
        <is>
          <t>NorthAm</t>
        </is>
      </c>
      <c r="Y153" s="154" t="inlineStr">
        <is>
          <t>Norway</t>
        </is>
      </c>
      <c r="Z153" s="154" t="inlineStr">
        <is>
          <t>Poland</t>
        </is>
      </c>
      <c r="AA153" s="154" t="inlineStr">
        <is>
          <t>ROW</t>
        </is>
      </c>
      <c r="AB153" s="154" t="inlineStr">
        <is>
          <t>Russia</t>
        </is>
      </c>
      <c r="AC153" s="154" t="inlineStr">
        <is>
          <t>SaudiArabia</t>
        </is>
      </c>
      <c r="AD153" s="154" t="inlineStr">
        <is>
          <t>SouthAfrica</t>
        </is>
      </c>
      <c r="AE153" s="154" t="inlineStr">
        <is>
          <t>SpainPor</t>
        </is>
      </c>
      <c r="AF153" s="154" t="inlineStr">
        <is>
          <t>SweFinDen</t>
        </is>
      </c>
      <c r="AG153" s="154" t="inlineStr">
        <is>
          <t>Switzerland</t>
        </is>
      </c>
      <c r="AH153" s="154" t="inlineStr">
        <is>
          <t>Turkey</t>
        </is>
      </c>
      <c r="AI153" s="154" t="inlineStr">
        <is>
          <t>UK</t>
        </is>
      </c>
      <c r="AJ153" s="154" t="inlineStr">
        <is>
          <t>Ukraine</t>
        </is>
      </c>
      <c r="AK153" s="154" t="inlineStr">
        <is>
          <t>WestBalkans</t>
        </is>
      </c>
      <c r="AP153" s="56" t="inlineStr">
        <is>
          <t>process</t>
        </is>
      </c>
      <c r="AQ153" s="56" t="inlineStr">
        <is>
          <t>year</t>
        </is>
      </c>
      <c r="AR153" s="154" t="inlineStr">
        <is>
          <t>Africa_North</t>
        </is>
      </c>
      <c r="AS153" s="154" t="inlineStr">
        <is>
          <t>Africa_Other</t>
        </is>
      </c>
      <c r="AT153" s="154" t="inlineStr">
        <is>
          <t>Australia</t>
        </is>
      </c>
      <c r="AU153" s="154" t="inlineStr">
        <is>
          <t>Austria</t>
        </is>
      </c>
      <c r="AV153" s="154" t="inlineStr">
        <is>
          <t>Baltics</t>
        </is>
      </c>
      <c r="AW153" s="154" t="inlineStr">
        <is>
          <t>BeNeLux</t>
        </is>
      </c>
      <c r="AX153" s="154" t="inlineStr">
        <is>
          <t>Brazil</t>
        </is>
      </c>
      <c r="AY153" s="154" t="inlineStr">
        <is>
          <t>China</t>
        </is>
      </c>
      <c r="AZ153" s="154" t="inlineStr">
        <is>
          <t>CroSloven</t>
        </is>
      </c>
      <c r="BA153" s="154" t="inlineStr">
        <is>
          <t>CzechSlovak</t>
        </is>
      </c>
      <c r="BB153" s="154" t="inlineStr">
        <is>
          <t>France</t>
        </is>
      </c>
      <c r="BC153" s="154" t="inlineStr">
        <is>
          <t>Germany</t>
        </is>
      </c>
      <c r="BD153" s="154" t="inlineStr">
        <is>
          <t>GreeceCyp</t>
        </is>
      </c>
      <c r="BE153" s="154" t="inlineStr">
        <is>
          <t>HunRomBul</t>
        </is>
      </c>
      <c r="BF153" s="154" t="inlineStr">
        <is>
          <t>Iceland</t>
        </is>
      </c>
      <c r="BG153" s="154" t="inlineStr">
        <is>
          <t>India</t>
        </is>
      </c>
      <c r="BH153" s="154" t="inlineStr">
        <is>
          <t>Ireland</t>
        </is>
      </c>
      <c r="BI153" s="154" t="inlineStr">
        <is>
          <t>ItalyMal</t>
        </is>
      </c>
      <c r="BJ153" s="154" t="inlineStr">
        <is>
          <t>Japan</t>
        </is>
      </c>
      <c r="BK153" s="154" t="inlineStr">
        <is>
          <t>LatAm</t>
        </is>
      </c>
      <c r="BL153" s="154" t="inlineStr">
        <is>
          <t>MidEast</t>
        </is>
      </c>
      <c r="BM153" s="154" t="inlineStr">
        <is>
          <t>NorthAm</t>
        </is>
      </c>
      <c r="BN153" s="154" t="inlineStr">
        <is>
          <t>Norway</t>
        </is>
      </c>
      <c r="BO153" s="154" t="inlineStr">
        <is>
          <t>Poland</t>
        </is>
      </c>
      <c r="BP153" s="154" t="inlineStr">
        <is>
          <t>ROW</t>
        </is>
      </c>
      <c r="BQ153" s="154" t="inlineStr">
        <is>
          <t>Russia</t>
        </is>
      </c>
      <c r="BR153" s="154" t="inlineStr">
        <is>
          <t>SaudiArabia</t>
        </is>
      </c>
      <c r="BS153" s="154" t="inlineStr">
        <is>
          <t>SouthAfrica</t>
        </is>
      </c>
      <c r="BT153" s="154" t="inlineStr">
        <is>
          <t>SpainPor</t>
        </is>
      </c>
      <c r="BU153" s="154" t="inlineStr">
        <is>
          <t>SweFinDen</t>
        </is>
      </c>
      <c r="BV153" s="154" t="inlineStr">
        <is>
          <t>Switzerland</t>
        </is>
      </c>
      <c r="BW153" s="154" t="inlineStr">
        <is>
          <t>Turkey</t>
        </is>
      </c>
      <c r="BX153" s="154" t="inlineStr">
        <is>
          <t>UK</t>
        </is>
      </c>
      <c r="BY153" s="154" t="inlineStr">
        <is>
          <t>Ukraine</t>
        </is>
      </c>
      <c r="BZ153" s="154" t="inlineStr">
        <is>
          <t>WestBalkans</t>
        </is>
      </c>
    </row>
    <row r="154" ht="14.5" customHeight="1" s="213">
      <c r="A154" s="56" t="inlineStr">
        <is>
          <t>Tra_EV_Batt-LFP_virgin</t>
        </is>
      </c>
      <c r="B154" s="56" t="n">
        <v>2050</v>
      </c>
      <c r="C154" s="56">
        <f>C116*70%</f>
        <v/>
      </c>
      <c r="D154" s="56">
        <f>D116*70%</f>
        <v/>
      </c>
      <c r="E154" s="56">
        <f>E116*70%</f>
        <v/>
      </c>
      <c r="F154" s="56">
        <f>F116*70%</f>
        <v/>
      </c>
      <c r="G154" s="56">
        <f>G116*70%</f>
        <v/>
      </c>
      <c r="H154" s="56">
        <f>H116*70%</f>
        <v/>
      </c>
      <c r="I154" s="56">
        <f>I116*70%</f>
        <v/>
      </c>
      <c r="J154" s="56">
        <f>J116*70%</f>
        <v/>
      </c>
      <c r="K154" s="56">
        <f>K116*70%</f>
        <v/>
      </c>
      <c r="L154" s="56">
        <f>L116*70%</f>
        <v/>
      </c>
      <c r="M154" s="56">
        <f>M116*70%</f>
        <v/>
      </c>
      <c r="N154" s="56">
        <f>N116*70%</f>
        <v/>
      </c>
      <c r="O154" s="56">
        <f>O116*70%</f>
        <v/>
      </c>
      <c r="P154" s="56">
        <f>P116*70%</f>
        <v/>
      </c>
      <c r="Q154" s="56">
        <f>Q116*70%</f>
        <v/>
      </c>
      <c r="R154" s="56">
        <f>R116*70%</f>
        <v/>
      </c>
      <c r="S154" s="56">
        <f>S116*70%</f>
        <v/>
      </c>
      <c r="T154" s="56">
        <f>T116*70%</f>
        <v/>
      </c>
      <c r="U154" s="56">
        <f>U116*70%</f>
        <v/>
      </c>
      <c r="V154" s="56">
        <f>V116*70%</f>
        <v/>
      </c>
      <c r="W154" s="56">
        <f>W116*70%</f>
        <v/>
      </c>
      <c r="X154" s="56">
        <f>X116*70%</f>
        <v/>
      </c>
      <c r="Y154" s="56">
        <f>Y116*70%</f>
        <v/>
      </c>
      <c r="Z154" s="56">
        <f>Z116*70%</f>
        <v/>
      </c>
      <c r="AA154" s="56">
        <f>AA116*70%</f>
        <v/>
      </c>
      <c r="AB154" s="56">
        <f>AB116*70%</f>
        <v/>
      </c>
      <c r="AC154" s="56">
        <f>AC116*70%</f>
        <v/>
      </c>
      <c r="AD154" s="56">
        <f>AD116*70%</f>
        <v/>
      </c>
      <c r="AE154" s="56">
        <f>AE116*70%</f>
        <v/>
      </c>
      <c r="AF154" s="56">
        <f>AF116*70%</f>
        <v/>
      </c>
      <c r="AG154" s="56">
        <f>AG116*70%</f>
        <v/>
      </c>
      <c r="AH154" s="56">
        <f>AH116*70%</f>
        <v/>
      </c>
      <c r="AI154" s="56">
        <f>AI116*70%</f>
        <v/>
      </c>
      <c r="AJ154" s="56">
        <f>AJ116*70%</f>
        <v/>
      </c>
      <c r="AK154" s="56">
        <f>AK116*70%</f>
        <v/>
      </c>
      <c r="AP154" s="56" t="inlineStr">
        <is>
          <t>Tra_EV_Batt-LFP_virgin_pack</t>
        </is>
      </c>
      <c r="AQ154" s="56" t="n">
        <v>2050</v>
      </c>
      <c r="AR154" s="56">
        <f>C116*30%</f>
        <v/>
      </c>
      <c r="AS154" s="56">
        <f>D116*30%</f>
        <v/>
      </c>
      <c r="AT154" s="56">
        <f>E116*30%</f>
        <v/>
      </c>
      <c r="AU154" s="56">
        <f>F116*30%</f>
        <v/>
      </c>
      <c r="AV154" s="56">
        <f>G116*30%</f>
        <v/>
      </c>
      <c r="AW154" s="56">
        <f>H116*30%</f>
        <v/>
      </c>
      <c r="AX154" s="56">
        <f>I116*30%</f>
        <v/>
      </c>
      <c r="AY154" s="56">
        <f>J116*30%</f>
        <v/>
      </c>
      <c r="AZ154" s="56">
        <f>K116*30%</f>
        <v/>
      </c>
      <c r="BA154" s="56">
        <f>L116*30%</f>
        <v/>
      </c>
      <c r="BB154" s="56">
        <f>M116*30%</f>
        <v/>
      </c>
      <c r="BC154" s="56">
        <f>N116*30%</f>
        <v/>
      </c>
      <c r="BD154" s="56">
        <f>O116*30%</f>
        <v/>
      </c>
      <c r="BE154" s="56">
        <f>P116*30%</f>
        <v/>
      </c>
      <c r="BF154" s="56">
        <f>Q116*30%</f>
        <v/>
      </c>
      <c r="BG154" s="56">
        <f>R116*30%</f>
        <v/>
      </c>
      <c r="BH154" s="56">
        <f>S116*30%</f>
        <v/>
      </c>
      <c r="BI154" s="56">
        <f>T116*30%</f>
        <v/>
      </c>
      <c r="BJ154" s="56">
        <f>U116*30%</f>
        <v/>
      </c>
      <c r="BK154" s="56">
        <f>V116*30%</f>
        <v/>
      </c>
      <c r="BL154" s="56">
        <f>W116*30%</f>
        <v/>
      </c>
      <c r="BM154" s="56">
        <f>X116*30%</f>
        <v/>
      </c>
      <c r="BN154" s="56">
        <f>Y116*30%</f>
        <v/>
      </c>
      <c r="BO154" s="56">
        <f>Z116*30%</f>
        <v/>
      </c>
      <c r="BP154" s="56">
        <f>AA116*30%</f>
        <v/>
      </c>
      <c r="BQ154" s="56">
        <f>AB116*30%</f>
        <v/>
      </c>
      <c r="BR154" s="56">
        <f>AC116*30%</f>
        <v/>
      </c>
      <c r="BS154" s="56">
        <f>AD116*30%</f>
        <v/>
      </c>
      <c r="BT154" s="56">
        <f>AE116*30%</f>
        <v/>
      </c>
      <c r="BU154" s="56">
        <f>AF116*30%</f>
        <v/>
      </c>
      <c r="BV154" s="56">
        <f>AG116*30%</f>
        <v/>
      </c>
      <c r="BW154" s="56">
        <f>AH116*30%</f>
        <v/>
      </c>
      <c r="BX154" s="56">
        <f>AI116*30%</f>
        <v/>
      </c>
      <c r="BY154" s="56">
        <f>AJ116*30%</f>
        <v/>
      </c>
      <c r="BZ154" s="56">
        <f>AK116*30%</f>
        <v/>
      </c>
    </row>
    <row r="155" ht="14.5" customHeight="1" s="213">
      <c r="A155" s="56" t="inlineStr">
        <is>
          <t>Tra_EV_Batt-LMO_virgin</t>
        </is>
      </c>
      <c r="B155" s="56" t="n">
        <v>2050</v>
      </c>
      <c r="C155" s="56">
        <f>C117*70%</f>
        <v/>
      </c>
      <c r="D155" s="56">
        <f>D117*70%</f>
        <v/>
      </c>
      <c r="E155" s="56">
        <f>E117*70%</f>
        <v/>
      </c>
      <c r="F155" s="56">
        <f>F117*70%</f>
        <v/>
      </c>
      <c r="G155" s="56">
        <f>G117*70%</f>
        <v/>
      </c>
      <c r="H155" s="56">
        <f>H117*70%</f>
        <v/>
      </c>
      <c r="I155" s="56">
        <f>I117*70%</f>
        <v/>
      </c>
      <c r="J155" s="56">
        <f>J117*70%</f>
        <v/>
      </c>
      <c r="K155" s="56">
        <f>K117*70%</f>
        <v/>
      </c>
      <c r="L155" s="56">
        <f>L117*70%</f>
        <v/>
      </c>
      <c r="M155" s="56">
        <f>M117*70%</f>
        <v/>
      </c>
      <c r="N155" s="56">
        <f>N117*70%</f>
        <v/>
      </c>
      <c r="O155" s="56">
        <f>O117*70%</f>
        <v/>
      </c>
      <c r="P155" s="56">
        <f>P117*70%</f>
        <v/>
      </c>
      <c r="Q155" s="56">
        <f>Q117*70%</f>
        <v/>
      </c>
      <c r="R155" s="56">
        <f>R117*70%</f>
        <v/>
      </c>
      <c r="S155" s="56">
        <f>S117*70%</f>
        <v/>
      </c>
      <c r="T155" s="56">
        <f>T117*70%</f>
        <v/>
      </c>
      <c r="U155" s="56">
        <f>U117*70%</f>
        <v/>
      </c>
      <c r="V155" s="56">
        <f>V117*70%</f>
        <v/>
      </c>
      <c r="W155" s="56">
        <f>W117*70%</f>
        <v/>
      </c>
      <c r="X155" s="56">
        <f>X117*70%</f>
        <v/>
      </c>
      <c r="Y155" s="56">
        <f>Y117*70%</f>
        <v/>
      </c>
      <c r="Z155" s="56">
        <f>Z117*70%</f>
        <v/>
      </c>
      <c r="AA155" s="56">
        <f>AA117*70%</f>
        <v/>
      </c>
      <c r="AB155" s="56">
        <f>AB117*70%</f>
        <v/>
      </c>
      <c r="AC155" s="56">
        <f>AC117*70%</f>
        <v/>
      </c>
      <c r="AD155" s="56">
        <f>AD117*70%</f>
        <v/>
      </c>
      <c r="AE155" s="56">
        <f>AE117*70%</f>
        <v/>
      </c>
      <c r="AF155" s="56">
        <f>AF117*70%</f>
        <v/>
      </c>
      <c r="AG155" s="56">
        <f>AG117*70%</f>
        <v/>
      </c>
      <c r="AH155" s="56">
        <f>AH117*70%</f>
        <v/>
      </c>
      <c r="AI155" s="56">
        <f>AI117*70%</f>
        <v/>
      </c>
      <c r="AJ155" s="56">
        <f>AJ117*70%</f>
        <v/>
      </c>
      <c r="AK155" s="56">
        <f>AK117*70%</f>
        <v/>
      </c>
      <c r="AP155" s="56" t="inlineStr">
        <is>
          <t>Tra_EV_Batt-LMO_virgin_pack</t>
        </is>
      </c>
      <c r="AQ155" s="56" t="n">
        <v>2050</v>
      </c>
      <c r="AR155" s="56">
        <f>C117*30%</f>
        <v/>
      </c>
      <c r="AS155" s="56">
        <f>D117*30%</f>
        <v/>
      </c>
      <c r="AT155" s="56">
        <f>E117*30%</f>
        <v/>
      </c>
      <c r="AU155" s="56">
        <f>F117*30%</f>
        <v/>
      </c>
      <c r="AV155" s="56">
        <f>G117*30%</f>
        <v/>
      </c>
      <c r="AW155" s="56">
        <f>H117*30%</f>
        <v/>
      </c>
      <c r="AX155" s="56">
        <f>I117*30%</f>
        <v/>
      </c>
      <c r="AY155" s="56">
        <f>J117*30%</f>
        <v/>
      </c>
      <c r="AZ155" s="56">
        <f>K117*30%</f>
        <v/>
      </c>
      <c r="BA155" s="56">
        <f>L117*30%</f>
        <v/>
      </c>
      <c r="BB155" s="56">
        <f>M117*30%</f>
        <v/>
      </c>
      <c r="BC155" s="56">
        <f>N117*30%</f>
        <v/>
      </c>
      <c r="BD155" s="56">
        <f>O117*30%</f>
        <v/>
      </c>
      <c r="BE155" s="56">
        <f>P117*30%</f>
        <v/>
      </c>
      <c r="BF155" s="56">
        <f>Q117*30%</f>
        <v/>
      </c>
      <c r="BG155" s="56">
        <f>R117*30%</f>
        <v/>
      </c>
      <c r="BH155" s="56">
        <f>S117*30%</f>
        <v/>
      </c>
      <c r="BI155" s="56">
        <f>T117*30%</f>
        <v/>
      </c>
      <c r="BJ155" s="56">
        <f>U117*30%</f>
        <v/>
      </c>
      <c r="BK155" s="56">
        <f>V117*30%</f>
        <v/>
      </c>
      <c r="BL155" s="56">
        <f>W117*30%</f>
        <v/>
      </c>
      <c r="BM155" s="56">
        <f>X117*30%</f>
        <v/>
      </c>
      <c r="BN155" s="56">
        <f>Y117*30%</f>
        <v/>
      </c>
      <c r="BO155" s="56">
        <f>Z117*30%</f>
        <v/>
      </c>
      <c r="BP155" s="56">
        <f>AA117*30%</f>
        <v/>
      </c>
      <c r="BQ155" s="56">
        <f>AB117*30%</f>
        <v/>
      </c>
      <c r="BR155" s="56">
        <f>AC117*30%</f>
        <v/>
      </c>
      <c r="BS155" s="56">
        <f>AD117*30%</f>
        <v/>
      </c>
      <c r="BT155" s="56">
        <f>AE117*30%</f>
        <v/>
      </c>
      <c r="BU155" s="56">
        <f>AF117*30%</f>
        <v/>
      </c>
      <c r="BV155" s="56">
        <f>AG117*30%</f>
        <v/>
      </c>
      <c r="BW155" s="56">
        <f>AH117*30%</f>
        <v/>
      </c>
      <c r="BX155" s="56">
        <f>AI117*30%</f>
        <v/>
      </c>
      <c r="BY155" s="56">
        <f>AJ117*30%</f>
        <v/>
      </c>
      <c r="BZ155" s="56">
        <f>AK117*30%</f>
        <v/>
      </c>
    </row>
    <row r="156" ht="14.5" customHeight="1" s="213">
      <c r="A156" s="56" t="inlineStr">
        <is>
          <t>Tra_EV_Batt-NCA_virgin</t>
        </is>
      </c>
      <c r="B156" s="56" t="n">
        <v>2050</v>
      </c>
      <c r="C156" s="56">
        <f>C118*70%</f>
        <v/>
      </c>
      <c r="D156" s="56">
        <f>D118*70%</f>
        <v/>
      </c>
      <c r="E156" s="56">
        <f>E118*70%</f>
        <v/>
      </c>
      <c r="F156" s="56">
        <f>F118*70%</f>
        <v/>
      </c>
      <c r="G156" s="56">
        <f>G118*70%</f>
        <v/>
      </c>
      <c r="H156" s="56">
        <f>H118*70%</f>
        <v/>
      </c>
      <c r="I156" s="56">
        <f>I118*70%</f>
        <v/>
      </c>
      <c r="J156" s="56">
        <f>J118*70%</f>
        <v/>
      </c>
      <c r="K156" s="56">
        <f>K118*70%</f>
        <v/>
      </c>
      <c r="L156" s="56">
        <f>L118*70%</f>
        <v/>
      </c>
      <c r="M156" s="56">
        <f>M118*70%</f>
        <v/>
      </c>
      <c r="N156" s="56">
        <f>N118*70%</f>
        <v/>
      </c>
      <c r="O156" s="56">
        <f>O118*70%</f>
        <v/>
      </c>
      <c r="P156" s="56">
        <f>P118*70%</f>
        <v/>
      </c>
      <c r="Q156" s="56">
        <f>Q118*70%</f>
        <v/>
      </c>
      <c r="R156" s="56">
        <f>R118*70%</f>
        <v/>
      </c>
      <c r="S156" s="56">
        <f>S118*70%</f>
        <v/>
      </c>
      <c r="T156" s="56">
        <f>T118*70%</f>
        <v/>
      </c>
      <c r="U156" s="56">
        <f>U118*70%</f>
        <v/>
      </c>
      <c r="V156" s="56">
        <f>V118*70%</f>
        <v/>
      </c>
      <c r="W156" s="56">
        <f>W118*70%</f>
        <v/>
      </c>
      <c r="X156" s="56">
        <f>X118*70%</f>
        <v/>
      </c>
      <c r="Y156" s="56">
        <f>Y118*70%</f>
        <v/>
      </c>
      <c r="Z156" s="56">
        <f>Z118*70%</f>
        <v/>
      </c>
      <c r="AA156" s="56">
        <f>AA118*70%</f>
        <v/>
      </c>
      <c r="AB156" s="56">
        <f>AB118*70%</f>
        <v/>
      </c>
      <c r="AC156" s="56">
        <f>AC118*70%</f>
        <v/>
      </c>
      <c r="AD156" s="56">
        <f>AD118*70%</f>
        <v/>
      </c>
      <c r="AE156" s="56">
        <f>AE118*70%</f>
        <v/>
      </c>
      <c r="AF156" s="56">
        <f>AF118*70%</f>
        <v/>
      </c>
      <c r="AG156" s="56">
        <f>AG118*70%</f>
        <v/>
      </c>
      <c r="AH156" s="56">
        <f>AH118*70%</f>
        <v/>
      </c>
      <c r="AI156" s="56">
        <f>AI118*70%</f>
        <v/>
      </c>
      <c r="AJ156" s="56">
        <f>AJ118*70%</f>
        <v/>
      </c>
      <c r="AK156" s="56">
        <f>AK118*70%</f>
        <v/>
      </c>
      <c r="AP156" s="56" t="inlineStr">
        <is>
          <t>Tra_EV_Batt-NCA_virgin_pack</t>
        </is>
      </c>
      <c r="AQ156" s="56" t="n">
        <v>2050</v>
      </c>
      <c r="AR156" s="56">
        <f>C118*30%</f>
        <v/>
      </c>
      <c r="AS156" s="56">
        <f>D118*30%</f>
        <v/>
      </c>
      <c r="AT156" s="56">
        <f>E118*30%</f>
        <v/>
      </c>
      <c r="AU156" s="56">
        <f>F118*30%</f>
        <v/>
      </c>
      <c r="AV156" s="56">
        <f>G118*30%</f>
        <v/>
      </c>
      <c r="AW156" s="56">
        <f>H118*30%</f>
        <v/>
      </c>
      <c r="AX156" s="56">
        <f>I118*30%</f>
        <v/>
      </c>
      <c r="AY156" s="56">
        <f>J118*30%</f>
        <v/>
      </c>
      <c r="AZ156" s="56">
        <f>K118*30%</f>
        <v/>
      </c>
      <c r="BA156" s="56">
        <f>L118*30%</f>
        <v/>
      </c>
      <c r="BB156" s="56">
        <f>M118*30%</f>
        <v/>
      </c>
      <c r="BC156" s="56">
        <f>N118*30%</f>
        <v/>
      </c>
      <c r="BD156" s="56">
        <f>O118*30%</f>
        <v/>
      </c>
      <c r="BE156" s="56">
        <f>P118*30%</f>
        <v/>
      </c>
      <c r="BF156" s="56">
        <f>Q118*30%</f>
        <v/>
      </c>
      <c r="BG156" s="56">
        <f>R118*30%</f>
        <v/>
      </c>
      <c r="BH156" s="56">
        <f>S118*30%</f>
        <v/>
      </c>
      <c r="BI156" s="56">
        <f>T118*30%</f>
        <v/>
      </c>
      <c r="BJ156" s="56">
        <f>U118*30%</f>
        <v/>
      </c>
      <c r="BK156" s="56">
        <f>V118*30%</f>
        <v/>
      </c>
      <c r="BL156" s="56">
        <f>W118*30%</f>
        <v/>
      </c>
      <c r="BM156" s="56">
        <f>X118*30%</f>
        <v/>
      </c>
      <c r="BN156" s="56">
        <f>Y118*30%</f>
        <v/>
      </c>
      <c r="BO156" s="56">
        <f>Z118*30%</f>
        <v/>
      </c>
      <c r="BP156" s="56">
        <f>AA118*30%</f>
        <v/>
      </c>
      <c r="BQ156" s="56">
        <f>AB118*30%</f>
        <v/>
      </c>
      <c r="BR156" s="56">
        <f>AC118*30%</f>
        <v/>
      </c>
      <c r="BS156" s="56">
        <f>AD118*30%</f>
        <v/>
      </c>
      <c r="BT156" s="56">
        <f>AE118*30%</f>
        <v/>
      </c>
      <c r="BU156" s="56">
        <f>AF118*30%</f>
        <v/>
      </c>
      <c r="BV156" s="56">
        <f>AG118*30%</f>
        <v/>
      </c>
      <c r="BW156" s="56">
        <f>AH118*30%</f>
        <v/>
      </c>
      <c r="BX156" s="56">
        <f>AI118*30%</f>
        <v/>
      </c>
      <c r="BY156" s="56">
        <f>AJ118*30%</f>
        <v/>
      </c>
      <c r="BZ156" s="56">
        <f>AK118*30%</f>
        <v/>
      </c>
    </row>
    <row r="157" ht="14.5" customHeight="1" s="213">
      <c r="A157" s="56" t="inlineStr">
        <is>
          <t>Tra_EV_Batt-NMC111_virgin</t>
        </is>
      </c>
      <c r="B157" s="56" t="n">
        <v>2050</v>
      </c>
      <c r="C157" s="56">
        <f>C119*70%</f>
        <v/>
      </c>
      <c r="D157" s="56">
        <f>D119*70%</f>
        <v/>
      </c>
      <c r="E157" s="56">
        <f>E119*70%</f>
        <v/>
      </c>
      <c r="F157" s="56">
        <f>F119*70%</f>
        <v/>
      </c>
      <c r="G157" s="56">
        <f>G119*70%</f>
        <v/>
      </c>
      <c r="H157" s="56">
        <f>H119*70%</f>
        <v/>
      </c>
      <c r="I157" s="56">
        <f>I119*70%</f>
        <v/>
      </c>
      <c r="J157" s="56">
        <f>J119*70%</f>
        <v/>
      </c>
      <c r="K157" s="56">
        <f>K119*70%</f>
        <v/>
      </c>
      <c r="L157" s="56">
        <f>L119*70%</f>
        <v/>
      </c>
      <c r="M157" s="56">
        <f>M119*70%</f>
        <v/>
      </c>
      <c r="N157" s="56">
        <f>N119*70%</f>
        <v/>
      </c>
      <c r="O157" s="56">
        <f>O119*70%</f>
        <v/>
      </c>
      <c r="P157" s="56">
        <f>P119*70%</f>
        <v/>
      </c>
      <c r="Q157" s="56">
        <f>Q119*70%</f>
        <v/>
      </c>
      <c r="R157" s="56">
        <f>R119*70%</f>
        <v/>
      </c>
      <c r="S157" s="56">
        <f>S119*70%</f>
        <v/>
      </c>
      <c r="T157" s="56">
        <f>T119*70%</f>
        <v/>
      </c>
      <c r="U157" s="56">
        <f>U119*70%</f>
        <v/>
      </c>
      <c r="V157" s="56">
        <f>V119*70%</f>
        <v/>
      </c>
      <c r="W157" s="56">
        <f>W119*70%</f>
        <v/>
      </c>
      <c r="X157" s="56">
        <f>X119*70%</f>
        <v/>
      </c>
      <c r="Y157" s="56">
        <f>Y119*70%</f>
        <v/>
      </c>
      <c r="Z157" s="56">
        <f>Z119*70%</f>
        <v/>
      </c>
      <c r="AA157" s="56">
        <f>AA119*70%</f>
        <v/>
      </c>
      <c r="AB157" s="56">
        <f>AB119*70%</f>
        <v/>
      </c>
      <c r="AC157" s="56">
        <f>AC119*70%</f>
        <v/>
      </c>
      <c r="AD157" s="56">
        <f>AD119*70%</f>
        <v/>
      </c>
      <c r="AE157" s="56">
        <f>AE119*70%</f>
        <v/>
      </c>
      <c r="AF157" s="56">
        <f>AF119*70%</f>
        <v/>
      </c>
      <c r="AG157" s="56">
        <f>AG119*70%</f>
        <v/>
      </c>
      <c r="AH157" s="56">
        <f>AH119*70%</f>
        <v/>
      </c>
      <c r="AI157" s="56">
        <f>AI119*70%</f>
        <v/>
      </c>
      <c r="AJ157" s="56">
        <f>AJ119*70%</f>
        <v/>
      </c>
      <c r="AK157" s="56">
        <f>AK119*70%</f>
        <v/>
      </c>
      <c r="AP157" s="56" t="inlineStr">
        <is>
          <t>Tra_EV_Batt-NMC111_virgin_pack</t>
        </is>
      </c>
      <c r="AQ157" s="56" t="n">
        <v>2050</v>
      </c>
      <c r="AR157" s="56">
        <f>C119*30%</f>
        <v/>
      </c>
      <c r="AS157" s="56">
        <f>D119*30%</f>
        <v/>
      </c>
      <c r="AT157" s="56">
        <f>E119*30%</f>
        <v/>
      </c>
      <c r="AU157" s="56">
        <f>F119*30%</f>
        <v/>
      </c>
      <c r="AV157" s="56">
        <f>G119*30%</f>
        <v/>
      </c>
      <c r="AW157" s="56">
        <f>H119*30%</f>
        <v/>
      </c>
      <c r="AX157" s="56">
        <f>I119*30%</f>
        <v/>
      </c>
      <c r="AY157" s="56">
        <f>J119*30%</f>
        <v/>
      </c>
      <c r="AZ157" s="56">
        <f>K119*30%</f>
        <v/>
      </c>
      <c r="BA157" s="56">
        <f>L119*30%</f>
        <v/>
      </c>
      <c r="BB157" s="56">
        <f>M119*30%</f>
        <v/>
      </c>
      <c r="BC157" s="56">
        <f>N119*30%</f>
        <v/>
      </c>
      <c r="BD157" s="56">
        <f>O119*30%</f>
        <v/>
      </c>
      <c r="BE157" s="56">
        <f>P119*30%</f>
        <v/>
      </c>
      <c r="BF157" s="56">
        <f>Q119*30%</f>
        <v/>
      </c>
      <c r="BG157" s="56">
        <f>R119*30%</f>
        <v/>
      </c>
      <c r="BH157" s="56">
        <f>S119*30%</f>
        <v/>
      </c>
      <c r="BI157" s="56">
        <f>T119*30%</f>
        <v/>
      </c>
      <c r="BJ157" s="56">
        <f>U119*30%</f>
        <v/>
      </c>
      <c r="BK157" s="56">
        <f>V119*30%</f>
        <v/>
      </c>
      <c r="BL157" s="56">
        <f>W119*30%</f>
        <v/>
      </c>
      <c r="BM157" s="56">
        <f>X119*30%</f>
        <v/>
      </c>
      <c r="BN157" s="56">
        <f>Y119*30%</f>
        <v/>
      </c>
      <c r="BO157" s="56">
        <f>Z119*30%</f>
        <v/>
      </c>
      <c r="BP157" s="56">
        <f>AA119*30%</f>
        <v/>
      </c>
      <c r="BQ157" s="56">
        <f>AB119*30%</f>
        <v/>
      </c>
      <c r="BR157" s="56">
        <f>AC119*30%</f>
        <v/>
      </c>
      <c r="BS157" s="56">
        <f>AD119*30%</f>
        <v/>
      </c>
      <c r="BT157" s="56">
        <f>AE119*30%</f>
        <v/>
      </c>
      <c r="BU157" s="56">
        <f>AF119*30%</f>
        <v/>
      </c>
      <c r="BV157" s="56">
        <f>AG119*30%</f>
        <v/>
      </c>
      <c r="BW157" s="56">
        <f>AH119*30%</f>
        <v/>
      </c>
      <c r="BX157" s="56">
        <f>AI119*30%</f>
        <v/>
      </c>
      <c r="BY157" s="56">
        <f>AJ119*30%</f>
        <v/>
      </c>
      <c r="BZ157" s="56">
        <f>AK119*30%</f>
        <v/>
      </c>
    </row>
    <row r="158" ht="14.5" customHeight="1" s="213">
      <c r="A158" s="56" t="inlineStr">
        <is>
          <t>Tra_EV_Batt-NMC532_virgin</t>
        </is>
      </c>
      <c r="B158" s="56" t="n">
        <v>2050</v>
      </c>
      <c r="C158" s="56">
        <f>C120*70%</f>
        <v/>
      </c>
      <c r="D158" s="56">
        <f>D120*70%</f>
        <v/>
      </c>
      <c r="E158" s="56">
        <f>E120*70%</f>
        <v/>
      </c>
      <c r="F158" s="56">
        <f>F120*70%</f>
        <v/>
      </c>
      <c r="G158" s="56">
        <f>G120*70%</f>
        <v/>
      </c>
      <c r="H158" s="56">
        <f>H120*70%</f>
        <v/>
      </c>
      <c r="I158" s="56">
        <f>I120*70%</f>
        <v/>
      </c>
      <c r="J158" s="56">
        <f>J120*70%</f>
        <v/>
      </c>
      <c r="K158" s="56">
        <f>K120*70%</f>
        <v/>
      </c>
      <c r="L158" s="56">
        <f>L120*70%</f>
        <v/>
      </c>
      <c r="M158" s="56">
        <f>M120*70%</f>
        <v/>
      </c>
      <c r="N158" s="56">
        <f>N120*70%</f>
        <v/>
      </c>
      <c r="O158" s="56">
        <f>O120*70%</f>
        <v/>
      </c>
      <c r="P158" s="56">
        <f>P120*70%</f>
        <v/>
      </c>
      <c r="Q158" s="56">
        <f>Q120*70%</f>
        <v/>
      </c>
      <c r="R158" s="56">
        <f>R120*70%</f>
        <v/>
      </c>
      <c r="S158" s="56">
        <f>S120*70%</f>
        <v/>
      </c>
      <c r="T158" s="56">
        <f>T120*70%</f>
        <v/>
      </c>
      <c r="U158" s="56">
        <f>U120*70%</f>
        <v/>
      </c>
      <c r="V158" s="56">
        <f>V120*70%</f>
        <v/>
      </c>
      <c r="W158" s="56">
        <f>W120*70%</f>
        <v/>
      </c>
      <c r="X158" s="56">
        <f>X120*70%</f>
        <v/>
      </c>
      <c r="Y158" s="56">
        <f>Y120*70%</f>
        <v/>
      </c>
      <c r="Z158" s="56">
        <f>Z120*70%</f>
        <v/>
      </c>
      <c r="AA158" s="56">
        <f>AA120*70%</f>
        <v/>
      </c>
      <c r="AB158" s="56">
        <f>AB120*70%</f>
        <v/>
      </c>
      <c r="AC158" s="56">
        <f>AC120*70%</f>
        <v/>
      </c>
      <c r="AD158" s="56">
        <f>AD120*70%</f>
        <v/>
      </c>
      <c r="AE158" s="56">
        <f>AE120*70%</f>
        <v/>
      </c>
      <c r="AF158" s="56">
        <f>AF120*70%</f>
        <v/>
      </c>
      <c r="AG158" s="56">
        <f>AG120*70%</f>
        <v/>
      </c>
      <c r="AH158" s="56">
        <f>AH120*70%</f>
        <v/>
      </c>
      <c r="AI158" s="56">
        <f>AI120*70%</f>
        <v/>
      </c>
      <c r="AJ158" s="56">
        <f>AJ120*70%</f>
        <v/>
      </c>
      <c r="AK158" s="56">
        <f>AK120*70%</f>
        <v/>
      </c>
      <c r="AP158" s="56" t="inlineStr">
        <is>
          <t>Tra_EV_Batt-NMC532_virgin_pack</t>
        </is>
      </c>
      <c r="AQ158" s="56" t="n">
        <v>2050</v>
      </c>
      <c r="AR158" s="56">
        <f>C120*30%</f>
        <v/>
      </c>
      <c r="AS158" s="56">
        <f>D120*30%</f>
        <v/>
      </c>
      <c r="AT158" s="56">
        <f>E120*30%</f>
        <v/>
      </c>
      <c r="AU158" s="56">
        <f>F120*30%</f>
        <v/>
      </c>
      <c r="AV158" s="56">
        <f>G120*30%</f>
        <v/>
      </c>
      <c r="AW158" s="56">
        <f>H120*30%</f>
        <v/>
      </c>
      <c r="AX158" s="56">
        <f>I120*30%</f>
        <v/>
      </c>
      <c r="AY158" s="56">
        <f>J120*30%</f>
        <v/>
      </c>
      <c r="AZ158" s="56">
        <f>K120*30%</f>
        <v/>
      </c>
      <c r="BA158" s="56">
        <f>L120*30%</f>
        <v/>
      </c>
      <c r="BB158" s="56">
        <f>M120*30%</f>
        <v/>
      </c>
      <c r="BC158" s="56">
        <f>N120*30%</f>
        <v/>
      </c>
      <c r="BD158" s="56">
        <f>O120*30%</f>
        <v/>
      </c>
      <c r="BE158" s="56">
        <f>P120*30%</f>
        <v/>
      </c>
      <c r="BF158" s="56">
        <f>Q120*30%</f>
        <v/>
      </c>
      <c r="BG158" s="56">
        <f>R120*30%</f>
        <v/>
      </c>
      <c r="BH158" s="56">
        <f>S120*30%</f>
        <v/>
      </c>
      <c r="BI158" s="56">
        <f>T120*30%</f>
        <v/>
      </c>
      <c r="BJ158" s="56">
        <f>U120*30%</f>
        <v/>
      </c>
      <c r="BK158" s="56">
        <f>V120*30%</f>
        <v/>
      </c>
      <c r="BL158" s="56">
        <f>W120*30%</f>
        <v/>
      </c>
      <c r="BM158" s="56">
        <f>X120*30%</f>
        <v/>
      </c>
      <c r="BN158" s="56">
        <f>Y120*30%</f>
        <v/>
      </c>
      <c r="BO158" s="56">
        <f>Z120*30%</f>
        <v/>
      </c>
      <c r="BP158" s="56">
        <f>AA120*30%</f>
        <v/>
      </c>
      <c r="BQ158" s="56">
        <f>AB120*30%</f>
        <v/>
      </c>
      <c r="BR158" s="56">
        <f>AC120*30%</f>
        <v/>
      </c>
      <c r="BS158" s="56">
        <f>AD120*30%</f>
        <v/>
      </c>
      <c r="BT158" s="56">
        <f>AE120*30%</f>
        <v/>
      </c>
      <c r="BU158" s="56">
        <f>AF120*30%</f>
        <v/>
      </c>
      <c r="BV158" s="56">
        <f>AG120*30%</f>
        <v/>
      </c>
      <c r="BW158" s="56">
        <f>AH120*30%</f>
        <v/>
      </c>
      <c r="BX158" s="56">
        <f>AI120*30%</f>
        <v/>
      </c>
      <c r="BY158" s="56">
        <f>AJ120*30%</f>
        <v/>
      </c>
      <c r="BZ158" s="56">
        <f>AK120*30%</f>
        <v/>
      </c>
    </row>
    <row r="159" ht="14.5" customHeight="1" s="213">
      <c r="A159" s="56" t="inlineStr">
        <is>
          <t>Tra_EV_Batt-NMC622_virgin</t>
        </is>
      </c>
      <c r="B159" s="56" t="n">
        <v>2050</v>
      </c>
      <c r="C159" s="56">
        <f>C121*70%</f>
        <v/>
      </c>
      <c r="D159" s="56">
        <f>D121*70%</f>
        <v/>
      </c>
      <c r="E159" s="56">
        <f>E121*70%</f>
        <v/>
      </c>
      <c r="F159" s="56">
        <f>F121*70%</f>
        <v/>
      </c>
      <c r="G159" s="56">
        <f>G121*70%</f>
        <v/>
      </c>
      <c r="H159" s="56">
        <f>H121*70%</f>
        <v/>
      </c>
      <c r="I159" s="56">
        <f>I121*70%</f>
        <v/>
      </c>
      <c r="J159" s="56">
        <f>J121*70%</f>
        <v/>
      </c>
      <c r="K159" s="56">
        <f>K121*70%</f>
        <v/>
      </c>
      <c r="L159" s="56">
        <f>L121*70%</f>
        <v/>
      </c>
      <c r="M159" s="56">
        <f>M121*70%</f>
        <v/>
      </c>
      <c r="N159" s="56">
        <f>N121*70%</f>
        <v/>
      </c>
      <c r="O159" s="56">
        <f>O121*70%</f>
        <v/>
      </c>
      <c r="P159" s="56">
        <f>P121*70%</f>
        <v/>
      </c>
      <c r="Q159" s="56">
        <f>Q121*70%</f>
        <v/>
      </c>
      <c r="R159" s="56">
        <f>R121*70%</f>
        <v/>
      </c>
      <c r="S159" s="56">
        <f>S121*70%</f>
        <v/>
      </c>
      <c r="T159" s="56">
        <f>T121*70%</f>
        <v/>
      </c>
      <c r="U159" s="56">
        <f>U121*70%</f>
        <v/>
      </c>
      <c r="V159" s="56">
        <f>V121*70%</f>
        <v/>
      </c>
      <c r="W159" s="56">
        <f>W121*70%</f>
        <v/>
      </c>
      <c r="X159" s="56">
        <f>X121*70%</f>
        <v/>
      </c>
      <c r="Y159" s="56">
        <f>Y121*70%</f>
        <v/>
      </c>
      <c r="Z159" s="56">
        <f>Z121*70%</f>
        <v/>
      </c>
      <c r="AA159" s="56">
        <f>AA121*70%</f>
        <v/>
      </c>
      <c r="AB159" s="56">
        <f>AB121*70%</f>
        <v/>
      </c>
      <c r="AC159" s="56">
        <f>AC121*70%</f>
        <v/>
      </c>
      <c r="AD159" s="56">
        <f>AD121*70%</f>
        <v/>
      </c>
      <c r="AE159" s="56">
        <f>AE121*70%</f>
        <v/>
      </c>
      <c r="AF159" s="56">
        <f>AF121*70%</f>
        <v/>
      </c>
      <c r="AG159" s="56">
        <f>AG121*70%</f>
        <v/>
      </c>
      <c r="AH159" s="56">
        <f>AH121*70%</f>
        <v/>
      </c>
      <c r="AI159" s="56">
        <f>AI121*70%</f>
        <v/>
      </c>
      <c r="AJ159" s="56">
        <f>AJ121*70%</f>
        <v/>
      </c>
      <c r="AK159" s="56">
        <f>AK121*70%</f>
        <v/>
      </c>
      <c r="AP159" s="56" t="inlineStr">
        <is>
          <t>Tra_EV_Batt-NMC622_virgin_pack</t>
        </is>
      </c>
      <c r="AQ159" s="56" t="n">
        <v>2050</v>
      </c>
      <c r="AR159" s="56">
        <f>C121*30%</f>
        <v/>
      </c>
      <c r="AS159" s="56">
        <f>D121*30%</f>
        <v/>
      </c>
      <c r="AT159" s="56">
        <f>E121*30%</f>
        <v/>
      </c>
      <c r="AU159" s="56">
        <f>F121*30%</f>
        <v/>
      </c>
      <c r="AV159" s="56">
        <f>G121*30%</f>
        <v/>
      </c>
      <c r="AW159" s="56">
        <f>H121*30%</f>
        <v/>
      </c>
      <c r="AX159" s="56">
        <f>I121*30%</f>
        <v/>
      </c>
      <c r="AY159" s="56">
        <f>J121*30%</f>
        <v/>
      </c>
      <c r="AZ159" s="56">
        <f>K121*30%</f>
        <v/>
      </c>
      <c r="BA159" s="56">
        <f>L121*30%</f>
        <v/>
      </c>
      <c r="BB159" s="56">
        <f>M121*30%</f>
        <v/>
      </c>
      <c r="BC159" s="56">
        <f>N121*30%</f>
        <v/>
      </c>
      <c r="BD159" s="56">
        <f>O121*30%</f>
        <v/>
      </c>
      <c r="BE159" s="56">
        <f>P121*30%</f>
        <v/>
      </c>
      <c r="BF159" s="56">
        <f>Q121*30%</f>
        <v/>
      </c>
      <c r="BG159" s="56">
        <f>R121*30%</f>
        <v/>
      </c>
      <c r="BH159" s="56">
        <f>S121*30%</f>
        <v/>
      </c>
      <c r="BI159" s="56">
        <f>T121*30%</f>
        <v/>
      </c>
      <c r="BJ159" s="56">
        <f>U121*30%</f>
        <v/>
      </c>
      <c r="BK159" s="56">
        <f>V121*30%</f>
        <v/>
      </c>
      <c r="BL159" s="56">
        <f>W121*30%</f>
        <v/>
      </c>
      <c r="BM159" s="56">
        <f>X121*30%</f>
        <v/>
      </c>
      <c r="BN159" s="56">
        <f>Y121*30%</f>
        <v/>
      </c>
      <c r="BO159" s="56">
        <f>Z121*30%</f>
        <v/>
      </c>
      <c r="BP159" s="56">
        <f>AA121*30%</f>
        <v/>
      </c>
      <c r="BQ159" s="56">
        <f>AB121*30%</f>
        <v/>
      </c>
      <c r="BR159" s="56">
        <f>AC121*30%</f>
        <v/>
      </c>
      <c r="BS159" s="56">
        <f>AD121*30%</f>
        <v/>
      </c>
      <c r="BT159" s="56">
        <f>AE121*30%</f>
        <v/>
      </c>
      <c r="BU159" s="56">
        <f>AF121*30%</f>
        <v/>
      </c>
      <c r="BV159" s="56">
        <f>AG121*30%</f>
        <v/>
      </c>
      <c r="BW159" s="56">
        <f>AH121*30%</f>
        <v/>
      </c>
      <c r="BX159" s="56">
        <f>AI121*30%</f>
        <v/>
      </c>
      <c r="BY159" s="56">
        <f>AJ121*30%</f>
        <v/>
      </c>
      <c r="BZ159" s="56">
        <f>AK121*30%</f>
        <v/>
      </c>
    </row>
    <row r="160" ht="14.5" customHeight="1" s="213">
      <c r="A160" s="56" t="inlineStr">
        <is>
          <t>Tra_EV_Batt-NMC811_virgin</t>
        </is>
      </c>
      <c r="B160" s="56" t="n">
        <v>2050</v>
      </c>
      <c r="C160" s="56">
        <f>C122*70%</f>
        <v/>
      </c>
      <c r="D160" s="56">
        <f>D122*70%</f>
        <v/>
      </c>
      <c r="E160" s="56">
        <f>E122*70%</f>
        <v/>
      </c>
      <c r="F160" s="56">
        <f>F122*70%</f>
        <v/>
      </c>
      <c r="G160" s="56">
        <f>G122*70%</f>
        <v/>
      </c>
      <c r="H160" s="56">
        <f>H122*70%</f>
        <v/>
      </c>
      <c r="I160" s="56">
        <f>I122*70%</f>
        <v/>
      </c>
      <c r="J160" s="56">
        <f>J122*70%</f>
        <v/>
      </c>
      <c r="K160" s="56">
        <f>K122*70%</f>
        <v/>
      </c>
      <c r="L160" s="56">
        <f>L122*70%</f>
        <v/>
      </c>
      <c r="M160" s="56">
        <f>M122*70%</f>
        <v/>
      </c>
      <c r="N160" s="56">
        <f>N122*70%</f>
        <v/>
      </c>
      <c r="O160" s="56">
        <f>O122*70%</f>
        <v/>
      </c>
      <c r="P160" s="56">
        <f>P122*70%</f>
        <v/>
      </c>
      <c r="Q160" s="56">
        <f>Q122*70%</f>
        <v/>
      </c>
      <c r="R160" s="56">
        <f>R122*70%</f>
        <v/>
      </c>
      <c r="S160" s="56">
        <f>S122*70%</f>
        <v/>
      </c>
      <c r="T160" s="56">
        <f>T122*70%</f>
        <v/>
      </c>
      <c r="U160" s="56">
        <f>U122*70%</f>
        <v/>
      </c>
      <c r="V160" s="56">
        <f>V122*70%</f>
        <v/>
      </c>
      <c r="W160" s="56">
        <f>W122*70%</f>
        <v/>
      </c>
      <c r="X160" s="56">
        <f>X122*70%</f>
        <v/>
      </c>
      <c r="Y160" s="56">
        <f>Y122*70%</f>
        <v/>
      </c>
      <c r="Z160" s="56">
        <f>Z122*70%</f>
        <v/>
      </c>
      <c r="AA160" s="56">
        <f>AA122*70%</f>
        <v/>
      </c>
      <c r="AB160" s="56">
        <f>AB122*70%</f>
        <v/>
      </c>
      <c r="AC160" s="56">
        <f>AC122*70%</f>
        <v/>
      </c>
      <c r="AD160" s="56">
        <f>AD122*70%</f>
        <v/>
      </c>
      <c r="AE160" s="56">
        <f>AE122*70%</f>
        <v/>
      </c>
      <c r="AF160" s="56">
        <f>AF122*70%</f>
        <v/>
      </c>
      <c r="AG160" s="56">
        <f>AG122*70%</f>
        <v/>
      </c>
      <c r="AH160" s="56">
        <f>AH122*70%</f>
        <v/>
      </c>
      <c r="AI160" s="56">
        <f>AI122*70%</f>
        <v/>
      </c>
      <c r="AJ160" s="56">
        <f>AJ122*70%</f>
        <v/>
      </c>
      <c r="AK160" s="56">
        <f>AK122*70%</f>
        <v/>
      </c>
      <c r="AP160" s="56" t="inlineStr">
        <is>
          <t>Tra_EV_Batt-NMC811_virgin_pack</t>
        </is>
      </c>
      <c r="AQ160" s="56" t="n">
        <v>2050</v>
      </c>
      <c r="AR160" s="56">
        <f>C122*30%</f>
        <v/>
      </c>
      <c r="AS160" s="56">
        <f>D122*30%</f>
        <v/>
      </c>
      <c r="AT160" s="56">
        <f>E122*30%</f>
        <v/>
      </c>
      <c r="AU160" s="56">
        <f>F122*30%</f>
        <v/>
      </c>
      <c r="AV160" s="56">
        <f>G122*30%</f>
        <v/>
      </c>
      <c r="AW160" s="56">
        <f>H122*30%</f>
        <v/>
      </c>
      <c r="AX160" s="56">
        <f>I122*30%</f>
        <v/>
      </c>
      <c r="AY160" s="56">
        <f>J122*30%</f>
        <v/>
      </c>
      <c r="AZ160" s="56">
        <f>K122*30%</f>
        <v/>
      </c>
      <c r="BA160" s="56">
        <f>L122*30%</f>
        <v/>
      </c>
      <c r="BB160" s="56">
        <f>M122*30%</f>
        <v/>
      </c>
      <c r="BC160" s="56">
        <f>N122*30%</f>
        <v/>
      </c>
      <c r="BD160" s="56">
        <f>O122*30%</f>
        <v/>
      </c>
      <c r="BE160" s="56">
        <f>P122*30%</f>
        <v/>
      </c>
      <c r="BF160" s="56">
        <f>Q122*30%</f>
        <v/>
      </c>
      <c r="BG160" s="56">
        <f>R122*30%</f>
        <v/>
      </c>
      <c r="BH160" s="56">
        <f>S122*30%</f>
        <v/>
      </c>
      <c r="BI160" s="56">
        <f>T122*30%</f>
        <v/>
      </c>
      <c r="BJ160" s="56">
        <f>U122*30%</f>
        <v/>
      </c>
      <c r="BK160" s="56">
        <f>V122*30%</f>
        <v/>
      </c>
      <c r="BL160" s="56">
        <f>W122*30%</f>
        <v/>
      </c>
      <c r="BM160" s="56">
        <f>X122*30%</f>
        <v/>
      </c>
      <c r="BN160" s="56">
        <f>Y122*30%</f>
        <v/>
      </c>
      <c r="BO160" s="56">
        <f>Z122*30%</f>
        <v/>
      </c>
      <c r="BP160" s="56">
        <f>AA122*30%</f>
        <v/>
      </c>
      <c r="BQ160" s="56">
        <f>AB122*30%</f>
        <v/>
      </c>
      <c r="BR160" s="56">
        <f>AC122*30%</f>
        <v/>
      </c>
      <c r="BS160" s="56">
        <f>AD122*30%</f>
        <v/>
      </c>
      <c r="BT160" s="56">
        <f>AE122*30%</f>
        <v/>
      </c>
      <c r="BU160" s="56">
        <f>AF122*30%</f>
        <v/>
      </c>
      <c r="BV160" s="56">
        <f>AG122*30%</f>
        <v/>
      </c>
      <c r="BW160" s="56">
        <f>AH122*30%</f>
        <v/>
      </c>
      <c r="BX160" s="56">
        <f>AI122*30%</f>
        <v/>
      </c>
      <c r="BY160" s="56">
        <f>AJ122*30%</f>
        <v/>
      </c>
      <c r="BZ160" s="56">
        <f>AK122*30%</f>
        <v/>
      </c>
    </row>
    <row r="161" ht="14.5" customHeight="1" s="213">
      <c r="A161" s="56" t="inlineStr">
        <is>
          <t>Tra_EV_Batt-Sodium_virgin</t>
        </is>
      </c>
      <c r="B161" s="56" t="n">
        <v>2050</v>
      </c>
      <c r="C161" s="56">
        <f>C123*70%</f>
        <v/>
      </c>
      <c r="D161" s="56">
        <f>D123*70%</f>
        <v/>
      </c>
      <c r="E161" s="56">
        <f>E123*70%</f>
        <v/>
      </c>
      <c r="F161" s="56">
        <f>F123*70%</f>
        <v/>
      </c>
      <c r="G161" s="56">
        <f>G123*70%</f>
        <v/>
      </c>
      <c r="H161" s="56">
        <f>H123*70%</f>
        <v/>
      </c>
      <c r="I161" s="56">
        <f>I123*70%</f>
        <v/>
      </c>
      <c r="J161" s="56">
        <f>J123*70%</f>
        <v/>
      </c>
      <c r="K161" s="56">
        <f>K123*70%</f>
        <v/>
      </c>
      <c r="L161" s="56">
        <f>L123*70%</f>
        <v/>
      </c>
      <c r="M161" s="56">
        <f>M123*70%</f>
        <v/>
      </c>
      <c r="N161" s="56">
        <f>N123*70%</f>
        <v/>
      </c>
      <c r="O161" s="56">
        <f>O123*70%</f>
        <v/>
      </c>
      <c r="P161" s="56">
        <f>P123*70%</f>
        <v/>
      </c>
      <c r="Q161" s="56">
        <f>Q123*70%</f>
        <v/>
      </c>
      <c r="R161" s="56">
        <f>R123*70%</f>
        <v/>
      </c>
      <c r="S161" s="56">
        <f>S123*70%</f>
        <v/>
      </c>
      <c r="T161" s="56">
        <f>T123*70%</f>
        <v/>
      </c>
      <c r="U161" s="56">
        <f>U123*70%</f>
        <v/>
      </c>
      <c r="V161" s="56">
        <f>V123*70%</f>
        <v/>
      </c>
      <c r="W161" s="56">
        <f>W123*70%</f>
        <v/>
      </c>
      <c r="X161" s="56">
        <f>X123*70%</f>
        <v/>
      </c>
      <c r="Y161" s="56">
        <f>Y123*70%</f>
        <v/>
      </c>
      <c r="Z161" s="56">
        <f>Z123*70%</f>
        <v/>
      </c>
      <c r="AA161" s="56">
        <f>AA123*70%</f>
        <v/>
      </c>
      <c r="AB161" s="56">
        <f>AB123*70%</f>
        <v/>
      </c>
      <c r="AC161" s="56">
        <f>AC123*70%</f>
        <v/>
      </c>
      <c r="AD161" s="56">
        <f>AD123*70%</f>
        <v/>
      </c>
      <c r="AE161" s="56">
        <f>AE123*70%</f>
        <v/>
      </c>
      <c r="AF161" s="56">
        <f>AF123*70%</f>
        <v/>
      </c>
      <c r="AG161" s="56">
        <f>AG123*70%</f>
        <v/>
      </c>
      <c r="AH161" s="56">
        <f>AH123*70%</f>
        <v/>
      </c>
      <c r="AI161" s="56">
        <f>AI123*70%</f>
        <v/>
      </c>
      <c r="AJ161" s="56">
        <f>AJ123*70%</f>
        <v/>
      </c>
      <c r="AK161" s="56">
        <f>AK123*70%</f>
        <v/>
      </c>
      <c r="AP161" s="56" t="inlineStr">
        <is>
          <t>Tra_EV_Batt-Sodium_virgin_pack</t>
        </is>
      </c>
      <c r="AQ161" s="56" t="n">
        <v>2050</v>
      </c>
      <c r="AR161" s="56">
        <f>C123*30%</f>
        <v/>
      </c>
      <c r="AS161" s="56">
        <f>D123*30%</f>
        <v/>
      </c>
      <c r="AT161" s="56">
        <f>E123*30%</f>
        <v/>
      </c>
      <c r="AU161" s="56">
        <f>F123*30%</f>
        <v/>
      </c>
      <c r="AV161" s="56">
        <f>G123*30%</f>
        <v/>
      </c>
      <c r="AW161" s="56">
        <f>H123*30%</f>
        <v/>
      </c>
      <c r="AX161" s="56">
        <f>I123*30%</f>
        <v/>
      </c>
      <c r="AY161" s="56">
        <f>J123*30%</f>
        <v/>
      </c>
      <c r="AZ161" s="56">
        <f>K123*30%</f>
        <v/>
      </c>
      <c r="BA161" s="56">
        <f>L123*30%</f>
        <v/>
      </c>
      <c r="BB161" s="56">
        <f>M123*30%</f>
        <v/>
      </c>
      <c r="BC161" s="56">
        <f>N123*30%</f>
        <v/>
      </c>
      <c r="BD161" s="56">
        <f>O123*30%</f>
        <v/>
      </c>
      <c r="BE161" s="56">
        <f>P123*30%</f>
        <v/>
      </c>
      <c r="BF161" s="56">
        <f>Q123*30%</f>
        <v/>
      </c>
      <c r="BG161" s="56">
        <f>R123*30%</f>
        <v/>
      </c>
      <c r="BH161" s="56">
        <f>S123*30%</f>
        <v/>
      </c>
      <c r="BI161" s="56">
        <f>T123*30%</f>
        <v/>
      </c>
      <c r="BJ161" s="56">
        <f>U123*30%</f>
        <v/>
      </c>
      <c r="BK161" s="56">
        <f>V123*30%</f>
        <v/>
      </c>
      <c r="BL161" s="56">
        <f>W123*30%</f>
        <v/>
      </c>
      <c r="BM161" s="56">
        <f>X123*30%</f>
        <v/>
      </c>
      <c r="BN161" s="56">
        <f>Y123*30%</f>
        <v/>
      </c>
      <c r="BO161" s="56">
        <f>Z123*30%</f>
        <v/>
      </c>
      <c r="BP161" s="56">
        <f>AA123*30%</f>
        <v/>
      </c>
      <c r="BQ161" s="56">
        <f>AB123*30%</f>
        <v/>
      </c>
      <c r="BR161" s="56">
        <f>AC123*30%</f>
        <v/>
      </c>
      <c r="BS161" s="56">
        <f>AD123*30%</f>
        <v/>
      </c>
      <c r="BT161" s="56">
        <f>AE123*30%</f>
        <v/>
      </c>
      <c r="BU161" s="56">
        <f>AF123*30%</f>
        <v/>
      </c>
      <c r="BV161" s="56">
        <f>AG123*30%</f>
        <v/>
      </c>
      <c r="BW161" s="56">
        <f>AH123*30%</f>
        <v/>
      </c>
      <c r="BX161" s="56">
        <f>AI123*30%</f>
        <v/>
      </c>
      <c r="BY161" s="56">
        <f>AJ123*30%</f>
        <v/>
      </c>
      <c r="BZ161" s="56">
        <f>AK123*30%</f>
        <v/>
      </c>
    </row>
    <row r="162" ht="14.5" customHeight="1" s="213">
      <c r="A162" s="56" t="n"/>
      <c r="B162" s="56" t="n"/>
      <c r="C162" s="56" t="n"/>
      <c r="D162" s="56" t="n"/>
      <c r="E162" s="56" t="n"/>
    </row>
    <row r="166" ht="14.5" customHeight="1" s="213">
      <c r="A166" s="56" t="inlineStr">
        <is>
          <t>~TFM_INS: attribute=ACT_COST</t>
        </is>
      </c>
      <c r="B166" s="56" t="n"/>
      <c r="C166" s="56" t="n"/>
      <c r="D166" s="56" t="n"/>
      <c r="E166" s="56" t="n"/>
      <c r="AP166" s="56" t="inlineStr">
        <is>
          <t>~TFM_INS: attribute=INVCOST</t>
        </is>
      </c>
      <c r="AQ166" s="56" t="n"/>
      <c r="AR166" s="56" t="n"/>
      <c r="AS166" s="56" t="n"/>
      <c r="AT166" s="56" t="n"/>
    </row>
    <row r="167" ht="14.5" customHeight="1" s="213">
      <c r="A167" s="56" t="inlineStr">
        <is>
          <t>process</t>
        </is>
      </c>
      <c r="B167" s="56" t="inlineStr">
        <is>
          <t>year</t>
        </is>
      </c>
      <c r="C167" s="154" t="inlineStr">
        <is>
          <t>Africa_North</t>
        </is>
      </c>
      <c r="D167" s="154" t="inlineStr">
        <is>
          <t>Africa_Other</t>
        </is>
      </c>
      <c r="E167" s="154" t="inlineStr">
        <is>
          <t>Australia</t>
        </is>
      </c>
      <c r="F167" s="154" t="inlineStr">
        <is>
          <t>Austria</t>
        </is>
      </c>
      <c r="G167" s="154" t="inlineStr">
        <is>
          <t>Baltics</t>
        </is>
      </c>
      <c r="H167" s="154" t="inlineStr">
        <is>
          <t>BeNeLux</t>
        </is>
      </c>
      <c r="I167" s="154" t="inlineStr">
        <is>
          <t>Brazil</t>
        </is>
      </c>
      <c r="J167" s="154" t="inlineStr">
        <is>
          <t>China</t>
        </is>
      </c>
      <c r="K167" s="154" t="inlineStr">
        <is>
          <t>CroSloven</t>
        </is>
      </c>
      <c r="L167" s="154" t="inlineStr">
        <is>
          <t>CzechSlovak</t>
        </is>
      </c>
      <c r="M167" s="154" t="inlineStr">
        <is>
          <t>France</t>
        </is>
      </c>
      <c r="N167" s="154" t="inlineStr">
        <is>
          <t>Germany</t>
        </is>
      </c>
      <c r="O167" s="154" t="inlineStr">
        <is>
          <t>GreeceCyp</t>
        </is>
      </c>
      <c r="P167" s="154" t="inlineStr">
        <is>
          <t>HunRomBul</t>
        </is>
      </c>
      <c r="Q167" s="154" t="inlineStr">
        <is>
          <t>Iceland</t>
        </is>
      </c>
      <c r="R167" s="154" t="inlineStr">
        <is>
          <t>India</t>
        </is>
      </c>
      <c r="S167" s="154" t="inlineStr">
        <is>
          <t>Ireland</t>
        </is>
      </c>
      <c r="T167" s="154" t="inlineStr">
        <is>
          <t>ItalyMal</t>
        </is>
      </c>
      <c r="U167" s="154" t="inlineStr">
        <is>
          <t>Japan</t>
        </is>
      </c>
      <c r="V167" s="154" t="inlineStr">
        <is>
          <t>LatAm</t>
        </is>
      </c>
      <c r="W167" s="154" t="inlineStr">
        <is>
          <t>MidEast</t>
        </is>
      </c>
      <c r="X167" s="154" t="inlineStr">
        <is>
          <t>NorthAm</t>
        </is>
      </c>
      <c r="Y167" s="154" t="inlineStr">
        <is>
          <t>Norway</t>
        </is>
      </c>
      <c r="Z167" s="154" t="inlineStr">
        <is>
          <t>Poland</t>
        </is>
      </c>
      <c r="AA167" s="154" t="inlineStr">
        <is>
          <t>ROW</t>
        </is>
      </c>
      <c r="AB167" s="154" t="inlineStr">
        <is>
          <t>Russia</t>
        </is>
      </c>
      <c r="AC167" s="154" t="inlineStr">
        <is>
          <t>SaudiArabia</t>
        </is>
      </c>
      <c r="AD167" s="154" t="inlineStr">
        <is>
          <t>SouthAfrica</t>
        </is>
      </c>
      <c r="AE167" s="154" t="inlineStr">
        <is>
          <t>SpainPor</t>
        </is>
      </c>
      <c r="AF167" s="154" t="inlineStr">
        <is>
          <t>SweFinDen</t>
        </is>
      </c>
      <c r="AG167" s="154" t="inlineStr">
        <is>
          <t>Switzerland</t>
        </is>
      </c>
      <c r="AH167" s="154" t="inlineStr">
        <is>
          <t>Turkey</t>
        </is>
      </c>
      <c r="AI167" s="154" t="inlineStr">
        <is>
          <t>UK</t>
        </is>
      </c>
      <c r="AJ167" s="154" t="inlineStr">
        <is>
          <t>Ukraine</t>
        </is>
      </c>
      <c r="AK167" s="154" t="inlineStr">
        <is>
          <t>WestBalkans</t>
        </is>
      </c>
      <c r="AP167" s="56" t="inlineStr">
        <is>
          <t>process</t>
        </is>
      </c>
      <c r="AQ167" s="56" t="inlineStr">
        <is>
          <t>year</t>
        </is>
      </c>
      <c r="AR167" s="154" t="inlineStr">
        <is>
          <t>Africa_North</t>
        </is>
      </c>
      <c r="AS167" s="154" t="inlineStr">
        <is>
          <t>Africa_Other</t>
        </is>
      </c>
      <c r="AT167" s="154" t="inlineStr">
        <is>
          <t>Australia</t>
        </is>
      </c>
      <c r="AU167" s="154" t="inlineStr">
        <is>
          <t>Austria</t>
        </is>
      </c>
      <c r="AV167" s="154" t="inlineStr">
        <is>
          <t>Baltics</t>
        </is>
      </c>
      <c r="AW167" s="154" t="inlineStr">
        <is>
          <t>BeNeLux</t>
        </is>
      </c>
      <c r="AX167" s="154" t="inlineStr">
        <is>
          <t>Brazil</t>
        </is>
      </c>
      <c r="AY167" s="154" t="inlineStr">
        <is>
          <t>China</t>
        </is>
      </c>
      <c r="AZ167" s="154" t="inlineStr">
        <is>
          <t>CroSloven</t>
        </is>
      </c>
      <c r="BA167" s="154" t="inlineStr">
        <is>
          <t>CzechSlovak</t>
        </is>
      </c>
      <c r="BB167" s="154" t="inlineStr">
        <is>
          <t>France</t>
        </is>
      </c>
      <c r="BC167" s="154" t="inlineStr">
        <is>
          <t>Germany</t>
        </is>
      </c>
      <c r="BD167" s="154" t="inlineStr">
        <is>
          <t>GreeceCyp</t>
        </is>
      </c>
      <c r="BE167" s="154" t="inlineStr">
        <is>
          <t>HunRomBul</t>
        </is>
      </c>
      <c r="BF167" s="154" t="inlineStr">
        <is>
          <t>Iceland</t>
        </is>
      </c>
      <c r="BG167" s="154" t="inlineStr">
        <is>
          <t>India</t>
        </is>
      </c>
      <c r="BH167" s="154" t="inlineStr">
        <is>
          <t>Ireland</t>
        </is>
      </c>
      <c r="BI167" s="154" t="inlineStr">
        <is>
          <t>ItalyMal</t>
        </is>
      </c>
      <c r="BJ167" s="154" t="inlineStr">
        <is>
          <t>Japan</t>
        </is>
      </c>
      <c r="BK167" s="154" t="inlineStr">
        <is>
          <t>LatAm</t>
        </is>
      </c>
      <c r="BL167" s="154" t="inlineStr">
        <is>
          <t>MidEast</t>
        </is>
      </c>
      <c r="BM167" s="154" t="inlineStr">
        <is>
          <t>NorthAm</t>
        </is>
      </c>
      <c r="BN167" s="154" t="inlineStr">
        <is>
          <t>Norway</t>
        </is>
      </c>
      <c r="BO167" s="154" t="inlineStr">
        <is>
          <t>Poland</t>
        </is>
      </c>
      <c r="BP167" s="154" t="inlineStr">
        <is>
          <t>ROW</t>
        </is>
      </c>
      <c r="BQ167" s="154" t="inlineStr">
        <is>
          <t>Russia</t>
        </is>
      </c>
      <c r="BR167" s="154" t="inlineStr">
        <is>
          <t>SaudiArabia</t>
        </is>
      </c>
      <c r="BS167" s="154" t="inlineStr">
        <is>
          <t>SouthAfrica</t>
        </is>
      </c>
      <c r="BT167" s="154" t="inlineStr">
        <is>
          <t>SpainPor</t>
        </is>
      </c>
      <c r="BU167" s="154" t="inlineStr">
        <is>
          <t>SweFinDen</t>
        </is>
      </c>
      <c r="BV167" s="154" t="inlineStr">
        <is>
          <t>Switzerland</t>
        </is>
      </c>
      <c r="BW167" s="154" t="inlineStr">
        <is>
          <t>Turkey</t>
        </is>
      </c>
      <c r="BX167" s="154" t="inlineStr">
        <is>
          <t>UK</t>
        </is>
      </c>
      <c r="BY167" s="154" t="inlineStr">
        <is>
          <t>Ukraine</t>
        </is>
      </c>
      <c r="BZ167" s="154" t="inlineStr">
        <is>
          <t>WestBalkans</t>
        </is>
      </c>
    </row>
    <row r="168" ht="14.5" customHeight="1" s="213">
      <c r="A168" s="56" t="inlineStr">
        <is>
          <t>Tra_EV_Batt-LFP_virgin</t>
        </is>
      </c>
      <c r="B168" s="56" t="n">
        <v>2100</v>
      </c>
      <c r="C168" s="56">
        <f>C126*70%</f>
        <v/>
      </c>
      <c r="D168" s="56">
        <f>D126*70%</f>
        <v/>
      </c>
      <c r="E168" s="56">
        <f>E126*70%</f>
        <v/>
      </c>
      <c r="F168" s="56">
        <f>F126*70%</f>
        <v/>
      </c>
      <c r="G168" s="56">
        <f>G126*70%</f>
        <v/>
      </c>
      <c r="H168" s="56">
        <f>H126*70%</f>
        <v/>
      </c>
      <c r="I168" s="56">
        <f>I126*70%</f>
        <v/>
      </c>
      <c r="J168" s="56">
        <f>J126*70%</f>
        <v/>
      </c>
      <c r="K168" s="56">
        <f>K126*70%</f>
        <v/>
      </c>
      <c r="L168" s="56">
        <f>L126*70%</f>
        <v/>
      </c>
      <c r="M168" s="56">
        <f>M126*70%</f>
        <v/>
      </c>
      <c r="N168" s="56">
        <f>N126*70%</f>
        <v/>
      </c>
      <c r="O168" s="56">
        <f>O126*70%</f>
        <v/>
      </c>
      <c r="P168" s="56">
        <f>P126*70%</f>
        <v/>
      </c>
      <c r="Q168" s="56">
        <f>Q126*70%</f>
        <v/>
      </c>
      <c r="R168" s="56">
        <f>R126*70%</f>
        <v/>
      </c>
      <c r="S168" s="56">
        <f>S126*70%</f>
        <v/>
      </c>
      <c r="T168" s="56">
        <f>T126*70%</f>
        <v/>
      </c>
      <c r="U168" s="56">
        <f>U126*70%</f>
        <v/>
      </c>
      <c r="V168" s="56">
        <f>V126*70%</f>
        <v/>
      </c>
      <c r="W168" s="56">
        <f>W126*70%</f>
        <v/>
      </c>
      <c r="X168" s="56">
        <f>X126*70%</f>
        <v/>
      </c>
      <c r="Y168" s="56">
        <f>Y126*70%</f>
        <v/>
      </c>
      <c r="Z168" s="56">
        <f>Z126*70%</f>
        <v/>
      </c>
      <c r="AA168" s="56">
        <f>AA126*70%</f>
        <v/>
      </c>
      <c r="AB168" s="56">
        <f>AB126*70%</f>
        <v/>
      </c>
      <c r="AC168" s="56">
        <f>AC126*70%</f>
        <v/>
      </c>
      <c r="AD168" s="56">
        <f>AD126*70%</f>
        <v/>
      </c>
      <c r="AE168" s="56">
        <f>AE126*70%</f>
        <v/>
      </c>
      <c r="AF168" s="56">
        <f>AF126*70%</f>
        <v/>
      </c>
      <c r="AG168" s="56">
        <f>AG126*70%</f>
        <v/>
      </c>
      <c r="AH168" s="56">
        <f>AH126*70%</f>
        <v/>
      </c>
      <c r="AI168" s="56">
        <f>AI126*70%</f>
        <v/>
      </c>
      <c r="AJ168" s="56">
        <f>AJ126*70%</f>
        <v/>
      </c>
      <c r="AK168" s="56">
        <f>AK126*70%</f>
        <v/>
      </c>
      <c r="AP168" s="56" t="inlineStr">
        <is>
          <t>Tra_EV_Batt-LFP_virgin_pack</t>
        </is>
      </c>
      <c r="AQ168" s="56" t="n">
        <v>2100</v>
      </c>
      <c r="AR168" s="56">
        <f>C126*30%</f>
        <v/>
      </c>
      <c r="AS168" s="56">
        <f>D126*30%</f>
        <v/>
      </c>
      <c r="AT168" s="56">
        <f>E126*30%</f>
        <v/>
      </c>
      <c r="AU168" s="56">
        <f>F126*30%</f>
        <v/>
      </c>
      <c r="AV168" s="56">
        <f>G126*30%</f>
        <v/>
      </c>
      <c r="AW168" s="56">
        <f>H126*30%</f>
        <v/>
      </c>
      <c r="AX168" s="56">
        <f>I126*30%</f>
        <v/>
      </c>
      <c r="AY168" s="56">
        <f>J126*30%</f>
        <v/>
      </c>
      <c r="AZ168" s="56">
        <f>K126*30%</f>
        <v/>
      </c>
      <c r="BA168" s="56">
        <f>L126*30%</f>
        <v/>
      </c>
      <c r="BB168" s="56">
        <f>M126*30%</f>
        <v/>
      </c>
      <c r="BC168" s="56">
        <f>N126*30%</f>
        <v/>
      </c>
      <c r="BD168" s="56">
        <f>O126*30%</f>
        <v/>
      </c>
      <c r="BE168" s="56">
        <f>P126*30%</f>
        <v/>
      </c>
      <c r="BF168" s="56">
        <f>Q126*30%</f>
        <v/>
      </c>
      <c r="BG168" s="56">
        <f>R126*30%</f>
        <v/>
      </c>
      <c r="BH168" s="56">
        <f>S126*30%</f>
        <v/>
      </c>
      <c r="BI168" s="56">
        <f>T126*30%</f>
        <v/>
      </c>
      <c r="BJ168" s="56">
        <f>U126*30%</f>
        <v/>
      </c>
      <c r="BK168" s="56">
        <f>V126*30%</f>
        <v/>
      </c>
      <c r="BL168" s="56">
        <f>W126*30%</f>
        <v/>
      </c>
      <c r="BM168" s="56">
        <f>X126*30%</f>
        <v/>
      </c>
      <c r="BN168" s="56">
        <f>Y126*30%</f>
        <v/>
      </c>
      <c r="BO168" s="56">
        <f>Z126*30%</f>
        <v/>
      </c>
      <c r="BP168" s="56">
        <f>AA126*30%</f>
        <v/>
      </c>
      <c r="BQ168" s="56">
        <f>AB126*30%</f>
        <v/>
      </c>
      <c r="BR168" s="56">
        <f>AC126*30%</f>
        <v/>
      </c>
      <c r="BS168" s="56">
        <f>AD126*30%</f>
        <v/>
      </c>
      <c r="BT168" s="56">
        <f>AE126*30%</f>
        <v/>
      </c>
      <c r="BU168" s="56">
        <f>AF126*30%</f>
        <v/>
      </c>
      <c r="BV168" s="56">
        <f>AG126*30%</f>
        <v/>
      </c>
      <c r="BW168" s="56">
        <f>AH126*30%</f>
        <v/>
      </c>
      <c r="BX168" s="56">
        <f>AI126*30%</f>
        <v/>
      </c>
      <c r="BY168" s="56">
        <f>AJ126*30%</f>
        <v/>
      </c>
      <c r="BZ168" s="56">
        <f>AK126*30%</f>
        <v/>
      </c>
    </row>
    <row r="169" ht="14.5" customHeight="1" s="213">
      <c r="A169" s="56" t="inlineStr">
        <is>
          <t>Tra_EV_Batt-LMO_virgin</t>
        </is>
      </c>
      <c r="B169" s="56" t="n">
        <v>2100</v>
      </c>
      <c r="C169" s="56">
        <f>C127*70%</f>
        <v/>
      </c>
      <c r="D169" s="56">
        <f>D127*70%</f>
        <v/>
      </c>
      <c r="E169" s="56">
        <f>E127*70%</f>
        <v/>
      </c>
      <c r="F169" s="56">
        <f>F127*70%</f>
        <v/>
      </c>
      <c r="G169" s="56">
        <f>G127*70%</f>
        <v/>
      </c>
      <c r="H169" s="56">
        <f>H127*70%</f>
        <v/>
      </c>
      <c r="I169" s="56">
        <f>I127*70%</f>
        <v/>
      </c>
      <c r="J169" s="56">
        <f>J127*70%</f>
        <v/>
      </c>
      <c r="K169" s="56">
        <f>K127*70%</f>
        <v/>
      </c>
      <c r="L169" s="56">
        <f>L127*70%</f>
        <v/>
      </c>
      <c r="M169" s="56">
        <f>M127*70%</f>
        <v/>
      </c>
      <c r="N169" s="56">
        <f>N127*70%</f>
        <v/>
      </c>
      <c r="O169" s="56">
        <f>O127*70%</f>
        <v/>
      </c>
      <c r="P169" s="56">
        <f>P127*70%</f>
        <v/>
      </c>
      <c r="Q169" s="56">
        <f>Q127*70%</f>
        <v/>
      </c>
      <c r="R169" s="56">
        <f>R127*70%</f>
        <v/>
      </c>
      <c r="S169" s="56">
        <f>S127*70%</f>
        <v/>
      </c>
      <c r="T169" s="56">
        <f>T127*70%</f>
        <v/>
      </c>
      <c r="U169" s="56">
        <f>U127*70%</f>
        <v/>
      </c>
      <c r="V169" s="56">
        <f>V127*70%</f>
        <v/>
      </c>
      <c r="W169" s="56">
        <f>W127*70%</f>
        <v/>
      </c>
      <c r="X169" s="56">
        <f>X127*70%</f>
        <v/>
      </c>
      <c r="Y169" s="56">
        <f>Y127*70%</f>
        <v/>
      </c>
      <c r="Z169" s="56">
        <f>Z127*70%</f>
        <v/>
      </c>
      <c r="AA169" s="56">
        <f>AA127*70%</f>
        <v/>
      </c>
      <c r="AB169" s="56">
        <f>AB127*70%</f>
        <v/>
      </c>
      <c r="AC169" s="56">
        <f>AC127*70%</f>
        <v/>
      </c>
      <c r="AD169" s="56">
        <f>AD127*70%</f>
        <v/>
      </c>
      <c r="AE169" s="56">
        <f>AE127*70%</f>
        <v/>
      </c>
      <c r="AF169" s="56">
        <f>AF127*70%</f>
        <v/>
      </c>
      <c r="AG169" s="56">
        <f>AG127*70%</f>
        <v/>
      </c>
      <c r="AH169" s="56">
        <f>AH127*70%</f>
        <v/>
      </c>
      <c r="AI169" s="56">
        <f>AI127*70%</f>
        <v/>
      </c>
      <c r="AJ169" s="56">
        <f>AJ127*70%</f>
        <v/>
      </c>
      <c r="AK169" s="56">
        <f>AK127*70%</f>
        <v/>
      </c>
      <c r="AP169" s="56" t="inlineStr">
        <is>
          <t>Tra_EV_Batt-LMO_virgin_pack</t>
        </is>
      </c>
      <c r="AQ169" s="56" t="n">
        <v>2100</v>
      </c>
      <c r="AR169" s="56">
        <f>C127*30%</f>
        <v/>
      </c>
      <c r="AS169" s="56">
        <f>D127*30%</f>
        <v/>
      </c>
      <c r="AT169" s="56">
        <f>E127*30%</f>
        <v/>
      </c>
      <c r="AU169" s="56">
        <f>F127*30%</f>
        <v/>
      </c>
      <c r="AV169" s="56">
        <f>G127*30%</f>
        <v/>
      </c>
      <c r="AW169" s="56">
        <f>H127*30%</f>
        <v/>
      </c>
      <c r="AX169" s="56">
        <f>I127*30%</f>
        <v/>
      </c>
      <c r="AY169" s="56">
        <f>J127*30%</f>
        <v/>
      </c>
      <c r="AZ169" s="56">
        <f>K127*30%</f>
        <v/>
      </c>
      <c r="BA169" s="56">
        <f>L127*30%</f>
        <v/>
      </c>
      <c r="BB169" s="56">
        <f>M127*30%</f>
        <v/>
      </c>
      <c r="BC169" s="56">
        <f>N127*30%</f>
        <v/>
      </c>
      <c r="BD169" s="56">
        <f>O127*30%</f>
        <v/>
      </c>
      <c r="BE169" s="56">
        <f>P127*30%</f>
        <v/>
      </c>
      <c r="BF169" s="56">
        <f>Q127*30%</f>
        <v/>
      </c>
      <c r="BG169" s="56">
        <f>R127*30%</f>
        <v/>
      </c>
      <c r="BH169" s="56">
        <f>S127*30%</f>
        <v/>
      </c>
      <c r="BI169" s="56">
        <f>T127*30%</f>
        <v/>
      </c>
      <c r="BJ169" s="56">
        <f>U127*30%</f>
        <v/>
      </c>
      <c r="BK169" s="56">
        <f>V127*30%</f>
        <v/>
      </c>
      <c r="BL169" s="56">
        <f>W127*30%</f>
        <v/>
      </c>
      <c r="BM169" s="56">
        <f>X127*30%</f>
        <v/>
      </c>
      <c r="BN169" s="56">
        <f>Y127*30%</f>
        <v/>
      </c>
      <c r="BO169" s="56">
        <f>Z127*30%</f>
        <v/>
      </c>
      <c r="BP169" s="56">
        <f>AA127*30%</f>
        <v/>
      </c>
      <c r="BQ169" s="56">
        <f>AB127*30%</f>
        <v/>
      </c>
      <c r="BR169" s="56">
        <f>AC127*30%</f>
        <v/>
      </c>
      <c r="BS169" s="56">
        <f>AD127*30%</f>
        <v/>
      </c>
      <c r="BT169" s="56">
        <f>AE127*30%</f>
        <v/>
      </c>
      <c r="BU169" s="56">
        <f>AF127*30%</f>
        <v/>
      </c>
      <c r="BV169" s="56">
        <f>AG127*30%</f>
        <v/>
      </c>
      <c r="BW169" s="56">
        <f>AH127*30%</f>
        <v/>
      </c>
      <c r="BX169" s="56">
        <f>AI127*30%</f>
        <v/>
      </c>
      <c r="BY169" s="56">
        <f>AJ127*30%</f>
        <v/>
      </c>
      <c r="BZ169" s="56">
        <f>AK127*30%</f>
        <v/>
      </c>
    </row>
    <row r="170" ht="14.5" customHeight="1" s="213">
      <c r="A170" s="56" t="inlineStr">
        <is>
          <t>Tra_EV_Batt-NCA_virgin</t>
        </is>
      </c>
      <c r="B170" s="56" t="n">
        <v>2100</v>
      </c>
      <c r="C170" s="56">
        <f>C128*70%</f>
        <v/>
      </c>
      <c r="D170" s="56">
        <f>D128*70%</f>
        <v/>
      </c>
      <c r="E170" s="56">
        <f>E128*70%</f>
        <v/>
      </c>
      <c r="F170" s="56">
        <f>F128*70%</f>
        <v/>
      </c>
      <c r="G170" s="56">
        <f>G128*70%</f>
        <v/>
      </c>
      <c r="H170" s="56">
        <f>H128*70%</f>
        <v/>
      </c>
      <c r="I170" s="56">
        <f>I128*70%</f>
        <v/>
      </c>
      <c r="J170" s="56">
        <f>J128*70%</f>
        <v/>
      </c>
      <c r="K170" s="56">
        <f>K128*70%</f>
        <v/>
      </c>
      <c r="L170" s="56">
        <f>L128*70%</f>
        <v/>
      </c>
      <c r="M170" s="56">
        <f>M128*70%</f>
        <v/>
      </c>
      <c r="N170" s="56">
        <f>N128*70%</f>
        <v/>
      </c>
      <c r="O170" s="56">
        <f>O128*70%</f>
        <v/>
      </c>
      <c r="P170" s="56">
        <f>P128*70%</f>
        <v/>
      </c>
      <c r="Q170" s="56">
        <f>Q128*70%</f>
        <v/>
      </c>
      <c r="R170" s="56">
        <f>R128*70%</f>
        <v/>
      </c>
      <c r="S170" s="56">
        <f>S128*70%</f>
        <v/>
      </c>
      <c r="T170" s="56">
        <f>T128*70%</f>
        <v/>
      </c>
      <c r="U170" s="56">
        <f>U128*70%</f>
        <v/>
      </c>
      <c r="V170" s="56">
        <f>V128*70%</f>
        <v/>
      </c>
      <c r="W170" s="56">
        <f>W128*70%</f>
        <v/>
      </c>
      <c r="X170" s="56">
        <f>X128*70%</f>
        <v/>
      </c>
      <c r="Y170" s="56">
        <f>Y128*70%</f>
        <v/>
      </c>
      <c r="Z170" s="56">
        <f>Z128*70%</f>
        <v/>
      </c>
      <c r="AA170" s="56">
        <f>AA128*70%</f>
        <v/>
      </c>
      <c r="AB170" s="56">
        <f>AB128*70%</f>
        <v/>
      </c>
      <c r="AC170" s="56">
        <f>AC128*70%</f>
        <v/>
      </c>
      <c r="AD170" s="56">
        <f>AD128*70%</f>
        <v/>
      </c>
      <c r="AE170" s="56">
        <f>AE128*70%</f>
        <v/>
      </c>
      <c r="AF170" s="56">
        <f>AF128*70%</f>
        <v/>
      </c>
      <c r="AG170" s="56">
        <f>AG128*70%</f>
        <v/>
      </c>
      <c r="AH170" s="56">
        <f>AH128*70%</f>
        <v/>
      </c>
      <c r="AI170" s="56">
        <f>AI128*70%</f>
        <v/>
      </c>
      <c r="AJ170" s="56">
        <f>AJ128*70%</f>
        <v/>
      </c>
      <c r="AK170" s="56">
        <f>AK128*70%</f>
        <v/>
      </c>
      <c r="AP170" s="56" t="inlineStr">
        <is>
          <t>Tra_EV_Batt-NCA_virgin_pack</t>
        </is>
      </c>
      <c r="AQ170" s="56" t="n">
        <v>2100</v>
      </c>
      <c r="AR170" s="56">
        <f>C128*30%</f>
        <v/>
      </c>
      <c r="AS170" s="56">
        <f>D128*30%</f>
        <v/>
      </c>
      <c r="AT170" s="56">
        <f>E128*30%</f>
        <v/>
      </c>
      <c r="AU170" s="56">
        <f>F128*30%</f>
        <v/>
      </c>
      <c r="AV170" s="56">
        <f>G128*30%</f>
        <v/>
      </c>
      <c r="AW170" s="56">
        <f>H128*30%</f>
        <v/>
      </c>
      <c r="AX170" s="56">
        <f>I128*30%</f>
        <v/>
      </c>
      <c r="AY170" s="56">
        <f>J128*30%</f>
        <v/>
      </c>
      <c r="AZ170" s="56">
        <f>K128*30%</f>
        <v/>
      </c>
      <c r="BA170" s="56">
        <f>L128*30%</f>
        <v/>
      </c>
      <c r="BB170" s="56">
        <f>M128*30%</f>
        <v/>
      </c>
      <c r="BC170" s="56">
        <f>N128*30%</f>
        <v/>
      </c>
      <c r="BD170" s="56">
        <f>O128*30%</f>
        <v/>
      </c>
      <c r="BE170" s="56">
        <f>P128*30%</f>
        <v/>
      </c>
      <c r="BF170" s="56">
        <f>Q128*30%</f>
        <v/>
      </c>
      <c r="BG170" s="56">
        <f>R128*30%</f>
        <v/>
      </c>
      <c r="BH170" s="56">
        <f>S128*30%</f>
        <v/>
      </c>
      <c r="BI170" s="56">
        <f>T128*30%</f>
        <v/>
      </c>
      <c r="BJ170" s="56">
        <f>U128*30%</f>
        <v/>
      </c>
      <c r="BK170" s="56">
        <f>V128*30%</f>
        <v/>
      </c>
      <c r="BL170" s="56">
        <f>W128*30%</f>
        <v/>
      </c>
      <c r="BM170" s="56">
        <f>X128*30%</f>
        <v/>
      </c>
      <c r="BN170" s="56">
        <f>Y128*30%</f>
        <v/>
      </c>
      <c r="BO170" s="56">
        <f>Z128*30%</f>
        <v/>
      </c>
      <c r="BP170" s="56">
        <f>AA128*30%</f>
        <v/>
      </c>
      <c r="BQ170" s="56">
        <f>AB128*30%</f>
        <v/>
      </c>
      <c r="BR170" s="56">
        <f>AC128*30%</f>
        <v/>
      </c>
      <c r="BS170" s="56">
        <f>AD128*30%</f>
        <v/>
      </c>
      <c r="BT170" s="56">
        <f>AE128*30%</f>
        <v/>
      </c>
      <c r="BU170" s="56">
        <f>AF128*30%</f>
        <v/>
      </c>
      <c r="BV170" s="56">
        <f>AG128*30%</f>
        <v/>
      </c>
      <c r="BW170" s="56">
        <f>AH128*30%</f>
        <v/>
      </c>
      <c r="BX170" s="56">
        <f>AI128*30%</f>
        <v/>
      </c>
      <c r="BY170" s="56">
        <f>AJ128*30%</f>
        <v/>
      </c>
      <c r="BZ170" s="56">
        <f>AK128*30%</f>
        <v/>
      </c>
    </row>
    <row r="171" ht="14.5" customHeight="1" s="213">
      <c r="A171" s="56" t="inlineStr">
        <is>
          <t>Tra_EV_Batt-NMC111_virgin</t>
        </is>
      </c>
      <c r="B171" s="56" t="n">
        <v>2100</v>
      </c>
      <c r="C171" s="56">
        <f>C129*70%</f>
        <v/>
      </c>
      <c r="D171" s="56">
        <f>D129*70%</f>
        <v/>
      </c>
      <c r="E171" s="56">
        <f>E129*70%</f>
        <v/>
      </c>
      <c r="F171" s="56">
        <f>F129*70%</f>
        <v/>
      </c>
      <c r="G171" s="56">
        <f>G129*70%</f>
        <v/>
      </c>
      <c r="H171" s="56">
        <f>H129*70%</f>
        <v/>
      </c>
      <c r="I171" s="56">
        <f>I129*70%</f>
        <v/>
      </c>
      <c r="J171" s="56">
        <f>J129*70%</f>
        <v/>
      </c>
      <c r="K171" s="56">
        <f>K129*70%</f>
        <v/>
      </c>
      <c r="L171" s="56">
        <f>L129*70%</f>
        <v/>
      </c>
      <c r="M171" s="56">
        <f>M129*70%</f>
        <v/>
      </c>
      <c r="N171" s="56">
        <f>N129*70%</f>
        <v/>
      </c>
      <c r="O171" s="56">
        <f>O129*70%</f>
        <v/>
      </c>
      <c r="P171" s="56">
        <f>P129*70%</f>
        <v/>
      </c>
      <c r="Q171" s="56">
        <f>Q129*70%</f>
        <v/>
      </c>
      <c r="R171" s="56">
        <f>R129*70%</f>
        <v/>
      </c>
      <c r="S171" s="56">
        <f>S129*70%</f>
        <v/>
      </c>
      <c r="T171" s="56">
        <f>T129*70%</f>
        <v/>
      </c>
      <c r="U171" s="56">
        <f>U129*70%</f>
        <v/>
      </c>
      <c r="V171" s="56">
        <f>V129*70%</f>
        <v/>
      </c>
      <c r="W171" s="56">
        <f>W129*70%</f>
        <v/>
      </c>
      <c r="X171" s="56">
        <f>X129*70%</f>
        <v/>
      </c>
      <c r="Y171" s="56">
        <f>Y129*70%</f>
        <v/>
      </c>
      <c r="Z171" s="56">
        <f>Z129*70%</f>
        <v/>
      </c>
      <c r="AA171" s="56">
        <f>AA129*70%</f>
        <v/>
      </c>
      <c r="AB171" s="56">
        <f>AB129*70%</f>
        <v/>
      </c>
      <c r="AC171" s="56">
        <f>AC129*70%</f>
        <v/>
      </c>
      <c r="AD171" s="56">
        <f>AD129*70%</f>
        <v/>
      </c>
      <c r="AE171" s="56">
        <f>AE129*70%</f>
        <v/>
      </c>
      <c r="AF171" s="56">
        <f>AF129*70%</f>
        <v/>
      </c>
      <c r="AG171" s="56">
        <f>AG129*70%</f>
        <v/>
      </c>
      <c r="AH171" s="56">
        <f>AH129*70%</f>
        <v/>
      </c>
      <c r="AI171" s="56">
        <f>AI129*70%</f>
        <v/>
      </c>
      <c r="AJ171" s="56">
        <f>AJ129*70%</f>
        <v/>
      </c>
      <c r="AK171" s="56">
        <f>AK129*70%</f>
        <v/>
      </c>
      <c r="AP171" s="56" t="inlineStr">
        <is>
          <t>Tra_EV_Batt-NMC111_virgin_pack</t>
        </is>
      </c>
      <c r="AQ171" s="56" t="n">
        <v>2100</v>
      </c>
      <c r="AR171" s="56">
        <f>C129*30%</f>
        <v/>
      </c>
      <c r="AS171" s="56">
        <f>D129*30%</f>
        <v/>
      </c>
      <c r="AT171" s="56">
        <f>E129*30%</f>
        <v/>
      </c>
      <c r="AU171" s="56">
        <f>F129*30%</f>
        <v/>
      </c>
      <c r="AV171" s="56">
        <f>G129*30%</f>
        <v/>
      </c>
      <c r="AW171" s="56">
        <f>H129*30%</f>
        <v/>
      </c>
      <c r="AX171" s="56">
        <f>I129*30%</f>
        <v/>
      </c>
      <c r="AY171" s="56">
        <f>J129*30%</f>
        <v/>
      </c>
      <c r="AZ171" s="56">
        <f>K129*30%</f>
        <v/>
      </c>
      <c r="BA171" s="56">
        <f>L129*30%</f>
        <v/>
      </c>
      <c r="BB171" s="56">
        <f>M129*30%</f>
        <v/>
      </c>
      <c r="BC171" s="56">
        <f>N129*30%</f>
        <v/>
      </c>
      <c r="BD171" s="56">
        <f>O129*30%</f>
        <v/>
      </c>
      <c r="BE171" s="56">
        <f>P129*30%</f>
        <v/>
      </c>
      <c r="BF171" s="56">
        <f>Q129*30%</f>
        <v/>
      </c>
      <c r="BG171" s="56">
        <f>R129*30%</f>
        <v/>
      </c>
      <c r="BH171" s="56">
        <f>S129*30%</f>
        <v/>
      </c>
      <c r="BI171" s="56">
        <f>T129*30%</f>
        <v/>
      </c>
      <c r="BJ171" s="56">
        <f>U129*30%</f>
        <v/>
      </c>
      <c r="BK171" s="56">
        <f>V129*30%</f>
        <v/>
      </c>
      <c r="BL171" s="56">
        <f>W129*30%</f>
        <v/>
      </c>
      <c r="BM171" s="56">
        <f>X129*30%</f>
        <v/>
      </c>
      <c r="BN171" s="56">
        <f>Y129*30%</f>
        <v/>
      </c>
      <c r="BO171" s="56">
        <f>Z129*30%</f>
        <v/>
      </c>
      <c r="BP171" s="56">
        <f>AA129*30%</f>
        <v/>
      </c>
      <c r="BQ171" s="56">
        <f>AB129*30%</f>
        <v/>
      </c>
      <c r="BR171" s="56">
        <f>AC129*30%</f>
        <v/>
      </c>
      <c r="BS171" s="56">
        <f>AD129*30%</f>
        <v/>
      </c>
      <c r="BT171" s="56">
        <f>AE129*30%</f>
        <v/>
      </c>
      <c r="BU171" s="56">
        <f>AF129*30%</f>
        <v/>
      </c>
      <c r="BV171" s="56">
        <f>AG129*30%</f>
        <v/>
      </c>
      <c r="BW171" s="56">
        <f>AH129*30%</f>
        <v/>
      </c>
      <c r="BX171" s="56">
        <f>AI129*30%</f>
        <v/>
      </c>
      <c r="BY171" s="56">
        <f>AJ129*30%</f>
        <v/>
      </c>
      <c r="BZ171" s="56">
        <f>AK129*30%</f>
        <v/>
      </c>
    </row>
    <row r="172" ht="14.5" customHeight="1" s="213">
      <c r="A172" s="56" t="inlineStr">
        <is>
          <t>Tra_EV_Batt-NMC532_virgin</t>
        </is>
      </c>
      <c r="B172" s="56" t="n">
        <v>2100</v>
      </c>
      <c r="C172" s="56">
        <f>C130*70%</f>
        <v/>
      </c>
      <c r="D172" s="56">
        <f>D130*70%</f>
        <v/>
      </c>
      <c r="E172" s="56">
        <f>E130*70%</f>
        <v/>
      </c>
      <c r="F172" s="56">
        <f>F130*70%</f>
        <v/>
      </c>
      <c r="G172" s="56">
        <f>G130*70%</f>
        <v/>
      </c>
      <c r="H172" s="56">
        <f>H130*70%</f>
        <v/>
      </c>
      <c r="I172" s="56">
        <f>I130*70%</f>
        <v/>
      </c>
      <c r="J172" s="56">
        <f>J130*70%</f>
        <v/>
      </c>
      <c r="K172" s="56">
        <f>K130*70%</f>
        <v/>
      </c>
      <c r="L172" s="56">
        <f>L130*70%</f>
        <v/>
      </c>
      <c r="M172" s="56">
        <f>M130*70%</f>
        <v/>
      </c>
      <c r="N172" s="56">
        <f>N130*70%</f>
        <v/>
      </c>
      <c r="O172" s="56">
        <f>O130*70%</f>
        <v/>
      </c>
      <c r="P172" s="56">
        <f>P130*70%</f>
        <v/>
      </c>
      <c r="Q172" s="56">
        <f>Q130*70%</f>
        <v/>
      </c>
      <c r="R172" s="56">
        <f>R130*70%</f>
        <v/>
      </c>
      <c r="S172" s="56">
        <f>S130*70%</f>
        <v/>
      </c>
      <c r="T172" s="56">
        <f>T130*70%</f>
        <v/>
      </c>
      <c r="U172" s="56">
        <f>U130*70%</f>
        <v/>
      </c>
      <c r="V172" s="56">
        <f>V130*70%</f>
        <v/>
      </c>
      <c r="W172" s="56">
        <f>W130*70%</f>
        <v/>
      </c>
      <c r="X172" s="56">
        <f>X130*70%</f>
        <v/>
      </c>
      <c r="Y172" s="56">
        <f>Y130*70%</f>
        <v/>
      </c>
      <c r="Z172" s="56">
        <f>Z130*70%</f>
        <v/>
      </c>
      <c r="AA172" s="56">
        <f>AA130*70%</f>
        <v/>
      </c>
      <c r="AB172" s="56">
        <f>AB130*70%</f>
        <v/>
      </c>
      <c r="AC172" s="56">
        <f>AC130*70%</f>
        <v/>
      </c>
      <c r="AD172" s="56">
        <f>AD130*70%</f>
        <v/>
      </c>
      <c r="AE172" s="56">
        <f>AE130*70%</f>
        <v/>
      </c>
      <c r="AF172" s="56">
        <f>AF130*70%</f>
        <v/>
      </c>
      <c r="AG172" s="56">
        <f>AG130*70%</f>
        <v/>
      </c>
      <c r="AH172" s="56">
        <f>AH130*70%</f>
        <v/>
      </c>
      <c r="AI172" s="56">
        <f>AI130*70%</f>
        <v/>
      </c>
      <c r="AJ172" s="56">
        <f>AJ130*70%</f>
        <v/>
      </c>
      <c r="AK172" s="56">
        <f>AK130*70%</f>
        <v/>
      </c>
      <c r="AP172" s="56" t="inlineStr">
        <is>
          <t>Tra_EV_Batt-NMC532_virgin_pack</t>
        </is>
      </c>
      <c r="AQ172" s="56" t="n">
        <v>2100</v>
      </c>
      <c r="AR172" s="56">
        <f>C130*30%</f>
        <v/>
      </c>
      <c r="AS172" s="56">
        <f>D130*30%</f>
        <v/>
      </c>
      <c r="AT172" s="56">
        <f>E130*30%</f>
        <v/>
      </c>
      <c r="AU172" s="56">
        <f>F130*30%</f>
        <v/>
      </c>
      <c r="AV172" s="56">
        <f>G130*30%</f>
        <v/>
      </c>
      <c r="AW172" s="56">
        <f>H130*30%</f>
        <v/>
      </c>
      <c r="AX172" s="56">
        <f>I130*30%</f>
        <v/>
      </c>
      <c r="AY172" s="56">
        <f>J130*30%</f>
        <v/>
      </c>
      <c r="AZ172" s="56">
        <f>K130*30%</f>
        <v/>
      </c>
      <c r="BA172" s="56">
        <f>L130*30%</f>
        <v/>
      </c>
      <c r="BB172" s="56">
        <f>M130*30%</f>
        <v/>
      </c>
      <c r="BC172" s="56">
        <f>N130*30%</f>
        <v/>
      </c>
      <c r="BD172" s="56">
        <f>O130*30%</f>
        <v/>
      </c>
      <c r="BE172" s="56">
        <f>P130*30%</f>
        <v/>
      </c>
      <c r="BF172" s="56">
        <f>Q130*30%</f>
        <v/>
      </c>
      <c r="BG172" s="56">
        <f>R130*30%</f>
        <v/>
      </c>
      <c r="BH172" s="56">
        <f>S130*30%</f>
        <v/>
      </c>
      <c r="BI172" s="56">
        <f>T130*30%</f>
        <v/>
      </c>
      <c r="BJ172" s="56">
        <f>U130*30%</f>
        <v/>
      </c>
      <c r="BK172" s="56">
        <f>V130*30%</f>
        <v/>
      </c>
      <c r="BL172" s="56">
        <f>W130*30%</f>
        <v/>
      </c>
      <c r="BM172" s="56">
        <f>X130*30%</f>
        <v/>
      </c>
      <c r="BN172" s="56">
        <f>Y130*30%</f>
        <v/>
      </c>
      <c r="BO172" s="56">
        <f>Z130*30%</f>
        <v/>
      </c>
      <c r="BP172" s="56">
        <f>AA130*30%</f>
        <v/>
      </c>
      <c r="BQ172" s="56">
        <f>AB130*30%</f>
        <v/>
      </c>
      <c r="BR172" s="56">
        <f>AC130*30%</f>
        <v/>
      </c>
      <c r="BS172" s="56">
        <f>AD130*30%</f>
        <v/>
      </c>
      <c r="BT172" s="56">
        <f>AE130*30%</f>
        <v/>
      </c>
      <c r="BU172" s="56">
        <f>AF130*30%</f>
        <v/>
      </c>
      <c r="BV172" s="56">
        <f>AG130*30%</f>
        <v/>
      </c>
      <c r="BW172" s="56">
        <f>AH130*30%</f>
        <v/>
      </c>
      <c r="BX172" s="56">
        <f>AI130*30%</f>
        <v/>
      </c>
      <c r="BY172" s="56">
        <f>AJ130*30%</f>
        <v/>
      </c>
      <c r="BZ172" s="56">
        <f>AK130*30%</f>
        <v/>
      </c>
    </row>
    <row r="173" ht="14.5" customHeight="1" s="213">
      <c r="A173" s="56" t="inlineStr">
        <is>
          <t>Tra_EV_Batt-NMC622_virgin</t>
        </is>
      </c>
      <c r="B173" s="56" t="n">
        <v>2100</v>
      </c>
      <c r="C173" s="56">
        <f>C131*70%</f>
        <v/>
      </c>
      <c r="D173" s="56">
        <f>D131*70%</f>
        <v/>
      </c>
      <c r="E173" s="56">
        <f>E131*70%</f>
        <v/>
      </c>
      <c r="F173" s="56">
        <f>F131*70%</f>
        <v/>
      </c>
      <c r="G173" s="56">
        <f>G131*70%</f>
        <v/>
      </c>
      <c r="H173" s="56">
        <f>H131*70%</f>
        <v/>
      </c>
      <c r="I173" s="56">
        <f>I131*70%</f>
        <v/>
      </c>
      <c r="J173" s="56">
        <f>J131*70%</f>
        <v/>
      </c>
      <c r="K173" s="56">
        <f>K131*70%</f>
        <v/>
      </c>
      <c r="L173" s="56">
        <f>L131*70%</f>
        <v/>
      </c>
      <c r="M173" s="56">
        <f>M131*70%</f>
        <v/>
      </c>
      <c r="N173" s="56">
        <f>N131*70%</f>
        <v/>
      </c>
      <c r="O173" s="56">
        <f>O131*70%</f>
        <v/>
      </c>
      <c r="P173" s="56">
        <f>P131*70%</f>
        <v/>
      </c>
      <c r="Q173" s="56">
        <f>Q131*70%</f>
        <v/>
      </c>
      <c r="R173" s="56">
        <f>R131*70%</f>
        <v/>
      </c>
      <c r="S173" s="56">
        <f>S131*70%</f>
        <v/>
      </c>
      <c r="T173" s="56">
        <f>T131*70%</f>
        <v/>
      </c>
      <c r="U173" s="56">
        <f>U131*70%</f>
        <v/>
      </c>
      <c r="V173" s="56">
        <f>V131*70%</f>
        <v/>
      </c>
      <c r="W173" s="56">
        <f>W131*70%</f>
        <v/>
      </c>
      <c r="X173" s="56">
        <f>X131*70%</f>
        <v/>
      </c>
      <c r="Y173" s="56">
        <f>Y131*70%</f>
        <v/>
      </c>
      <c r="Z173" s="56">
        <f>Z131*70%</f>
        <v/>
      </c>
      <c r="AA173" s="56">
        <f>AA131*70%</f>
        <v/>
      </c>
      <c r="AB173" s="56">
        <f>AB131*70%</f>
        <v/>
      </c>
      <c r="AC173" s="56">
        <f>AC131*70%</f>
        <v/>
      </c>
      <c r="AD173" s="56">
        <f>AD131*70%</f>
        <v/>
      </c>
      <c r="AE173" s="56">
        <f>AE131*70%</f>
        <v/>
      </c>
      <c r="AF173" s="56">
        <f>AF131*70%</f>
        <v/>
      </c>
      <c r="AG173" s="56">
        <f>AG131*70%</f>
        <v/>
      </c>
      <c r="AH173" s="56">
        <f>AH131*70%</f>
        <v/>
      </c>
      <c r="AI173" s="56">
        <f>AI131*70%</f>
        <v/>
      </c>
      <c r="AJ173" s="56">
        <f>AJ131*70%</f>
        <v/>
      </c>
      <c r="AK173" s="56">
        <f>AK131*70%</f>
        <v/>
      </c>
      <c r="AP173" s="56" t="inlineStr">
        <is>
          <t>Tra_EV_Batt-NMC622_virgin_pack</t>
        </is>
      </c>
      <c r="AQ173" s="56" t="n">
        <v>2100</v>
      </c>
      <c r="AR173" s="56">
        <f>C131*30%</f>
        <v/>
      </c>
      <c r="AS173" s="56">
        <f>D131*30%</f>
        <v/>
      </c>
      <c r="AT173" s="56">
        <f>E131*30%</f>
        <v/>
      </c>
      <c r="AU173" s="56">
        <f>F131*30%</f>
        <v/>
      </c>
      <c r="AV173" s="56">
        <f>G131*30%</f>
        <v/>
      </c>
      <c r="AW173" s="56">
        <f>H131*30%</f>
        <v/>
      </c>
      <c r="AX173" s="56">
        <f>I131*30%</f>
        <v/>
      </c>
      <c r="AY173" s="56">
        <f>J131*30%</f>
        <v/>
      </c>
      <c r="AZ173" s="56">
        <f>K131*30%</f>
        <v/>
      </c>
      <c r="BA173" s="56">
        <f>L131*30%</f>
        <v/>
      </c>
      <c r="BB173" s="56">
        <f>M131*30%</f>
        <v/>
      </c>
      <c r="BC173" s="56">
        <f>N131*30%</f>
        <v/>
      </c>
      <c r="BD173" s="56">
        <f>O131*30%</f>
        <v/>
      </c>
      <c r="BE173" s="56">
        <f>P131*30%</f>
        <v/>
      </c>
      <c r="BF173" s="56">
        <f>Q131*30%</f>
        <v/>
      </c>
      <c r="BG173" s="56">
        <f>R131*30%</f>
        <v/>
      </c>
      <c r="BH173" s="56">
        <f>S131*30%</f>
        <v/>
      </c>
      <c r="BI173" s="56">
        <f>T131*30%</f>
        <v/>
      </c>
      <c r="BJ173" s="56">
        <f>U131*30%</f>
        <v/>
      </c>
      <c r="BK173" s="56">
        <f>V131*30%</f>
        <v/>
      </c>
      <c r="BL173" s="56">
        <f>W131*30%</f>
        <v/>
      </c>
      <c r="BM173" s="56">
        <f>X131*30%</f>
        <v/>
      </c>
      <c r="BN173" s="56">
        <f>Y131*30%</f>
        <v/>
      </c>
      <c r="BO173" s="56">
        <f>Z131*30%</f>
        <v/>
      </c>
      <c r="BP173" s="56">
        <f>AA131*30%</f>
        <v/>
      </c>
      <c r="BQ173" s="56">
        <f>AB131*30%</f>
        <v/>
      </c>
      <c r="BR173" s="56">
        <f>AC131*30%</f>
        <v/>
      </c>
      <c r="BS173" s="56">
        <f>AD131*30%</f>
        <v/>
      </c>
      <c r="BT173" s="56">
        <f>AE131*30%</f>
        <v/>
      </c>
      <c r="BU173" s="56">
        <f>AF131*30%</f>
        <v/>
      </c>
      <c r="BV173" s="56">
        <f>AG131*30%</f>
        <v/>
      </c>
      <c r="BW173" s="56">
        <f>AH131*30%</f>
        <v/>
      </c>
      <c r="BX173" s="56">
        <f>AI131*30%</f>
        <v/>
      </c>
      <c r="BY173" s="56">
        <f>AJ131*30%</f>
        <v/>
      </c>
      <c r="BZ173" s="56">
        <f>AK131*30%</f>
        <v/>
      </c>
    </row>
    <row r="174" ht="14.5" customHeight="1" s="213">
      <c r="A174" s="56" t="inlineStr">
        <is>
          <t>Tra_EV_Batt-NMC811_virgin</t>
        </is>
      </c>
      <c r="B174" s="56" t="n">
        <v>2100</v>
      </c>
      <c r="C174" s="56">
        <f>C132*70%</f>
        <v/>
      </c>
      <c r="D174" s="56">
        <f>D132*70%</f>
        <v/>
      </c>
      <c r="E174" s="56">
        <f>E132*70%</f>
        <v/>
      </c>
      <c r="F174" s="56">
        <f>F132*70%</f>
        <v/>
      </c>
      <c r="G174" s="56">
        <f>G132*70%</f>
        <v/>
      </c>
      <c r="H174" s="56">
        <f>H132*70%</f>
        <v/>
      </c>
      <c r="I174" s="56">
        <f>I132*70%</f>
        <v/>
      </c>
      <c r="J174" s="56">
        <f>J132*70%</f>
        <v/>
      </c>
      <c r="K174" s="56">
        <f>K132*70%</f>
        <v/>
      </c>
      <c r="L174" s="56">
        <f>L132*70%</f>
        <v/>
      </c>
      <c r="M174" s="56">
        <f>M132*70%</f>
        <v/>
      </c>
      <c r="N174" s="56">
        <f>N132*70%</f>
        <v/>
      </c>
      <c r="O174" s="56">
        <f>O132*70%</f>
        <v/>
      </c>
      <c r="P174" s="56">
        <f>P132*70%</f>
        <v/>
      </c>
      <c r="Q174" s="56">
        <f>Q132*70%</f>
        <v/>
      </c>
      <c r="R174" s="56">
        <f>R132*70%</f>
        <v/>
      </c>
      <c r="S174" s="56">
        <f>S132*70%</f>
        <v/>
      </c>
      <c r="T174" s="56">
        <f>T132*70%</f>
        <v/>
      </c>
      <c r="U174" s="56">
        <f>U132*70%</f>
        <v/>
      </c>
      <c r="V174" s="56">
        <f>V132*70%</f>
        <v/>
      </c>
      <c r="W174" s="56">
        <f>W132*70%</f>
        <v/>
      </c>
      <c r="X174" s="56">
        <f>X132*70%</f>
        <v/>
      </c>
      <c r="Y174" s="56">
        <f>Y132*70%</f>
        <v/>
      </c>
      <c r="Z174" s="56">
        <f>Z132*70%</f>
        <v/>
      </c>
      <c r="AA174" s="56">
        <f>AA132*70%</f>
        <v/>
      </c>
      <c r="AB174" s="56">
        <f>AB132*70%</f>
        <v/>
      </c>
      <c r="AC174" s="56">
        <f>AC132*70%</f>
        <v/>
      </c>
      <c r="AD174" s="56">
        <f>AD132*70%</f>
        <v/>
      </c>
      <c r="AE174" s="56">
        <f>AE132*70%</f>
        <v/>
      </c>
      <c r="AF174" s="56">
        <f>AF132*70%</f>
        <v/>
      </c>
      <c r="AG174" s="56">
        <f>AG132*70%</f>
        <v/>
      </c>
      <c r="AH174" s="56">
        <f>AH132*70%</f>
        <v/>
      </c>
      <c r="AI174" s="56">
        <f>AI132*70%</f>
        <v/>
      </c>
      <c r="AJ174" s="56">
        <f>AJ132*70%</f>
        <v/>
      </c>
      <c r="AK174" s="56">
        <f>AK132*70%</f>
        <v/>
      </c>
      <c r="AP174" s="56" t="inlineStr">
        <is>
          <t>Tra_EV_Batt-NMC811_virgin_pack</t>
        </is>
      </c>
      <c r="AQ174" s="56" t="n">
        <v>2100</v>
      </c>
      <c r="AR174" s="56">
        <f>C132*30%</f>
        <v/>
      </c>
      <c r="AS174" s="56">
        <f>D132*30%</f>
        <v/>
      </c>
      <c r="AT174" s="56">
        <f>E132*30%</f>
        <v/>
      </c>
      <c r="AU174" s="56">
        <f>F132*30%</f>
        <v/>
      </c>
      <c r="AV174" s="56">
        <f>G132*30%</f>
        <v/>
      </c>
      <c r="AW174" s="56">
        <f>H132*30%</f>
        <v/>
      </c>
      <c r="AX174" s="56">
        <f>I132*30%</f>
        <v/>
      </c>
      <c r="AY174" s="56">
        <f>J132*30%</f>
        <v/>
      </c>
      <c r="AZ174" s="56">
        <f>K132*30%</f>
        <v/>
      </c>
      <c r="BA174" s="56">
        <f>L132*30%</f>
        <v/>
      </c>
      <c r="BB174" s="56">
        <f>M132*30%</f>
        <v/>
      </c>
      <c r="BC174" s="56">
        <f>N132*30%</f>
        <v/>
      </c>
      <c r="BD174" s="56">
        <f>O132*30%</f>
        <v/>
      </c>
      <c r="BE174" s="56">
        <f>P132*30%</f>
        <v/>
      </c>
      <c r="BF174" s="56">
        <f>Q132*30%</f>
        <v/>
      </c>
      <c r="BG174" s="56">
        <f>R132*30%</f>
        <v/>
      </c>
      <c r="BH174" s="56">
        <f>S132*30%</f>
        <v/>
      </c>
      <c r="BI174" s="56">
        <f>T132*30%</f>
        <v/>
      </c>
      <c r="BJ174" s="56">
        <f>U132*30%</f>
        <v/>
      </c>
      <c r="BK174" s="56">
        <f>V132*30%</f>
        <v/>
      </c>
      <c r="BL174" s="56">
        <f>W132*30%</f>
        <v/>
      </c>
      <c r="BM174" s="56">
        <f>X132*30%</f>
        <v/>
      </c>
      <c r="BN174" s="56">
        <f>Y132*30%</f>
        <v/>
      </c>
      <c r="BO174" s="56">
        <f>Z132*30%</f>
        <v/>
      </c>
      <c r="BP174" s="56">
        <f>AA132*30%</f>
        <v/>
      </c>
      <c r="BQ174" s="56">
        <f>AB132*30%</f>
        <v/>
      </c>
      <c r="BR174" s="56">
        <f>AC132*30%</f>
        <v/>
      </c>
      <c r="BS174" s="56">
        <f>AD132*30%</f>
        <v/>
      </c>
      <c r="BT174" s="56">
        <f>AE132*30%</f>
        <v/>
      </c>
      <c r="BU174" s="56">
        <f>AF132*30%</f>
        <v/>
      </c>
      <c r="BV174" s="56">
        <f>AG132*30%</f>
        <v/>
      </c>
      <c r="BW174" s="56">
        <f>AH132*30%</f>
        <v/>
      </c>
      <c r="BX174" s="56">
        <f>AI132*30%</f>
        <v/>
      </c>
      <c r="BY174" s="56">
        <f>AJ132*30%</f>
        <v/>
      </c>
      <c r="BZ174" s="56">
        <f>AK132*30%</f>
        <v/>
      </c>
    </row>
    <row r="175" ht="14.5" customHeight="1" s="213">
      <c r="A175" s="56" t="inlineStr">
        <is>
          <t>Tra_EV_Batt-Sodium_virgin</t>
        </is>
      </c>
      <c r="B175" s="56" t="n">
        <v>2100</v>
      </c>
      <c r="C175" s="56">
        <f>C133*70%</f>
        <v/>
      </c>
      <c r="D175" s="56">
        <f>D133*70%</f>
        <v/>
      </c>
      <c r="E175" s="56">
        <f>E133*70%</f>
        <v/>
      </c>
      <c r="F175" s="56">
        <f>F133*70%</f>
        <v/>
      </c>
      <c r="G175" s="56">
        <f>G133*70%</f>
        <v/>
      </c>
      <c r="H175" s="56">
        <f>H133*70%</f>
        <v/>
      </c>
      <c r="I175" s="56">
        <f>I133*70%</f>
        <v/>
      </c>
      <c r="J175" s="56">
        <f>J133*70%</f>
        <v/>
      </c>
      <c r="K175" s="56">
        <f>K133*70%</f>
        <v/>
      </c>
      <c r="L175" s="56">
        <f>L133*70%</f>
        <v/>
      </c>
      <c r="M175" s="56">
        <f>M133*70%</f>
        <v/>
      </c>
      <c r="N175" s="56">
        <f>N133*70%</f>
        <v/>
      </c>
      <c r="O175" s="56">
        <f>O133*70%</f>
        <v/>
      </c>
      <c r="P175" s="56">
        <f>P133*70%</f>
        <v/>
      </c>
      <c r="Q175" s="56">
        <f>Q133*70%</f>
        <v/>
      </c>
      <c r="R175" s="56">
        <f>R133*70%</f>
        <v/>
      </c>
      <c r="S175" s="56">
        <f>S133*70%</f>
        <v/>
      </c>
      <c r="T175" s="56">
        <f>T133*70%</f>
        <v/>
      </c>
      <c r="U175" s="56">
        <f>U133*70%</f>
        <v/>
      </c>
      <c r="V175" s="56">
        <f>V133*70%</f>
        <v/>
      </c>
      <c r="W175" s="56">
        <f>W133*70%</f>
        <v/>
      </c>
      <c r="X175" s="56">
        <f>X133*70%</f>
        <v/>
      </c>
      <c r="Y175" s="56">
        <f>Y133*70%</f>
        <v/>
      </c>
      <c r="Z175" s="56">
        <f>Z133*70%</f>
        <v/>
      </c>
      <c r="AA175" s="56">
        <f>AA133*70%</f>
        <v/>
      </c>
      <c r="AB175" s="56">
        <f>AB133*70%</f>
        <v/>
      </c>
      <c r="AC175" s="56">
        <f>AC133*70%</f>
        <v/>
      </c>
      <c r="AD175" s="56">
        <f>AD133*70%</f>
        <v/>
      </c>
      <c r="AE175" s="56">
        <f>AE133*70%</f>
        <v/>
      </c>
      <c r="AF175" s="56">
        <f>AF133*70%</f>
        <v/>
      </c>
      <c r="AG175" s="56">
        <f>AG133*70%</f>
        <v/>
      </c>
      <c r="AH175" s="56">
        <f>AH133*70%</f>
        <v/>
      </c>
      <c r="AI175" s="56">
        <f>AI133*70%</f>
        <v/>
      </c>
      <c r="AJ175" s="56">
        <f>AJ133*70%</f>
        <v/>
      </c>
      <c r="AK175" s="56">
        <f>AK133*70%</f>
        <v/>
      </c>
      <c r="AP175" s="56" t="inlineStr">
        <is>
          <t>Tra_EV_Batt-Sodium_virgin_pack</t>
        </is>
      </c>
      <c r="AQ175" s="56" t="n">
        <v>2100</v>
      </c>
      <c r="AR175" s="56">
        <f>C133*30%</f>
        <v/>
      </c>
      <c r="AS175" s="56">
        <f>D133*30%</f>
        <v/>
      </c>
      <c r="AT175" s="56">
        <f>E133*30%</f>
        <v/>
      </c>
      <c r="AU175" s="56">
        <f>F133*30%</f>
        <v/>
      </c>
      <c r="AV175" s="56">
        <f>G133*30%</f>
        <v/>
      </c>
      <c r="AW175" s="56">
        <f>H133*30%</f>
        <v/>
      </c>
      <c r="AX175" s="56">
        <f>I133*30%</f>
        <v/>
      </c>
      <c r="AY175" s="56">
        <f>J133*30%</f>
        <v/>
      </c>
      <c r="AZ175" s="56">
        <f>K133*30%</f>
        <v/>
      </c>
      <c r="BA175" s="56">
        <f>L133*30%</f>
        <v/>
      </c>
      <c r="BB175" s="56">
        <f>M133*30%</f>
        <v/>
      </c>
      <c r="BC175" s="56">
        <f>N133*30%</f>
        <v/>
      </c>
      <c r="BD175" s="56">
        <f>O133*30%</f>
        <v/>
      </c>
      <c r="BE175" s="56">
        <f>P133*30%</f>
        <v/>
      </c>
      <c r="BF175" s="56">
        <f>Q133*30%</f>
        <v/>
      </c>
      <c r="BG175" s="56">
        <f>R133*30%</f>
        <v/>
      </c>
      <c r="BH175" s="56">
        <f>S133*30%</f>
        <v/>
      </c>
      <c r="BI175" s="56">
        <f>T133*30%</f>
        <v/>
      </c>
      <c r="BJ175" s="56">
        <f>U133*30%</f>
        <v/>
      </c>
      <c r="BK175" s="56">
        <f>V133*30%</f>
        <v/>
      </c>
      <c r="BL175" s="56">
        <f>W133*30%</f>
        <v/>
      </c>
      <c r="BM175" s="56">
        <f>X133*30%</f>
        <v/>
      </c>
      <c r="BN175" s="56">
        <f>Y133*30%</f>
        <v/>
      </c>
      <c r="BO175" s="56">
        <f>Z133*30%</f>
        <v/>
      </c>
      <c r="BP175" s="56">
        <f>AA133*30%</f>
        <v/>
      </c>
      <c r="BQ175" s="56">
        <f>AB133*30%</f>
        <v/>
      </c>
      <c r="BR175" s="56">
        <f>AC133*30%</f>
        <v/>
      </c>
      <c r="BS175" s="56">
        <f>AD133*30%</f>
        <v/>
      </c>
      <c r="BT175" s="56">
        <f>AE133*30%</f>
        <v/>
      </c>
      <c r="BU175" s="56">
        <f>AF133*30%</f>
        <v/>
      </c>
      <c r="BV175" s="56">
        <f>AG133*30%</f>
        <v/>
      </c>
      <c r="BW175" s="56">
        <f>AH133*30%</f>
        <v/>
      </c>
      <c r="BX175" s="56">
        <f>AI133*30%</f>
        <v/>
      </c>
      <c r="BY175" s="56">
        <f>AJ133*30%</f>
        <v/>
      </c>
      <c r="BZ175" s="56">
        <f>AK133*30%</f>
        <v/>
      </c>
    </row>
    <row r="180" ht="14.5" customHeight="1" s="213">
      <c r="C180" t="inlineStr">
        <is>
          <t>Africa_North</t>
        </is>
      </c>
      <c r="D180" t="inlineStr">
        <is>
          <t>Africa_Other</t>
        </is>
      </c>
      <c r="E180" t="inlineStr">
        <is>
          <t>Australia</t>
        </is>
      </c>
      <c r="F180" t="inlineStr">
        <is>
          <t>Austria</t>
        </is>
      </c>
      <c r="G180" t="inlineStr">
        <is>
          <t>Baltics</t>
        </is>
      </c>
      <c r="H180" t="inlineStr">
        <is>
          <t>BeNeLux</t>
        </is>
      </c>
      <c r="I180" t="inlineStr">
        <is>
          <t>Brazil</t>
        </is>
      </c>
      <c r="J180" t="inlineStr">
        <is>
          <t>China</t>
        </is>
      </c>
      <c r="K180" t="inlineStr">
        <is>
          <t>CroSloven</t>
        </is>
      </c>
      <c r="L180" t="inlineStr">
        <is>
          <t>CzechSlovak</t>
        </is>
      </c>
      <c r="M180" t="inlineStr">
        <is>
          <t>France</t>
        </is>
      </c>
      <c r="N180" t="inlineStr">
        <is>
          <t>Germany</t>
        </is>
      </c>
      <c r="O180" t="inlineStr">
        <is>
          <t>GreeceCyp</t>
        </is>
      </c>
      <c r="P180" t="inlineStr">
        <is>
          <t>HunRomBul</t>
        </is>
      </c>
      <c r="Q180" t="inlineStr">
        <is>
          <t>Iceland</t>
        </is>
      </c>
      <c r="R180" t="inlineStr">
        <is>
          <t>India</t>
        </is>
      </c>
      <c r="S180" t="inlineStr">
        <is>
          <t>Ireland</t>
        </is>
      </c>
      <c r="T180" t="inlineStr">
        <is>
          <t>ItalyMal</t>
        </is>
      </c>
      <c r="U180" t="inlineStr">
        <is>
          <t>Japan</t>
        </is>
      </c>
      <c r="V180" t="inlineStr">
        <is>
          <t>LatAm</t>
        </is>
      </c>
      <c r="W180" t="inlineStr">
        <is>
          <t>MidEast</t>
        </is>
      </c>
      <c r="X180" t="inlineStr">
        <is>
          <t>NorthAm</t>
        </is>
      </c>
      <c r="Y180" t="inlineStr">
        <is>
          <t>Norway</t>
        </is>
      </c>
      <c r="Z180" t="inlineStr">
        <is>
          <t>Poland</t>
        </is>
      </c>
      <c r="AA180" t="inlineStr">
        <is>
          <t>ROW</t>
        </is>
      </c>
      <c r="AB180" t="inlineStr">
        <is>
          <t>Russia</t>
        </is>
      </c>
      <c r="AC180" t="inlineStr">
        <is>
          <t>SaudiArabia</t>
        </is>
      </c>
      <c r="AD180" t="inlineStr">
        <is>
          <t>SouthAfrica</t>
        </is>
      </c>
      <c r="AE180" t="inlineStr">
        <is>
          <t>SpainPor</t>
        </is>
      </c>
      <c r="AF180" t="inlineStr">
        <is>
          <t>SweFinDen</t>
        </is>
      </c>
      <c r="AG180" t="inlineStr">
        <is>
          <t>Switzerland</t>
        </is>
      </c>
      <c r="AH180" t="inlineStr">
        <is>
          <t>Turkey</t>
        </is>
      </c>
      <c r="AI180" t="inlineStr">
        <is>
          <t>UK</t>
        </is>
      </c>
      <c r="AJ180" t="inlineStr">
        <is>
          <t>Ukraine</t>
        </is>
      </c>
      <c r="AK180" t="inlineStr">
        <is>
          <t>WestBalkans</t>
        </is>
      </c>
    </row>
    <row r="182" ht="14.5" customHeight="1" s="213">
      <c r="C182" s="186">
        <f>IF(C167=C180,1,0)</f>
        <v/>
      </c>
      <c r="D182" s="186">
        <f>IF(D167=D180,1,0)</f>
        <v/>
      </c>
      <c r="E182" s="186">
        <f>IF(E167=E180,1,0)</f>
        <v/>
      </c>
      <c r="F182" s="186">
        <f>IF(F167=F180,1,0)</f>
        <v/>
      </c>
      <c r="G182" s="186">
        <f>IF(G167=G180,1,0)</f>
        <v/>
      </c>
      <c r="H182" s="186">
        <f>IF(H167=H180,1,0)</f>
        <v/>
      </c>
      <c r="I182" s="186">
        <f>IF(I167=I180,1,0)</f>
        <v/>
      </c>
      <c r="J182" s="186">
        <f>IF(J167=J180,1,0)</f>
        <v/>
      </c>
      <c r="K182" s="186">
        <f>IF(K167=K180,1,0)</f>
        <v/>
      </c>
      <c r="L182" s="186">
        <f>IF(L167=L180,1,0)</f>
        <v/>
      </c>
      <c r="M182" s="186">
        <f>IF(M167=M180,1,0)</f>
        <v/>
      </c>
      <c r="N182" s="186">
        <f>IF(N167=N180,1,0)</f>
        <v/>
      </c>
      <c r="O182" s="186">
        <f>IF(O167=O180,1,0)</f>
        <v/>
      </c>
      <c r="P182" s="186">
        <f>IF(P167=P180,1,0)</f>
        <v/>
      </c>
      <c r="Q182" s="186">
        <f>IF(Q167=Q180,1,0)</f>
        <v/>
      </c>
      <c r="R182" s="186">
        <f>IF(R167=R180,1,0)</f>
        <v/>
      </c>
      <c r="S182" s="186">
        <f>IF(S167=S180,1,0)</f>
        <v/>
      </c>
      <c r="T182" s="186">
        <f>IF(T167=T180,1,0)</f>
        <v/>
      </c>
      <c r="U182" s="186">
        <f>IF(U167=U180,1,0)</f>
        <v/>
      </c>
      <c r="V182" s="186">
        <f>IF(V167=V180,1,0)</f>
        <v/>
      </c>
      <c r="W182" s="186">
        <f>IF(W167=W180,1,0)</f>
        <v/>
      </c>
      <c r="X182" s="186">
        <f>IF(X167=X180,1,0)</f>
        <v/>
      </c>
      <c r="Y182" s="186">
        <f>IF(Y167=Y180,1,0)</f>
        <v/>
      </c>
      <c r="Z182" s="186">
        <f>IF(Z167=Z180,1,0)</f>
        <v/>
      </c>
      <c r="AA182" s="186">
        <f>IF(AA167=AA180,1,0)</f>
        <v/>
      </c>
      <c r="AB182" s="186">
        <f>IF(AB167=AB180,1,0)</f>
        <v/>
      </c>
      <c r="AC182" s="186">
        <f>IF(AC167=AC180,1,0)</f>
        <v/>
      </c>
      <c r="AD182" s="186">
        <f>IF(AD167=AD180,1,0)</f>
        <v/>
      </c>
      <c r="AE182" s="186">
        <f>IF(AE167=AE180,1,0)</f>
        <v/>
      </c>
      <c r="AF182" s="186">
        <f>IF(AF167=AF180,1,0)</f>
        <v/>
      </c>
      <c r="AG182" s="186">
        <f>IF(AG167=AG180,1,0)</f>
        <v/>
      </c>
      <c r="AH182" s="186">
        <f>IF(AH167=AH180,1,0)</f>
        <v/>
      </c>
      <c r="AI182" s="186">
        <f>IF(AI167=AI180,1,0)</f>
        <v/>
      </c>
      <c r="AJ182" s="186">
        <f>IF(AJ167=AJ180,1,0)</f>
        <v/>
      </c>
      <c r="AK182" s="186">
        <f>IF(AK167=AK180,1,0)</f>
        <v/>
      </c>
    </row>
    <row r="185" ht="14.5" customHeight="1" s="213">
      <c r="A185" s="218" t="inlineStr">
        <is>
          <t>7.  ASSUMPTIONS AND SENSITIVITY</t>
        </is>
      </c>
    </row>
    <row r="186" ht="14.5" customHeight="1" s="213">
      <c r="A186" s="182" t="inlineStr">
        <is>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is>
      </c>
    </row>
    <row r="187" ht="14.5" customHeight="1" s="213"/>
    <row r="188" ht="14.5" customHeight="1" s="213"/>
    <row r="190" ht="14.5" customHeight="1" s="213">
      <c r="A190" s="183" t="inlineStr">
        <is>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is>
      </c>
    </row>
    <row r="191" ht="14.5" customHeight="1" s="213"/>
    <row r="193" ht="14.5" customHeight="1" s="213">
      <c r="A193" s="183" t="inlineStr">
        <is>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is>
      </c>
    </row>
    <row r="194" ht="14.5" customHeight="1" s="213"/>
    <row r="196" ht="14.5" customHeight="1" s="213">
      <c r="A196" s="183" t="inlineStr">
        <is>
          <t>The steeper recycling decline is a judgement about technology maturity, not a measured rate. It is the single most important sensitivity here - report it as a range, not a point value.</t>
        </is>
      </c>
    </row>
    <row r="197" ht="14.5" customHeight="1" s="213"/>
    <row r="199" ht="14.5" customHeight="1" s="213">
      <c r="A199" s="183" t="inlineStr">
        <is>
          <t>Chemistry ordering inherits an inversion from the source data (NMC532 &gt; NMC811). Capex is close to chemistry-independent in practice, so consider collapsing all chemistries to one base cost with a ~5% LFP discount.</t>
        </is>
      </c>
    </row>
    <row r="200" ht="14.5" customHeight="1" s="213"/>
    <row r="202" ht="14.5" customHeight="1" s="213">
      <c r="A202" s="183" t="inlineStr">
        <is>
          <t>NorthAm sits in Developed at 1.75; your original table implies 1.925 for NorthAm alone. Raise Developed M2023 to 1.80 to stay closer to that anchor.</t>
        </is>
      </c>
    </row>
    <row r="203" ht="14.5" customHeight="1" s="213"/>
    <row r="205" ht="14.5" customHeight="1" s="213">
      <c r="A205" s="220" t="inlineStr">
        <is>
          <t>Bounding runs to report</t>
        </is>
      </c>
    </row>
    <row r="206" ht="14.5" customHeight="1" s="213">
      <c r="A206" s="154" t="inlineStr">
        <is>
          <t>Case</t>
        </is>
      </c>
      <c r="B206" s="154" t="inlineStr">
        <is>
          <t>Setting</t>
        </is>
      </c>
      <c r="C206" s="154" t="inlineStr">
        <is>
          <t>Purpose</t>
        </is>
      </c>
    </row>
    <row r="207" ht="14.5" customHeight="1" s="213">
      <c r="A207" s="159" t="inlineStr">
        <is>
          <t>Frozen gap (upper bound)</t>
        </is>
      </c>
      <c r="B207" s="155" t="inlineStr">
        <is>
          <t>all tier k = 0</t>
        </is>
      </c>
      <c r="C207" s="164" t="inlineStr">
        <is>
          <t>Regional gaps never close - reproduces your current table. Pessimistic bound.</t>
        </is>
      </c>
    </row>
    <row r="208" ht="14.5" customHeight="1" s="213">
      <c r="A208" s="159" t="inlineStr">
        <is>
          <t>Central</t>
        </is>
      </c>
      <c r="B208" s="155" t="inlineStr">
        <is>
          <t>as delivered</t>
        </is>
      </c>
      <c r="C208" s="164" t="inlineStr">
        <is>
          <t>Gaps converge toward a structural floor above parity.</t>
        </is>
      </c>
    </row>
    <row r="209" ht="14.5" customHeight="1" s="213">
      <c r="A209" s="159" t="inlineStr">
        <is>
          <t>Full convergence (lower)</t>
        </is>
      </c>
      <c r="B209" s="155" t="inlineStr">
        <is>
          <t>all tier floors = 1.00</t>
        </is>
      </c>
      <c r="C209" s="164" t="inlineStr">
        <is>
          <t>Every region reaches the frontier by 2100.</t>
        </is>
      </c>
    </row>
    <row r="211" ht="14.5" customHeight="1" s="213">
      <c r="A211" s="183" t="inlineStr">
        <is>
          <t>If a headline result flips between the frozen-gap and full-convergence bounds it is assumption-driven and must be reported as conditional. If it holds across the range, it is robust and can be stated plainly.</t>
        </is>
      </c>
    </row>
    <row r="212" ht="14.5" customHeight="1" s="213"/>
    <row r="215">
      <c r="A215" t="inlineStr">
        <is>
          <t>BUG FIX (this revision): Section 5 "INVCOST - RECYCLED ROUTE" (rows 74-100, feeding the Tra_EV_Batt-*_fromrecy TFM_INS INVCOST tables) previously referenced =C106 etc., i.e. it was driven by the VIRGIN base cost ($E column) and the VIRGIN frontier-decay row (23) - identical to the "VIRGIN ROUTE" table. This meant the "Virgin/recy ratio" parameter (D6:D12) had NO effect on the recycled-vs-virgin cost gap actually written to TFM_INS: both routes moved together. Rows 74-100 now correctly reference the RECYCLED base ($C column) and the "recy" frontier-decay row (22), per the sheet's own row190 statement that "Same region multipliers for both; the routes differ only in frontier decay speed." See sources.md for the full before/after.</t>
        </is>
      </c>
    </row>
    <row r="217">
      <c r="A217" t="inlineStr">
        <is>
          <t>OPEN ITEM NOT CHANGED: rows 141+ ("~TFM_INS: attribute=ACT_COST" for the *_virgin processes) still apply an unexplained "*70%" factor on top of the virgin route base cost (=C106*70% etc.). This factor pre-dates this revision and its rationale is not documented in this workbook; it was left unchanged because reverse-engineering its intent was out of scope here, but it DILUTES the sourced recycled/virgin differential in the final TFM_INS numbers actually used by the model - see sources.md for the net effect this has on the manifested cost gap.</t>
        </is>
      </c>
    </row>
  </sheetData>
  <mergeCells count="7">
    <mergeCell ref="A196:L197"/>
    <mergeCell ref="A199:L200"/>
    <mergeCell ref="A190:L191"/>
    <mergeCell ref="A193:L194"/>
    <mergeCell ref="A186:L188"/>
    <mergeCell ref="A202:L203"/>
    <mergeCell ref="A211:L212"/>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DO309"/>
  <sheetViews>
    <sheetView topLeftCell="D94" zoomScale="82" zoomScaleNormal="82" workbookViewId="0">
      <selection pane="topLeft" activeCell="O128" sqref="O128"/>
    </sheetView>
  </sheetViews>
  <sheetFormatPr baseColWidth="8" defaultColWidth="9.004285714285709" defaultRowHeight="12.5"/>
  <cols>
    <col width="12.8571428571429" customWidth="1" style="213" min="1" max="1"/>
    <col width="32.1428571428571" customWidth="1" style="213" min="2" max="2"/>
    <col width="12.7142857142857" customWidth="1" style="213" min="3" max="3"/>
    <col width="59.7142857142857" customWidth="1" style="213" min="4" max="4"/>
    <col width="22.1428571428571" customWidth="1" style="213" min="5" max="5"/>
    <col width="12" customWidth="1" style="213" min="6" max="6"/>
    <col width="13" customWidth="1" style="213" min="7" max="7"/>
    <col width="7.14285714285714" customWidth="1" style="213" min="8" max="9"/>
    <col width="10.5714285714286" customWidth="1" style="213" min="10" max="10"/>
    <col width="11.2857142857143" customWidth="1" style="213" min="11" max="11"/>
    <col width="15.5714285714286" customWidth="1" style="213" min="12" max="12"/>
    <col width="17.5714285714286" customWidth="1" style="213" min="13" max="13"/>
    <col width="17.8571428571429" customWidth="1" style="213" min="14" max="14"/>
    <col width="12.8571428571429" customWidth="1" style="213" min="15" max="17"/>
    <col width="10.8571428571429" customWidth="1" style="213" min="18" max="18"/>
    <col width="12.7142857142857" customWidth="1" style="213" min="19" max="19"/>
    <col width="8.571428571428569" customWidth="1" style="213" min="20" max="20"/>
    <col width="7.85714285714286" customWidth="1" style="213" min="21" max="21"/>
    <col width="7.14285714285714" customWidth="1" style="213" min="22" max="24"/>
    <col width="9.571428571428569" customWidth="1" style="213" min="25" max="25"/>
    <col width="17.8571428571429" customWidth="1" style="213" min="26" max="26"/>
    <col width="9.857142857142859" customWidth="1" style="213" min="27" max="27"/>
    <col width="7.14285714285714" customWidth="1" style="213" min="28" max="30"/>
    <col width="14" customWidth="1" style="213" min="31" max="31"/>
    <col width="7.14285714285714" customWidth="1" style="213" min="32" max="32"/>
    <col width="10.8571428571429" customWidth="1" style="213" min="33" max="33"/>
    <col width="11.1428571428571" customWidth="1" style="213" min="34" max="34"/>
    <col width="6" customWidth="1" style="213" min="35" max="37"/>
    <col width="15.5714285714286" customWidth="1" style="213" min="38" max="39"/>
    <col width="22.5714285714286" customWidth="1" style="213" min="40" max="40"/>
    <col width="13.5714285714286" customWidth="1" style="213" min="41" max="41"/>
    <col width="6" customWidth="1" style="213" min="42" max="43"/>
    <col width="8.428571428571431" customWidth="1" style="213" min="44" max="44"/>
    <col width="10.4285714285714" customWidth="1" style="213" min="45" max="45"/>
    <col width="6" customWidth="1" style="213" min="46" max="49"/>
    <col width="12.2857142857143" customWidth="1" style="213" min="50" max="50"/>
    <col width="13.5714285714286" customWidth="1" style="213" min="51" max="51"/>
    <col width="26.1428571428571" customWidth="1" style="213" min="103" max="103"/>
  </cols>
  <sheetData>
    <row r="2" ht="12.5" customHeight="1" s="213">
      <c r="B2" s="85" t="inlineStr">
        <is>
          <t>~TFM_FILL-R:w=RoadTra_BY; hcol=region</t>
        </is>
      </c>
      <c r="C2" s="85" t="n"/>
      <c r="D2" s="85" t="n"/>
      <c r="E2" s="85" t="n"/>
      <c r="K2" t="inlineStr">
        <is>
          <t>~TFM_TOPINS</t>
        </is>
      </c>
      <c r="P2" s="86" t="inlineStr">
        <is>
          <t>TFM_TOPINS</t>
        </is>
      </c>
      <c r="Q2" s="86" t="n"/>
      <c r="R2" s="86" t="n"/>
      <c r="S2" s="86" t="n"/>
    </row>
    <row r="3" ht="12.5" customHeight="1" s="213">
      <c r="B3" s="87" t="inlineStr">
        <is>
          <t>Scenario</t>
        </is>
      </c>
      <c r="C3" s="87" t="inlineStr">
        <is>
          <t>Attribute</t>
        </is>
      </c>
      <c r="D3" s="87" t="inlineStr">
        <is>
          <t>PSET_CO</t>
        </is>
      </c>
      <c r="E3" s="87" t="inlineStr">
        <is>
          <t>AllRegions</t>
        </is>
      </c>
      <c r="K3" t="inlineStr">
        <is>
          <t>process</t>
        </is>
      </c>
      <c r="L3" t="inlineStr">
        <is>
          <t>IO</t>
        </is>
      </c>
      <c r="M3" t="inlineStr">
        <is>
          <t>commodity</t>
        </is>
      </c>
      <c r="P3" s="86" t="inlineStr">
        <is>
          <t>pset_ci</t>
        </is>
      </c>
      <c r="Q3" s="86" t="inlineStr">
        <is>
          <t>pset_co</t>
        </is>
      </c>
      <c r="R3" s="86" t="inlineStr">
        <is>
          <t>cset_cn</t>
        </is>
      </c>
      <c r="S3" s="86" t="inlineStr">
        <is>
          <t>IO</t>
        </is>
      </c>
    </row>
    <row r="4" ht="12.5" customHeight="1" s="213">
      <c r="B4" s="85" t="inlineStr">
        <is>
          <t>BASE</t>
        </is>
      </c>
      <c r="C4" s="85" t="inlineStr">
        <is>
          <t>AF</t>
        </is>
      </c>
      <c r="D4" s="85" t="inlineStr">
        <is>
          <t>Trd[_]*</t>
        </is>
      </c>
      <c r="E4" s="85" t="inlineStr">
        <is>
          <t>*1</t>
        </is>
      </c>
      <c r="K4" t="inlineStr">
        <is>
          <t>Trd[_]*gsl*</t>
        </is>
      </c>
      <c r="L4" t="inlineStr">
        <is>
          <t>IN</t>
        </is>
      </c>
      <c r="M4" t="inlineStr">
        <is>
          <t>TRAGSL,TRABGS</t>
        </is>
      </c>
      <c r="P4" s="86" t="inlineStr">
        <is>
          <t>TRAELC</t>
        </is>
      </c>
      <c r="Q4" s="86" t="inlineStr">
        <is>
          <t>TRDELC</t>
        </is>
      </c>
      <c r="R4" s="86" t="inlineStr">
        <is>
          <t>ELC</t>
        </is>
      </c>
      <c r="S4" s="86" t="inlineStr">
        <is>
          <t>Out</t>
        </is>
      </c>
    </row>
    <row r="5" ht="12.5" customHeight="1" s="213">
      <c r="B5" s="85" t="inlineStr">
        <is>
          <t>BASE</t>
        </is>
      </c>
      <c r="C5" s="85" t="inlineStr">
        <is>
          <t>EFF</t>
        </is>
      </c>
      <c r="D5" s="85" t="inlineStr">
        <is>
          <t>Trd[_]*</t>
        </is>
      </c>
      <c r="E5" s="85" t="inlineStr">
        <is>
          <t>*1</t>
        </is>
      </c>
      <c r="K5" t="inlineStr">
        <is>
          <t>Trd[_]*dsl*</t>
        </is>
      </c>
      <c r="L5" t="inlineStr">
        <is>
          <t>IN</t>
        </is>
      </c>
      <c r="M5" t="inlineStr">
        <is>
          <t>TRADST,TRABDS</t>
        </is>
      </c>
    </row>
    <row r="6" ht="12.5" customHeight="1" s="213">
      <c r="K6" t="inlineStr">
        <is>
          <t>Trd[_]*hh2*</t>
        </is>
      </c>
      <c r="L6" t="inlineStr">
        <is>
          <t>IN</t>
        </is>
      </c>
      <c r="M6" t="inlineStr">
        <is>
          <t>TRAGH2</t>
        </is>
      </c>
    </row>
    <row r="7" ht="12.5" customHeight="1" s="213">
      <c r="K7" t="inlineStr">
        <is>
          <t>Trd[_]*cng*</t>
        </is>
      </c>
      <c r="L7" t="inlineStr">
        <is>
          <t>IN</t>
        </is>
      </c>
      <c r="M7" t="inlineStr">
        <is>
          <t>TRANGA</t>
        </is>
      </c>
    </row>
    <row r="8" ht="12.5" customHeight="1" s="213">
      <c r="B8" t="inlineStr">
        <is>
          <t>~TFM_INS</t>
        </is>
      </c>
      <c r="K8" t="inlineStr">
        <is>
          <t>Trd[_]*elc*</t>
        </is>
      </c>
      <c r="L8" t="inlineStr">
        <is>
          <t>IN</t>
        </is>
      </c>
      <c r="M8" t="inlineStr">
        <is>
          <t>TRDELC</t>
        </is>
      </c>
    </row>
    <row r="9" ht="12.5" customHeight="1" s="213">
      <c r="B9" t="inlineStr">
        <is>
          <t>attribute</t>
        </is>
      </c>
      <c r="C9" t="inlineStr">
        <is>
          <t>PSET_PN</t>
        </is>
      </c>
      <c r="D9" t="inlineStr">
        <is>
          <t>PSET_CI</t>
        </is>
      </c>
      <c r="E9" t="inlineStr">
        <is>
          <t>CSET_CN</t>
        </is>
      </c>
      <c r="F9" t="inlineStr">
        <is>
          <t>value</t>
        </is>
      </c>
      <c r="G9" t="inlineStr">
        <is>
          <t>limtype</t>
        </is>
      </c>
      <c r="H9" t="inlineStr">
        <is>
          <t>year</t>
        </is>
      </c>
      <c r="K9" t="inlineStr">
        <is>
          <t>Trd[_]*lng*</t>
        </is>
      </c>
      <c r="L9" t="inlineStr">
        <is>
          <t>IN</t>
        </is>
      </c>
      <c r="M9" t="inlineStr">
        <is>
          <t>TRANGA</t>
        </is>
      </c>
    </row>
    <row r="10" ht="12.5" customHeight="1" s="213">
      <c r="B10" t="inlineStr">
        <is>
          <t>Share</t>
        </is>
      </c>
      <c r="C10" t="inlineStr">
        <is>
          <t>Trd[_]*-pih*</t>
        </is>
      </c>
      <c r="E10" t="inlineStr">
        <is>
          <t>TRDELC</t>
        </is>
      </c>
      <c r="F10" t="n">
        <v>0.25</v>
      </c>
      <c r="G10" t="inlineStr">
        <is>
          <t>FX</t>
        </is>
      </c>
      <c r="K10" t="inlineStr">
        <is>
          <t>Trd[_]*-pih*</t>
        </is>
      </c>
      <c r="L10" t="inlineStr">
        <is>
          <t>IN</t>
        </is>
      </c>
      <c r="M10" t="inlineStr">
        <is>
          <t>TRDELC</t>
        </is>
      </c>
    </row>
    <row r="11" ht="12.5" customHeight="1" s="213">
      <c r="B11" t="inlineStr">
        <is>
          <t>Share</t>
        </is>
      </c>
      <c r="C11" t="inlineStr">
        <is>
          <t>Trd[_]*-pih*</t>
        </is>
      </c>
      <c r="E11" t="inlineStr">
        <is>
          <t>TRDELC</t>
        </is>
      </c>
      <c r="F11" t="n">
        <v>3</v>
      </c>
      <c r="G11" t="inlineStr">
        <is>
          <t>FX</t>
        </is>
      </c>
      <c r="H11" t="n">
        <v>0</v>
      </c>
    </row>
    <row r="12" ht="12.5" customHeight="1" s="213">
      <c r="B12" t="inlineStr">
        <is>
          <t>LIFE</t>
        </is>
      </c>
      <c r="C12" t="inlineStr">
        <is>
          <t>Trd[_]*</t>
        </is>
      </c>
      <c r="F12" s="79" t="n">
        <v>15</v>
      </c>
      <c r="K12" t="inlineStr">
        <is>
          <t>~TFM_MIG</t>
        </is>
      </c>
    </row>
    <row r="13" ht="12.5" customHeight="1" s="213">
      <c r="B13" t="inlineStr">
        <is>
          <t>*START</t>
        </is>
      </c>
      <c r="C13" t="inlineStr">
        <is>
          <t>Trd[_]*</t>
        </is>
      </c>
      <c r="E13" s="223" t="inlineStr">
        <is>
          <t>-TRDELC</t>
        </is>
      </c>
      <c r="F13" t="n">
        <v>2019</v>
      </c>
      <c r="K13" t="inlineStr">
        <is>
          <t>attribute</t>
        </is>
      </c>
      <c r="L13" t="inlineStr">
        <is>
          <t>value</t>
        </is>
      </c>
      <c r="M13" t="inlineStr">
        <is>
          <t>attribute2</t>
        </is>
      </c>
      <c r="N13" t="inlineStr">
        <is>
          <t>pset_pn</t>
        </is>
      </c>
    </row>
    <row r="14" ht="12.5" customHeight="1" s="213">
      <c r="K14" t="inlineStr">
        <is>
          <t>INVCOST</t>
        </is>
      </c>
      <c r="L14" t="inlineStr">
        <is>
          <t>*.03</t>
        </is>
      </c>
      <c r="M14" t="inlineStr">
        <is>
          <t>FIXOM</t>
        </is>
      </c>
      <c r="N14" t="inlineStr">
        <is>
          <t>Trd[_]*</t>
        </is>
      </c>
    </row>
    <row r="15" ht="12.5" customHeight="1" s="213">
      <c r="B15" s="30" t="inlineStr">
        <is>
          <t>CEFF</t>
        </is>
      </c>
      <c r="C15" s="30" t="n"/>
      <c r="D15" s="30" t="inlineStr">
        <is>
          <t>TRAGSL</t>
        </is>
      </c>
      <c r="E15" s="30" t="inlineStr">
        <is>
          <t>TRABGS</t>
        </is>
      </c>
      <c r="F15" s="30" t="n">
        <v>0.93</v>
      </c>
      <c r="G15" s="30" t="n"/>
      <c r="H15" s="30" t="n"/>
      <c r="K15" t="inlineStr">
        <is>
          <t>INVCOST</t>
        </is>
      </c>
      <c r="L15" t="inlineStr">
        <is>
          <t>*.02</t>
        </is>
      </c>
      <c r="M15" t="inlineStr">
        <is>
          <t>FIXOM</t>
        </is>
      </c>
      <c r="N15" t="inlineStr">
        <is>
          <t>Trd[_]*elc*</t>
        </is>
      </c>
    </row>
    <row r="16" ht="12.5" customHeight="1" s="213">
      <c r="B16" s="88" t="inlineStr">
        <is>
          <t>~TFM_INS-TS: attribute=FLO_MARK</t>
        </is>
      </c>
    </row>
    <row r="18" ht="12.5" customHeight="1" s="213">
      <c r="B18" t="inlineStr">
        <is>
          <t>pset_ci</t>
        </is>
      </c>
      <c r="C18" t="n">
        <v>2019</v>
      </c>
      <c r="D18" t="n">
        <v>0</v>
      </c>
      <c r="E18" t="inlineStr">
        <is>
          <t>attrib_cond</t>
        </is>
      </c>
      <c r="F18" t="inlineStr">
        <is>
          <t>commodity</t>
        </is>
      </c>
      <c r="G18" t="inlineStr">
        <is>
          <t>top_check</t>
        </is>
      </c>
    </row>
    <row r="19" ht="12.5" customHeight="1" s="213">
      <c r="B19" s="223" t="inlineStr">
        <is>
          <t>-TRDELC</t>
        </is>
      </c>
      <c r="C19" t="n">
        <v>0.2</v>
      </c>
      <c r="D19" t="n">
        <v>3</v>
      </c>
      <c r="E19" s="223" t="inlineStr">
        <is>
          <t>-FLO_MARK</t>
        </is>
      </c>
      <c r="F19" t="inlineStr">
        <is>
          <t>Trd[_]*</t>
        </is>
      </c>
      <c r="G19" t="inlineStr">
        <is>
          <t>OUT</t>
        </is>
      </c>
    </row>
    <row r="21" ht="12.5" customHeight="1" s="213">
      <c r="C21" t="inlineStr">
        <is>
          <t>~TFM_INS</t>
        </is>
      </c>
    </row>
    <row r="22" ht="12.5" customHeight="1" s="213">
      <c r="C22" t="inlineStr">
        <is>
          <t>attribute</t>
        </is>
      </c>
      <c r="D22">
        <f>IF(RoadTra_BY!L$1="","\I:",RoadTra_BY!L$1)</f>
        <v/>
      </c>
      <c r="E22">
        <f>IF(RoadTra_BY!M$1="","\I:",RoadTra_BY!M$1)</f>
        <v/>
      </c>
      <c r="F22">
        <f>IF(RoadTra_BY!N$1="","\I:",RoadTra_BY!N$1)</f>
        <v/>
      </c>
      <c r="G22">
        <f>IF(RoadTra_BY!O$1="","\I:",RoadTra_BY!O$1)</f>
        <v/>
      </c>
      <c r="H22">
        <f>IF(RoadTra_BY!P$1="","\I:",RoadTra_BY!P$1)</f>
        <v/>
      </c>
      <c r="I22">
        <f>IF(RoadTra_BY!Q$1="","\I:",RoadTra_BY!Q$1)</f>
        <v/>
      </c>
      <c r="J22">
        <f>IF(RoadTra_BY!R$1="","\I:",RoadTra_BY!R$1)</f>
        <v/>
      </c>
      <c r="K22">
        <f>IF(RoadTra_BY!S$1="","\I:",RoadTra_BY!S$1)</f>
        <v/>
      </c>
      <c r="L22">
        <f>IF(RoadTra_BY!T$1="","\I:",RoadTra_BY!T$1)</f>
        <v/>
      </c>
      <c r="M22">
        <f>IF(RoadTra_BY!U$1="","\I:",RoadTra_BY!U$1)</f>
        <v/>
      </c>
      <c r="N22">
        <f>IF(RoadTra_BY!V$1="","\I:",RoadTra_BY!V$1)</f>
        <v/>
      </c>
      <c r="O22">
        <f>IF(RoadTra_BY!W$1="","\I:",RoadTra_BY!W$1)</f>
        <v/>
      </c>
      <c r="P22">
        <f>IF(RoadTra_BY!X$1="","\I:",RoadTra_BY!X$1)</f>
        <v/>
      </c>
      <c r="Q22">
        <f>IF(RoadTra_BY!Y$1="","\I:",RoadTra_BY!Y$1)</f>
        <v/>
      </c>
      <c r="R22">
        <f>IF(RoadTra_BY!Z$1="","\I:",RoadTra_BY!Z$1)</f>
        <v/>
      </c>
      <c r="S22">
        <f>IF(RoadTra_BY!AA$1="","\I:",RoadTra_BY!AA$1)</f>
        <v/>
      </c>
      <c r="T22">
        <f>IF(RoadTra_BY!AB$1="","\I:",RoadTra_BY!AB$1)</f>
        <v/>
      </c>
      <c r="U22">
        <f>IF(RoadTra_BY!AC$1="","\I:",RoadTra_BY!AC$1)</f>
        <v/>
      </c>
      <c r="V22">
        <f>IF(RoadTra_BY!AD$1="","\I:",RoadTra_BY!AD$1)</f>
        <v/>
      </c>
      <c r="W22">
        <f>IF(RoadTra_BY!AE$1="","\I:",RoadTra_BY!AE$1)</f>
        <v/>
      </c>
      <c r="X22">
        <f>IF(RoadTra_BY!AF$1="","\I:",RoadTra_BY!AF$1)</f>
        <v/>
      </c>
      <c r="Y22">
        <f>IF(RoadTra_BY!AG$1="","\I:",RoadTra_BY!AG$1)</f>
        <v/>
      </c>
      <c r="Z22">
        <f>IF(RoadTra_BY!AH$1="","\I:",RoadTra_BY!AH$1)</f>
        <v/>
      </c>
      <c r="AA22">
        <f>IF(RoadTra_BY!AI$1="","\I:",RoadTra_BY!AI$1)</f>
        <v/>
      </c>
      <c r="AB22">
        <f>IF(RoadTra_BY!AJ$1="","\I:",RoadTra_BY!AJ$1)</f>
        <v/>
      </c>
      <c r="AC22">
        <f>IF(RoadTra_BY!AK$1="","\I:",RoadTra_BY!AK$1)</f>
        <v/>
      </c>
      <c r="AD22">
        <f>IF(RoadTra_BY!AL$1="","\I:",RoadTra_BY!AL$1)</f>
        <v/>
      </c>
      <c r="AE22">
        <f>IF(RoadTra_BY!AM$1="","\I:",RoadTra_BY!AM$1)</f>
        <v/>
      </c>
      <c r="AF22">
        <f>IF(RoadTra_BY!AN$1="","\I:",RoadTra_BY!AN$1)</f>
        <v/>
      </c>
      <c r="AG22">
        <f>IF(RoadTra_BY!AO$1="","\I:",RoadTra_BY!AO$1)</f>
        <v/>
      </c>
      <c r="AH22">
        <f>IF(RoadTra_BY!AP$1="","\I:",RoadTra_BY!AP$1)</f>
        <v/>
      </c>
      <c r="AI22">
        <f>IF(RoadTra_BY!AQ$1="","\I:",RoadTra_BY!AQ$1)</f>
        <v/>
      </c>
      <c r="AJ22">
        <f>IF(RoadTra_BY!AR$1="","\I:",RoadTra_BY!AR$1)</f>
        <v/>
      </c>
      <c r="AK22">
        <f>IF(RoadTra_BY!AS$1="","\I:",RoadTra_BY!AS$1)</f>
        <v/>
      </c>
      <c r="AL22">
        <f>IF(RoadTra_BY!AT$1="","\I:",RoadTra_BY!AT$1)</f>
        <v/>
      </c>
      <c r="AM22">
        <f>IF(RoadTra_BY!AU$1="","\I:",RoadTra_BY!AU$1)</f>
        <v/>
      </c>
      <c r="AN22">
        <f>IF(RoadTra_BY!AV$1="","\I:",RoadTra_BY!AV$1)</f>
        <v/>
      </c>
      <c r="AO22">
        <f>IF(RoadTra_BY!AW$1="","\I:",RoadTra_BY!AW$1)</f>
        <v/>
      </c>
      <c r="AP22">
        <f>IF(RoadTra_BY!AX$1="","\I:",RoadTra_BY!AX$1)</f>
        <v/>
      </c>
      <c r="AQ22">
        <f>IF(RoadTra_BY!AY$1="","\I:",RoadTra_BY!AY$1)</f>
        <v/>
      </c>
      <c r="AR22">
        <f>IF(RoadTra_BY!AZ$1="","\I:",RoadTra_BY!AZ$1)</f>
        <v/>
      </c>
      <c r="AS22">
        <f>IF(RoadTra_BY!BA$1="","\I:",RoadTra_BY!BA$1)</f>
        <v/>
      </c>
      <c r="AT22">
        <f>IF(RoadTra_BY!BB$1="","\I:",RoadTra_BY!BB$1)</f>
        <v/>
      </c>
      <c r="AU22">
        <f>IF(RoadTra_BY!BC$1="","\I:",RoadTra_BY!BC$1)</f>
        <v/>
      </c>
      <c r="AV22">
        <f>IF(RoadTra_BY!BD$1="","\I:",RoadTra_BY!BD$1)</f>
        <v/>
      </c>
      <c r="AW22">
        <f>IF(RoadTra_BY!BE$1="","\I:",RoadTra_BY!BE$1)</f>
        <v/>
      </c>
      <c r="AX22" t="inlineStr">
        <is>
          <t>process</t>
        </is>
      </c>
    </row>
    <row r="23" ht="12.5" customHeight="1" s="213">
      <c r="C23" t="inlineStr">
        <is>
          <t>AF</t>
        </is>
      </c>
      <c r="D23" s="237">
        <f>AVERAGEIFS(RoadTra_BY!L$2:L$999,RoadTra_BY!$B$2:$B$999,'Road transport'!$C23,RoadTra_BY!$C$2:$C$999,'Road transport'!$AX23)</f>
        <v/>
      </c>
      <c r="E23" s="237">
        <f>AVERAGEIFS(RoadTra_BY!M$2:M$999,RoadTra_BY!$B$2:$B$999,'Road transport'!$C23,RoadTra_BY!$C$2:$C$999,'Road transport'!$AX23)</f>
        <v/>
      </c>
      <c r="F23" s="237">
        <f>AVERAGEIFS(RoadTra_BY!N$2:N$999,RoadTra_BY!$B$2:$B$999,'Road transport'!$C23,RoadTra_BY!$C$2:$C$999,'Road transport'!$AX23)</f>
        <v/>
      </c>
      <c r="G23" s="237">
        <f>AVERAGEIFS(RoadTra_BY!O$2:O$999,RoadTra_BY!$B$2:$B$999,'Road transport'!$C23,RoadTra_BY!$C$2:$C$999,'Road transport'!$AX23)</f>
        <v/>
      </c>
      <c r="H23" s="237">
        <f>AVERAGEIFS(RoadTra_BY!P$2:P$999,RoadTra_BY!$B$2:$B$999,'Road transport'!$C23,RoadTra_BY!$C$2:$C$999,'Road transport'!$AX23)</f>
        <v/>
      </c>
      <c r="I23" s="237">
        <f>AVERAGEIFS(RoadTra_BY!Q$2:Q$999,RoadTra_BY!$B$2:$B$999,'Road transport'!$C23,RoadTra_BY!$C$2:$C$999,'Road transport'!$AX23)</f>
        <v/>
      </c>
      <c r="J23" s="237">
        <f>AVERAGEIFS(RoadTra_BY!R$2:R$999,RoadTra_BY!$B$2:$B$999,'Road transport'!$C23,RoadTra_BY!$C$2:$C$999,'Road transport'!$AX23)</f>
        <v/>
      </c>
      <c r="K23" s="237">
        <f>AVERAGEIFS(RoadTra_BY!S$2:S$999,RoadTra_BY!$B$2:$B$999,'Road transport'!$C23,RoadTra_BY!$C$2:$C$999,'Road transport'!$AX23)</f>
        <v/>
      </c>
      <c r="L23" s="237">
        <f>AVERAGEIFS(RoadTra_BY!T$2:T$999,RoadTra_BY!$B$2:$B$999,'Road transport'!$C23,RoadTra_BY!$C$2:$C$999,'Road transport'!$AX23)</f>
        <v/>
      </c>
      <c r="M23" s="237">
        <f>AVERAGEIFS(RoadTra_BY!U$2:U$999,RoadTra_BY!$B$2:$B$999,'Road transport'!$C23,RoadTra_BY!$C$2:$C$999,'Road transport'!$AX23)</f>
        <v/>
      </c>
      <c r="N23" s="237">
        <f>AVERAGEIFS(RoadTra_BY!V$2:V$999,RoadTra_BY!$B$2:$B$999,'Road transport'!$C23,RoadTra_BY!$C$2:$C$999,'Road transport'!$AX23)</f>
        <v/>
      </c>
      <c r="O23" s="237">
        <f>AVERAGEIFS(RoadTra_BY!W$2:W$999,RoadTra_BY!$B$2:$B$999,'Road transport'!$C23,RoadTra_BY!$C$2:$C$999,'Road transport'!$AX23)</f>
        <v/>
      </c>
      <c r="P23" s="237">
        <f>AVERAGEIFS(RoadTra_BY!X$2:X$999,RoadTra_BY!$B$2:$B$999,'Road transport'!$C23,RoadTra_BY!$C$2:$C$999,'Road transport'!$AX23)</f>
        <v/>
      </c>
      <c r="Q23" s="237">
        <f>AVERAGEIFS(RoadTra_BY!Y$2:Y$999,RoadTra_BY!$B$2:$B$999,'Road transport'!$C23,RoadTra_BY!$C$2:$C$999,'Road transport'!$AX23)</f>
        <v/>
      </c>
      <c r="R23" s="237">
        <f>AVERAGEIFS(RoadTra_BY!Z$2:Z$999,RoadTra_BY!$B$2:$B$999,'Road transport'!$C23,RoadTra_BY!$C$2:$C$999,'Road transport'!$AX23)</f>
        <v/>
      </c>
      <c r="S23" s="237">
        <f>AVERAGEIFS(RoadTra_BY!AA$2:AA$999,RoadTra_BY!$B$2:$B$999,'Road transport'!$C23,RoadTra_BY!$C$2:$C$999,'Road transport'!$AX23)</f>
        <v/>
      </c>
      <c r="T23" s="237">
        <f>AVERAGEIFS(RoadTra_BY!AB$2:AB$999,RoadTra_BY!$B$2:$B$999,'Road transport'!$C23,RoadTra_BY!$C$2:$C$999,'Road transport'!$AX23)</f>
        <v/>
      </c>
      <c r="U23" s="237">
        <f>AVERAGEIFS(RoadTra_BY!AC$2:AC$999,RoadTra_BY!$B$2:$B$999,'Road transport'!$C23,RoadTra_BY!$C$2:$C$999,'Road transport'!$AX23)</f>
        <v/>
      </c>
      <c r="V23" s="237">
        <f>AVERAGEIFS(RoadTra_BY!AD$2:AD$999,RoadTra_BY!$B$2:$B$999,'Road transport'!$C23,RoadTra_BY!$C$2:$C$999,'Road transport'!$AX23)</f>
        <v/>
      </c>
      <c r="W23" s="237">
        <f>AVERAGEIFS(RoadTra_BY!AE$2:AE$999,RoadTra_BY!$B$2:$B$999,'Road transport'!$C23,RoadTra_BY!$C$2:$C$999,'Road transport'!$AX23)</f>
        <v/>
      </c>
      <c r="X23" s="237">
        <f>AVERAGEIFS(RoadTra_BY!AF$2:AF$999,RoadTra_BY!$B$2:$B$999,'Road transport'!$C23,RoadTra_BY!$C$2:$C$999,'Road transport'!$AX23)</f>
        <v/>
      </c>
      <c r="Y23" s="237">
        <f>AVERAGEIFS(RoadTra_BY!AG$2:AG$999,RoadTra_BY!$B$2:$B$999,'Road transport'!$C23,RoadTra_BY!$C$2:$C$999,'Road transport'!$AX23)</f>
        <v/>
      </c>
      <c r="Z23" s="237">
        <f>AVERAGEIFS(RoadTra_BY!AH$2:AH$999,RoadTra_BY!$B$2:$B$999,'Road transport'!$C23,RoadTra_BY!$C$2:$C$999,'Road transport'!$AX23)</f>
        <v/>
      </c>
      <c r="AA23" s="237">
        <f>AVERAGEIFS(RoadTra_BY!AI$2:AI$999,RoadTra_BY!$B$2:$B$999,'Road transport'!$C23,RoadTra_BY!$C$2:$C$999,'Road transport'!$AX23)</f>
        <v/>
      </c>
      <c r="AB23" s="237">
        <f>AVERAGEIFS(RoadTra_BY!AJ$2:AJ$999,RoadTra_BY!$B$2:$B$999,'Road transport'!$C23,RoadTra_BY!$C$2:$C$999,'Road transport'!$AX23)</f>
        <v/>
      </c>
      <c r="AC23" s="237">
        <f>AVERAGEIFS(RoadTra_BY!AK$2:AK$999,RoadTra_BY!$B$2:$B$999,'Road transport'!$C23,RoadTra_BY!$C$2:$C$999,'Road transport'!$AX23)</f>
        <v/>
      </c>
      <c r="AD23" s="237">
        <f>AVERAGEIFS(RoadTra_BY!AL$2:AL$999,RoadTra_BY!$B$2:$B$999,'Road transport'!$C23,RoadTra_BY!$C$2:$C$999,'Road transport'!$AX23)</f>
        <v/>
      </c>
      <c r="AE23" s="237">
        <f>AVERAGEIFS(RoadTra_BY!AM$2:AM$999,RoadTra_BY!$B$2:$B$999,'Road transport'!$C23,RoadTra_BY!$C$2:$C$999,'Road transport'!$AX23)</f>
        <v/>
      </c>
      <c r="AF23" s="237">
        <f>AVERAGEIFS(RoadTra_BY!AN$2:AN$999,RoadTra_BY!$B$2:$B$999,'Road transport'!$C23,RoadTra_BY!$C$2:$C$999,'Road transport'!$AX23)</f>
        <v/>
      </c>
      <c r="AG23" s="237">
        <f>AVERAGEIFS(RoadTra_BY!AO$2:AO$999,RoadTra_BY!$B$2:$B$999,'Road transport'!$C23,RoadTra_BY!$C$2:$C$999,'Road transport'!$AX23)</f>
        <v/>
      </c>
      <c r="AH23" s="237">
        <f>AVERAGEIFS(RoadTra_BY!AP$2:AP$999,RoadTra_BY!$B$2:$B$999,'Road transport'!$C23,RoadTra_BY!$C$2:$C$999,'Road transport'!$AX23)</f>
        <v/>
      </c>
      <c r="AI23" s="237">
        <f>AVERAGEIFS(RoadTra_BY!AQ$2:AQ$999,RoadTra_BY!$B$2:$B$999,'Road transport'!$C23,RoadTra_BY!$C$2:$C$999,'Road transport'!$AX23)</f>
        <v/>
      </c>
      <c r="AJ23" s="237">
        <f>AVERAGEIFS(RoadTra_BY!AR$2:AR$999,RoadTra_BY!$B$2:$B$999,'Road transport'!$C23,RoadTra_BY!$C$2:$C$999,'Road transport'!$AX23)</f>
        <v/>
      </c>
      <c r="AK23" s="237">
        <f>AVERAGEIFS(RoadTra_BY!AS$2:AS$999,RoadTra_BY!$B$2:$B$999,'Road transport'!$C23,RoadTra_BY!$C$2:$C$999,'Road transport'!$AX23)</f>
        <v/>
      </c>
      <c r="AL23" s="237">
        <f>AVERAGEIFS(RoadTra_BY!AT$2:AT$999,RoadTra_BY!$B$2:$B$999,'Road transport'!$C23,RoadTra_BY!$C$2:$C$999,'Road transport'!$AX23)</f>
        <v/>
      </c>
      <c r="AM23" s="237">
        <f>AVERAGEIFS(RoadTra_BY!AU$2:AU$999,RoadTra_BY!$B$2:$B$999,'Road transport'!$C23,RoadTra_BY!$C$2:$C$999,'Road transport'!$AX23)</f>
        <v/>
      </c>
      <c r="AN23" s="237">
        <f>AVERAGEIFS(RoadTra_BY!AV$2:AV$999,RoadTra_BY!$B$2:$B$999,'Road transport'!$C23,RoadTra_BY!$C$2:$C$999,'Road transport'!$AX23)</f>
        <v/>
      </c>
      <c r="AO23" s="237">
        <f>AVERAGEIFS(RoadTra_BY!AW$2:AW$999,RoadTra_BY!$B$2:$B$999,'Road transport'!$C23,RoadTra_BY!$C$2:$C$999,'Road transport'!$AX23)</f>
        <v/>
      </c>
      <c r="AP23" s="237">
        <f>AVERAGEIFS(RoadTra_BY!AX$2:AX$999,RoadTra_BY!$B$2:$B$999,'Road transport'!$C23,RoadTra_BY!$C$2:$C$999,'Road transport'!$AX23)</f>
        <v/>
      </c>
      <c r="AQ23" s="237">
        <f>AVERAGEIFS(RoadTra_BY!AY$2:AY$999,RoadTra_BY!$B$2:$B$999,'Road transport'!$C23,RoadTra_BY!$C$2:$C$999,'Road transport'!$AX23)</f>
        <v/>
      </c>
      <c r="AR23" s="237">
        <f>AVERAGEIFS(RoadTra_BY!AZ$2:AZ$999,RoadTra_BY!$B$2:$B$999,'Road transport'!$C23,RoadTra_BY!$C$2:$C$999,'Road transport'!$AX23)</f>
        <v/>
      </c>
      <c r="AS23" s="237">
        <f>AVERAGEIFS(RoadTra_BY!BA$2:BA$999,RoadTra_BY!$B$2:$B$999,'Road transport'!$C23,RoadTra_BY!$C$2:$C$999,'Road transport'!$AX23)</f>
        <v/>
      </c>
      <c r="AT23" s="237">
        <f>AVERAGEIFS(RoadTra_BY!BB$2:BB$999,RoadTra_BY!$B$2:$B$999,'Road transport'!$C23,RoadTra_BY!$C$2:$C$999,'Road transport'!$AX23)</f>
        <v/>
      </c>
      <c r="AU23" s="237">
        <f>AVERAGEIFS(RoadTra_BY!BC$2:BC$999,RoadTra_BY!$B$2:$B$999,'Road transport'!$C23,RoadTra_BY!$C$2:$C$999,'Road transport'!$AX23)</f>
        <v/>
      </c>
      <c r="AV23" s="237">
        <f>AVERAGEIFS(RoadTra_BY!BD$2:BD$999,RoadTra_BY!$B$2:$B$999,'Road transport'!$C23,RoadTra_BY!$C$2:$C$999,'Road transport'!$AX23)</f>
        <v/>
      </c>
      <c r="AW23" s="237">
        <f>AVERAGEIFS(RoadTra_BY!BE$2:BE$999,RoadTra_BY!$B$2:$B$999,'Road transport'!$C23,RoadTra_BY!$C$2:$C$999,'Road transport'!$AX23)</f>
        <v/>
      </c>
      <c r="AX23" t="inlineStr">
        <is>
          <t>Trd_2w_*</t>
        </is>
      </c>
    </row>
    <row r="24" ht="12.5" customHeight="1" s="213">
      <c r="C24" t="inlineStr">
        <is>
          <t>AF</t>
        </is>
      </c>
      <c r="D24" s="237">
        <f>AVERAGEIFS(RoadTra_BY!L$2:L$999,RoadTra_BY!$B$2:$B$999,'Road transport'!$C24,RoadTra_BY!$C$2:$C$999,'Road transport'!$AX24)</f>
        <v/>
      </c>
      <c r="E24" s="237">
        <f>AVERAGEIFS(RoadTra_BY!M$2:M$999,RoadTra_BY!$B$2:$B$999,'Road transport'!$C24,RoadTra_BY!$C$2:$C$999,'Road transport'!$AX24)</f>
        <v/>
      </c>
      <c r="F24" s="237">
        <f>AVERAGEIFS(RoadTra_BY!N$2:N$999,RoadTra_BY!$B$2:$B$999,'Road transport'!$C24,RoadTra_BY!$C$2:$C$999,'Road transport'!$AX24)</f>
        <v/>
      </c>
      <c r="G24" s="237">
        <f>AVERAGEIFS(RoadTra_BY!O$2:O$999,RoadTra_BY!$B$2:$B$999,'Road transport'!$C24,RoadTra_BY!$C$2:$C$999,'Road transport'!$AX24)</f>
        <v/>
      </c>
      <c r="H24" s="237">
        <f>AVERAGEIFS(RoadTra_BY!P$2:P$999,RoadTra_BY!$B$2:$B$999,'Road transport'!$C24,RoadTra_BY!$C$2:$C$999,'Road transport'!$AX24)</f>
        <v/>
      </c>
      <c r="I24" s="237">
        <f>AVERAGEIFS(RoadTra_BY!Q$2:Q$999,RoadTra_BY!$B$2:$B$999,'Road transport'!$C24,RoadTra_BY!$C$2:$C$999,'Road transport'!$AX24)</f>
        <v/>
      </c>
      <c r="J24" s="237">
        <f>AVERAGEIFS(RoadTra_BY!R$2:R$999,RoadTra_BY!$B$2:$B$999,'Road transport'!$C24,RoadTra_BY!$C$2:$C$999,'Road transport'!$AX24)</f>
        <v/>
      </c>
      <c r="K24" s="237">
        <f>AVERAGEIFS(RoadTra_BY!S$2:S$999,RoadTra_BY!$B$2:$B$999,'Road transport'!$C24,RoadTra_BY!$C$2:$C$999,'Road transport'!$AX24)</f>
        <v/>
      </c>
      <c r="L24" s="237">
        <f>AVERAGEIFS(RoadTra_BY!T$2:T$999,RoadTra_BY!$B$2:$B$999,'Road transport'!$C24,RoadTra_BY!$C$2:$C$999,'Road transport'!$AX24)</f>
        <v/>
      </c>
      <c r="M24" s="237">
        <f>AVERAGEIFS(RoadTra_BY!U$2:U$999,RoadTra_BY!$B$2:$B$999,'Road transport'!$C24,RoadTra_BY!$C$2:$C$999,'Road transport'!$AX24)</f>
        <v/>
      </c>
      <c r="N24" s="237">
        <f>AVERAGEIFS(RoadTra_BY!V$2:V$999,RoadTra_BY!$B$2:$B$999,'Road transport'!$C24,RoadTra_BY!$C$2:$C$999,'Road transport'!$AX24)</f>
        <v/>
      </c>
      <c r="O24" s="237">
        <f>AVERAGEIFS(RoadTra_BY!W$2:W$999,RoadTra_BY!$B$2:$B$999,'Road transport'!$C24,RoadTra_BY!$C$2:$C$999,'Road transport'!$AX24)</f>
        <v/>
      </c>
      <c r="P24" s="237">
        <f>AVERAGEIFS(RoadTra_BY!X$2:X$999,RoadTra_BY!$B$2:$B$999,'Road transport'!$C24,RoadTra_BY!$C$2:$C$999,'Road transport'!$AX24)</f>
        <v/>
      </c>
      <c r="Q24" s="237">
        <f>AVERAGEIFS(RoadTra_BY!Y$2:Y$999,RoadTra_BY!$B$2:$B$999,'Road transport'!$C24,RoadTra_BY!$C$2:$C$999,'Road transport'!$AX24)</f>
        <v/>
      </c>
      <c r="R24" s="237">
        <f>AVERAGEIFS(RoadTra_BY!Z$2:Z$999,RoadTra_BY!$B$2:$B$999,'Road transport'!$C24,RoadTra_BY!$C$2:$C$999,'Road transport'!$AX24)</f>
        <v/>
      </c>
      <c r="S24" s="237">
        <f>AVERAGEIFS(RoadTra_BY!AA$2:AA$999,RoadTra_BY!$B$2:$B$999,'Road transport'!$C24,RoadTra_BY!$C$2:$C$999,'Road transport'!$AX24)</f>
        <v/>
      </c>
      <c r="T24" s="237">
        <f>AVERAGEIFS(RoadTra_BY!AB$2:AB$999,RoadTra_BY!$B$2:$B$999,'Road transport'!$C24,RoadTra_BY!$C$2:$C$999,'Road transport'!$AX24)</f>
        <v/>
      </c>
      <c r="U24" s="237">
        <f>AVERAGEIFS(RoadTra_BY!AC$2:AC$999,RoadTra_BY!$B$2:$B$999,'Road transport'!$C24,RoadTra_BY!$C$2:$C$999,'Road transport'!$AX24)</f>
        <v/>
      </c>
      <c r="V24" s="237">
        <f>AVERAGEIFS(RoadTra_BY!AD$2:AD$999,RoadTra_BY!$B$2:$B$999,'Road transport'!$C24,RoadTra_BY!$C$2:$C$999,'Road transport'!$AX24)</f>
        <v/>
      </c>
      <c r="W24" s="237">
        <f>AVERAGEIFS(RoadTra_BY!AE$2:AE$999,RoadTra_BY!$B$2:$B$999,'Road transport'!$C24,RoadTra_BY!$C$2:$C$999,'Road transport'!$AX24)</f>
        <v/>
      </c>
      <c r="X24" s="237">
        <f>AVERAGEIFS(RoadTra_BY!AF$2:AF$999,RoadTra_BY!$B$2:$B$999,'Road transport'!$C24,RoadTra_BY!$C$2:$C$999,'Road transport'!$AX24)</f>
        <v/>
      </c>
      <c r="Y24" s="237">
        <f>AVERAGEIFS(RoadTra_BY!AG$2:AG$999,RoadTra_BY!$B$2:$B$999,'Road transport'!$C24,RoadTra_BY!$C$2:$C$999,'Road transport'!$AX24)</f>
        <v/>
      </c>
      <c r="Z24" s="237">
        <f>AVERAGEIFS(RoadTra_BY!AH$2:AH$999,RoadTra_BY!$B$2:$B$999,'Road transport'!$C24,RoadTra_BY!$C$2:$C$999,'Road transport'!$AX24)</f>
        <v/>
      </c>
      <c r="AA24" s="237">
        <f>AVERAGEIFS(RoadTra_BY!AI$2:AI$999,RoadTra_BY!$B$2:$B$999,'Road transport'!$C24,RoadTra_BY!$C$2:$C$999,'Road transport'!$AX24)</f>
        <v/>
      </c>
      <c r="AB24" s="237">
        <f>AVERAGEIFS(RoadTra_BY!AJ$2:AJ$999,RoadTra_BY!$B$2:$B$999,'Road transport'!$C24,RoadTra_BY!$C$2:$C$999,'Road transport'!$AX24)</f>
        <v/>
      </c>
      <c r="AC24" s="237">
        <f>AVERAGEIFS(RoadTra_BY!AK$2:AK$999,RoadTra_BY!$B$2:$B$999,'Road transport'!$C24,RoadTra_BY!$C$2:$C$999,'Road transport'!$AX24)</f>
        <v/>
      </c>
      <c r="AD24" s="237">
        <f>AVERAGEIFS(RoadTra_BY!AL$2:AL$999,RoadTra_BY!$B$2:$B$999,'Road transport'!$C24,RoadTra_BY!$C$2:$C$999,'Road transport'!$AX24)</f>
        <v/>
      </c>
      <c r="AE24" s="237">
        <f>AVERAGEIFS(RoadTra_BY!AM$2:AM$999,RoadTra_BY!$B$2:$B$999,'Road transport'!$C24,RoadTra_BY!$C$2:$C$999,'Road transport'!$AX24)</f>
        <v/>
      </c>
      <c r="AF24" s="237">
        <f>AVERAGEIFS(RoadTra_BY!AN$2:AN$999,RoadTra_BY!$B$2:$B$999,'Road transport'!$C24,RoadTra_BY!$C$2:$C$999,'Road transport'!$AX24)</f>
        <v/>
      </c>
      <c r="AG24" s="237">
        <f>AVERAGEIFS(RoadTra_BY!AO$2:AO$999,RoadTra_BY!$B$2:$B$999,'Road transport'!$C24,RoadTra_BY!$C$2:$C$999,'Road transport'!$AX24)</f>
        <v/>
      </c>
      <c r="AH24" s="237">
        <f>AVERAGEIFS(RoadTra_BY!AP$2:AP$999,RoadTra_BY!$B$2:$B$999,'Road transport'!$C24,RoadTra_BY!$C$2:$C$999,'Road transport'!$AX24)</f>
        <v/>
      </c>
      <c r="AI24" s="237">
        <f>AVERAGEIFS(RoadTra_BY!AQ$2:AQ$999,RoadTra_BY!$B$2:$B$999,'Road transport'!$C24,RoadTra_BY!$C$2:$C$999,'Road transport'!$AX24)</f>
        <v/>
      </c>
      <c r="AJ24" s="237">
        <f>AVERAGEIFS(RoadTra_BY!AR$2:AR$999,RoadTra_BY!$B$2:$B$999,'Road transport'!$C24,RoadTra_BY!$C$2:$C$999,'Road transport'!$AX24)</f>
        <v/>
      </c>
      <c r="AK24" s="237">
        <f>AVERAGEIFS(RoadTra_BY!AS$2:AS$999,RoadTra_BY!$B$2:$B$999,'Road transport'!$C24,RoadTra_BY!$C$2:$C$999,'Road transport'!$AX24)</f>
        <v/>
      </c>
      <c r="AL24" s="237">
        <f>AVERAGEIFS(RoadTra_BY!AT$2:AT$999,RoadTra_BY!$B$2:$B$999,'Road transport'!$C24,RoadTra_BY!$C$2:$C$999,'Road transport'!$AX24)</f>
        <v/>
      </c>
      <c r="AM24" s="237">
        <f>AVERAGEIFS(RoadTra_BY!AU$2:AU$999,RoadTra_BY!$B$2:$B$999,'Road transport'!$C24,RoadTra_BY!$C$2:$C$999,'Road transport'!$AX24)</f>
        <v/>
      </c>
      <c r="AN24" s="237">
        <f>AVERAGEIFS(RoadTra_BY!AV$2:AV$999,RoadTra_BY!$B$2:$B$999,'Road transport'!$C24,RoadTra_BY!$C$2:$C$999,'Road transport'!$AX24)</f>
        <v/>
      </c>
      <c r="AO24" s="237">
        <f>AVERAGEIFS(RoadTra_BY!AW$2:AW$999,RoadTra_BY!$B$2:$B$999,'Road transport'!$C24,RoadTra_BY!$C$2:$C$999,'Road transport'!$AX24)</f>
        <v/>
      </c>
      <c r="AP24" s="237">
        <f>AVERAGEIFS(RoadTra_BY!AX$2:AX$999,RoadTra_BY!$B$2:$B$999,'Road transport'!$C24,RoadTra_BY!$C$2:$C$999,'Road transport'!$AX24)</f>
        <v/>
      </c>
      <c r="AQ24" s="237">
        <f>AVERAGEIFS(RoadTra_BY!AY$2:AY$999,RoadTra_BY!$B$2:$B$999,'Road transport'!$C24,RoadTra_BY!$C$2:$C$999,'Road transport'!$AX24)</f>
        <v/>
      </c>
      <c r="AR24" s="237">
        <f>AVERAGEIFS(RoadTra_BY!AZ$2:AZ$999,RoadTra_BY!$B$2:$B$999,'Road transport'!$C24,RoadTra_BY!$C$2:$C$999,'Road transport'!$AX24)</f>
        <v/>
      </c>
      <c r="AS24" s="237">
        <f>AVERAGEIFS(RoadTra_BY!BA$2:BA$999,RoadTra_BY!$B$2:$B$999,'Road transport'!$C24,RoadTra_BY!$C$2:$C$999,'Road transport'!$AX24)</f>
        <v/>
      </c>
      <c r="AT24" s="237">
        <f>AVERAGEIFS(RoadTra_BY!BB$2:BB$999,RoadTra_BY!$B$2:$B$999,'Road transport'!$C24,RoadTra_BY!$C$2:$C$999,'Road transport'!$AX24)</f>
        <v/>
      </c>
      <c r="AU24" s="237">
        <f>AVERAGEIFS(RoadTra_BY!BC$2:BC$999,RoadTra_BY!$B$2:$B$999,'Road transport'!$C24,RoadTra_BY!$C$2:$C$999,'Road transport'!$AX24)</f>
        <v/>
      </c>
      <c r="AV24" s="237">
        <f>AVERAGEIFS(RoadTra_BY!BD$2:BD$999,RoadTra_BY!$B$2:$B$999,'Road transport'!$C24,RoadTra_BY!$C$2:$C$999,'Road transport'!$AX24)</f>
        <v/>
      </c>
      <c r="AW24" s="237">
        <f>AVERAGEIFS(RoadTra_BY!BE$2:BE$999,RoadTra_BY!$B$2:$B$999,'Road transport'!$C24,RoadTra_BY!$C$2:$C$999,'Road transport'!$AX24)</f>
        <v/>
      </c>
      <c r="AX24" t="inlineStr">
        <is>
          <t>Trd_3w_*</t>
        </is>
      </c>
    </row>
    <row r="25" ht="12.5" customHeight="1" s="213">
      <c r="C25" t="inlineStr">
        <is>
          <t>AF</t>
        </is>
      </c>
      <c r="D25" s="237">
        <f>AVERAGEIFS(RoadTra_BY!L$2:L$999,RoadTra_BY!$B$2:$B$999,'Road transport'!$C25,RoadTra_BY!$C$2:$C$999,'Road transport'!$AX25)</f>
        <v/>
      </c>
      <c r="E25" s="237">
        <f>AVERAGEIFS(RoadTra_BY!M$2:M$999,RoadTra_BY!$B$2:$B$999,'Road transport'!$C25,RoadTra_BY!$C$2:$C$999,'Road transport'!$AX25)</f>
        <v/>
      </c>
      <c r="F25" s="237">
        <f>AVERAGEIFS(RoadTra_BY!N$2:N$999,RoadTra_BY!$B$2:$B$999,'Road transport'!$C25,RoadTra_BY!$C$2:$C$999,'Road transport'!$AX25)</f>
        <v/>
      </c>
      <c r="G25" s="237">
        <f>AVERAGEIFS(RoadTra_BY!O$2:O$999,RoadTra_BY!$B$2:$B$999,'Road transport'!$C25,RoadTra_BY!$C$2:$C$999,'Road transport'!$AX25)</f>
        <v/>
      </c>
      <c r="H25" s="237">
        <f>AVERAGEIFS(RoadTra_BY!P$2:P$999,RoadTra_BY!$B$2:$B$999,'Road transport'!$C25,RoadTra_BY!$C$2:$C$999,'Road transport'!$AX25)</f>
        <v/>
      </c>
      <c r="I25" s="237">
        <f>AVERAGEIFS(RoadTra_BY!Q$2:Q$999,RoadTra_BY!$B$2:$B$999,'Road transport'!$C25,RoadTra_BY!$C$2:$C$999,'Road transport'!$AX25)</f>
        <v/>
      </c>
      <c r="J25" s="237">
        <f>AVERAGEIFS(RoadTra_BY!R$2:R$999,RoadTra_BY!$B$2:$B$999,'Road transport'!$C25,RoadTra_BY!$C$2:$C$999,'Road transport'!$AX25)</f>
        <v/>
      </c>
      <c r="K25" s="237">
        <f>AVERAGEIFS(RoadTra_BY!S$2:S$999,RoadTra_BY!$B$2:$B$999,'Road transport'!$C25,RoadTra_BY!$C$2:$C$999,'Road transport'!$AX25)</f>
        <v/>
      </c>
      <c r="L25" s="237">
        <f>AVERAGEIFS(RoadTra_BY!T$2:T$999,RoadTra_BY!$B$2:$B$999,'Road transport'!$C25,RoadTra_BY!$C$2:$C$999,'Road transport'!$AX25)</f>
        <v/>
      </c>
      <c r="M25" s="237">
        <f>AVERAGEIFS(RoadTra_BY!U$2:U$999,RoadTra_BY!$B$2:$B$999,'Road transport'!$C25,RoadTra_BY!$C$2:$C$999,'Road transport'!$AX25)</f>
        <v/>
      </c>
      <c r="N25" s="237">
        <f>AVERAGEIFS(RoadTra_BY!V$2:V$999,RoadTra_BY!$B$2:$B$999,'Road transport'!$C25,RoadTra_BY!$C$2:$C$999,'Road transport'!$AX25)</f>
        <v/>
      </c>
      <c r="O25" s="237">
        <f>AVERAGEIFS(RoadTra_BY!W$2:W$999,RoadTra_BY!$B$2:$B$999,'Road transport'!$C25,RoadTra_BY!$C$2:$C$999,'Road transport'!$AX25)</f>
        <v/>
      </c>
      <c r="P25" s="237">
        <f>AVERAGEIFS(RoadTra_BY!X$2:X$999,RoadTra_BY!$B$2:$B$999,'Road transport'!$C25,RoadTra_BY!$C$2:$C$999,'Road transport'!$AX25)</f>
        <v/>
      </c>
      <c r="Q25" s="237">
        <f>AVERAGEIFS(RoadTra_BY!Y$2:Y$999,RoadTra_BY!$B$2:$B$999,'Road transport'!$C25,RoadTra_BY!$C$2:$C$999,'Road transport'!$AX25)</f>
        <v/>
      </c>
      <c r="R25" s="237">
        <f>AVERAGEIFS(RoadTra_BY!Z$2:Z$999,RoadTra_BY!$B$2:$B$999,'Road transport'!$C25,RoadTra_BY!$C$2:$C$999,'Road transport'!$AX25)</f>
        <v/>
      </c>
      <c r="S25" s="237">
        <f>AVERAGEIFS(RoadTra_BY!AA$2:AA$999,RoadTra_BY!$B$2:$B$999,'Road transport'!$C25,RoadTra_BY!$C$2:$C$999,'Road transport'!$AX25)</f>
        <v/>
      </c>
      <c r="T25" s="237">
        <f>AVERAGEIFS(RoadTra_BY!AB$2:AB$999,RoadTra_BY!$B$2:$B$999,'Road transport'!$C25,RoadTra_BY!$C$2:$C$999,'Road transport'!$AX25)</f>
        <v/>
      </c>
      <c r="U25" s="237">
        <f>AVERAGEIFS(RoadTra_BY!AC$2:AC$999,RoadTra_BY!$B$2:$B$999,'Road transport'!$C25,RoadTra_BY!$C$2:$C$999,'Road transport'!$AX25)</f>
        <v/>
      </c>
      <c r="V25" s="237">
        <f>AVERAGEIFS(RoadTra_BY!AD$2:AD$999,RoadTra_BY!$B$2:$B$999,'Road transport'!$C25,RoadTra_BY!$C$2:$C$999,'Road transport'!$AX25)</f>
        <v/>
      </c>
      <c r="W25" s="237">
        <f>AVERAGEIFS(RoadTra_BY!AE$2:AE$999,RoadTra_BY!$B$2:$B$999,'Road transport'!$C25,RoadTra_BY!$C$2:$C$999,'Road transport'!$AX25)</f>
        <v/>
      </c>
      <c r="X25" s="237">
        <f>AVERAGEIFS(RoadTra_BY!AF$2:AF$999,RoadTra_BY!$B$2:$B$999,'Road transport'!$C25,RoadTra_BY!$C$2:$C$999,'Road transport'!$AX25)</f>
        <v/>
      </c>
      <c r="Y25" s="237">
        <f>AVERAGEIFS(RoadTra_BY!AG$2:AG$999,RoadTra_BY!$B$2:$B$999,'Road transport'!$C25,RoadTra_BY!$C$2:$C$999,'Road transport'!$AX25)</f>
        <v/>
      </c>
      <c r="Z25" s="237">
        <f>AVERAGEIFS(RoadTra_BY!AH$2:AH$999,RoadTra_BY!$B$2:$B$999,'Road transport'!$C25,RoadTra_BY!$C$2:$C$999,'Road transport'!$AX25)</f>
        <v/>
      </c>
      <c r="AA25" s="237">
        <f>AVERAGEIFS(RoadTra_BY!AI$2:AI$999,RoadTra_BY!$B$2:$B$999,'Road transport'!$C25,RoadTra_BY!$C$2:$C$999,'Road transport'!$AX25)</f>
        <v/>
      </c>
      <c r="AB25" s="237">
        <f>AVERAGEIFS(RoadTra_BY!AJ$2:AJ$999,RoadTra_BY!$B$2:$B$999,'Road transport'!$C25,RoadTra_BY!$C$2:$C$999,'Road transport'!$AX25)</f>
        <v/>
      </c>
      <c r="AC25" s="237">
        <f>AVERAGEIFS(RoadTra_BY!AK$2:AK$999,RoadTra_BY!$B$2:$B$999,'Road transport'!$C25,RoadTra_BY!$C$2:$C$999,'Road transport'!$AX25)</f>
        <v/>
      </c>
      <c r="AD25" s="237">
        <f>AVERAGEIFS(RoadTra_BY!AL$2:AL$999,RoadTra_BY!$B$2:$B$999,'Road transport'!$C25,RoadTra_BY!$C$2:$C$999,'Road transport'!$AX25)</f>
        <v/>
      </c>
      <c r="AE25" s="237">
        <f>AVERAGEIFS(RoadTra_BY!AM$2:AM$999,RoadTra_BY!$B$2:$B$999,'Road transport'!$C25,RoadTra_BY!$C$2:$C$999,'Road transport'!$AX25)</f>
        <v/>
      </c>
      <c r="AF25" s="237">
        <f>AVERAGEIFS(RoadTra_BY!AN$2:AN$999,RoadTra_BY!$B$2:$B$999,'Road transport'!$C25,RoadTra_BY!$C$2:$C$999,'Road transport'!$AX25)</f>
        <v/>
      </c>
      <c r="AG25" s="237">
        <f>AVERAGEIFS(RoadTra_BY!AO$2:AO$999,RoadTra_BY!$B$2:$B$999,'Road transport'!$C25,RoadTra_BY!$C$2:$C$999,'Road transport'!$AX25)</f>
        <v/>
      </c>
      <c r="AH25" s="237">
        <f>AVERAGEIFS(RoadTra_BY!AP$2:AP$999,RoadTra_BY!$B$2:$B$999,'Road transport'!$C25,RoadTra_BY!$C$2:$C$999,'Road transport'!$AX25)</f>
        <v/>
      </c>
      <c r="AI25" s="237">
        <f>AVERAGEIFS(RoadTra_BY!AQ$2:AQ$999,RoadTra_BY!$B$2:$B$999,'Road transport'!$C25,RoadTra_BY!$C$2:$C$999,'Road transport'!$AX25)</f>
        <v/>
      </c>
      <c r="AJ25" s="237">
        <f>AVERAGEIFS(RoadTra_BY!AR$2:AR$999,RoadTra_BY!$B$2:$B$999,'Road transport'!$C25,RoadTra_BY!$C$2:$C$999,'Road transport'!$AX25)</f>
        <v/>
      </c>
      <c r="AK25" s="237">
        <f>AVERAGEIFS(RoadTra_BY!AS$2:AS$999,RoadTra_BY!$B$2:$B$999,'Road transport'!$C25,RoadTra_BY!$C$2:$C$999,'Road transport'!$AX25)</f>
        <v/>
      </c>
      <c r="AL25" s="237">
        <f>AVERAGEIFS(RoadTra_BY!AT$2:AT$999,RoadTra_BY!$B$2:$B$999,'Road transport'!$C25,RoadTra_BY!$C$2:$C$999,'Road transport'!$AX25)</f>
        <v/>
      </c>
      <c r="AM25" s="237">
        <f>AVERAGEIFS(RoadTra_BY!AU$2:AU$999,RoadTra_BY!$B$2:$B$999,'Road transport'!$C25,RoadTra_BY!$C$2:$C$999,'Road transport'!$AX25)</f>
        <v/>
      </c>
      <c r="AN25" s="237">
        <f>AVERAGEIFS(RoadTra_BY!AV$2:AV$999,RoadTra_BY!$B$2:$B$999,'Road transport'!$C25,RoadTra_BY!$C$2:$C$999,'Road transport'!$AX25)</f>
        <v/>
      </c>
      <c r="AO25" s="237">
        <f>AVERAGEIFS(RoadTra_BY!AW$2:AW$999,RoadTra_BY!$B$2:$B$999,'Road transport'!$C25,RoadTra_BY!$C$2:$C$999,'Road transport'!$AX25)</f>
        <v/>
      </c>
      <c r="AP25" s="237">
        <f>AVERAGEIFS(RoadTra_BY!AX$2:AX$999,RoadTra_BY!$B$2:$B$999,'Road transport'!$C25,RoadTra_BY!$C$2:$C$999,'Road transport'!$AX25)</f>
        <v/>
      </c>
      <c r="AQ25" s="237">
        <f>AVERAGEIFS(RoadTra_BY!AY$2:AY$999,RoadTra_BY!$B$2:$B$999,'Road transport'!$C25,RoadTra_BY!$C$2:$C$999,'Road transport'!$AX25)</f>
        <v/>
      </c>
      <c r="AR25" s="237">
        <f>AVERAGEIFS(RoadTra_BY!AZ$2:AZ$999,RoadTra_BY!$B$2:$B$999,'Road transport'!$C25,RoadTra_BY!$C$2:$C$999,'Road transport'!$AX25)</f>
        <v/>
      </c>
      <c r="AS25" s="237">
        <f>AVERAGEIFS(RoadTra_BY!BA$2:BA$999,RoadTra_BY!$B$2:$B$999,'Road transport'!$C25,RoadTra_BY!$C$2:$C$999,'Road transport'!$AX25)</f>
        <v/>
      </c>
      <c r="AT25" s="237">
        <f>AVERAGEIFS(RoadTra_BY!BB$2:BB$999,RoadTra_BY!$B$2:$B$999,'Road transport'!$C25,RoadTra_BY!$C$2:$C$999,'Road transport'!$AX25)</f>
        <v/>
      </c>
      <c r="AU25" s="237">
        <f>AVERAGEIFS(RoadTra_BY!BC$2:BC$999,RoadTra_BY!$B$2:$B$999,'Road transport'!$C25,RoadTra_BY!$C$2:$C$999,'Road transport'!$AX25)</f>
        <v/>
      </c>
      <c r="AV25" s="237">
        <f>AVERAGEIFS(RoadTra_BY!BD$2:BD$999,RoadTra_BY!$B$2:$B$999,'Road transport'!$C25,RoadTra_BY!$C$2:$C$999,'Road transport'!$AX25)</f>
        <v/>
      </c>
      <c r="AW25" s="237">
        <f>AVERAGEIFS(RoadTra_BY!BE$2:BE$999,RoadTra_BY!$B$2:$B$999,'Road transport'!$C25,RoadTra_BY!$C$2:$C$999,'Road transport'!$AX25)</f>
        <v/>
      </c>
      <c r="AX25" t="inlineStr">
        <is>
          <t>Trd_bus*</t>
        </is>
      </c>
    </row>
    <row r="26" ht="12.5" customHeight="1" s="213">
      <c r="C26" t="inlineStr">
        <is>
          <t>AF</t>
        </is>
      </c>
      <c r="D26" s="237">
        <f>AVERAGEIFS(RoadTra_BY!L$2:L$999,RoadTra_BY!$B$2:$B$999,'Road transport'!$C26,RoadTra_BY!$C$2:$C$999,'Road transport'!$AX26)</f>
        <v/>
      </c>
      <c r="E26" s="237">
        <f>AVERAGEIFS(RoadTra_BY!M$2:M$999,RoadTra_BY!$B$2:$B$999,'Road transport'!$C26,RoadTra_BY!$C$2:$C$999,'Road transport'!$AX26)</f>
        <v/>
      </c>
      <c r="F26" s="237">
        <f>AVERAGEIFS(RoadTra_BY!N$2:N$999,RoadTra_BY!$B$2:$B$999,'Road transport'!$C26,RoadTra_BY!$C$2:$C$999,'Road transport'!$AX26)</f>
        <v/>
      </c>
      <c r="G26" s="237">
        <f>AVERAGEIFS(RoadTra_BY!O$2:O$999,RoadTra_BY!$B$2:$B$999,'Road transport'!$C26,RoadTra_BY!$C$2:$C$999,'Road transport'!$AX26)</f>
        <v/>
      </c>
      <c r="H26" s="237">
        <f>AVERAGEIFS(RoadTra_BY!P$2:P$999,RoadTra_BY!$B$2:$B$999,'Road transport'!$C26,RoadTra_BY!$C$2:$C$999,'Road transport'!$AX26)</f>
        <v/>
      </c>
      <c r="I26" s="237">
        <f>AVERAGEIFS(RoadTra_BY!Q$2:Q$999,RoadTra_BY!$B$2:$B$999,'Road transport'!$C26,RoadTra_BY!$C$2:$C$999,'Road transport'!$AX26)</f>
        <v/>
      </c>
      <c r="J26" s="237">
        <f>AVERAGEIFS(RoadTra_BY!R$2:R$999,RoadTra_BY!$B$2:$B$999,'Road transport'!$C26,RoadTra_BY!$C$2:$C$999,'Road transport'!$AX26)</f>
        <v/>
      </c>
      <c r="K26" s="237">
        <f>AVERAGEIFS(RoadTra_BY!S$2:S$999,RoadTra_BY!$B$2:$B$999,'Road transport'!$C26,RoadTra_BY!$C$2:$C$999,'Road transport'!$AX26)</f>
        <v/>
      </c>
      <c r="L26" s="237">
        <f>AVERAGEIFS(RoadTra_BY!T$2:T$999,RoadTra_BY!$B$2:$B$999,'Road transport'!$C26,RoadTra_BY!$C$2:$C$999,'Road transport'!$AX26)</f>
        <v/>
      </c>
      <c r="M26" s="237">
        <f>AVERAGEIFS(RoadTra_BY!U$2:U$999,RoadTra_BY!$B$2:$B$999,'Road transport'!$C26,RoadTra_BY!$C$2:$C$999,'Road transport'!$AX26)</f>
        <v/>
      </c>
      <c r="N26" s="237">
        <f>AVERAGEIFS(RoadTra_BY!V$2:V$999,RoadTra_BY!$B$2:$B$999,'Road transport'!$C26,RoadTra_BY!$C$2:$C$999,'Road transport'!$AX26)</f>
        <v/>
      </c>
      <c r="O26" s="237">
        <f>AVERAGEIFS(RoadTra_BY!W$2:W$999,RoadTra_BY!$B$2:$B$999,'Road transport'!$C26,RoadTra_BY!$C$2:$C$999,'Road transport'!$AX26)</f>
        <v/>
      </c>
      <c r="P26" s="237">
        <f>AVERAGEIFS(RoadTra_BY!X$2:X$999,RoadTra_BY!$B$2:$B$999,'Road transport'!$C26,RoadTra_BY!$C$2:$C$999,'Road transport'!$AX26)</f>
        <v/>
      </c>
      <c r="Q26" s="237">
        <f>AVERAGEIFS(RoadTra_BY!Y$2:Y$999,RoadTra_BY!$B$2:$B$999,'Road transport'!$C26,RoadTra_BY!$C$2:$C$999,'Road transport'!$AX26)</f>
        <v/>
      </c>
      <c r="R26" s="237">
        <f>AVERAGEIFS(RoadTra_BY!Z$2:Z$999,RoadTra_BY!$B$2:$B$999,'Road transport'!$C26,RoadTra_BY!$C$2:$C$999,'Road transport'!$AX26)</f>
        <v/>
      </c>
      <c r="S26" s="237">
        <f>AVERAGEIFS(RoadTra_BY!AA$2:AA$999,RoadTra_BY!$B$2:$B$999,'Road transport'!$C26,RoadTra_BY!$C$2:$C$999,'Road transport'!$AX26)</f>
        <v/>
      </c>
      <c r="T26" s="237">
        <f>AVERAGEIFS(RoadTra_BY!AB$2:AB$999,RoadTra_BY!$B$2:$B$999,'Road transport'!$C26,RoadTra_BY!$C$2:$C$999,'Road transport'!$AX26)</f>
        <v/>
      </c>
      <c r="U26" s="237">
        <f>AVERAGEIFS(RoadTra_BY!AC$2:AC$999,RoadTra_BY!$B$2:$B$999,'Road transport'!$C26,RoadTra_BY!$C$2:$C$999,'Road transport'!$AX26)</f>
        <v/>
      </c>
      <c r="V26" s="237">
        <f>AVERAGEIFS(RoadTra_BY!AD$2:AD$999,RoadTra_BY!$B$2:$B$999,'Road transport'!$C26,RoadTra_BY!$C$2:$C$999,'Road transport'!$AX26)</f>
        <v/>
      </c>
      <c r="W26" s="237">
        <f>AVERAGEIFS(RoadTra_BY!AE$2:AE$999,RoadTra_BY!$B$2:$B$999,'Road transport'!$C26,RoadTra_BY!$C$2:$C$999,'Road transport'!$AX26)</f>
        <v/>
      </c>
      <c r="X26" s="237">
        <f>AVERAGEIFS(RoadTra_BY!AF$2:AF$999,RoadTra_BY!$B$2:$B$999,'Road transport'!$C26,RoadTra_BY!$C$2:$C$999,'Road transport'!$AX26)</f>
        <v/>
      </c>
      <c r="Y26" s="237">
        <f>AVERAGEIFS(RoadTra_BY!AG$2:AG$999,RoadTra_BY!$B$2:$B$999,'Road transport'!$C26,RoadTra_BY!$C$2:$C$999,'Road transport'!$AX26)</f>
        <v/>
      </c>
      <c r="Z26" s="237">
        <f>AVERAGEIFS(RoadTra_BY!AH$2:AH$999,RoadTra_BY!$B$2:$B$999,'Road transport'!$C26,RoadTra_BY!$C$2:$C$999,'Road transport'!$AX26)</f>
        <v/>
      </c>
      <c r="AA26" s="237">
        <f>AVERAGEIFS(RoadTra_BY!AI$2:AI$999,RoadTra_BY!$B$2:$B$999,'Road transport'!$C26,RoadTra_BY!$C$2:$C$999,'Road transport'!$AX26)</f>
        <v/>
      </c>
      <c r="AB26" s="237">
        <f>AVERAGEIFS(RoadTra_BY!AJ$2:AJ$999,RoadTra_BY!$B$2:$B$999,'Road transport'!$C26,RoadTra_BY!$C$2:$C$999,'Road transport'!$AX26)</f>
        <v/>
      </c>
      <c r="AC26" s="237">
        <f>AVERAGEIFS(RoadTra_BY!AK$2:AK$999,RoadTra_BY!$B$2:$B$999,'Road transport'!$C26,RoadTra_BY!$C$2:$C$999,'Road transport'!$AX26)</f>
        <v/>
      </c>
      <c r="AD26" s="237">
        <f>AVERAGEIFS(RoadTra_BY!AL$2:AL$999,RoadTra_BY!$B$2:$B$999,'Road transport'!$C26,RoadTra_BY!$C$2:$C$999,'Road transport'!$AX26)</f>
        <v/>
      </c>
      <c r="AE26" s="237">
        <f>AVERAGEIFS(RoadTra_BY!AM$2:AM$999,RoadTra_BY!$B$2:$B$999,'Road transport'!$C26,RoadTra_BY!$C$2:$C$999,'Road transport'!$AX26)</f>
        <v/>
      </c>
      <c r="AF26" s="237">
        <f>AVERAGEIFS(RoadTra_BY!AN$2:AN$999,RoadTra_BY!$B$2:$B$999,'Road transport'!$C26,RoadTra_BY!$C$2:$C$999,'Road transport'!$AX26)</f>
        <v/>
      </c>
      <c r="AG26" s="237">
        <f>AVERAGEIFS(RoadTra_BY!AO$2:AO$999,RoadTra_BY!$B$2:$B$999,'Road transport'!$C26,RoadTra_BY!$C$2:$C$999,'Road transport'!$AX26)</f>
        <v/>
      </c>
      <c r="AH26" s="237">
        <f>AVERAGEIFS(RoadTra_BY!AP$2:AP$999,RoadTra_BY!$B$2:$B$999,'Road transport'!$C26,RoadTra_BY!$C$2:$C$999,'Road transport'!$AX26)</f>
        <v/>
      </c>
      <c r="AI26" s="237">
        <f>AVERAGEIFS(RoadTra_BY!AQ$2:AQ$999,RoadTra_BY!$B$2:$B$999,'Road transport'!$C26,RoadTra_BY!$C$2:$C$999,'Road transport'!$AX26)</f>
        <v/>
      </c>
      <c r="AJ26" s="237">
        <f>AVERAGEIFS(RoadTra_BY!AR$2:AR$999,RoadTra_BY!$B$2:$B$999,'Road transport'!$C26,RoadTra_BY!$C$2:$C$999,'Road transport'!$AX26)</f>
        <v/>
      </c>
      <c r="AK26" s="237">
        <f>AVERAGEIFS(RoadTra_BY!AS$2:AS$999,RoadTra_BY!$B$2:$B$999,'Road transport'!$C26,RoadTra_BY!$C$2:$C$999,'Road transport'!$AX26)</f>
        <v/>
      </c>
      <c r="AL26" s="237">
        <f>AVERAGEIFS(RoadTra_BY!AT$2:AT$999,RoadTra_BY!$B$2:$B$999,'Road transport'!$C26,RoadTra_BY!$C$2:$C$999,'Road transport'!$AX26)</f>
        <v/>
      </c>
      <c r="AM26" s="237">
        <f>AVERAGEIFS(RoadTra_BY!AU$2:AU$999,RoadTra_BY!$B$2:$B$999,'Road transport'!$C26,RoadTra_BY!$C$2:$C$999,'Road transport'!$AX26)</f>
        <v/>
      </c>
      <c r="AN26" s="237">
        <f>AVERAGEIFS(RoadTra_BY!AV$2:AV$999,RoadTra_BY!$B$2:$B$999,'Road transport'!$C26,RoadTra_BY!$C$2:$C$999,'Road transport'!$AX26)</f>
        <v/>
      </c>
      <c r="AO26" s="237">
        <f>AVERAGEIFS(RoadTra_BY!AW$2:AW$999,RoadTra_BY!$B$2:$B$999,'Road transport'!$C26,RoadTra_BY!$C$2:$C$999,'Road transport'!$AX26)</f>
        <v/>
      </c>
      <c r="AP26" s="237">
        <f>AVERAGEIFS(RoadTra_BY!AX$2:AX$999,RoadTra_BY!$B$2:$B$999,'Road transport'!$C26,RoadTra_BY!$C$2:$C$999,'Road transport'!$AX26)</f>
        <v/>
      </c>
      <c r="AQ26" s="237">
        <f>AVERAGEIFS(RoadTra_BY!AY$2:AY$999,RoadTra_BY!$B$2:$B$999,'Road transport'!$C26,RoadTra_BY!$C$2:$C$999,'Road transport'!$AX26)</f>
        <v/>
      </c>
      <c r="AR26" s="237">
        <f>AVERAGEIFS(RoadTra_BY!AZ$2:AZ$999,RoadTra_BY!$B$2:$B$999,'Road transport'!$C26,RoadTra_BY!$C$2:$C$999,'Road transport'!$AX26)</f>
        <v/>
      </c>
      <c r="AS26" s="237">
        <f>AVERAGEIFS(RoadTra_BY!BA$2:BA$999,RoadTra_BY!$B$2:$B$999,'Road transport'!$C26,RoadTra_BY!$C$2:$C$999,'Road transport'!$AX26)</f>
        <v/>
      </c>
      <c r="AT26" s="237">
        <f>AVERAGEIFS(RoadTra_BY!BB$2:BB$999,RoadTra_BY!$B$2:$B$999,'Road transport'!$C26,RoadTra_BY!$C$2:$C$999,'Road transport'!$AX26)</f>
        <v/>
      </c>
      <c r="AU26" s="237">
        <f>AVERAGEIFS(RoadTra_BY!BC$2:BC$999,RoadTra_BY!$B$2:$B$999,'Road transport'!$C26,RoadTra_BY!$C$2:$C$999,'Road transport'!$AX26)</f>
        <v/>
      </c>
      <c r="AV26" s="237">
        <f>AVERAGEIFS(RoadTra_BY!BD$2:BD$999,RoadTra_BY!$B$2:$B$999,'Road transport'!$C26,RoadTra_BY!$C$2:$C$999,'Road transport'!$AX26)</f>
        <v/>
      </c>
      <c r="AW26" s="237">
        <f>AVERAGEIFS(RoadTra_BY!BE$2:BE$999,RoadTra_BY!$B$2:$B$999,'Road transport'!$C26,RoadTra_BY!$C$2:$C$999,'Road transport'!$AX26)</f>
        <v/>
      </c>
      <c r="AX26" t="inlineStr">
        <is>
          <t>Trd_car*</t>
        </is>
      </c>
    </row>
    <row r="27" ht="12.5" customHeight="1" s="213">
      <c r="C27" t="inlineStr">
        <is>
          <t>AF</t>
        </is>
      </c>
      <c r="D27" s="237">
        <f>AVERAGEIFS(RoadTra_BY!L$2:L$999,RoadTra_BY!$B$2:$B$999,'Road transport'!$C27,RoadTra_BY!$C$2:$C$999,'Road transport'!$AX27)</f>
        <v/>
      </c>
      <c r="E27" s="237">
        <f>AVERAGEIFS(RoadTra_BY!M$2:M$999,RoadTra_BY!$B$2:$B$999,'Road transport'!$C27,RoadTra_BY!$C$2:$C$999,'Road transport'!$AX27)</f>
        <v/>
      </c>
      <c r="F27" s="237">
        <f>AVERAGEIFS(RoadTra_BY!N$2:N$999,RoadTra_BY!$B$2:$B$999,'Road transport'!$C27,RoadTra_BY!$C$2:$C$999,'Road transport'!$AX27)</f>
        <v/>
      </c>
      <c r="G27" s="237">
        <f>AVERAGEIFS(RoadTra_BY!O$2:O$999,RoadTra_BY!$B$2:$B$999,'Road transport'!$C27,RoadTra_BY!$C$2:$C$999,'Road transport'!$AX27)</f>
        <v/>
      </c>
      <c r="H27" s="237">
        <f>AVERAGEIFS(RoadTra_BY!P$2:P$999,RoadTra_BY!$B$2:$B$999,'Road transport'!$C27,RoadTra_BY!$C$2:$C$999,'Road transport'!$AX27)</f>
        <v/>
      </c>
      <c r="I27" s="237">
        <f>AVERAGEIFS(RoadTra_BY!Q$2:Q$999,RoadTra_BY!$B$2:$B$999,'Road transport'!$C27,RoadTra_BY!$C$2:$C$999,'Road transport'!$AX27)</f>
        <v/>
      </c>
      <c r="J27" s="237">
        <f>AVERAGEIFS(RoadTra_BY!R$2:R$999,RoadTra_BY!$B$2:$B$999,'Road transport'!$C27,RoadTra_BY!$C$2:$C$999,'Road transport'!$AX27)</f>
        <v/>
      </c>
      <c r="K27" s="237">
        <f>AVERAGEIFS(RoadTra_BY!S$2:S$999,RoadTra_BY!$B$2:$B$999,'Road transport'!$C27,RoadTra_BY!$C$2:$C$999,'Road transport'!$AX27)</f>
        <v/>
      </c>
      <c r="L27" s="237">
        <f>AVERAGEIFS(RoadTra_BY!T$2:T$999,RoadTra_BY!$B$2:$B$999,'Road transport'!$C27,RoadTra_BY!$C$2:$C$999,'Road transport'!$AX27)</f>
        <v/>
      </c>
      <c r="M27" s="237">
        <f>AVERAGEIFS(RoadTra_BY!U$2:U$999,RoadTra_BY!$B$2:$B$999,'Road transport'!$C27,RoadTra_BY!$C$2:$C$999,'Road transport'!$AX27)</f>
        <v/>
      </c>
      <c r="N27" s="237">
        <f>AVERAGEIFS(RoadTra_BY!V$2:V$999,RoadTra_BY!$B$2:$B$999,'Road transport'!$C27,RoadTra_BY!$C$2:$C$999,'Road transport'!$AX27)</f>
        <v/>
      </c>
      <c r="O27" s="237">
        <f>AVERAGEIFS(RoadTra_BY!W$2:W$999,RoadTra_BY!$B$2:$B$999,'Road transport'!$C27,RoadTra_BY!$C$2:$C$999,'Road transport'!$AX27)</f>
        <v/>
      </c>
      <c r="P27" s="237">
        <f>AVERAGEIFS(RoadTra_BY!X$2:X$999,RoadTra_BY!$B$2:$B$999,'Road transport'!$C27,RoadTra_BY!$C$2:$C$999,'Road transport'!$AX27)</f>
        <v/>
      </c>
      <c r="Q27" s="237">
        <f>AVERAGEIFS(RoadTra_BY!Y$2:Y$999,RoadTra_BY!$B$2:$B$999,'Road transport'!$C27,RoadTra_BY!$C$2:$C$999,'Road transport'!$AX27)</f>
        <v/>
      </c>
      <c r="R27" s="237">
        <f>AVERAGEIFS(RoadTra_BY!Z$2:Z$999,RoadTra_BY!$B$2:$B$999,'Road transport'!$C27,RoadTra_BY!$C$2:$C$999,'Road transport'!$AX27)</f>
        <v/>
      </c>
      <c r="S27" s="237">
        <f>AVERAGEIFS(RoadTra_BY!AA$2:AA$999,RoadTra_BY!$B$2:$B$999,'Road transport'!$C27,RoadTra_BY!$C$2:$C$999,'Road transport'!$AX27)</f>
        <v/>
      </c>
      <c r="T27" s="237">
        <f>AVERAGEIFS(RoadTra_BY!AB$2:AB$999,RoadTra_BY!$B$2:$B$999,'Road transport'!$C27,RoadTra_BY!$C$2:$C$999,'Road transport'!$AX27)</f>
        <v/>
      </c>
      <c r="U27" s="237">
        <f>AVERAGEIFS(RoadTra_BY!AC$2:AC$999,RoadTra_BY!$B$2:$B$999,'Road transport'!$C27,RoadTra_BY!$C$2:$C$999,'Road transport'!$AX27)</f>
        <v/>
      </c>
      <c r="V27" s="237">
        <f>AVERAGEIFS(RoadTra_BY!AD$2:AD$999,RoadTra_BY!$B$2:$B$999,'Road transport'!$C27,RoadTra_BY!$C$2:$C$999,'Road transport'!$AX27)</f>
        <v/>
      </c>
      <c r="W27" s="237">
        <f>AVERAGEIFS(RoadTra_BY!AE$2:AE$999,RoadTra_BY!$B$2:$B$999,'Road transport'!$C27,RoadTra_BY!$C$2:$C$999,'Road transport'!$AX27)</f>
        <v/>
      </c>
      <c r="X27" s="237">
        <f>AVERAGEIFS(RoadTra_BY!AF$2:AF$999,RoadTra_BY!$B$2:$B$999,'Road transport'!$C27,RoadTra_BY!$C$2:$C$999,'Road transport'!$AX27)</f>
        <v/>
      </c>
      <c r="Y27" s="237">
        <f>AVERAGEIFS(RoadTra_BY!AG$2:AG$999,RoadTra_BY!$B$2:$B$999,'Road transport'!$C27,RoadTra_BY!$C$2:$C$999,'Road transport'!$AX27)</f>
        <v/>
      </c>
      <c r="Z27" s="237">
        <f>AVERAGEIFS(RoadTra_BY!AH$2:AH$999,RoadTra_BY!$B$2:$B$999,'Road transport'!$C27,RoadTra_BY!$C$2:$C$999,'Road transport'!$AX27)</f>
        <v/>
      </c>
      <c r="AA27" s="237">
        <f>AVERAGEIFS(RoadTra_BY!AI$2:AI$999,RoadTra_BY!$B$2:$B$999,'Road transport'!$C27,RoadTra_BY!$C$2:$C$999,'Road transport'!$AX27)</f>
        <v/>
      </c>
      <c r="AB27" s="237">
        <f>AVERAGEIFS(RoadTra_BY!AJ$2:AJ$999,RoadTra_BY!$B$2:$B$999,'Road transport'!$C27,RoadTra_BY!$C$2:$C$999,'Road transport'!$AX27)</f>
        <v/>
      </c>
      <c r="AC27" s="237">
        <f>AVERAGEIFS(RoadTra_BY!AK$2:AK$999,RoadTra_BY!$B$2:$B$999,'Road transport'!$C27,RoadTra_BY!$C$2:$C$999,'Road transport'!$AX27)</f>
        <v/>
      </c>
      <c r="AD27" s="237">
        <f>AVERAGEIFS(RoadTra_BY!AL$2:AL$999,RoadTra_BY!$B$2:$B$999,'Road transport'!$C27,RoadTra_BY!$C$2:$C$999,'Road transport'!$AX27)</f>
        <v/>
      </c>
      <c r="AE27" s="237">
        <f>AVERAGEIFS(RoadTra_BY!AM$2:AM$999,RoadTra_BY!$B$2:$B$999,'Road transport'!$C27,RoadTra_BY!$C$2:$C$999,'Road transport'!$AX27)</f>
        <v/>
      </c>
      <c r="AF27" s="237">
        <f>AVERAGEIFS(RoadTra_BY!AN$2:AN$999,RoadTra_BY!$B$2:$B$999,'Road transport'!$C27,RoadTra_BY!$C$2:$C$999,'Road transport'!$AX27)</f>
        <v/>
      </c>
      <c r="AG27" s="237">
        <f>AVERAGEIFS(RoadTra_BY!AO$2:AO$999,RoadTra_BY!$B$2:$B$999,'Road transport'!$C27,RoadTra_BY!$C$2:$C$999,'Road transport'!$AX27)</f>
        <v/>
      </c>
      <c r="AH27" s="237">
        <f>AVERAGEIFS(RoadTra_BY!AP$2:AP$999,RoadTra_BY!$B$2:$B$999,'Road transport'!$C27,RoadTra_BY!$C$2:$C$999,'Road transport'!$AX27)</f>
        <v/>
      </c>
      <c r="AI27" s="237">
        <f>AVERAGEIFS(RoadTra_BY!AQ$2:AQ$999,RoadTra_BY!$B$2:$B$999,'Road transport'!$C27,RoadTra_BY!$C$2:$C$999,'Road transport'!$AX27)</f>
        <v/>
      </c>
      <c r="AJ27" s="237">
        <f>AVERAGEIFS(RoadTra_BY!AR$2:AR$999,RoadTra_BY!$B$2:$B$999,'Road transport'!$C27,RoadTra_BY!$C$2:$C$999,'Road transport'!$AX27)</f>
        <v/>
      </c>
      <c r="AK27" s="237">
        <f>AVERAGEIFS(RoadTra_BY!AS$2:AS$999,RoadTra_BY!$B$2:$B$999,'Road transport'!$C27,RoadTra_BY!$C$2:$C$999,'Road transport'!$AX27)</f>
        <v/>
      </c>
      <c r="AL27" s="237">
        <f>AVERAGEIFS(RoadTra_BY!AT$2:AT$999,RoadTra_BY!$B$2:$B$999,'Road transport'!$C27,RoadTra_BY!$C$2:$C$999,'Road transport'!$AX27)</f>
        <v/>
      </c>
      <c r="AM27" s="237">
        <f>AVERAGEIFS(RoadTra_BY!AU$2:AU$999,RoadTra_BY!$B$2:$B$999,'Road transport'!$C27,RoadTra_BY!$C$2:$C$999,'Road transport'!$AX27)</f>
        <v/>
      </c>
      <c r="AN27" s="237">
        <f>AVERAGEIFS(RoadTra_BY!AV$2:AV$999,RoadTra_BY!$B$2:$B$999,'Road transport'!$C27,RoadTra_BY!$C$2:$C$999,'Road transport'!$AX27)</f>
        <v/>
      </c>
      <c r="AO27" s="237">
        <f>AVERAGEIFS(RoadTra_BY!AW$2:AW$999,RoadTra_BY!$B$2:$B$999,'Road transport'!$C27,RoadTra_BY!$C$2:$C$999,'Road transport'!$AX27)</f>
        <v/>
      </c>
      <c r="AP27" s="237">
        <f>AVERAGEIFS(RoadTra_BY!AX$2:AX$999,RoadTra_BY!$B$2:$B$999,'Road transport'!$C27,RoadTra_BY!$C$2:$C$999,'Road transport'!$AX27)</f>
        <v/>
      </c>
      <c r="AQ27" s="237">
        <f>AVERAGEIFS(RoadTra_BY!AY$2:AY$999,RoadTra_BY!$B$2:$B$999,'Road transport'!$C27,RoadTra_BY!$C$2:$C$999,'Road transport'!$AX27)</f>
        <v/>
      </c>
      <c r="AR27" s="237">
        <f>AVERAGEIFS(RoadTra_BY!AZ$2:AZ$999,RoadTra_BY!$B$2:$B$999,'Road transport'!$C27,RoadTra_BY!$C$2:$C$999,'Road transport'!$AX27)</f>
        <v/>
      </c>
      <c r="AS27" s="237">
        <f>AVERAGEIFS(RoadTra_BY!BA$2:BA$999,RoadTra_BY!$B$2:$B$999,'Road transport'!$C27,RoadTra_BY!$C$2:$C$999,'Road transport'!$AX27)</f>
        <v/>
      </c>
      <c r="AT27" s="237">
        <f>AVERAGEIFS(RoadTra_BY!BB$2:BB$999,RoadTra_BY!$B$2:$B$999,'Road transport'!$C27,RoadTra_BY!$C$2:$C$999,'Road transport'!$AX27)</f>
        <v/>
      </c>
      <c r="AU27" s="237">
        <f>AVERAGEIFS(RoadTra_BY!BC$2:BC$999,RoadTra_BY!$B$2:$B$999,'Road transport'!$C27,RoadTra_BY!$C$2:$C$999,'Road transport'!$AX27)</f>
        <v/>
      </c>
      <c r="AV27" s="237">
        <f>AVERAGEIFS(RoadTra_BY!BD$2:BD$999,RoadTra_BY!$B$2:$B$999,'Road transport'!$C27,RoadTra_BY!$C$2:$C$999,'Road transport'!$AX27)</f>
        <v/>
      </c>
      <c r="AW27" s="237">
        <f>AVERAGEIFS(RoadTra_BY!BE$2:BE$999,RoadTra_BY!$B$2:$B$999,'Road transport'!$C27,RoadTra_BY!$C$2:$C$999,'Road transport'!$AX27)</f>
        <v/>
      </c>
      <c r="AX27" t="inlineStr">
        <is>
          <t>Trd_hdt*</t>
        </is>
      </c>
    </row>
    <row r="28" ht="12.5" customHeight="1" s="213">
      <c r="C28" t="inlineStr">
        <is>
          <t>AF</t>
        </is>
      </c>
      <c r="D28" s="237">
        <f>AVERAGEIFS(RoadTra_BY!L$2:L$999,RoadTra_BY!$B$2:$B$999,'Road transport'!$C28,RoadTra_BY!$C$2:$C$999,'Road transport'!$AX28)</f>
        <v/>
      </c>
      <c r="E28" s="237">
        <f>AVERAGEIFS(RoadTra_BY!M$2:M$999,RoadTra_BY!$B$2:$B$999,'Road transport'!$C28,RoadTra_BY!$C$2:$C$999,'Road transport'!$AX28)</f>
        <v/>
      </c>
      <c r="F28" s="237">
        <f>AVERAGEIFS(RoadTra_BY!N$2:N$999,RoadTra_BY!$B$2:$B$999,'Road transport'!$C28,RoadTra_BY!$C$2:$C$999,'Road transport'!$AX28)</f>
        <v/>
      </c>
      <c r="G28" s="237">
        <f>AVERAGEIFS(RoadTra_BY!O$2:O$999,RoadTra_BY!$B$2:$B$999,'Road transport'!$C28,RoadTra_BY!$C$2:$C$999,'Road transport'!$AX28)</f>
        <v/>
      </c>
      <c r="H28" s="237">
        <f>AVERAGEIFS(RoadTra_BY!P$2:P$999,RoadTra_BY!$B$2:$B$999,'Road transport'!$C28,RoadTra_BY!$C$2:$C$999,'Road transport'!$AX28)</f>
        <v/>
      </c>
      <c r="I28" s="237">
        <f>AVERAGEIFS(RoadTra_BY!Q$2:Q$999,RoadTra_BY!$B$2:$B$999,'Road transport'!$C28,RoadTra_BY!$C$2:$C$999,'Road transport'!$AX28)</f>
        <v/>
      </c>
      <c r="J28" s="237">
        <f>AVERAGEIFS(RoadTra_BY!R$2:R$999,RoadTra_BY!$B$2:$B$999,'Road transport'!$C28,RoadTra_BY!$C$2:$C$999,'Road transport'!$AX28)</f>
        <v/>
      </c>
      <c r="K28" s="237">
        <f>AVERAGEIFS(RoadTra_BY!S$2:S$999,RoadTra_BY!$B$2:$B$999,'Road transport'!$C28,RoadTra_BY!$C$2:$C$999,'Road transport'!$AX28)</f>
        <v/>
      </c>
      <c r="L28" s="237">
        <f>AVERAGEIFS(RoadTra_BY!T$2:T$999,RoadTra_BY!$B$2:$B$999,'Road transport'!$C28,RoadTra_BY!$C$2:$C$999,'Road transport'!$AX28)</f>
        <v/>
      </c>
      <c r="M28" s="237">
        <f>AVERAGEIFS(RoadTra_BY!U$2:U$999,RoadTra_BY!$B$2:$B$999,'Road transport'!$C28,RoadTra_BY!$C$2:$C$999,'Road transport'!$AX28)</f>
        <v/>
      </c>
      <c r="N28" s="237">
        <f>AVERAGEIFS(RoadTra_BY!V$2:V$999,RoadTra_BY!$B$2:$B$999,'Road transport'!$C28,RoadTra_BY!$C$2:$C$999,'Road transport'!$AX28)</f>
        <v/>
      </c>
      <c r="O28" s="237">
        <f>AVERAGEIFS(RoadTra_BY!W$2:W$999,RoadTra_BY!$B$2:$B$999,'Road transport'!$C28,RoadTra_BY!$C$2:$C$999,'Road transport'!$AX28)</f>
        <v/>
      </c>
      <c r="P28" s="237">
        <f>AVERAGEIFS(RoadTra_BY!X$2:X$999,RoadTra_BY!$B$2:$B$999,'Road transport'!$C28,RoadTra_BY!$C$2:$C$999,'Road transport'!$AX28)</f>
        <v/>
      </c>
      <c r="Q28" s="237">
        <f>AVERAGEIFS(RoadTra_BY!Y$2:Y$999,RoadTra_BY!$B$2:$B$999,'Road transport'!$C28,RoadTra_BY!$C$2:$C$999,'Road transport'!$AX28)</f>
        <v/>
      </c>
      <c r="R28" s="237">
        <f>AVERAGEIFS(RoadTra_BY!Z$2:Z$999,RoadTra_BY!$B$2:$B$999,'Road transport'!$C28,RoadTra_BY!$C$2:$C$999,'Road transport'!$AX28)</f>
        <v/>
      </c>
      <c r="S28" s="237">
        <f>AVERAGEIFS(RoadTra_BY!AA$2:AA$999,RoadTra_BY!$B$2:$B$999,'Road transport'!$C28,RoadTra_BY!$C$2:$C$999,'Road transport'!$AX28)</f>
        <v/>
      </c>
      <c r="T28" s="237">
        <f>AVERAGEIFS(RoadTra_BY!AB$2:AB$999,RoadTra_BY!$B$2:$B$999,'Road transport'!$C28,RoadTra_BY!$C$2:$C$999,'Road transport'!$AX28)</f>
        <v/>
      </c>
      <c r="U28" s="237">
        <f>AVERAGEIFS(RoadTra_BY!AC$2:AC$999,RoadTra_BY!$B$2:$B$999,'Road transport'!$C28,RoadTra_BY!$C$2:$C$999,'Road transport'!$AX28)</f>
        <v/>
      </c>
      <c r="V28" s="237">
        <f>AVERAGEIFS(RoadTra_BY!AD$2:AD$999,RoadTra_BY!$B$2:$B$999,'Road transport'!$C28,RoadTra_BY!$C$2:$C$999,'Road transport'!$AX28)</f>
        <v/>
      </c>
      <c r="W28" s="237">
        <f>AVERAGEIFS(RoadTra_BY!AE$2:AE$999,RoadTra_BY!$B$2:$B$999,'Road transport'!$C28,RoadTra_BY!$C$2:$C$999,'Road transport'!$AX28)</f>
        <v/>
      </c>
      <c r="X28" s="237">
        <f>AVERAGEIFS(RoadTra_BY!AF$2:AF$999,RoadTra_BY!$B$2:$B$999,'Road transport'!$C28,RoadTra_BY!$C$2:$C$999,'Road transport'!$AX28)</f>
        <v/>
      </c>
      <c r="Y28" s="237">
        <f>AVERAGEIFS(RoadTra_BY!AG$2:AG$999,RoadTra_BY!$B$2:$B$999,'Road transport'!$C28,RoadTra_BY!$C$2:$C$999,'Road transport'!$AX28)</f>
        <v/>
      </c>
      <c r="Z28" s="237">
        <f>AVERAGEIFS(RoadTra_BY!AH$2:AH$999,RoadTra_BY!$B$2:$B$999,'Road transport'!$C28,RoadTra_BY!$C$2:$C$999,'Road transport'!$AX28)</f>
        <v/>
      </c>
      <c r="AA28" s="237">
        <f>AVERAGEIFS(RoadTra_BY!AI$2:AI$999,RoadTra_BY!$B$2:$B$999,'Road transport'!$C28,RoadTra_BY!$C$2:$C$999,'Road transport'!$AX28)</f>
        <v/>
      </c>
      <c r="AB28" s="237">
        <f>AVERAGEIFS(RoadTra_BY!AJ$2:AJ$999,RoadTra_BY!$B$2:$B$999,'Road transport'!$C28,RoadTra_BY!$C$2:$C$999,'Road transport'!$AX28)</f>
        <v/>
      </c>
      <c r="AC28" s="237">
        <f>AVERAGEIFS(RoadTra_BY!AK$2:AK$999,RoadTra_BY!$B$2:$B$999,'Road transport'!$C28,RoadTra_BY!$C$2:$C$999,'Road transport'!$AX28)</f>
        <v/>
      </c>
      <c r="AD28" s="237">
        <f>AVERAGEIFS(RoadTra_BY!AL$2:AL$999,RoadTra_BY!$B$2:$B$999,'Road transport'!$C28,RoadTra_BY!$C$2:$C$999,'Road transport'!$AX28)</f>
        <v/>
      </c>
      <c r="AE28" s="237">
        <f>AVERAGEIFS(RoadTra_BY!AM$2:AM$999,RoadTra_BY!$B$2:$B$999,'Road transport'!$C28,RoadTra_BY!$C$2:$C$999,'Road transport'!$AX28)</f>
        <v/>
      </c>
      <c r="AF28" s="237">
        <f>AVERAGEIFS(RoadTra_BY!AN$2:AN$999,RoadTra_BY!$B$2:$B$999,'Road transport'!$C28,RoadTra_BY!$C$2:$C$999,'Road transport'!$AX28)</f>
        <v/>
      </c>
      <c r="AG28" s="237">
        <f>AVERAGEIFS(RoadTra_BY!AO$2:AO$999,RoadTra_BY!$B$2:$B$999,'Road transport'!$C28,RoadTra_BY!$C$2:$C$999,'Road transport'!$AX28)</f>
        <v/>
      </c>
      <c r="AH28" s="237">
        <f>AVERAGEIFS(RoadTra_BY!AP$2:AP$999,RoadTra_BY!$B$2:$B$999,'Road transport'!$C28,RoadTra_BY!$C$2:$C$999,'Road transport'!$AX28)</f>
        <v/>
      </c>
      <c r="AI28" s="237">
        <f>AVERAGEIFS(RoadTra_BY!AQ$2:AQ$999,RoadTra_BY!$B$2:$B$999,'Road transport'!$C28,RoadTra_BY!$C$2:$C$999,'Road transport'!$AX28)</f>
        <v/>
      </c>
      <c r="AJ28" s="237">
        <f>AVERAGEIFS(RoadTra_BY!AR$2:AR$999,RoadTra_BY!$B$2:$B$999,'Road transport'!$C28,RoadTra_BY!$C$2:$C$999,'Road transport'!$AX28)</f>
        <v/>
      </c>
      <c r="AK28" s="237">
        <f>AVERAGEIFS(RoadTra_BY!AS$2:AS$999,RoadTra_BY!$B$2:$B$999,'Road transport'!$C28,RoadTra_BY!$C$2:$C$999,'Road transport'!$AX28)</f>
        <v/>
      </c>
      <c r="AL28" s="237">
        <f>AVERAGEIFS(RoadTra_BY!AT$2:AT$999,RoadTra_BY!$B$2:$B$999,'Road transport'!$C28,RoadTra_BY!$C$2:$C$999,'Road transport'!$AX28)</f>
        <v/>
      </c>
      <c r="AM28" s="237">
        <f>AVERAGEIFS(RoadTra_BY!AU$2:AU$999,RoadTra_BY!$B$2:$B$999,'Road transport'!$C28,RoadTra_BY!$C$2:$C$999,'Road transport'!$AX28)</f>
        <v/>
      </c>
      <c r="AN28" s="237">
        <f>AVERAGEIFS(RoadTra_BY!AV$2:AV$999,RoadTra_BY!$B$2:$B$999,'Road transport'!$C28,RoadTra_BY!$C$2:$C$999,'Road transport'!$AX28)</f>
        <v/>
      </c>
      <c r="AO28" s="237">
        <f>AVERAGEIFS(RoadTra_BY!AW$2:AW$999,RoadTra_BY!$B$2:$B$999,'Road transport'!$C28,RoadTra_BY!$C$2:$C$999,'Road transport'!$AX28)</f>
        <v/>
      </c>
      <c r="AP28" s="237">
        <f>AVERAGEIFS(RoadTra_BY!AX$2:AX$999,RoadTra_BY!$B$2:$B$999,'Road transport'!$C28,RoadTra_BY!$C$2:$C$999,'Road transport'!$AX28)</f>
        <v/>
      </c>
      <c r="AQ28" s="237">
        <f>AVERAGEIFS(RoadTra_BY!AY$2:AY$999,RoadTra_BY!$B$2:$B$999,'Road transport'!$C28,RoadTra_BY!$C$2:$C$999,'Road transport'!$AX28)</f>
        <v/>
      </c>
      <c r="AR28" s="237">
        <f>AVERAGEIFS(RoadTra_BY!AZ$2:AZ$999,RoadTra_BY!$B$2:$B$999,'Road transport'!$C28,RoadTra_BY!$C$2:$C$999,'Road transport'!$AX28)</f>
        <v/>
      </c>
      <c r="AS28" s="237">
        <f>AVERAGEIFS(RoadTra_BY!BA$2:BA$999,RoadTra_BY!$B$2:$B$999,'Road transport'!$C28,RoadTra_BY!$C$2:$C$999,'Road transport'!$AX28)</f>
        <v/>
      </c>
      <c r="AT28" s="237">
        <f>AVERAGEIFS(RoadTra_BY!BB$2:BB$999,RoadTra_BY!$B$2:$B$999,'Road transport'!$C28,RoadTra_BY!$C$2:$C$999,'Road transport'!$AX28)</f>
        <v/>
      </c>
      <c r="AU28" s="237">
        <f>AVERAGEIFS(RoadTra_BY!BC$2:BC$999,RoadTra_BY!$B$2:$B$999,'Road transport'!$C28,RoadTra_BY!$C$2:$C$999,'Road transport'!$AX28)</f>
        <v/>
      </c>
      <c r="AV28" s="237">
        <f>AVERAGEIFS(RoadTra_BY!BD$2:BD$999,RoadTra_BY!$B$2:$B$999,'Road transport'!$C28,RoadTra_BY!$C$2:$C$999,'Road transport'!$AX28)</f>
        <v/>
      </c>
      <c r="AW28" s="237">
        <f>AVERAGEIFS(RoadTra_BY!BE$2:BE$999,RoadTra_BY!$B$2:$B$999,'Road transport'!$C28,RoadTra_BY!$C$2:$C$999,'Road transport'!$AX28)</f>
        <v/>
      </c>
      <c r="AX28" t="inlineStr">
        <is>
          <t>Trd_lcv*</t>
        </is>
      </c>
    </row>
    <row r="31" ht="12.5" customHeight="1" s="213">
      <c r="C31" t="inlineStr">
        <is>
          <t>~TFM_UPD</t>
        </is>
      </c>
    </row>
    <row r="32" ht="12.5" customHeight="1" s="213">
      <c r="C32" t="inlineStr">
        <is>
          <t>attribute</t>
        </is>
      </c>
      <c r="D32">
        <f>IF(RoadTra_BY!L$1="","\I:",RoadTra_BY!L$1)</f>
        <v/>
      </c>
      <c r="E32">
        <f>IF(RoadTra_BY!M$1="","\I:",RoadTra_BY!M$1)</f>
        <v/>
      </c>
      <c r="F32">
        <f>IF(RoadTra_BY!N$1="","\I:",RoadTra_BY!N$1)</f>
        <v/>
      </c>
      <c r="G32">
        <f>IF(RoadTra_BY!O$1="","\I:",RoadTra_BY!O$1)</f>
        <v/>
      </c>
      <c r="H32">
        <f>IF(RoadTra_BY!P$1="","\I:",RoadTra_BY!P$1)</f>
        <v/>
      </c>
      <c r="I32">
        <f>IF(RoadTra_BY!Q$1="","\I:",RoadTra_BY!Q$1)</f>
        <v/>
      </c>
      <c r="J32">
        <f>IF(RoadTra_BY!R$1="","\I:",RoadTra_BY!R$1)</f>
        <v/>
      </c>
      <c r="K32">
        <f>IF(RoadTra_BY!S$1="","\I:",RoadTra_BY!S$1)</f>
        <v/>
      </c>
      <c r="L32">
        <f>IF(RoadTra_BY!T$1="","\I:",RoadTra_BY!T$1)</f>
        <v/>
      </c>
      <c r="M32">
        <f>IF(RoadTra_BY!U$1="","\I:",RoadTra_BY!U$1)</f>
        <v/>
      </c>
      <c r="N32">
        <f>IF(RoadTra_BY!V$1="","\I:",RoadTra_BY!V$1)</f>
        <v/>
      </c>
      <c r="O32">
        <f>IF(RoadTra_BY!W$1="","\I:",RoadTra_BY!W$1)</f>
        <v/>
      </c>
      <c r="P32">
        <f>IF(RoadTra_BY!X$1="","\I:",RoadTra_BY!X$1)</f>
        <v/>
      </c>
      <c r="Q32">
        <f>IF(RoadTra_BY!Y$1="","\I:",RoadTra_BY!Y$1)</f>
        <v/>
      </c>
      <c r="R32">
        <f>IF(RoadTra_BY!Z$1="","\I:",RoadTra_BY!Z$1)</f>
        <v/>
      </c>
      <c r="S32">
        <f>IF(RoadTra_BY!AA$1="","\I:",RoadTra_BY!AA$1)</f>
        <v/>
      </c>
      <c r="T32">
        <f>IF(RoadTra_BY!AB$1="","\I:",RoadTra_BY!AB$1)</f>
        <v/>
      </c>
      <c r="U32">
        <f>IF(RoadTra_BY!AC$1="","\I:",RoadTra_BY!AC$1)</f>
        <v/>
      </c>
      <c r="V32">
        <f>IF(RoadTra_BY!AD$1="","\I:",RoadTra_BY!AD$1)</f>
        <v/>
      </c>
      <c r="W32">
        <f>IF(RoadTra_BY!AE$1="","\I:",RoadTra_BY!AE$1)</f>
        <v/>
      </c>
      <c r="X32">
        <f>IF(RoadTra_BY!AF$1="","\I:",RoadTra_BY!AF$1)</f>
        <v/>
      </c>
      <c r="Y32">
        <f>IF(RoadTra_BY!AG$1="","\I:",RoadTra_BY!AG$1)</f>
        <v/>
      </c>
      <c r="Z32">
        <f>IF(RoadTra_BY!AH$1="","\I:",RoadTra_BY!AH$1)</f>
        <v/>
      </c>
      <c r="AA32">
        <f>IF(RoadTra_BY!AI$1="","\I:",RoadTra_BY!AI$1)</f>
        <v/>
      </c>
      <c r="AB32">
        <f>IF(RoadTra_BY!AJ$1="","\I:",RoadTra_BY!AJ$1)</f>
        <v/>
      </c>
      <c r="AC32">
        <f>IF(RoadTra_BY!AK$1="","\I:",RoadTra_BY!AK$1)</f>
        <v/>
      </c>
      <c r="AD32">
        <f>IF(RoadTra_BY!AL$1="","\I:",RoadTra_BY!AL$1)</f>
        <v/>
      </c>
      <c r="AE32">
        <f>IF(RoadTra_BY!AM$1="","\I:",RoadTra_BY!AM$1)</f>
        <v/>
      </c>
      <c r="AF32">
        <f>IF(RoadTra_BY!AN$1="","\I:",RoadTra_BY!AN$1)</f>
        <v/>
      </c>
      <c r="AG32">
        <f>IF(RoadTra_BY!AO$1="","\I:",RoadTra_BY!AO$1)</f>
        <v/>
      </c>
      <c r="AH32">
        <f>IF(RoadTra_BY!AP$1="","\I:",RoadTra_BY!AP$1)</f>
        <v/>
      </c>
      <c r="AI32">
        <f>IF(RoadTra_BY!AQ$1="","\I:",RoadTra_BY!AQ$1)</f>
        <v/>
      </c>
      <c r="AJ32">
        <f>IF(RoadTra_BY!AR$1="","\I:",RoadTra_BY!AR$1)</f>
        <v/>
      </c>
      <c r="AK32">
        <f>IF(RoadTra_BY!AS$1="","\I:",RoadTra_BY!AS$1)</f>
        <v/>
      </c>
      <c r="AL32">
        <f>IF(RoadTra_BY!AT$1="","\I:",RoadTra_BY!AT$1)</f>
        <v/>
      </c>
      <c r="AM32">
        <f>IF(RoadTra_BY!AU$1="","\I:",RoadTra_BY!AU$1)</f>
        <v/>
      </c>
      <c r="AN32">
        <f>IF(RoadTra_BY!AV$1="","\I:",RoadTra_BY!AV$1)</f>
        <v/>
      </c>
      <c r="AO32">
        <f>IF(RoadTra_BY!AW$1="","\I:",RoadTra_BY!AW$1)</f>
        <v/>
      </c>
      <c r="AP32">
        <f>IF(RoadTra_BY!AX$1="","\I:",RoadTra_BY!AX$1)</f>
        <v/>
      </c>
      <c r="AQ32">
        <f>IF(RoadTra_BY!AY$1="","\I:",RoadTra_BY!AY$1)</f>
        <v/>
      </c>
      <c r="AR32">
        <f>IF(RoadTra_BY!AZ$1="","\I:",RoadTra_BY!AZ$1)</f>
        <v/>
      </c>
      <c r="AS32">
        <f>IF(RoadTra_BY!BA$1="","\I:",RoadTra_BY!BA$1)</f>
        <v/>
      </c>
      <c r="AT32">
        <f>IF(RoadTra_BY!BB$1="","\I:",RoadTra_BY!BB$1)</f>
        <v/>
      </c>
      <c r="AU32">
        <f>IF(RoadTra_BY!BC$1="","\I:",RoadTra_BY!BC$1)</f>
        <v/>
      </c>
      <c r="AV32">
        <f>IF(RoadTra_BY!BD$1="","\I:",RoadTra_BY!BD$1)</f>
        <v/>
      </c>
      <c r="AW32">
        <f>IF(RoadTra_BY!BE$1="","\I:",RoadTra_BY!BE$1)</f>
        <v/>
      </c>
      <c r="AX32" t="inlineStr">
        <is>
          <t>process</t>
        </is>
      </c>
    </row>
    <row r="33" ht="12.5" customHeight="1" s="213">
      <c r="C33" t="inlineStr">
        <is>
          <t>EFF</t>
        </is>
      </c>
      <c r="D33">
        <f>"*"&amp;ROUND(SUMIFS(RoadTra_BY!L$2:L$79,RoadTra_BY!$B$2:$B$79,'Road transport'!$C33,RoadTra_BY!$C$2:$C$79,'Road transport'!$BA33),3)</f>
        <v/>
      </c>
      <c r="E33">
        <f>"*"&amp;ROUND(SUMIFS(RoadTra_BY!M$2:M$79,RoadTra_BY!$B$2:$B$79,'Road transport'!$C33,RoadTra_BY!$C$2:$C$79,'Road transport'!$BA33),3)</f>
        <v/>
      </c>
      <c r="F33">
        <f>"*"&amp;ROUND(SUMIFS(RoadTra_BY!N$2:N$79,RoadTra_BY!$B$2:$B$79,'Road transport'!$C33,RoadTra_BY!$C$2:$C$79,'Road transport'!$BA33),3)</f>
        <v/>
      </c>
      <c r="G33">
        <f>"*"&amp;ROUND(SUMIFS(RoadTra_BY!O$2:O$79,RoadTra_BY!$B$2:$B$79,'Road transport'!$C33,RoadTra_BY!$C$2:$C$79,'Road transport'!$BA33),3)</f>
        <v/>
      </c>
      <c r="H33">
        <f>"*"&amp;ROUND(SUMIFS(RoadTra_BY!P$2:P$79,RoadTra_BY!$B$2:$B$79,'Road transport'!$C33,RoadTra_BY!$C$2:$C$79,'Road transport'!$BA33),3)</f>
        <v/>
      </c>
      <c r="I33">
        <f>"*"&amp;ROUND(SUMIFS(RoadTra_BY!Q$2:Q$79,RoadTra_BY!$B$2:$B$79,'Road transport'!$C33,RoadTra_BY!$C$2:$C$79,'Road transport'!$BA33),3)</f>
        <v/>
      </c>
      <c r="J33">
        <f>"*"&amp;ROUND(SUMIFS(RoadTra_BY!R$2:R$79,RoadTra_BY!$B$2:$B$79,'Road transport'!$C33,RoadTra_BY!$C$2:$C$79,'Road transport'!$BA33),3)</f>
        <v/>
      </c>
      <c r="K33">
        <f>"*"&amp;ROUND(SUMIFS(RoadTra_BY!S$2:S$79,RoadTra_BY!$B$2:$B$79,'Road transport'!$C33,RoadTra_BY!$C$2:$C$79,'Road transport'!$BA33),3)</f>
        <v/>
      </c>
      <c r="L33">
        <f>"*"&amp;ROUND(SUMIFS(RoadTra_BY!T$2:T$79,RoadTra_BY!$B$2:$B$79,'Road transport'!$C33,RoadTra_BY!$C$2:$C$79,'Road transport'!$BA33),3)</f>
        <v/>
      </c>
      <c r="M33">
        <f>"*"&amp;ROUND(SUMIFS(RoadTra_BY!U$2:U$79,RoadTra_BY!$B$2:$B$79,'Road transport'!$C33,RoadTra_BY!$C$2:$C$79,'Road transport'!$BA33),3)</f>
        <v/>
      </c>
      <c r="N33">
        <f>"*"&amp;ROUND(SUMIFS(RoadTra_BY!V$2:V$79,RoadTra_BY!$B$2:$B$79,'Road transport'!$C33,RoadTra_BY!$C$2:$C$79,'Road transport'!$BA33),3)</f>
        <v/>
      </c>
      <c r="O33">
        <f>"*"&amp;ROUND(SUMIFS(RoadTra_BY!W$2:W$79,RoadTra_BY!$B$2:$B$79,'Road transport'!$C33,RoadTra_BY!$C$2:$C$79,'Road transport'!$BA33),3)</f>
        <v/>
      </c>
      <c r="P33">
        <f>"*"&amp;ROUND(SUMIFS(RoadTra_BY!X$2:X$79,RoadTra_BY!$B$2:$B$79,'Road transport'!$C33,RoadTra_BY!$C$2:$C$79,'Road transport'!$BA33),3)</f>
        <v/>
      </c>
      <c r="Q33">
        <f>"*"&amp;ROUND(SUMIFS(RoadTra_BY!Y$2:Y$79,RoadTra_BY!$B$2:$B$79,'Road transport'!$C33,RoadTra_BY!$C$2:$C$79,'Road transport'!$BA33),3)</f>
        <v/>
      </c>
      <c r="R33">
        <f>"*"&amp;ROUND(SUMIFS(RoadTra_BY!Z$2:Z$79,RoadTra_BY!$B$2:$B$79,'Road transport'!$C33,RoadTra_BY!$C$2:$C$79,'Road transport'!$BA33),3)</f>
        <v/>
      </c>
      <c r="S33">
        <f>"*"&amp;ROUND(SUMIFS(RoadTra_BY!AA$2:AA$79,RoadTra_BY!$B$2:$B$79,'Road transport'!$C33,RoadTra_BY!$C$2:$C$79,'Road transport'!$BA33),3)</f>
        <v/>
      </c>
      <c r="T33">
        <f>"*"&amp;ROUND(SUMIFS(RoadTra_BY!AB$2:AB$79,RoadTra_BY!$B$2:$B$79,'Road transport'!$C33,RoadTra_BY!$C$2:$C$79,'Road transport'!$BA33),3)</f>
        <v/>
      </c>
      <c r="U33">
        <f>"*"&amp;ROUND(SUMIFS(RoadTra_BY!AC$2:AC$79,RoadTra_BY!$B$2:$B$79,'Road transport'!$C33,RoadTra_BY!$C$2:$C$79,'Road transport'!$BA33),3)</f>
        <v/>
      </c>
      <c r="V33">
        <f>"*"&amp;ROUND(SUMIFS(RoadTra_BY!AD$2:AD$79,RoadTra_BY!$B$2:$B$79,'Road transport'!$C33,RoadTra_BY!$C$2:$C$79,'Road transport'!$BA33),3)</f>
        <v/>
      </c>
      <c r="W33">
        <f>"*"&amp;ROUND(SUMIFS(RoadTra_BY!AE$2:AE$79,RoadTra_BY!$B$2:$B$79,'Road transport'!$C33,RoadTra_BY!$C$2:$C$79,'Road transport'!$BA33),3)</f>
        <v/>
      </c>
      <c r="X33">
        <f>"*"&amp;ROUND(SUMIFS(RoadTra_BY!AF$2:AF$79,RoadTra_BY!$B$2:$B$79,'Road transport'!$C33,RoadTra_BY!$C$2:$C$79,'Road transport'!$BA33),3)</f>
        <v/>
      </c>
      <c r="Y33">
        <f>"*"&amp;ROUND(SUMIFS(RoadTra_BY!AG$2:AG$79,RoadTra_BY!$B$2:$B$79,'Road transport'!$C33,RoadTra_BY!$C$2:$C$79,'Road transport'!$BA33),3)</f>
        <v/>
      </c>
      <c r="Z33">
        <f>"*"&amp;ROUND(SUMIFS(RoadTra_BY!AH$2:AH$79,RoadTra_BY!$B$2:$B$79,'Road transport'!$C33,RoadTra_BY!$C$2:$C$79,'Road transport'!$BA33),3)</f>
        <v/>
      </c>
      <c r="AA33">
        <f>"*"&amp;ROUND(SUMIFS(RoadTra_BY!AI$2:AI$79,RoadTra_BY!$B$2:$B$79,'Road transport'!$C33,RoadTra_BY!$C$2:$C$79,'Road transport'!$BA33),3)</f>
        <v/>
      </c>
      <c r="AB33">
        <f>"*"&amp;ROUND(SUMIFS(RoadTra_BY!AJ$2:AJ$79,RoadTra_BY!$B$2:$B$79,'Road transport'!$C33,RoadTra_BY!$C$2:$C$79,'Road transport'!$BA33),3)</f>
        <v/>
      </c>
      <c r="AC33">
        <f>"*"&amp;ROUND(SUMIFS(RoadTra_BY!AK$2:AK$79,RoadTra_BY!$B$2:$B$79,'Road transport'!$C33,RoadTra_BY!$C$2:$C$79,'Road transport'!$BA33),3)</f>
        <v/>
      </c>
      <c r="AD33">
        <f>"*"&amp;ROUND(SUMIFS(RoadTra_BY!AL$2:AL$79,RoadTra_BY!$B$2:$B$79,'Road transport'!$C33,RoadTra_BY!$C$2:$C$79,'Road transport'!$BA33),3)</f>
        <v/>
      </c>
      <c r="AE33">
        <f>"*"&amp;ROUND(SUMIFS(RoadTra_BY!AM$2:AM$79,RoadTra_BY!$B$2:$B$79,'Road transport'!$C33,RoadTra_BY!$C$2:$C$79,'Road transport'!$BA33),3)</f>
        <v/>
      </c>
      <c r="AF33">
        <f>"*"&amp;ROUND(SUMIFS(RoadTra_BY!AN$2:AN$79,RoadTra_BY!$B$2:$B$79,'Road transport'!$C33,RoadTra_BY!$C$2:$C$79,'Road transport'!$BA33),3)</f>
        <v/>
      </c>
      <c r="AG33">
        <f>"*"&amp;ROUND(SUMIFS(RoadTra_BY!AO$2:AO$79,RoadTra_BY!$B$2:$B$79,'Road transport'!$C33,RoadTra_BY!$C$2:$C$79,'Road transport'!$BA33),3)</f>
        <v/>
      </c>
      <c r="AH33">
        <f>"*"&amp;ROUND(SUMIFS(RoadTra_BY!AP$2:AP$79,RoadTra_BY!$B$2:$B$79,'Road transport'!$C33,RoadTra_BY!$C$2:$C$79,'Road transport'!$BA33),3)</f>
        <v/>
      </c>
      <c r="AI33">
        <f>"*"&amp;ROUND(SUMIFS(RoadTra_BY!AQ$2:AQ$79,RoadTra_BY!$B$2:$B$79,'Road transport'!$C33,RoadTra_BY!$C$2:$C$79,'Road transport'!$BA33),3)</f>
        <v/>
      </c>
      <c r="AJ33">
        <f>"*"&amp;ROUND(SUMIFS(RoadTra_BY!AR$2:AR$79,RoadTra_BY!$B$2:$B$79,'Road transport'!$C33,RoadTra_BY!$C$2:$C$79,'Road transport'!$BA33),3)</f>
        <v/>
      </c>
      <c r="AK33">
        <f>"*"&amp;ROUND(SUMIFS(RoadTra_BY!AS$2:AS$79,RoadTra_BY!$B$2:$B$79,'Road transport'!$C33,RoadTra_BY!$C$2:$C$79,'Road transport'!$BA33),3)</f>
        <v/>
      </c>
      <c r="AL33">
        <f>"*"&amp;ROUND(SUMIFS(RoadTra_BY!AT$2:AT$79,RoadTra_BY!$B$2:$B$79,'Road transport'!$C33,RoadTra_BY!$C$2:$C$79,'Road transport'!$BA33),3)</f>
        <v/>
      </c>
      <c r="AM33">
        <f>"*"&amp;ROUND(SUMIFS(RoadTra_BY!AU$2:AU$79,RoadTra_BY!$B$2:$B$79,'Road transport'!$C33,RoadTra_BY!$C$2:$C$79,'Road transport'!$BA33),3)</f>
        <v/>
      </c>
      <c r="AN33">
        <f>"*"&amp;ROUND(SUMIFS(RoadTra_BY!AV$2:AV$79,RoadTra_BY!$B$2:$B$79,'Road transport'!$C33,RoadTra_BY!$C$2:$C$79,'Road transport'!$BA33),3)</f>
        <v/>
      </c>
      <c r="AO33">
        <f>"*"&amp;ROUND(SUMIFS(RoadTra_BY!AW$2:AW$79,RoadTra_BY!$B$2:$B$79,'Road transport'!$C33,RoadTra_BY!$C$2:$C$79,'Road transport'!$BA33),3)</f>
        <v/>
      </c>
      <c r="AP33">
        <f>"*"&amp;ROUND(SUMIFS(RoadTra_BY!AX$2:AX$79,RoadTra_BY!$B$2:$B$79,'Road transport'!$C33,RoadTra_BY!$C$2:$C$79,'Road transport'!$BA33),3)</f>
        <v/>
      </c>
      <c r="AQ33">
        <f>"*"&amp;ROUND(SUMIFS(RoadTra_BY!AY$2:AY$79,RoadTra_BY!$B$2:$B$79,'Road transport'!$C33,RoadTra_BY!$C$2:$C$79,'Road transport'!$BA33),3)</f>
        <v/>
      </c>
      <c r="AR33">
        <f>"*"&amp;ROUND(SUMIFS(RoadTra_BY!AZ$2:AZ$79,RoadTra_BY!$B$2:$B$79,'Road transport'!$C33,RoadTra_BY!$C$2:$C$79,'Road transport'!$BA33),3)</f>
        <v/>
      </c>
      <c r="AS33">
        <f>"*"&amp;ROUND(SUMIFS(RoadTra_BY!BA$2:BA$79,RoadTra_BY!$B$2:$B$79,'Road transport'!$C33,RoadTra_BY!$C$2:$C$79,'Road transport'!$BA33),3)</f>
        <v/>
      </c>
      <c r="AT33">
        <f>"*"&amp;ROUND(SUMIFS(RoadTra_BY!BB$2:BB$79,RoadTra_BY!$B$2:$B$79,'Road transport'!$C33,RoadTra_BY!$C$2:$C$79,'Road transport'!$BA33),3)</f>
        <v/>
      </c>
      <c r="AU33">
        <f>"*"&amp;ROUND(SUMIFS(RoadTra_BY!BC$2:BC$79,RoadTra_BY!$B$2:$B$79,'Road transport'!$C33,RoadTra_BY!$C$2:$C$79,'Road transport'!$BA33),3)</f>
        <v/>
      </c>
      <c r="AV33">
        <f>"*"&amp;ROUND(SUMIFS(RoadTra_BY!BD$2:BD$79,RoadTra_BY!$B$2:$B$79,'Road transport'!$C33,RoadTra_BY!$C$2:$C$79,'Road transport'!$BA33),3)</f>
        <v/>
      </c>
      <c r="AW33">
        <f>"*"&amp;ROUND(SUMIFS(RoadTra_BY!BE$2:BE$79,RoadTra_BY!$B$2:$B$79,'Road transport'!$C33,RoadTra_BY!$C$2:$C$79,'Road transport'!$BA33),3)</f>
        <v/>
      </c>
      <c r="AX33">
        <f>SUBSTITUTE(SUBSTITUTE(BA33,"gsl",""),"dsl","")&amp;"*"</f>
        <v/>
      </c>
      <c r="AZ33">
        <f>IFERROR(IF(FIND("gsl",BA33)&gt;0,1,0),2)</f>
        <v/>
      </c>
      <c r="BA33" t="inlineStr">
        <is>
          <t>Trd_2w_gsl</t>
        </is>
      </c>
    </row>
    <row r="34" ht="12.5" customHeight="1" s="213">
      <c r="C34" t="inlineStr">
        <is>
          <t>EFF</t>
        </is>
      </c>
      <c r="D34">
        <f>"*"&amp;ROUND(SUMIFS(RoadTra_BY!L$2:L$79,RoadTra_BY!$B$2:$B$79,'Road transport'!$C34,RoadTra_BY!$C$2:$C$79,'Road transport'!$BA34),3)</f>
        <v/>
      </c>
      <c r="E34">
        <f>"*"&amp;ROUND(SUMIFS(RoadTra_BY!M$2:M$79,RoadTra_BY!$B$2:$B$79,'Road transport'!$C34,RoadTra_BY!$C$2:$C$79,'Road transport'!$BA34),3)</f>
        <v/>
      </c>
      <c r="F34">
        <f>"*"&amp;ROUND(SUMIFS(RoadTra_BY!N$2:N$79,RoadTra_BY!$B$2:$B$79,'Road transport'!$C34,RoadTra_BY!$C$2:$C$79,'Road transport'!$BA34),3)</f>
        <v/>
      </c>
      <c r="G34">
        <f>"*"&amp;ROUND(SUMIFS(RoadTra_BY!O$2:O$79,RoadTra_BY!$B$2:$B$79,'Road transport'!$C34,RoadTra_BY!$C$2:$C$79,'Road transport'!$BA34),3)</f>
        <v/>
      </c>
      <c r="H34">
        <f>"*"&amp;ROUND(SUMIFS(RoadTra_BY!P$2:P$79,RoadTra_BY!$B$2:$B$79,'Road transport'!$C34,RoadTra_BY!$C$2:$C$79,'Road transport'!$BA34),3)</f>
        <v/>
      </c>
      <c r="I34">
        <f>"*"&amp;ROUND(SUMIFS(RoadTra_BY!Q$2:Q$79,RoadTra_BY!$B$2:$B$79,'Road transport'!$C34,RoadTra_BY!$C$2:$C$79,'Road transport'!$BA34),3)</f>
        <v/>
      </c>
      <c r="J34">
        <f>"*"&amp;ROUND(SUMIFS(RoadTra_BY!R$2:R$79,RoadTra_BY!$B$2:$B$79,'Road transport'!$C34,RoadTra_BY!$C$2:$C$79,'Road transport'!$BA34),3)</f>
        <v/>
      </c>
      <c r="K34">
        <f>"*"&amp;ROUND(SUMIFS(RoadTra_BY!S$2:S$79,RoadTra_BY!$B$2:$B$79,'Road transport'!$C34,RoadTra_BY!$C$2:$C$79,'Road transport'!$BA34),3)</f>
        <v/>
      </c>
      <c r="L34">
        <f>"*"&amp;ROUND(SUMIFS(RoadTra_BY!T$2:T$79,RoadTra_BY!$B$2:$B$79,'Road transport'!$C34,RoadTra_BY!$C$2:$C$79,'Road transport'!$BA34),3)</f>
        <v/>
      </c>
      <c r="M34">
        <f>"*"&amp;ROUND(SUMIFS(RoadTra_BY!U$2:U$79,RoadTra_BY!$B$2:$B$79,'Road transport'!$C34,RoadTra_BY!$C$2:$C$79,'Road transport'!$BA34),3)</f>
        <v/>
      </c>
      <c r="N34">
        <f>"*"&amp;ROUND(SUMIFS(RoadTra_BY!V$2:V$79,RoadTra_BY!$B$2:$B$79,'Road transport'!$C34,RoadTra_BY!$C$2:$C$79,'Road transport'!$BA34),3)</f>
        <v/>
      </c>
      <c r="O34">
        <f>"*"&amp;ROUND(SUMIFS(RoadTra_BY!W$2:W$79,RoadTra_BY!$B$2:$B$79,'Road transport'!$C34,RoadTra_BY!$C$2:$C$79,'Road transport'!$BA34),3)</f>
        <v/>
      </c>
      <c r="P34">
        <f>"*"&amp;ROUND(SUMIFS(RoadTra_BY!X$2:X$79,RoadTra_BY!$B$2:$B$79,'Road transport'!$C34,RoadTra_BY!$C$2:$C$79,'Road transport'!$BA34),3)</f>
        <v/>
      </c>
      <c r="Q34">
        <f>"*"&amp;ROUND(SUMIFS(RoadTra_BY!Y$2:Y$79,RoadTra_BY!$B$2:$B$79,'Road transport'!$C34,RoadTra_BY!$C$2:$C$79,'Road transport'!$BA34),3)</f>
        <v/>
      </c>
      <c r="R34">
        <f>"*"&amp;ROUND(SUMIFS(RoadTra_BY!Z$2:Z$79,RoadTra_BY!$B$2:$B$79,'Road transport'!$C34,RoadTra_BY!$C$2:$C$79,'Road transport'!$BA34),3)</f>
        <v/>
      </c>
      <c r="S34">
        <f>"*"&amp;ROUND(SUMIFS(RoadTra_BY!AA$2:AA$79,RoadTra_BY!$B$2:$B$79,'Road transport'!$C34,RoadTra_BY!$C$2:$C$79,'Road transport'!$BA34),3)</f>
        <v/>
      </c>
      <c r="T34">
        <f>"*"&amp;ROUND(SUMIFS(RoadTra_BY!AB$2:AB$79,RoadTra_BY!$B$2:$B$79,'Road transport'!$C34,RoadTra_BY!$C$2:$C$79,'Road transport'!$BA34),3)</f>
        <v/>
      </c>
      <c r="U34">
        <f>"*"&amp;ROUND(SUMIFS(RoadTra_BY!AC$2:AC$79,RoadTra_BY!$B$2:$B$79,'Road transport'!$C34,RoadTra_BY!$C$2:$C$79,'Road transport'!$BA34),3)</f>
        <v/>
      </c>
      <c r="V34">
        <f>"*"&amp;ROUND(SUMIFS(RoadTra_BY!AD$2:AD$79,RoadTra_BY!$B$2:$B$79,'Road transport'!$C34,RoadTra_BY!$C$2:$C$79,'Road transport'!$BA34),3)</f>
        <v/>
      </c>
      <c r="W34">
        <f>"*"&amp;ROUND(SUMIFS(RoadTra_BY!AE$2:AE$79,RoadTra_BY!$B$2:$B$79,'Road transport'!$C34,RoadTra_BY!$C$2:$C$79,'Road transport'!$BA34),3)</f>
        <v/>
      </c>
      <c r="X34">
        <f>"*"&amp;ROUND(SUMIFS(RoadTra_BY!AF$2:AF$79,RoadTra_BY!$B$2:$B$79,'Road transport'!$C34,RoadTra_BY!$C$2:$C$79,'Road transport'!$BA34),3)</f>
        <v/>
      </c>
      <c r="Y34">
        <f>"*"&amp;ROUND(SUMIFS(RoadTra_BY!AG$2:AG$79,RoadTra_BY!$B$2:$B$79,'Road transport'!$C34,RoadTra_BY!$C$2:$C$79,'Road transport'!$BA34),3)</f>
        <v/>
      </c>
      <c r="Z34">
        <f>"*"&amp;ROUND(SUMIFS(RoadTra_BY!AH$2:AH$79,RoadTra_BY!$B$2:$B$79,'Road transport'!$C34,RoadTra_BY!$C$2:$C$79,'Road transport'!$BA34),3)</f>
        <v/>
      </c>
      <c r="AA34">
        <f>"*"&amp;ROUND(SUMIFS(RoadTra_BY!AI$2:AI$79,RoadTra_BY!$B$2:$B$79,'Road transport'!$C34,RoadTra_BY!$C$2:$C$79,'Road transport'!$BA34),3)</f>
        <v/>
      </c>
      <c r="AB34">
        <f>"*"&amp;ROUND(SUMIFS(RoadTra_BY!AJ$2:AJ$79,RoadTra_BY!$B$2:$B$79,'Road transport'!$C34,RoadTra_BY!$C$2:$C$79,'Road transport'!$BA34),3)</f>
        <v/>
      </c>
      <c r="AC34">
        <f>"*"&amp;ROUND(SUMIFS(RoadTra_BY!AK$2:AK$79,RoadTra_BY!$B$2:$B$79,'Road transport'!$C34,RoadTra_BY!$C$2:$C$79,'Road transport'!$BA34),3)</f>
        <v/>
      </c>
      <c r="AD34">
        <f>"*"&amp;ROUND(SUMIFS(RoadTra_BY!AL$2:AL$79,RoadTra_BY!$B$2:$B$79,'Road transport'!$C34,RoadTra_BY!$C$2:$C$79,'Road transport'!$BA34),3)</f>
        <v/>
      </c>
      <c r="AE34">
        <f>"*"&amp;ROUND(SUMIFS(RoadTra_BY!AM$2:AM$79,RoadTra_BY!$B$2:$B$79,'Road transport'!$C34,RoadTra_BY!$C$2:$C$79,'Road transport'!$BA34),3)</f>
        <v/>
      </c>
      <c r="AF34">
        <f>"*"&amp;ROUND(SUMIFS(RoadTra_BY!AN$2:AN$79,RoadTra_BY!$B$2:$B$79,'Road transport'!$C34,RoadTra_BY!$C$2:$C$79,'Road transport'!$BA34),3)</f>
        <v/>
      </c>
      <c r="AG34">
        <f>"*"&amp;ROUND(SUMIFS(RoadTra_BY!AO$2:AO$79,RoadTra_BY!$B$2:$B$79,'Road transport'!$C34,RoadTra_BY!$C$2:$C$79,'Road transport'!$BA34),3)</f>
        <v/>
      </c>
      <c r="AH34">
        <f>"*"&amp;ROUND(SUMIFS(RoadTra_BY!AP$2:AP$79,RoadTra_BY!$B$2:$B$79,'Road transport'!$C34,RoadTra_BY!$C$2:$C$79,'Road transport'!$BA34),3)</f>
        <v/>
      </c>
      <c r="AI34">
        <f>"*"&amp;ROUND(SUMIFS(RoadTra_BY!AQ$2:AQ$79,RoadTra_BY!$B$2:$B$79,'Road transport'!$C34,RoadTra_BY!$C$2:$C$79,'Road transport'!$BA34),3)</f>
        <v/>
      </c>
      <c r="AJ34">
        <f>"*"&amp;ROUND(SUMIFS(RoadTra_BY!AR$2:AR$79,RoadTra_BY!$B$2:$B$79,'Road transport'!$C34,RoadTra_BY!$C$2:$C$79,'Road transport'!$BA34),3)</f>
        <v/>
      </c>
      <c r="AK34">
        <f>"*"&amp;ROUND(SUMIFS(RoadTra_BY!AS$2:AS$79,RoadTra_BY!$B$2:$B$79,'Road transport'!$C34,RoadTra_BY!$C$2:$C$79,'Road transport'!$BA34),3)</f>
        <v/>
      </c>
      <c r="AL34">
        <f>"*"&amp;ROUND(SUMIFS(RoadTra_BY!AT$2:AT$79,RoadTra_BY!$B$2:$B$79,'Road transport'!$C34,RoadTra_BY!$C$2:$C$79,'Road transport'!$BA34),3)</f>
        <v/>
      </c>
      <c r="AM34">
        <f>"*"&amp;ROUND(SUMIFS(RoadTra_BY!AU$2:AU$79,RoadTra_BY!$B$2:$B$79,'Road transport'!$C34,RoadTra_BY!$C$2:$C$79,'Road transport'!$BA34),3)</f>
        <v/>
      </c>
      <c r="AN34">
        <f>"*"&amp;ROUND(SUMIFS(RoadTra_BY!AV$2:AV$79,RoadTra_BY!$B$2:$B$79,'Road transport'!$C34,RoadTra_BY!$C$2:$C$79,'Road transport'!$BA34),3)</f>
        <v/>
      </c>
      <c r="AO34">
        <f>"*"&amp;ROUND(SUMIFS(RoadTra_BY!AW$2:AW$79,RoadTra_BY!$B$2:$B$79,'Road transport'!$C34,RoadTra_BY!$C$2:$C$79,'Road transport'!$BA34),3)</f>
        <v/>
      </c>
      <c r="AP34">
        <f>"*"&amp;ROUND(SUMIFS(RoadTra_BY!AX$2:AX$79,RoadTra_BY!$B$2:$B$79,'Road transport'!$C34,RoadTra_BY!$C$2:$C$79,'Road transport'!$BA34),3)</f>
        <v/>
      </c>
      <c r="AQ34">
        <f>"*"&amp;ROUND(SUMIFS(RoadTra_BY!AY$2:AY$79,RoadTra_BY!$B$2:$B$79,'Road transport'!$C34,RoadTra_BY!$C$2:$C$79,'Road transport'!$BA34),3)</f>
        <v/>
      </c>
      <c r="AR34">
        <f>"*"&amp;ROUND(SUMIFS(RoadTra_BY!AZ$2:AZ$79,RoadTra_BY!$B$2:$B$79,'Road transport'!$C34,RoadTra_BY!$C$2:$C$79,'Road transport'!$BA34),3)</f>
        <v/>
      </c>
      <c r="AS34">
        <f>"*"&amp;ROUND(SUMIFS(RoadTra_BY!BA$2:BA$79,RoadTra_BY!$B$2:$B$79,'Road transport'!$C34,RoadTra_BY!$C$2:$C$79,'Road transport'!$BA34),3)</f>
        <v/>
      </c>
      <c r="AT34">
        <f>"*"&amp;ROUND(SUMIFS(RoadTra_BY!BB$2:BB$79,RoadTra_BY!$B$2:$B$79,'Road transport'!$C34,RoadTra_BY!$C$2:$C$79,'Road transport'!$BA34),3)</f>
        <v/>
      </c>
      <c r="AU34">
        <f>"*"&amp;ROUND(SUMIFS(RoadTra_BY!BC$2:BC$79,RoadTra_BY!$B$2:$B$79,'Road transport'!$C34,RoadTra_BY!$C$2:$C$79,'Road transport'!$BA34),3)</f>
        <v/>
      </c>
      <c r="AV34">
        <f>"*"&amp;ROUND(SUMIFS(RoadTra_BY!BD$2:BD$79,RoadTra_BY!$B$2:$B$79,'Road transport'!$C34,RoadTra_BY!$C$2:$C$79,'Road transport'!$BA34),3)</f>
        <v/>
      </c>
      <c r="AW34">
        <f>"*"&amp;ROUND(SUMIFS(RoadTra_BY!BE$2:BE$79,RoadTra_BY!$B$2:$B$79,'Road transport'!$C34,RoadTra_BY!$C$2:$C$79,'Road transport'!$BA34),3)</f>
        <v/>
      </c>
      <c r="AX34">
        <f>SUBSTITUTE(SUBSTITUTE(BA34,"gsl",""),"dsl","")&amp;"*"</f>
        <v/>
      </c>
      <c r="AZ34">
        <f>IFERROR(IF(FIND("gsl",BA34)&gt;0,1,0),2)</f>
        <v/>
      </c>
      <c r="BA34" t="inlineStr">
        <is>
          <t>Trd_3w_gsl</t>
        </is>
      </c>
    </row>
    <row r="35" ht="12.5" customHeight="1" s="213">
      <c r="C35" t="inlineStr">
        <is>
          <t>EFF</t>
        </is>
      </c>
      <c r="D35">
        <f>"*"&amp;ROUND(SUMIFS(RoadTra_BY!L$2:L$79,RoadTra_BY!$B$2:$B$79,'Road transport'!$C35,RoadTra_BY!$C$2:$C$79,'Road transport'!$BA35),3)</f>
        <v/>
      </c>
      <c r="E35">
        <f>"*"&amp;ROUND(SUMIFS(RoadTra_BY!M$2:M$79,RoadTra_BY!$B$2:$B$79,'Road transport'!$C35,RoadTra_BY!$C$2:$C$79,'Road transport'!$BA35),3)</f>
        <v/>
      </c>
      <c r="F35">
        <f>"*"&amp;ROUND(SUMIFS(RoadTra_BY!N$2:N$79,RoadTra_BY!$B$2:$B$79,'Road transport'!$C35,RoadTra_BY!$C$2:$C$79,'Road transport'!$BA35),3)</f>
        <v/>
      </c>
      <c r="G35">
        <f>"*"&amp;ROUND(SUMIFS(RoadTra_BY!O$2:O$79,RoadTra_BY!$B$2:$B$79,'Road transport'!$C35,RoadTra_BY!$C$2:$C$79,'Road transport'!$BA35),3)</f>
        <v/>
      </c>
      <c r="H35">
        <f>"*"&amp;ROUND(SUMIFS(RoadTra_BY!P$2:P$79,RoadTra_BY!$B$2:$B$79,'Road transport'!$C35,RoadTra_BY!$C$2:$C$79,'Road transport'!$BA35),3)</f>
        <v/>
      </c>
      <c r="I35">
        <f>"*"&amp;ROUND(SUMIFS(RoadTra_BY!Q$2:Q$79,RoadTra_BY!$B$2:$B$79,'Road transport'!$C35,RoadTra_BY!$C$2:$C$79,'Road transport'!$BA35),3)</f>
        <v/>
      </c>
      <c r="J35">
        <f>"*"&amp;ROUND(SUMIFS(RoadTra_BY!R$2:R$79,RoadTra_BY!$B$2:$B$79,'Road transport'!$C35,RoadTra_BY!$C$2:$C$79,'Road transport'!$BA35),3)</f>
        <v/>
      </c>
      <c r="K35">
        <f>"*"&amp;ROUND(SUMIFS(RoadTra_BY!S$2:S$79,RoadTra_BY!$B$2:$B$79,'Road transport'!$C35,RoadTra_BY!$C$2:$C$79,'Road transport'!$BA35),3)</f>
        <v/>
      </c>
      <c r="L35">
        <f>"*"&amp;ROUND(SUMIFS(RoadTra_BY!T$2:T$79,RoadTra_BY!$B$2:$B$79,'Road transport'!$C35,RoadTra_BY!$C$2:$C$79,'Road transport'!$BA35),3)</f>
        <v/>
      </c>
      <c r="M35">
        <f>"*"&amp;ROUND(SUMIFS(RoadTra_BY!U$2:U$79,RoadTra_BY!$B$2:$B$79,'Road transport'!$C35,RoadTra_BY!$C$2:$C$79,'Road transport'!$BA35),3)</f>
        <v/>
      </c>
      <c r="N35">
        <f>"*"&amp;ROUND(SUMIFS(RoadTra_BY!V$2:V$79,RoadTra_BY!$B$2:$B$79,'Road transport'!$C35,RoadTra_BY!$C$2:$C$79,'Road transport'!$BA35),3)</f>
        <v/>
      </c>
      <c r="O35">
        <f>"*"&amp;ROUND(SUMIFS(RoadTra_BY!W$2:W$79,RoadTra_BY!$B$2:$B$79,'Road transport'!$C35,RoadTra_BY!$C$2:$C$79,'Road transport'!$BA35),3)</f>
        <v/>
      </c>
      <c r="P35">
        <f>"*"&amp;ROUND(SUMIFS(RoadTra_BY!X$2:X$79,RoadTra_BY!$B$2:$B$79,'Road transport'!$C35,RoadTra_BY!$C$2:$C$79,'Road transport'!$BA35),3)</f>
        <v/>
      </c>
      <c r="Q35">
        <f>"*"&amp;ROUND(SUMIFS(RoadTra_BY!Y$2:Y$79,RoadTra_BY!$B$2:$B$79,'Road transport'!$C35,RoadTra_BY!$C$2:$C$79,'Road transport'!$BA35),3)</f>
        <v/>
      </c>
      <c r="R35">
        <f>"*"&amp;ROUND(SUMIFS(RoadTra_BY!Z$2:Z$79,RoadTra_BY!$B$2:$B$79,'Road transport'!$C35,RoadTra_BY!$C$2:$C$79,'Road transport'!$BA35),3)</f>
        <v/>
      </c>
      <c r="S35">
        <f>"*"&amp;ROUND(SUMIFS(RoadTra_BY!AA$2:AA$79,RoadTra_BY!$B$2:$B$79,'Road transport'!$C35,RoadTra_BY!$C$2:$C$79,'Road transport'!$BA35),3)</f>
        <v/>
      </c>
      <c r="T35">
        <f>"*"&amp;ROUND(SUMIFS(RoadTra_BY!AB$2:AB$79,RoadTra_BY!$B$2:$B$79,'Road transport'!$C35,RoadTra_BY!$C$2:$C$79,'Road transport'!$BA35),3)</f>
        <v/>
      </c>
      <c r="U35">
        <f>"*"&amp;ROUND(SUMIFS(RoadTra_BY!AC$2:AC$79,RoadTra_BY!$B$2:$B$79,'Road transport'!$C35,RoadTra_BY!$C$2:$C$79,'Road transport'!$BA35),3)</f>
        <v/>
      </c>
      <c r="V35">
        <f>"*"&amp;ROUND(SUMIFS(RoadTra_BY!AD$2:AD$79,RoadTra_BY!$B$2:$B$79,'Road transport'!$C35,RoadTra_BY!$C$2:$C$79,'Road transport'!$BA35),3)</f>
        <v/>
      </c>
      <c r="W35">
        <f>"*"&amp;ROUND(SUMIFS(RoadTra_BY!AE$2:AE$79,RoadTra_BY!$B$2:$B$79,'Road transport'!$C35,RoadTra_BY!$C$2:$C$79,'Road transport'!$BA35),3)</f>
        <v/>
      </c>
      <c r="X35">
        <f>"*"&amp;ROUND(SUMIFS(RoadTra_BY!AF$2:AF$79,RoadTra_BY!$B$2:$B$79,'Road transport'!$C35,RoadTra_BY!$C$2:$C$79,'Road transport'!$BA35),3)</f>
        <v/>
      </c>
      <c r="Y35">
        <f>"*"&amp;ROUND(SUMIFS(RoadTra_BY!AG$2:AG$79,RoadTra_BY!$B$2:$B$79,'Road transport'!$C35,RoadTra_BY!$C$2:$C$79,'Road transport'!$BA35),3)</f>
        <v/>
      </c>
      <c r="Z35">
        <f>"*"&amp;ROUND(SUMIFS(RoadTra_BY!AH$2:AH$79,RoadTra_BY!$B$2:$B$79,'Road transport'!$C35,RoadTra_BY!$C$2:$C$79,'Road transport'!$BA35),3)</f>
        <v/>
      </c>
      <c r="AA35">
        <f>"*"&amp;ROUND(SUMIFS(RoadTra_BY!AI$2:AI$79,RoadTra_BY!$B$2:$B$79,'Road transport'!$C35,RoadTra_BY!$C$2:$C$79,'Road transport'!$BA35),3)</f>
        <v/>
      </c>
      <c r="AB35">
        <f>"*"&amp;ROUND(SUMIFS(RoadTra_BY!AJ$2:AJ$79,RoadTra_BY!$B$2:$B$79,'Road transport'!$C35,RoadTra_BY!$C$2:$C$79,'Road transport'!$BA35),3)</f>
        <v/>
      </c>
      <c r="AC35">
        <f>"*"&amp;ROUND(SUMIFS(RoadTra_BY!AK$2:AK$79,RoadTra_BY!$B$2:$B$79,'Road transport'!$C35,RoadTra_BY!$C$2:$C$79,'Road transport'!$BA35),3)</f>
        <v/>
      </c>
      <c r="AD35">
        <f>"*"&amp;ROUND(SUMIFS(RoadTra_BY!AL$2:AL$79,RoadTra_BY!$B$2:$B$79,'Road transport'!$C35,RoadTra_BY!$C$2:$C$79,'Road transport'!$BA35),3)</f>
        <v/>
      </c>
      <c r="AE35">
        <f>"*"&amp;ROUND(SUMIFS(RoadTra_BY!AM$2:AM$79,RoadTra_BY!$B$2:$B$79,'Road transport'!$C35,RoadTra_BY!$C$2:$C$79,'Road transport'!$BA35),3)</f>
        <v/>
      </c>
      <c r="AF35">
        <f>"*"&amp;ROUND(SUMIFS(RoadTra_BY!AN$2:AN$79,RoadTra_BY!$B$2:$B$79,'Road transport'!$C35,RoadTra_BY!$C$2:$C$79,'Road transport'!$BA35),3)</f>
        <v/>
      </c>
      <c r="AG35">
        <f>"*"&amp;ROUND(SUMIFS(RoadTra_BY!AO$2:AO$79,RoadTra_BY!$B$2:$B$79,'Road transport'!$C35,RoadTra_BY!$C$2:$C$79,'Road transport'!$BA35),3)</f>
        <v/>
      </c>
      <c r="AH35">
        <f>"*"&amp;ROUND(SUMIFS(RoadTra_BY!AP$2:AP$79,RoadTra_BY!$B$2:$B$79,'Road transport'!$C35,RoadTra_BY!$C$2:$C$79,'Road transport'!$BA35),3)</f>
        <v/>
      </c>
      <c r="AI35">
        <f>"*"&amp;ROUND(SUMIFS(RoadTra_BY!AQ$2:AQ$79,RoadTra_BY!$B$2:$B$79,'Road transport'!$C35,RoadTra_BY!$C$2:$C$79,'Road transport'!$BA35),3)</f>
        <v/>
      </c>
      <c r="AJ35">
        <f>"*"&amp;ROUND(SUMIFS(RoadTra_BY!AR$2:AR$79,RoadTra_BY!$B$2:$B$79,'Road transport'!$C35,RoadTra_BY!$C$2:$C$79,'Road transport'!$BA35),3)</f>
        <v/>
      </c>
      <c r="AK35">
        <f>"*"&amp;ROUND(SUMIFS(RoadTra_BY!AS$2:AS$79,RoadTra_BY!$B$2:$B$79,'Road transport'!$C35,RoadTra_BY!$C$2:$C$79,'Road transport'!$BA35),3)</f>
        <v/>
      </c>
      <c r="AL35">
        <f>"*"&amp;ROUND(SUMIFS(RoadTra_BY!AT$2:AT$79,RoadTra_BY!$B$2:$B$79,'Road transport'!$C35,RoadTra_BY!$C$2:$C$79,'Road transport'!$BA35),3)</f>
        <v/>
      </c>
      <c r="AM35">
        <f>"*"&amp;ROUND(SUMIFS(RoadTra_BY!AU$2:AU$79,RoadTra_BY!$B$2:$B$79,'Road transport'!$C35,RoadTra_BY!$C$2:$C$79,'Road transport'!$BA35),3)</f>
        <v/>
      </c>
      <c r="AN35">
        <f>"*"&amp;ROUND(SUMIFS(RoadTra_BY!AV$2:AV$79,RoadTra_BY!$B$2:$B$79,'Road transport'!$C35,RoadTra_BY!$C$2:$C$79,'Road transport'!$BA35),3)</f>
        <v/>
      </c>
      <c r="AO35">
        <f>"*"&amp;ROUND(SUMIFS(RoadTra_BY!AW$2:AW$79,RoadTra_BY!$B$2:$B$79,'Road transport'!$C35,RoadTra_BY!$C$2:$C$79,'Road transport'!$BA35),3)</f>
        <v/>
      </c>
      <c r="AP35">
        <f>"*"&amp;ROUND(SUMIFS(RoadTra_BY!AX$2:AX$79,RoadTra_BY!$B$2:$B$79,'Road transport'!$C35,RoadTra_BY!$C$2:$C$79,'Road transport'!$BA35),3)</f>
        <v/>
      </c>
      <c r="AQ35">
        <f>"*"&amp;ROUND(SUMIFS(RoadTra_BY!AY$2:AY$79,RoadTra_BY!$B$2:$B$79,'Road transport'!$C35,RoadTra_BY!$C$2:$C$79,'Road transport'!$BA35),3)</f>
        <v/>
      </c>
      <c r="AR35">
        <f>"*"&amp;ROUND(SUMIFS(RoadTra_BY!AZ$2:AZ$79,RoadTra_BY!$B$2:$B$79,'Road transport'!$C35,RoadTra_BY!$C$2:$C$79,'Road transport'!$BA35),3)</f>
        <v/>
      </c>
      <c r="AS35">
        <f>"*"&amp;ROUND(SUMIFS(RoadTra_BY!BA$2:BA$79,RoadTra_BY!$B$2:$B$79,'Road transport'!$C35,RoadTra_BY!$C$2:$C$79,'Road transport'!$BA35),3)</f>
        <v/>
      </c>
      <c r="AT35">
        <f>"*"&amp;ROUND(SUMIFS(RoadTra_BY!BB$2:BB$79,RoadTra_BY!$B$2:$B$79,'Road transport'!$C35,RoadTra_BY!$C$2:$C$79,'Road transport'!$BA35),3)</f>
        <v/>
      </c>
      <c r="AU35">
        <f>"*"&amp;ROUND(SUMIFS(RoadTra_BY!BC$2:BC$79,RoadTra_BY!$B$2:$B$79,'Road transport'!$C35,RoadTra_BY!$C$2:$C$79,'Road transport'!$BA35),3)</f>
        <v/>
      </c>
      <c r="AV35">
        <f>"*"&amp;ROUND(SUMIFS(RoadTra_BY!BD$2:BD$79,RoadTra_BY!$B$2:$B$79,'Road transport'!$C35,RoadTra_BY!$C$2:$C$79,'Road transport'!$BA35),3)</f>
        <v/>
      </c>
      <c r="AW35">
        <f>"*"&amp;ROUND(SUMIFS(RoadTra_BY!BE$2:BE$79,RoadTra_BY!$B$2:$B$79,'Road transport'!$C35,RoadTra_BY!$C$2:$C$79,'Road transport'!$BA35),3)</f>
        <v/>
      </c>
      <c r="AX35">
        <f>SUBSTITUTE(SUBSTITUTE(BA35,"gsl",""),"dsl","")&amp;"*"</f>
        <v/>
      </c>
      <c r="AZ35">
        <f>IFERROR(IF(FIND("gsl",BA35)&gt;0,1,0),2)</f>
        <v/>
      </c>
      <c r="BA35" t="inlineStr">
        <is>
          <t>Trd_bus_dsl</t>
        </is>
      </c>
    </row>
    <row r="36" ht="12.5" customFormat="1" customHeight="1" s="79">
      <c r="C36" s="79" t="inlineStr">
        <is>
          <t>EFF</t>
        </is>
      </c>
      <c r="D36" s="79">
        <f>"*"&amp;ROUND(SUMIFS(RoadTra_BY!L$2:L$79,RoadTra_BY!$B$2:$B$79,'Road transport'!$C36,RoadTra_BY!$C$2:$C$79,'Road transport'!$BA36),3)</f>
        <v/>
      </c>
      <c r="E36" s="79">
        <f>"*"&amp;ROUND(SUMIFS(RoadTra_BY!M$2:M$79,RoadTra_BY!$B$2:$B$79,'Road transport'!$C36,RoadTra_BY!$C$2:$C$79,'Road transport'!$BA36),3)</f>
        <v/>
      </c>
      <c r="F36" s="79">
        <f>"*"&amp;ROUND(SUMIFS(RoadTra_BY!N$2:N$79,RoadTra_BY!$B$2:$B$79,'Road transport'!$C36,RoadTra_BY!$C$2:$C$79,'Road transport'!$BA36),3)</f>
        <v/>
      </c>
      <c r="G36" s="79">
        <f>"*"&amp;ROUND(SUMIFS(RoadTra_BY!O$2:O$79,RoadTra_BY!$B$2:$B$79,'Road transport'!$C36,RoadTra_BY!$C$2:$C$79,'Road transport'!$BA36),3)</f>
        <v/>
      </c>
      <c r="H36" s="79">
        <f>"*"&amp;ROUND(SUMIFS(RoadTra_BY!P$2:P$79,RoadTra_BY!$B$2:$B$79,'Road transport'!$C36,RoadTra_BY!$C$2:$C$79,'Road transport'!$BA36),3)</f>
        <v/>
      </c>
      <c r="I36" s="79">
        <f>"*"&amp;ROUND(SUMIFS(RoadTra_BY!Q$2:Q$79,RoadTra_BY!$B$2:$B$79,'Road transport'!$C36,RoadTra_BY!$C$2:$C$79,'Road transport'!$BA36),3)</f>
        <v/>
      </c>
      <c r="J36" s="79">
        <f>"*"&amp;ROUND(SUMIFS(RoadTra_BY!R$2:R$79,RoadTra_BY!$B$2:$B$79,'Road transport'!$C36,RoadTra_BY!$C$2:$C$79,'Road transport'!$BA36),3)</f>
        <v/>
      </c>
      <c r="K36" s="79">
        <f>"*"&amp;ROUND(SUMIFS(RoadTra_BY!S$2:S$79,RoadTra_BY!$B$2:$B$79,'Road transport'!$C36,RoadTra_BY!$C$2:$C$79,'Road transport'!$BA36),3)</f>
        <v/>
      </c>
      <c r="L36" s="79">
        <f>"*"&amp;ROUND(SUMIFS(RoadTra_BY!T$2:T$79,RoadTra_BY!$B$2:$B$79,'Road transport'!$C36,RoadTra_BY!$C$2:$C$79,'Road transport'!$BA36),3)</f>
        <v/>
      </c>
      <c r="M36" s="79">
        <f>"*"&amp;ROUND(SUMIFS(RoadTra_BY!U$2:U$79,RoadTra_BY!$B$2:$B$79,'Road transport'!$C36,RoadTra_BY!$C$2:$C$79,'Road transport'!$BA36),3)</f>
        <v/>
      </c>
      <c r="N36" s="79">
        <f>"*"&amp;ROUND(SUMIFS(RoadTra_BY!V$2:V$79,RoadTra_BY!$B$2:$B$79,'Road transport'!$C36,RoadTra_BY!$C$2:$C$79,'Road transport'!$BA36),3)</f>
        <v/>
      </c>
      <c r="O36" s="79">
        <f>"*"&amp;ROUND(SUMIFS(RoadTra_BY!W$2:W$79,RoadTra_BY!$B$2:$B$79,'Road transport'!$C36,RoadTra_BY!$C$2:$C$79,'Road transport'!$BA36),3)</f>
        <v/>
      </c>
      <c r="P36" s="79">
        <f>"*"&amp;ROUND(SUMIFS(RoadTra_BY!X$2:X$79,RoadTra_BY!$B$2:$B$79,'Road transport'!$C36,RoadTra_BY!$C$2:$C$79,'Road transport'!$BA36),3)</f>
        <v/>
      </c>
      <c r="Q36" s="79">
        <f>"*"&amp;ROUND(SUMIFS(RoadTra_BY!Y$2:Y$79,RoadTra_BY!$B$2:$B$79,'Road transport'!$C36,RoadTra_BY!$C$2:$C$79,'Road transport'!$BA36),3)</f>
        <v/>
      </c>
      <c r="R36" s="79">
        <f>"*"&amp;ROUND(SUMIFS(RoadTra_BY!Z$2:Z$79,RoadTra_BY!$B$2:$B$79,'Road transport'!$C36,RoadTra_BY!$C$2:$C$79,'Road transport'!$BA36),3)</f>
        <v/>
      </c>
      <c r="S36" s="79">
        <f>"*"&amp;ROUND(SUMIFS(RoadTra_BY!AA$2:AA$79,RoadTra_BY!$B$2:$B$79,'Road transport'!$C36,RoadTra_BY!$C$2:$C$79,'Road transport'!$BA36),3)</f>
        <v/>
      </c>
      <c r="T36" s="79">
        <f>"*"&amp;ROUND(SUMIFS(RoadTra_BY!AB$2:AB$79,RoadTra_BY!$B$2:$B$79,'Road transport'!$C36,RoadTra_BY!$C$2:$C$79,'Road transport'!$BA36),3)</f>
        <v/>
      </c>
      <c r="U36" s="79">
        <f>"*"&amp;ROUND(SUMIFS(RoadTra_BY!AC$2:AC$79,RoadTra_BY!$B$2:$B$79,'Road transport'!$C36,RoadTra_BY!$C$2:$C$79,'Road transport'!$BA36),3)</f>
        <v/>
      </c>
      <c r="V36" s="79">
        <f>"*"&amp;ROUND(SUMIFS(RoadTra_BY!AD$2:AD$79,RoadTra_BY!$B$2:$B$79,'Road transport'!$C36,RoadTra_BY!$C$2:$C$79,'Road transport'!$BA36),3)</f>
        <v/>
      </c>
      <c r="W36" s="79">
        <f>"*"&amp;ROUND(SUMIFS(RoadTra_BY!AE$2:AE$79,RoadTra_BY!$B$2:$B$79,'Road transport'!$C36,RoadTra_BY!$C$2:$C$79,'Road transport'!$BA36),3)</f>
        <v/>
      </c>
      <c r="X36" s="79">
        <f>"*"&amp;ROUND(SUMIFS(RoadTra_BY!AF$2:AF$79,RoadTra_BY!$B$2:$B$79,'Road transport'!$C36,RoadTra_BY!$C$2:$C$79,'Road transport'!$BA36),3)</f>
        <v/>
      </c>
      <c r="Y36" s="79">
        <f>"*"&amp;ROUND(SUMIFS(RoadTra_BY!AG$2:AG$79,RoadTra_BY!$B$2:$B$79,'Road transport'!$C36,RoadTra_BY!$C$2:$C$79,'Road transport'!$BA36),3)</f>
        <v/>
      </c>
      <c r="Z36" s="79">
        <f>"*"&amp;ROUND(SUMIFS(RoadTra_BY!AH$2:AH$79,RoadTra_BY!$B$2:$B$79,'Road transport'!$C36,RoadTra_BY!$C$2:$C$79,'Road transport'!$BA36),3)</f>
        <v/>
      </c>
      <c r="AA36" s="79">
        <f>"*"&amp;ROUND(SUMIFS(RoadTra_BY!AI$2:AI$79,RoadTra_BY!$B$2:$B$79,'Road transport'!$C36,RoadTra_BY!$C$2:$C$79,'Road transport'!$BA36),3)</f>
        <v/>
      </c>
      <c r="AB36" s="79">
        <f>"*"&amp;ROUND(SUMIFS(RoadTra_BY!AJ$2:AJ$79,RoadTra_BY!$B$2:$B$79,'Road transport'!$C36,RoadTra_BY!$C$2:$C$79,'Road transport'!$BA36),3)</f>
        <v/>
      </c>
      <c r="AC36" s="79">
        <f>"*"&amp;ROUND(SUMIFS(RoadTra_BY!AK$2:AK$79,RoadTra_BY!$B$2:$B$79,'Road transport'!$C36,RoadTra_BY!$C$2:$C$79,'Road transport'!$BA36),3)</f>
        <v/>
      </c>
      <c r="AD36" s="79">
        <f>"*"&amp;ROUND(SUMIFS(RoadTra_BY!AL$2:AL$79,RoadTra_BY!$B$2:$B$79,'Road transport'!$C36,RoadTra_BY!$C$2:$C$79,'Road transport'!$BA36),3)</f>
        <v/>
      </c>
      <c r="AE36" s="79">
        <f>"*"&amp;ROUND(SUMIFS(RoadTra_BY!AM$2:AM$79,RoadTra_BY!$B$2:$B$79,'Road transport'!$C36,RoadTra_BY!$C$2:$C$79,'Road transport'!$BA36),3)</f>
        <v/>
      </c>
      <c r="AF36" s="79">
        <f>"*"&amp;ROUND(SUMIFS(RoadTra_BY!AN$2:AN$79,RoadTra_BY!$B$2:$B$79,'Road transport'!$C36,RoadTra_BY!$C$2:$C$79,'Road transport'!$BA36),3)</f>
        <v/>
      </c>
      <c r="AG36" s="79">
        <f>"*"&amp;ROUND(SUMIFS(RoadTra_BY!AO$2:AO$79,RoadTra_BY!$B$2:$B$79,'Road transport'!$C36,RoadTra_BY!$C$2:$C$79,'Road transport'!$BA36),3)</f>
        <v/>
      </c>
      <c r="AH36" s="79">
        <f>"*"&amp;ROUND(SUMIFS(RoadTra_BY!AP$2:AP$79,RoadTra_BY!$B$2:$B$79,'Road transport'!$C36,RoadTra_BY!$C$2:$C$79,'Road transport'!$BA36),3)</f>
        <v/>
      </c>
      <c r="AI36" s="79">
        <f>"*"&amp;ROUND(SUMIFS(RoadTra_BY!AQ$2:AQ$79,RoadTra_BY!$B$2:$B$79,'Road transport'!$C36,RoadTra_BY!$C$2:$C$79,'Road transport'!$BA36),3)</f>
        <v/>
      </c>
      <c r="AJ36" s="79">
        <f>"*"&amp;ROUND(SUMIFS(RoadTra_BY!AR$2:AR$79,RoadTra_BY!$B$2:$B$79,'Road transport'!$C36,RoadTra_BY!$C$2:$C$79,'Road transport'!$BA36),3)</f>
        <v/>
      </c>
      <c r="AK36" s="79">
        <f>"*"&amp;ROUND(SUMIFS(RoadTra_BY!AS$2:AS$79,RoadTra_BY!$B$2:$B$79,'Road transport'!$C36,RoadTra_BY!$C$2:$C$79,'Road transport'!$BA36),3)</f>
        <v/>
      </c>
      <c r="AL36" s="79">
        <f>"*"&amp;ROUND(SUMIFS(RoadTra_BY!AT$2:AT$79,RoadTra_BY!$B$2:$B$79,'Road transport'!$C36,RoadTra_BY!$C$2:$C$79,'Road transport'!$BA36),3)</f>
        <v/>
      </c>
      <c r="AM36" s="79">
        <f>"*"&amp;ROUND(SUMIFS(RoadTra_BY!AU$2:AU$79,RoadTra_BY!$B$2:$B$79,'Road transport'!$C36,RoadTra_BY!$C$2:$C$79,'Road transport'!$BA36),3)</f>
        <v/>
      </c>
      <c r="AN36" s="79">
        <f>"*"&amp;ROUND(SUMIFS(RoadTra_BY!AV$2:AV$79,RoadTra_BY!$B$2:$B$79,'Road transport'!$C36,RoadTra_BY!$C$2:$C$79,'Road transport'!$BA36),3)</f>
        <v/>
      </c>
      <c r="AO36" s="79">
        <f>"*"&amp;ROUND(SUMIFS(RoadTra_BY!AW$2:AW$79,RoadTra_BY!$B$2:$B$79,'Road transport'!$C36,RoadTra_BY!$C$2:$C$79,'Road transport'!$BA36),3)</f>
        <v/>
      </c>
      <c r="AP36" s="79">
        <f>"*"&amp;ROUND(SUMIFS(RoadTra_BY!AX$2:AX$79,RoadTra_BY!$B$2:$B$79,'Road transport'!$C36,RoadTra_BY!$C$2:$C$79,'Road transport'!$BA36),3)</f>
        <v/>
      </c>
      <c r="AQ36" s="79">
        <f>"*"&amp;ROUND(SUMIFS(RoadTra_BY!AY$2:AY$79,RoadTra_BY!$B$2:$B$79,'Road transport'!$C36,RoadTra_BY!$C$2:$C$79,'Road transport'!$BA36),3)</f>
        <v/>
      </c>
      <c r="AR36" s="79">
        <f>"*"&amp;ROUND(SUMIFS(RoadTra_BY!AZ$2:AZ$79,RoadTra_BY!$B$2:$B$79,'Road transport'!$C36,RoadTra_BY!$C$2:$C$79,'Road transport'!$BA36),3)</f>
        <v/>
      </c>
      <c r="AS36" s="79">
        <f>"*"&amp;ROUND(SUMIFS(RoadTra_BY!BA$2:BA$79,RoadTra_BY!$B$2:$B$79,'Road transport'!$C36,RoadTra_BY!$C$2:$C$79,'Road transport'!$BA36),3)</f>
        <v/>
      </c>
      <c r="AT36" s="79">
        <f>"*"&amp;ROUND(SUMIFS(RoadTra_BY!BB$2:BB$79,RoadTra_BY!$B$2:$B$79,'Road transport'!$C36,RoadTra_BY!$C$2:$C$79,'Road transport'!$BA36),3)</f>
        <v/>
      </c>
      <c r="AU36" s="79">
        <f>"*"&amp;ROUND(SUMIFS(RoadTra_BY!BC$2:BC$79,RoadTra_BY!$B$2:$B$79,'Road transport'!$C36,RoadTra_BY!$C$2:$C$79,'Road transport'!$BA36),3)</f>
        <v/>
      </c>
      <c r="AV36" s="79">
        <f>"*"&amp;ROUND(SUMIFS(RoadTra_BY!BD$2:BD$79,RoadTra_BY!$B$2:$B$79,'Road transport'!$C36,RoadTra_BY!$C$2:$C$79,'Road transport'!$BA36),3)</f>
        <v/>
      </c>
      <c r="AW36" s="79">
        <f>"*"&amp;ROUND(SUMIFS(RoadTra_BY!BE$2:BE$79,RoadTra_BY!$B$2:$B$79,'Road transport'!$C36,RoadTra_BY!$C$2:$C$79,'Road transport'!$BA36),3)</f>
        <v/>
      </c>
      <c r="AX36" s="79">
        <f>SUBSTITUTE(SUBSTITUTE(BA36,"gsl",""),"dsl","")&amp;"*"</f>
        <v/>
      </c>
      <c r="AZ36" s="79">
        <f>IFERROR(IF(FIND("gsl",BA36)&gt;0,1,0),2)</f>
        <v/>
      </c>
      <c r="BA36" s="79" t="inlineStr">
        <is>
          <t>Trd_car_gsl</t>
        </is>
      </c>
    </row>
    <row r="37" ht="12.5" customHeight="1" s="213">
      <c r="C37" t="inlineStr">
        <is>
          <t>EFF</t>
        </is>
      </c>
      <c r="D37">
        <f>"*"&amp;ROUND(SUMIFS(RoadTra_BY!L$2:L$79,RoadTra_BY!$B$2:$B$79,'Road transport'!$C37,RoadTra_BY!$C$2:$C$79,'Road transport'!$BA37),3)</f>
        <v/>
      </c>
      <c r="E37">
        <f>"*"&amp;ROUND(SUMIFS(RoadTra_BY!M$2:M$79,RoadTra_BY!$B$2:$B$79,'Road transport'!$C37,RoadTra_BY!$C$2:$C$79,'Road transport'!$BA37),3)</f>
        <v/>
      </c>
      <c r="F37">
        <f>"*"&amp;ROUND(SUMIFS(RoadTra_BY!N$2:N$79,RoadTra_BY!$B$2:$B$79,'Road transport'!$C37,RoadTra_BY!$C$2:$C$79,'Road transport'!$BA37),3)</f>
        <v/>
      </c>
      <c r="G37">
        <f>"*"&amp;ROUND(SUMIFS(RoadTra_BY!O$2:O$79,RoadTra_BY!$B$2:$B$79,'Road transport'!$C37,RoadTra_BY!$C$2:$C$79,'Road transport'!$BA37),3)</f>
        <v/>
      </c>
      <c r="H37">
        <f>"*"&amp;ROUND(SUMIFS(RoadTra_BY!P$2:P$79,RoadTra_BY!$B$2:$B$79,'Road transport'!$C37,RoadTra_BY!$C$2:$C$79,'Road transport'!$BA37),3)</f>
        <v/>
      </c>
      <c r="I37">
        <f>"*"&amp;ROUND(SUMIFS(RoadTra_BY!Q$2:Q$79,RoadTra_BY!$B$2:$B$79,'Road transport'!$C37,RoadTra_BY!$C$2:$C$79,'Road transport'!$BA37),3)</f>
        <v/>
      </c>
      <c r="J37">
        <f>"*"&amp;ROUND(SUMIFS(RoadTra_BY!R$2:R$79,RoadTra_BY!$B$2:$B$79,'Road transport'!$C37,RoadTra_BY!$C$2:$C$79,'Road transport'!$BA37),3)</f>
        <v/>
      </c>
      <c r="K37">
        <f>"*"&amp;ROUND(SUMIFS(RoadTra_BY!S$2:S$79,RoadTra_BY!$B$2:$B$79,'Road transport'!$C37,RoadTra_BY!$C$2:$C$79,'Road transport'!$BA37),3)</f>
        <v/>
      </c>
      <c r="L37">
        <f>"*"&amp;ROUND(SUMIFS(RoadTra_BY!T$2:T$79,RoadTra_BY!$B$2:$B$79,'Road transport'!$C37,RoadTra_BY!$C$2:$C$79,'Road transport'!$BA37),3)</f>
        <v/>
      </c>
      <c r="M37">
        <f>"*"&amp;ROUND(SUMIFS(RoadTra_BY!U$2:U$79,RoadTra_BY!$B$2:$B$79,'Road transport'!$C37,RoadTra_BY!$C$2:$C$79,'Road transport'!$BA37),3)</f>
        <v/>
      </c>
      <c r="N37">
        <f>"*"&amp;ROUND(SUMIFS(RoadTra_BY!V$2:V$79,RoadTra_BY!$B$2:$B$79,'Road transport'!$C37,RoadTra_BY!$C$2:$C$79,'Road transport'!$BA37),3)</f>
        <v/>
      </c>
      <c r="O37">
        <f>"*"&amp;ROUND(SUMIFS(RoadTra_BY!W$2:W$79,RoadTra_BY!$B$2:$B$79,'Road transport'!$C37,RoadTra_BY!$C$2:$C$79,'Road transport'!$BA37),3)</f>
        <v/>
      </c>
      <c r="P37">
        <f>"*"&amp;ROUND(SUMIFS(RoadTra_BY!X$2:X$79,RoadTra_BY!$B$2:$B$79,'Road transport'!$C37,RoadTra_BY!$C$2:$C$79,'Road transport'!$BA37),3)</f>
        <v/>
      </c>
      <c r="Q37">
        <f>"*"&amp;ROUND(SUMIFS(RoadTra_BY!Y$2:Y$79,RoadTra_BY!$B$2:$B$79,'Road transport'!$C37,RoadTra_BY!$C$2:$C$79,'Road transport'!$BA37),3)</f>
        <v/>
      </c>
      <c r="R37">
        <f>"*"&amp;ROUND(SUMIFS(RoadTra_BY!Z$2:Z$79,RoadTra_BY!$B$2:$B$79,'Road transport'!$C37,RoadTra_BY!$C$2:$C$79,'Road transport'!$BA37),3)</f>
        <v/>
      </c>
      <c r="S37">
        <f>"*"&amp;ROUND(SUMIFS(RoadTra_BY!AA$2:AA$79,RoadTra_BY!$B$2:$B$79,'Road transport'!$C37,RoadTra_BY!$C$2:$C$79,'Road transport'!$BA37),3)</f>
        <v/>
      </c>
      <c r="T37">
        <f>"*"&amp;ROUND(SUMIFS(RoadTra_BY!AB$2:AB$79,RoadTra_BY!$B$2:$B$79,'Road transport'!$C37,RoadTra_BY!$C$2:$C$79,'Road transport'!$BA37),3)</f>
        <v/>
      </c>
      <c r="U37">
        <f>"*"&amp;ROUND(SUMIFS(RoadTra_BY!AC$2:AC$79,RoadTra_BY!$B$2:$B$79,'Road transport'!$C37,RoadTra_BY!$C$2:$C$79,'Road transport'!$BA37),3)</f>
        <v/>
      </c>
      <c r="V37">
        <f>"*"&amp;ROUND(SUMIFS(RoadTra_BY!AD$2:AD$79,RoadTra_BY!$B$2:$B$79,'Road transport'!$C37,RoadTra_BY!$C$2:$C$79,'Road transport'!$BA37),3)</f>
        <v/>
      </c>
      <c r="W37">
        <f>"*"&amp;ROUND(SUMIFS(RoadTra_BY!AE$2:AE$79,RoadTra_BY!$B$2:$B$79,'Road transport'!$C37,RoadTra_BY!$C$2:$C$79,'Road transport'!$BA37),3)</f>
        <v/>
      </c>
      <c r="X37">
        <f>"*"&amp;ROUND(SUMIFS(RoadTra_BY!AF$2:AF$79,RoadTra_BY!$B$2:$B$79,'Road transport'!$C37,RoadTra_BY!$C$2:$C$79,'Road transport'!$BA37),3)</f>
        <v/>
      </c>
      <c r="Y37">
        <f>"*"&amp;ROUND(SUMIFS(RoadTra_BY!AG$2:AG$79,RoadTra_BY!$B$2:$B$79,'Road transport'!$C37,RoadTra_BY!$C$2:$C$79,'Road transport'!$BA37),3)</f>
        <v/>
      </c>
      <c r="Z37">
        <f>"*"&amp;ROUND(SUMIFS(RoadTra_BY!AH$2:AH$79,RoadTra_BY!$B$2:$B$79,'Road transport'!$C37,RoadTra_BY!$C$2:$C$79,'Road transport'!$BA37),3)</f>
        <v/>
      </c>
      <c r="AA37">
        <f>"*"&amp;ROUND(SUMIFS(RoadTra_BY!AI$2:AI$79,RoadTra_BY!$B$2:$B$79,'Road transport'!$C37,RoadTra_BY!$C$2:$C$79,'Road transport'!$BA37),3)</f>
        <v/>
      </c>
      <c r="AB37">
        <f>"*"&amp;ROUND(SUMIFS(RoadTra_BY!AJ$2:AJ$79,RoadTra_BY!$B$2:$B$79,'Road transport'!$C37,RoadTra_BY!$C$2:$C$79,'Road transport'!$BA37),3)</f>
        <v/>
      </c>
      <c r="AC37">
        <f>"*"&amp;ROUND(SUMIFS(RoadTra_BY!AK$2:AK$79,RoadTra_BY!$B$2:$B$79,'Road transport'!$C37,RoadTra_BY!$C$2:$C$79,'Road transport'!$BA37),3)</f>
        <v/>
      </c>
      <c r="AD37">
        <f>"*"&amp;ROUND(SUMIFS(RoadTra_BY!AL$2:AL$79,RoadTra_BY!$B$2:$B$79,'Road transport'!$C37,RoadTra_BY!$C$2:$C$79,'Road transport'!$BA37),3)</f>
        <v/>
      </c>
      <c r="AE37">
        <f>"*"&amp;ROUND(SUMIFS(RoadTra_BY!AM$2:AM$79,RoadTra_BY!$B$2:$B$79,'Road transport'!$C37,RoadTra_BY!$C$2:$C$79,'Road transport'!$BA37),3)</f>
        <v/>
      </c>
      <c r="AF37">
        <f>"*"&amp;ROUND(SUMIFS(RoadTra_BY!AN$2:AN$79,RoadTra_BY!$B$2:$B$79,'Road transport'!$C37,RoadTra_BY!$C$2:$C$79,'Road transport'!$BA37),3)</f>
        <v/>
      </c>
      <c r="AG37">
        <f>"*"&amp;ROUND(SUMIFS(RoadTra_BY!AO$2:AO$79,RoadTra_BY!$B$2:$B$79,'Road transport'!$C37,RoadTra_BY!$C$2:$C$79,'Road transport'!$BA37),3)</f>
        <v/>
      </c>
      <c r="AH37">
        <f>"*"&amp;ROUND(SUMIFS(RoadTra_BY!AP$2:AP$79,RoadTra_BY!$B$2:$B$79,'Road transport'!$C37,RoadTra_BY!$C$2:$C$79,'Road transport'!$BA37),3)</f>
        <v/>
      </c>
      <c r="AI37">
        <f>"*"&amp;ROUND(SUMIFS(RoadTra_BY!AQ$2:AQ$79,RoadTra_BY!$B$2:$B$79,'Road transport'!$C37,RoadTra_BY!$C$2:$C$79,'Road transport'!$BA37),3)</f>
        <v/>
      </c>
      <c r="AJ37">
        <f>"*"&amp;ROUND(SUMIFS(RoadTra_BY!AR$2:AR$79,RoadTra_BY!$B$2:$B$79,'Road transport'!$C37,RoadTra_BY!$C$2:$C$79,'Road transport'!$BA37),3)</f>
        <v/>
      </c>
      <c r="AK37">
        <f>"*"&amp;ROUND(SUMIFS(RoadTra_BY!AS$2:AS$79,RoadTra_BY!$B$2:$B$79,'Road transport'!$C37,RoadTra_BY!$C$2:$C$79,'Road transport'!$BA37),3)</f>
        <v/>
      </c>
      <c r="AL37">
        <f>"*"&amp;ROUND(SUMIFS(RoadTra_BY!AT$2:AT$79,RoadTra_BY!$B$2:$B$79,'Road transport'!$C37,RoadTra_BY!$C$2:$C$79,'Road transport'!$BA37),3)</f>
        <v/>
      </c>
      <c r="AM37">
        <f>"*"&amp;ROUND(SUMIFS(RoadTra_BY!AU$2:AU$79,RoadTra_BY!$B$2:$B$79,'Road transport'!$C37,RoadTra_BY!$C$2:$C$79,'Road transport'!$BA37),3)</f>
        <v/>
      </c>
      <c r="AN37">
        <f>"*"&amp;ROUND(SUMIFS(RoadTra_BY!AV$2:AV$79,RoadTra_BY!$B$2:$B$79,'Road transport'!$C37,RoadTra_BY!$C$2:$C$79,'Road transport'!$BA37),3)</f>
        <v/>
      </c>
      <c r="AO37">
        <f>"*"&amp;ROUND(SUMIFS(RoadTra_BY!AW$2:AW$79,RoadTra_BY!$B$2:$B$79,'Road transport'!$C37,RoadTra_BY!$C$2:$C$79,'Road transport'!$BA37),3)</f>
        <v/>
      </c>
      <c r="AP37">
        <f>"*"&amp;ROUND(SUMIFS(RoadTra_BY!AX$2:AX$79,RoadTra_BY!$B$2:$B$79,'Road transport'!$C37,RoadTra_BY!$C$2:$C$79,'Road transport'!$BA37),3)</f>
        <v/>
      </c>
      <c r="AQ37">
        <f>"*"&amp;ROUND(SUMIFS(RoadTra_BY!AY$2:AY$79,RoadTra_BY!$B$2:$B$79,'Road transport'!$C37,RoadTra_BY!$C$2:$C$79,'Road transport'!$BA37),3)</f>
        <v/>
      </c>
      <c r="AR37">
        <f>"*"&amp;ROUND(SUMIFS(RoadTra_BY!AZ$2:AZ$79,RoadTra_BY!$B$2:$B$79,'Road transport'!$C37,RoadTra_BY!$C$2:$C$79,'Road transport'!$BA37),3)</f>
        <v/>
      </c>
      <c r="AS37">
        <f>"*"&amp;ROUND(SUMIFS(RoadTra_BY!BA$2:BA$79,RoadTra_BY!$B$2:$B$79,'Road transport'!$C37,RoadTra_BY!$C$2:$C$79,'Road transport'!$BA37),3)</f>
        <v/>
      </c>
      <c r="AT37">
        <f>"*"&amp;ROUND(SUMIFS(RoadTra_BY!BB$2:BB$79,RoadTra_BY!$B$2:$B$79,'Road transport'!$C37,RoadTra_BY!$C$2:$C$79,'Road transport'!$BA37),3)</f>
        <v/>
      </c>
      <c r="AU37">
        <f>"*"&amp;ROUND(SUMIFS(RoadTra_BY!BC$2:BC$79,RoadTra_BY!$B$2:$B$79,'Road transport'!$C37,RoadTra_BY!$C$2:$C$79,'Road transport'!$BA37),3)</f>
        <v/>
      </c>
      <c r="AV37">
        <f>"*"&amp;ROUND(SUMIFS(RoadTra_BY!BD$2:BD$79,RoadTra_BY!$B$2:$B$79,'Road transport'!$C37,RoadTra_BY!$C$2:$C$79,'Road transport'!$BA37),3)</f>
        <v/>
      </c>
      <c r="AW37">
        <f>"*"&amp;ROUND(SUMIFS(RoadTra_BY!BE$2:BE$79,RoadTra_BY!$B$2:$B$79,'Road transport'!$C37,RoadTra_BY!$C$2:$C$79,'Road transport'!$BA37),3)</f>
        <v/>
      </c>
      <c r="AX37">
        <f>SUBSTITUTE(SUBSTITUTE(BA37,"gsl",""),"dsl","")&amp;"*"</f>
        <v/>
      </c>
      <c r="AZ37">
        <f>IFERROR(IF(FIND("gsl",BA37)&gt;0,1,0),2)</f>
        <v/>
      </c>
      <c r="BA37" t="inlineStr">
        <is>
          <t>Trd_hdt_dsl</t>
        </is>
      </c>
    </row>
    <row r="38" ht="12.5" customHeight="1" s="213">
      <c r="C38" t="inlineStr">
        <is>
          <t>EFF</t>
        </is>
      </c>
      <c r="D38">
        <f>"*"&amp;ROUND(SUMIFS(RoadTra_BY!L$2:L$79,RoadTra_BY!$B$2:$B$79,'Road transport'!$C38,RoadTra_BY!$C$2:$C$79,'Road transport'!$BA38),3)</f>
        <v/>
      </c>
      <c r="E38">
        <f>"*"&amp;ROUND(SUMIFS(RoadTra_BY!M$2:M$79,RoadTra_BY!$B$2:$B$79,'Road transport'!$C38,RoadTra_BY!$C$2:$C$79,'Road transport'!$BA38),3)</f>
        <v/>
      </c>
      <c r="F38">
        <f>"*"&amp;ROUND(SUMIFS(RoadTra_BY!N$2:N$79,RoadTra_BY!$B$2:$B$79,'Road transport'!$C38,RoadTra_BY!$C$2:$C$79,'Road transport'!$BA38),3)</f>
        <v/>
      </c>
      <c r="G38">
        <f>"*"&amp;ROUND(SUMIFS(RoadTra_BY!O$2:O$79,RoadTra_BY!$B$2:$B$79,'Road transport'!$C38,RoadTra_BY!$C$2:$C$79,'Road transport'!$BA38),3)</f>
        <v/>
      </c>
      <c r="H38">
        <f>"*"&amp;ROUND(SUMIFS(RoadTra_BY!P$2:P$79,RoadTra_BY!$B$2:$B$79,'Road transport'!$C38,RoadTra_BY!$C$2:$C$79,'Road transport'!$BA38),3)</f>
        <v/>
      </c>
      <c r="I38">
        <f>"*"&amp;ROUND(SUMIFS(RoadTra_BY!Q$2:Q$79,RoadTra_BY!$B$2:$B$79,'Road transport'!$C38,RoadTra_BY!$C$2:$C$79,'Road transport'!$BA38),3)</f>
        <v/>
      </c>
      <c r="J38">
        <f>"*"&amp;ROUND(SUMIFS(RoadTra_BY!R$2:R$79,RoadTra_BY!$B$2:$B$79,'Road transport'!$C38,RoadTra_BY!$C$2:$C$79,'Road transport'!$BA38),3)</f>
        <v/>
      </c>
      <c r="K38">
        <f>"*"&amp;ROUND(SUMIFS(RoadTra_BY!S$2:S$79,RoadTra_BY!$B$2:$B$79,'Road transport'!$C38,RoadTra_BY!$C$2:$C$79,'Road transport'!$BA38),3)</f>
        <v/>
      </c>
      <c r="L38">
        <f>"*"&amp;ROUND(SUMIFS(RoadTra_BY!T$2:T$79,RoadTra_BY!$B$2:$B$79,'Road transport'!$C38,RoadTra_BY!$C$2:$C$79,'Road transport'!$BA38),3)</f>
        <v/>
      </c>
      <c r="M38">
        <f>"*"&amp;ROUND(SUMIFS(RoadTra_BY!U$2:U$79,RoadTra_BY!$B$2:$B$79,'Road transport'!$C38,RoadTra_BY!$C$2:$C$79,'Road transport'!$BA38),3)</f>
        <v/>
      </c>
      <c r="N38">
        <f>"*"&amp;ROUND(SUMIFS(RoadTra_BY!V$2:V$79,RoadTra_BY!$B$2:$B$79,'Road transport'!$C38,RoadTra_BY!$C$2:$C$79,'Road transport'!$BA38),3)</f>
        <v/>
      </c>
      <c r="O38">
        <f>"*"&amp;ROUND(SUMIFS(RoadTra_BY!W$2:W$79,RoadTra_BY!$B$2:$B$79,'Road transport'!$C38,RoadTra_BY!$C$2:$C$79,'Road transport'!$BA38),3)</f>
        <v/>
      </c>
      <c r="P38">
        <f>"*"&amp;ROUND(SUMIFS(RoadTra_BY!X$2:X$79,RoadTra_BY!$B$2:$B$79,'Road transport'!$C38,RoadTra_BY!$C$2:$C$79,'Road transport'!$BA38),3)</f>
        <v/>
      </c>
      <c r="Q38">
        <f>"*"&amp;ROUND(SUMIFS(RoadTra_BY!Y$2:Y$79,RoadTra_BY!$B$2:$B$79,'Road transport'!$C38,RoadTra_BY!$C$2:$C$79,'Road transport'!$BA38),3)</f>
        <v/>
      </c>
      <c r="R38">
        <f>"*"&amp;ROUND(SUMIFS(RoadTra_BY!Z$2:Z$79,RoadTra_BY!$B$2:$B$79,'Road transport'!$C38,RoadTra_BY!$C$2:$C$79,'Road transport'!$BA38),3)</f>
        <v/>
      </c>
      <c r="S38">
        <f>"*"&amp;ROUND(SUMIFS(RoadTra_BY!AA$2:AA$79,RoadTra_BY!$B$2:$B$79,'Road transport'!$C38,RoadTra_BY!$C$2:$C$79,'Road transport'!$BA38),3)</f>
        <v/>
      </c>
      <c r="T38">
        <f>"*"&amp;ROUND(SUMIFS(RoadTra_BY!AB$2:AB$79,RoadTra_BY!$B$2:$B$79,'Road transport'!$C38,RoadTra_BY!$C$2:$C$79,'Road transport'!$BA38),3)</f>
        <v/>
      </c>
      <c r="U38">
        <f>"*"&amp;ROUND(SUMIFS(RoadTra_BY!AC$2:AC$79,RoadTra_BY!$B$2:$B$79,'Road transport'!$C38,RoadTra_BY!$C$2:$C$79,'Road transport'!$BA38),3)</f>
        <v/>
      </c>
      <c r="V38">
        <f>"*"&amp;ROUND(SUMIFS(RoadTra_BY!AD$2:AD$79,RoadTra_BY!$B$2:$B$79,'Road transport'!$C38,RoadTra_BY!$C$2:$C$79,'Road transport'!$BA38),3)</f>
        <v/>
      </c>
      <c r="W38">
        <f>"*"&amp;ROUND(SUMIFS(RoadTra_BY!AE$2:AE$79,RoadTra_BY!$B$2:$B$79,'Road transport'!$C38,RoadTra_BY!$C$2:$C$79,'Road transport'!$BA38),3)</f>
        <v/>
      </c>
      <c r="X38">
        <f>"*"&amp;ROUND(SUMIFS(RoadTra_BY!AF$2:AF$79,RoadTra_BY!$B$2:$B$79,'Road transport'!$C38,RoadTra_BY!$C$2:$C$79,'Road transport'!$BA38),3)</f>
        <v/>
      </c>
      <c r="Y38">
        <f>"*"&amp;ROUND(SUMIFS(RoadTra_BY!AG$2:AG$79,RoadTra_BY!$B$2:$B$79,'Road transport'!$C38,RoadTra_BY!$C$2:$C$79,'Road transport'!$BA38),3)</f>
        <v/>
      </c>
      <c r="Z38">
        <f>"*"&amp;ROUND(SUMIFS(RoadTra_BY!AH$2:AH$79,RoadTra_BY!$B$2:$B$79,'Road transport'!$C38,RoadTra_BY!$C$2:$C$79,'Road transport'!$BA38),3)</f>
        <v/>
      </c>
      <c r="AA38">
        <f>"*"&amp;ROUND(SUMIFS(RoadTra_BY!AI$2:AI$79,RoadTra_BY!$B$2:$B$79,'Road transport'!$C38,RoadTra_BY!$C$2:$C$79,'Road transport'!$BA38),3)</f>
        <v/>
      </c>
      <c r="AB38">
        <f>"*"&amp;ROUND(SUMIFS(RoadTra_BY!AJ$2:AJ$79,RoadTra_BY!$B$2:$B$79,'Road transport'!$C38,RoadTra_BY!$C$2:$C$79,'Road transport'!$BA38),3)</f>
        <v/>
      </c>
      <c r="AC38">
        <f>"*"&amp;ROUND(SUMIFS(RoadTra_BY!AK$2:AK$79,RoadTra_BY!$B$2:$B$79,'Road transport'!$C38,RoadTra_BY!$C$2:$C$79,'Road transport'!$BA38),3)</f>
        <v/>
      </c>
      <c r="AD38">
        <f>"*"&amp;ROUND(SUMIFS(RoadTra_BY!AL$2:AL$79,RoadTra_BY!$B$2:$B$79,'Road transport'!$C38,RoadTra_BY!$C$2:$C$79,'Road transport'!$BA38),3)</f>
        <v/>
      </c>
      <c r="AE38">
        <f>"*"&amp;ROUND(SUMIFS(RoadTra_BY!AM$2:AM$79,RoadTra_BY!$B$2:$B$79,'Road transport'!$C38,RoadTra_BY!$C$2:$C$79,'Road transport'!$BA38),3)</f>
        <v/>
      </c>
      <c r="AF38">
        <f>"*"&amp;ROUND(SUMIFS(RoadTra_BY!AN$2:AN$79,RoadTra_BY!$B$2:$B$79,'Road transport'!$C38,RoadTra_BY!$C$2:$C$79,'Road transport'!$BA38),3)</f>
        <v/>
      </c>
      <c r="AG38">
        <f>"*"&amp;ROUND(SUMIFS(RoadTra_BY!AO$2:AO$79,RoadTra_BY!$B$2:$B$79,'Road transport'!$C38,RoadTra_BY!$C$2:$C$79,'Road transport'!$BA38),3)</f>
        <v/>
      </c>
      <c r="AH38">
        <f>"*"&amp;ROUND(SUMIFS(RoadTra_BY!AP$2:AP$79,RoadTra_BY!$B$2:$B$79,'Road transport'!$C38,RoadTra_BY!$C$2:$C$79,'Road transport'!$BA38),3)</f>
        <v/>
      </c>
      <c r="AI38">
        <f>"*"&amp;ROUND(SUMIFS(RoadTra_BY!AQ$2:AQ$79,RoadTra_BY!$B$2:$B$79,'Road transport'!$C38,RoadTra_BY!$C$2:$C$79,'Road transport'!$BA38),3)</f>
        <v/>
      </c>
      <c r="AJ38">
        <f>"*"&amp;ROUND(SUMIFS(RoadTra_BY!AR$2:AR$79,RoadTra_BY!$B$2:$B$79,'Road transport'!$C38,RoadTra_BY!$C$2:$C$79,'Road transport'!$BA38),3)</f>
        <v/>
      </c>
      <c r="AK38">
        <f>"*"&amp;ROUND(SUMIFS(RoadTra_BY!AS$2:AS$79,RoadTra_BY!$B$2:$B$79,'Road transport'!$C38,RoadTra_BY!$C$2:$C$79,'Road transport'!$BA38),3)</f>
        <v/>
      </c>
      <c r="AL38">
        <f>"*"&amp;ROUND(SUMIFS(RoadTra_BY!AT$2:AT$79,RoadTra_BY!$B$2:$B$79,'Road transport'!$C38,RoadTra_BY!$C$2:$C$79,'Road transport'!$BA38),3)</f>
        <v/>
      </c>
      <c r="AM38">
        <f>"*"&amp;ROUND(SUMIFS(RoadTra_BY!AU$2:AU$79,RoadTra_BY!$B$2:$B$79,'Road transport'!$C38,RoadTra_BY!$C$2:$C$79,'Road transport'!$BA38),3)</f>
        <v/>
      </c>
      <c r="AN38">
        <f>"*"&amp;ROUND(SUMIFS(RoadTra_BY!AV$2:AV$79,RoadTra_BY!$B$2:$B$79,'Road transport'!$C38,RoadTra_BY!$C$2:$C$79,'Road transport'!$BA38),3)</f>
        <v/>
      </c>
      <c r="AO38">
        <f>"*"&amp;ROUND(SUMIFS(RoadTra_BY!AW$2:AW$79,RoadTra_BY!$B$2:$B$79,'Road transport'!$C38,RoadTra_BY!$C$2:$C$79,'Road transport'!$BA38),3)</f>
        <v/>
      </c>
      <c r="AP38">
        <f>"*"&amp;ROUND(SUMIFS(RoadTra_BY!AX$2:AX$79,RoadTra_BY!$B$2:$B$79,'Road transport'!$C38,RoadTra_BY!$C$2:$C$79,'Road transport'!$BA38),3)</f>
        <v/>
      </c>
      <c r="AQ38">
        <f>"*"&amp;ROUND(SUMIFS(RoadTra_BY!AY$2:AY$79,RoadTra_BY!$B$2:$B$79,'Road transport'!$C38,RoadTra_BY!$C$2:$C$79,'Road transport'!$BA38),3)</f>
        <v/>
      </c>
      <c r="AR38">
        <f>"*"&amp;ROUND(SUMIFS(RoadTra_BY!AZ$2:AZ$79,RoadTra_BY!$B$2:$B$79,'Road transport'!$C38,RoadTra_BY!$C$2:$C$79,'Road transport'!$BA38),3)</f>
        <v/>
      </c>
      <c r="AS38">
        <f>"*"&amp;ROUND(SUMIFS(RoadTra_BY!BA$2:BA$79,RoadTra_BY!$B$2:$B$79,'Road transport'!$C38,RoadTra_BY!$C$2:$C$79,'Road transport'!$BA38),3)</f>
        <v/>
      </c>
      <c r="AT38">
        <f>"*"&amp;ROUND(SUMIFS(RoadTra_BY!BB$2:BB$79,RoadTra_BY!$B$2:$B$79,'Road transport'!$C38,RoadTra_BY!$C$2:$C$79,'Road transport'!$BA38),3)</f>
        <v/>
      </c>
      <c r="AU38">
        <f>"*"&amp;ROUND(SUMIFS(RoadTra_BY!BC$2:BC$79,RoadTra_BY!$B$2:$B$79,'Road transport'!$C38,RoadTra_BY!$C$2:$C$79,'Road transport'!$BA38),3)</f>
        <v/>
      </c>
      <c r="AV38">
        <f>"*"&amp;ROUND(SUMIFS(RoadTra_BY!BD$2:BD$79,RoadTra_BY!$B$2:$B$79,'Road transport'!$C38,RoadTra_BY!$C$2:$C$79,'Road transport'!$BA38),3)</f>
        <v/>
      </c>
      <c r="AW38">
        <f>"*"&amp;ROUND(SUMIFS(RoadTra_BY!BE$2:BE$79,RoadTra_BY!$B$2:$B$79,'Road transport'!$C38,RoadTra_BY!$C$2:$C$79,'Road transport'!$BA38),3)</f>
        <v/>
      </c>
      <c r="AX38">
        <f>SUBSTITUTE(SUBSTITUTE(BA38,"gsl",""),"dsl","")&amp;"*"</f>
        <v/>
      </c>
      <c r="AZ38">
        <f>IFERROR(IF(FIND("gsl",BA38)&gt;0,1,0),2)</f>
        <v/>
      </c>
      <c r="BA38" t="inlineStr">
        <is>
          <t>Trd_lcv_dsl</t>
        </is>
      </c>
    </row>
    <row r="45" ht="12.5" customHeight="1" s="213">
      <c r="E45" s="90" t="n"/>
    </row>
    <row r="48" ht="12.5" customHeight="1" s="213">
      <c r="B48" t="inlineStr">
        <is>
          <t>~TFM_UPD</t>
        </is>
      </c>
    </row>
    <row r="49" ht="12.5" customHeight="1" s="213">
      <c r="B49" t="inlineStr">
        <is>
          <t>attribute</t>
        </is>
      </c>
      <c r="C49" t="inlineStr">
        <is>
          <t>value</t>
        </is>
      </c>
      <c r="D49" t="inlineStr">
        <is>
          <t>pset_ci</t>
        </is>
      </c>
      <c r="E49" t="inlineStr">
        <is>
          <t>pset_co</t>
        </is>
      </c>
      <c r="I49" t="inlineStr">
        <is>
          <t>tempering the Eff improvement in smaller Evs</t>
        </is>
      </c>
    </row>
    <row r="50" ht="12.5" customHeight="1" s="213">
      <c r="B50" t="inlineStr">
        <is>
          <t>EFF</t>
        </is>
      </c>
      <c r="C50" t="inlineStr">
        <is>
          <t>*.5</t>
        </is>
      </c>
      <c r="D50" t="inlineStr">
        <is>
          <t>TRDELC</t>
        </is>
      </c>
      <c r="E50" t="inlineStr">
        <is>
          <t>Trd_2w,Trd_3w</t>
        </is>
      </c>
    </row>
    <row r="53" ht="12.5" customHeight="1" s="213">
      <c r="B53" t="inlineStr">
        <is>
          <t>~TFM_INS</t>
        </is>
      </c>
    </row>
    <row r="54" ht="12.5" customHeight="1" s="213">
      <c r="B54" t="inlineStr">
        <is>
          <t>attribute</t>
        </is>
      </c>
      <c r="C54" t="inlineStr">
        <is>
          <t>value</t>
        </is>
      </c>
      <c r="D54" t="inlineStr">
        <is>
          <t>pset_set</t>
        </is>
      </c>
      <c r="E54" t="inlineStr">
        <is>
          <t>attrib_cond</t>
        </is>
      </c>
      <c r="F54" t="inlineStr">
        <is>
          <t>cset_cn</t>
        </is>
      </c>
      <c r="G54" t="inlineStr">
        <is>
          <t>other_indexes</t>
        </is>
      </c>
      <c r="H54" t="inlineStr">
        <is>
          <t>pset_co</t>
        </is>
      </c>
      <c r="I54" t="inlineStr">
        <is>
          <t>pset_pn</t>
        </is>
      </c>
    </row>
    <row r="55" ht="12.5" customHeight="1" s="213">
      <c r="B55" t="inlineStr">
        <is>
          <t>INVCOST</t>
        </is>
      </c>
      <c r="C55" t="n">
        <v>10</v>
      </c>
      <c r="D55" t="inlineStr">
        <is>
          <t>ELE</t>
        </is>
      </c>
      <c r="E55" s="223" t="inlineStr">
        <is>
          <t>-INVCOST</t>
        </is>
      </c>
      <c r="I55" s="223" t="inlineStr">
        <is>
          <t>-Util_Rep_Batt*</t>
        </is>
      </c>
    </row>
    <row r="56" ht="12.5" customHeight="1" s="213">
      <c r="B56" t="inlineStr">
        <is>
          <t>FLO_FUNC</t>
        </is>
      </c>
      <c r="C56" t="n">
        <v>1</v>
      </c>
      <c r="F56" t="inlineStr">
        <is>
          <t>AuxStoIN</t>
        </is>
      </c>
      <c r="G56" t="inlineStr">
        <is>
          <t>TRAELC</t>
        </is>
      </c>
      <c r="H56">
        <f>F56</f>
        <v/>
      </c>
      <c r="I56" t="inlineStr">
        <is>
          <t>Tra*</t>
        </is>
      </c>
    </row>
    <row r="62" ht="12.5" customHeight="1" s="213">
      <c r="H62" s="141" t="n"/>
    </row>
    <row r="63" ht="12.5" customHeight="1" s="213">
      <c r="H63" s="141" t="n"/>
      <c r="BA63" s="81" t="n"/>
      <c r="CW63" s="14" t="n"/>
      <c r="CX63" s="91" t="inlineStr">
        <is>
          <t>~TFM_INS</t>
        </is>
      </c>
      <c r="CY63" s="14" t="n"/>
      <c r="CZ63" s="14" t="n"/>
      <c r="DA63" s="14" t="n"/>
      <c r="DB63" s="14" t="n"/>
    </row>
    <row r="64" ht="12.5" customHeight="1" s="213">
      <c r="A64" t="inlineStr">
        <is>
          <t>*This original table seems too far from USGS evidence</t>
        </is>
      </c>
      <c r="CW64" s="14" t="n"/>
      <c r="CX64" s="14" t="n"/>
      <c r="CY64" s="14" t="n"/>
      <c r="CZ64" s="14" t="n"/>
      <c r="DA64" s="14" t="n"/>
      <c r="DB64" s="14" t="n"/>
    </row>
    <row r="65" ht="12.5" customFormat="1" customHeight="1" s="80">
      <c r="A65" s="81" t="n"/>
      <c r="B65" s="84" t="n"/>
      <c r="C65" s="92" t="n"/>
      <c r="D65" s="84" t="n"/>
      <c r="E65" s="84" t="n"/>
      <c r="F65" s="81" t="n"/>
      <c r="G65" s="81" t="n"/>
      <c r="H65" s="81" t="n"/>
      <c r="I65" s="81" t="n"/>
      <c r="J65" s="81" t="n"/>
      <c r="K65" s="81" t="n"/>
      <c r="L65" s="81" t="n"/>
      <c r="M65" s="81" t="n"/>
      <c r="N65" s="81" t="n"/>
      <c r="O65" s="81" t="n"/>
      <c r="P65" s="81" t="n"/>
      <c r="Q65" s="81" t="n"/>
      <c r="R65" s="81" t="n"/>
      <c r="S65" s="81" t="n"/>
      <c r="T65" s="81" t="n"/>
      <c r="U65" s="81" t="n"/>
      <c r="V65" s="81" t="n"/>
      <c r="W65" s="81" t="n"/>
      <c r="X65" s="81" t="n"/>
      <c r="Y65" s="81" t="n"/>
      <c r="Z65" s="81" t="n"/>
      <c r="AA65" s="81" t="n"/>
      <c r="AB65" s="81" t="n"/>
      <c r="AC65" s="81" t="n"/>
      <c r="AD65" s="81" t="n"/>
      <c r="AE65" s="81" t="n"/>
      <c r="AF65" s="81" t="n"/>
      <c r="AG65" s="81" t="n"/>
      <c r="AH65" s="81" t="n"/>
      <c r="AI65" s="81" t="n"/>
      <c r="AJ65" s="81" t="n"/>
      <c r="AK65" s="81" t="n"/>
      <c r="AL65" s="81" t="n"/>
      <c r="AM65" s="81" t="n"/>
      <c r="AN65" s="81" t="n"/>
      <c r="AO65" s="81" t="n"/>
      <c r="AP65" s="81" t="n"/>
      <c r="AY65" s="81" t="n"/>
      <c r="AZ65" s="81" t="n"/>
      <c r="BB65" s="81" t="n"/>
      <c r="BC65" s="81" t="n"/>
      <c r="BD65" s="81" t="n"/>
      <c r="BE65" s="81" t="n"/>
      <c r="BF65" s="81" t="n"/>
      <c r="BG65" s="81" t="n"/>
      <c r="BH65" s="81" t="n"/>
      <c r="BI65" s="81" t="n"/>
      <c r="CO65" s="93" t="n"/>
      <c r="CP65" s="93" t="n"/>
      <c r="CR65" s="93" t="n"/>
      <c r="CS65" s="93" t="n"/>
      <c r="CT65" s="93" t="n"/>
      <c r="CU65" s="93" t="n"/>
      <c r="CW65" s="94" t="n"/>
      <c r="CX65" s="94" t="n"/>
      <c r="CY65" s="94" t="n"/>
      <c r="CZ65" s="94" t="n"/>
      <c r="DA65" s="94" t="n"/>
      <c r="DB65" s="94" t="n"/>
    </row>
    <row r="66" ht="12.5" customFormat="1" customHeight="1" s="81">
      <c r="A66" s="81" t="inlineStr">
        <is>
          <t>year</t>
        </is>
      </c>
      <c r="B66" s="84" t="inlineStr">
        <is>
          <t>attribute</t>
        </is>
      </c>
      <c r="C66" s="84" t="inlineStr">
        <is>
          <t>limtype</t>
        </is>
      </c>
      <c r="D66" s="84" t="inlineStr">
        <is>
          <t>process</t>
        </is>
      </c>
      <c r="E66" s="84" t="inlineStr">
        <is>
          <t>cset_cn</t>
        </is>
      </c>
      <c r="F66" s="81" t="inlineStr">
        <is>
          <t>Africa_North</t>
        </is>
      </c>
      <c r="G66" s="81" t="inlineStr">
        <is>
          <t>Africa_Other</t>
        </is>
      </c>
      <c r="H66" s="81" t="inlineStr">
        <is>
          <t>Australia</t>
        </is>
      </c>
      <c r="I66" s="81" t="inlineStr">
        <is>
          <t>Austria</t>
        </is>
      </c>
      <c r="J66" s="81" t="inlineStr">
        <is>
          <t>Baltics</t>
        </is>
      </c>
      <c r="K66" s="81" t="inlineStr">
        <is>
          <t>BeNeLux</t>
        </is>
      </c>
      <c r="L66" s="81" t="inlineStr">
        <is>
          <t>Brazil</t>
        </is>
      </c>
      <c r="M66" s="81" t="inlineStr">
        <is>
          <t>China</t>
        </is>
      </c>
      <c r="N66" s="81" t="inlineStr">
        <is>
          <t>CroSloven</t>
        </is>
      </c>
      <c r="O66" s="81" t="inlineStr">
        <is>
          <t>CzechSlovak</t>
        </is>
      </c>
      <c r="P66" s="81" t="inlineStr">
        <is>
          <t>France</t>
        </is>
      </c>
      <c r="Q66" s="81" t="inlineStr">
        <is>
          <t>Germany</t>
        </is>
      </c>
      <c r="R66" s="81" t="inlineStr">
        <is>
          <t>GreeceCyp</t>
        </is>
      </c>
      <c r="S66" s="81" t="inlineStr">
        <is>
          <t>HunRomBul</t>
        </is>
      </c>
      <c r="T66" s="81" t="inlineStr">
        <is>
          <t>Iceland</t>
        </is>
      </c>
      <c r="U66" s="81" t="inlineStr">
        <is>
          <t>India</t>
        </is>
      </c>
      <c r="V66" s="81" t="inlineStr">
        <is>
          <t>Ireland</t>
        </is>
      </c>
      <c r="W66" s="81" t="inlineStr">
        <is>
          <t>ItalyMal</t>
        </is>
      </c>
      <c r="X66" s="81" t="inlineStr">
        <is>
          <t>Japan</t>
        </is>
      </c>
      <c r="Y66" s="81" t="inlineStr">
        <is>
          <t>LatAm</t>
        </is>
      </c>
      <c r="Z66" s="81" t="inlineStr">
        <is>
          <t>MidEast</t>
        </is>
      </c>
      <c r="AA66" s="81" t="inlineStr">
        <is>
          <t>NorthAm</t>
        </is>
      </c>
      <c r="AB66" s="81" t="inlineStr">
        <is>
          <t>Norway</t>
        </is>
      </c>
      <c r="AC66" s="81" t="inlineStr">
        <is>
          <t>Poland</t>
        </is>
      </c>
      <c r="AD66" s="81" t="inlineStr">
        <is>
          <t>ROW</t>
        </is>
      </c>
      <c r="AE66" s="81" t="inlineStr">
        <is>
          <t>Russia</t>
        </is>
      </c>
      <c r="AF66" s="81" t="inlineStr">
        <is>
          <t>SaudiArabia</t>
        </is>
      </c>
      <c r="AG66" s="81" t="inlineStr">
        <is>
          <t>SouthAfrica</t>
        </is>
      </c>
      <c r="AH66" s="81" t="inlineStr">
        <is>
          <t>SpainPor</t>
        </is>
      </c>
      <c r="AI66" s="81" t="inlineStr">
        <is>
          <t>SweFinDen</t>
        </is>
      </c>
      <c r="AJ66" s="81" t="inlineStr">
        <is>
          <t>Switzerland</t>
        </is>
      </c>
      <c r="AK66" s="81" t="inlineStr">
        <is>
          <t>Turkey</t>
        </is>
      </c>
      <c r="AL66" s="81" t="inlineStr">
        <is>
          <t>UK</t>
        </is>
      </c>
      <c r="AM66" s="81" t="inlineStr">
        <is>
          <t>Ukraine</t>
        </is>
      </c>
      <c r="AN66" t="inlineStr">
        <is>
          <t>WestBalkans</t>
        </is>
      </c>
      <c r="AO66" s="81" t="inlineStr">
        <is>
          <t>Pset_CO</t>
        </is>
      </c>
      <c r="CQ66" s="95" t="n"/>
      <c r="CR66" s="95" t="n"/>
      <c r="CT66" s="95" t="n"/>
      <c r="CU66" s="95" t="n"/>
      <c r="CW66" s="14" t="inlineStr">
        <is>
          <t>attribute</t>
        </is>
      </c>
      <c r="CX66" s="14" t="inlineStr">
        <is>
          <t>limtype</t>
        </is>
      </c>
      <c r="CY66" s="14" t="inlineStr">
        <is>
          <t>process</t>
        </is>
      </c>
      <c r="CZ66" s="14" t="inlineStr">
        <is>
          <t>cset_cn</t>
        </is>
      </c>
      <c r="DA66" s="96" t="inlineStr">
        <is>
          <t>year</t>
        </is>
      </c>
      <c r="DB66" s="96" t="inlineStr">
        <is>
          <t>AllRegions</t>
        </is>
      </c>
    </row>
    <row r="67" ht="14.5" customFormat="1" customHeight="1" s="81">
      <c r="A67" s="81" t="inlineStr">
        <is>
          <t>2019, 2024</t>
        </is>
      </c>
      <c r="B67" s="97" t="inlineStr">
        <is>
          <t>FLO_BND</t>
        </is>
      </c>
      <c r="C67" s="84" t="inlineStr">
        <is>
          <t>UP</t>
        </is>
      </c>
      <c r="D67" s="98" t="inlineStr">
        <is>
          <t>MINBatMaterials_LI</t>
        </is>
      </c>
      <c r="E67" s="92" t="inlineStr">
        <is>
          <t>m_lithium</t>
        </is>
      </c>
      <c r="F67" s="81">
        <f>D77/1000</f>
        <v/>
      </c>
      <c r="G67" s="81">
        <f>E77/1000</f>
        <v/>
      </c>
      <c r="H67" s="81">
        <f>F77/1000</f>
        <v/>
      </c>
      <c r="I67" s="81">
        <f>G77/1000</f>
        <v/>
      </c>
      <c r="J67" s="81">
        <f>H77/1000</f>
        <v/>
      </c>
      <c r="K67" s="81">
        <f>I77/1000</f>
        <v/>
      </c>
      <c r="L67" s="81">
        <f>J77/1000</f>
        <v/>
      </c>
      <c r="M67" s="81" t="n">
        <v>2000</v>
      </c>
      <c r="N67" s="81">
        <f>L77/1000</f>
        <v/>
      </c>
      <c r="O67" s="81">
        <f>M77/1000</f>
        <v/>
      </c>
      <c r="P67" s="81">
        <f>N77/1000</f>
        <v/>
      </c>
      <c r="Q67" s="81">
        <f>O77/1000</f>
        <v/>
      </c>
      <c r="R67" s="81">
        <f>P77/1000</f>
        <v/>
      </c>
      <c r="S67" s="81">
        <f>Q77/1000</f>
        <v/>
      </c>
      <c r="T67" s="81">
        <f>R77/1000</f>
        <v/>
      </c>
      <c r="U67" s="81">
        <f>S77/1000</f>
        <v/>
      </c>
      <c r="V67" s="81">
        <f>T77/1000</f>
        <v/>
      </c>
      <c r="W67" s="81">
        <f>U77/1000</f>
        <v/>
      </c>
      <c r="X67" s="81">
        <f>V77/1000</f>
        <v/>
      </c>
      <c r="Y67" s="81">
        <f>W77/1000</f>
        <v/>
      </c>
      <c r="Z67" s="81">
        <f>X77/1000</f>
        <v/>
      </c>
      <c r="AA67" s="81">
        <f>Y77/1000</f>
        <v/>
      </c>
      <c r="AB67" s="81">
        <f>Z77/1000</f>
        <v/>
      </c>
      <c r="AC67" s="81">
        <f>AA77/1000</f>
        <v/>
      </c>
      <c r="AD67" s="81">
        <f>AB77/1000</f>
        <v/>
      </c>
      <c r="AE67" s="81">
        <f>AC77/1000</f>
        <v/>
      </c>
      <c r="AF67" s="81">
        <f>AD77/1000</f>
        <v/>
      </c>
      <c r="AG67" s="81">
        <f>AE77/1000</f>
        <v/>
      </c>
      <c r="AH67" s="81">
        <f>AF77/1000</f>
        <v/>
      </c>
      <c r="AI67" s="81">
        <f>AG77/1000</f>
        <v/>
      </c>
      <c r="AJ67" s="81">
        <f>AH77/1000</f>
        <v/>
      </c>
      <c r="AK67" s="81">
        <f>AI77/1000</f>
        <v/>
      </c>
      <c r="AL67" s="81">
        <f>AJ77/1000</f>
        <v/>
      </c>
      <c r="AM67" s="81">
        <f>AK77/1000</f>
        <v/>
      </c>
      <c r="AN67" t="n">
        <v>0</v>
      </c>
      <c r="AO67" s="81">
        <f>E67</f>
        <v/>
      </c>
      <c r="CQ67" s="95" t="n"/>
      <c r="CR67" s="95" t="n"/>
      <c r="CT67" s="95" t="n"/>
      <c r="CU67" s="95" t="n"/>
      <c r="CW67" s="99" t="inlineStr">
        <is>
          <t>FLO_BND</t>
        </is>
      </c>
      <c r="CX67" s="14" t="inlineStr">
        <is>
          <t>UP</t>
        </is>
      </c>
      <c r="CY67" s="94">
        <f>D67</f>
        <v/>
      </c>
      <c r="CZ67" s="94" t="inlineStr">
        <is>
          <t>m_lithium</t>
        </is>
      </c>
      <c r="DA67" s="96" t="n">
        <v>0</v>
      </c>
      <c r="DB67" s="96" t="n">
        <v>1</v>
      </c>
    </row>
    <row r="68" ht="16" customFormat="1" customHeight="1" s="81">
      <c r="A68" s="81" t="inlineStr">
        <is>
          <t>2019, 2024</t>
        </is>
      </c>
      <c r="B68" s="97" t="inlineStr">
        <is>
          <t>FLO_BND</t>
        </is>
      </c>
      <c r="C68" s="84" t="inlineStr">
        <is>
          <t>UP</t>
        </is>
      </c>
      <c r="D68" s="66" t="inlineStr">
        <is>
          <t>MINBatMaterials_NI</t>
        </is>
      </c>
      <c r="E68" s="92" t="inlineStr">
        <is>
          <t>m_nickel</t>
        </is>
      </c>
      <c r="F68" s="81">
        <f>D78/1000</f>
        <v/>
      </c>
      <c r="G68" s="81">
        <f>E78/1000</f>
        <v/>
      </c>
      <c r="H68" s="81">
        <f>F78/1000</f>
        <v/>
      </c>
      <c r="I68" s="81">
        <f>G78/1000</f>
        <v/>
      </c>
      <c r="J68" s="81">
        <f>H78/1000</f>
        <v/>
      </c>
      <c r="K68" s="81">
        <f>I78/1000</f>
        <v/>
      </c>
      <c r="L68" s="81">
        <f>J78/1000</f>
        <v/>
      </c>
      <c r="M68" s="81">
        <f>K78/1000</f>
        <v/>
      </c>
      <c r="N68" s="81">
        <f>L78/1000</f>
        <v/>
      </c>
      <c r="O68" s="81">
        <f>M78/1000</f>
        <v/>
      </c>
      <c r="P68" s="81">
        <f>N78/1000</f>
        <v/>
      </c>
      <c r="Q68" s="81">
        <f>O78/1000</f>
        <v/>
      </c>
      <c r="R68" s="81">
        <f>P78/1000</f>
        <v/>
      </c>
      <c r="S68" s="81">
        <f>Q78/1000</f>
        <v/>
      </c>
      <c r="T68" s="81">
        <f>R78/1000</f>
        <v/>
      </c>
      <c r="U68" s="81">
        <f>S78/1000</f>
        <v/>
      </c>
      <c r="V68" s="81">
        <f>T78/1000</f>
        <v/>
      </c>
      <c r="W68" s="81">
        <f>U78/1000</f>
        <v/>
      </c>
      <c r="X68" s="81">
        <f>V78/1000</f>
        <v/>
      </c>
      <c r="Y68" s="81">
        <f>W78/1000</f>
        <v/>
      </c>
      <c r="Z68" s="81">
        <f>X78/1000</f>
        <v/>
      </c>
      <c r="AA68" s="81">
        <f>Y78/1000</f>
        <v/>
      </c>
      <c r="AB68" s="81">
        <f>Z78/1000</f>
        <v/>
      </c>
      <c r="AC68" s="81">
        <f>AA78/1000</f>
        <v/>
      </c>
      <c r="AD68" s="81">
        <f>AB78/1000</f>
        <v/>
      </c>
      <c r="AE68" s="81">
        <f>AC78/1000</f>
        <v/>
      </c>
      <c r="AF68" s="81">
        <f>AD78/1000</f>
        <v/>
      </c>
      <c r="AG68" s="81">
        <f>AE78/1000</f>
        <v/>
      </c>
      <c r="AH68" s="81">
        <f>AF78/1000</f>
        <v/>
      </c>
      <c r="AI68" s="81">
        <f>AG78/1000</f>
        <v/>
      </c>
      <c r="AJ68" s="81">
        <f>AH78/1000</f>
        <v/>
      </c>
      <c r="AK68" s="81">
        <f>AI78/1000</f>
        <v/>
      </c>
      <c r="AL68" s="81">
        <f>AJ78/1000</f>
        <v/>
      </c>
      <c r="AM68" s="81">
        <f>AK78/1000</f>
        <v/>
      </c>
      <c r="AN68" t="n">
        <v>0</v>
      </c>
      <c r="AO68" s="81">
        <f>E68</f>
        <v/>
      </c>
      <c r="CQ68" s="95" t="n"/>
      <c r="CR68" s="95" t="n"/>
      <c r="CT68" s="95" t="n"/>
      <c r="CU68" s="95" t="n"/>
      <c r="CW68" s="99" t="inlineStr">
        <is>
          <t>FLO_BND</t>
        </is>
      </c>
      <c r="CX68" s="14" t="inlineStr">
        <is>
          <t>UP</t>
        </is>
      </c>
      <c r="CY68" s="94">
        <f>D68</f>
        <v/>
      </c>
      <c r="CZ68" s="94" t="inlineStr">
        <is>
          <t>m_nickel</t>
        </is>
      </c>
      <c r="DA68" s="96" t="n">
        <v>0</v>
      </c>
      <c r="DB68" s="96" t="n">
        <v>1</v>
      </c>
    </row>
    <row r="69" ht="16" customFormat="1" customHeight="1" s="82">
      <c r="A69" s="81" t="inlineStr">
        <is>
          <t>2019, 2024</t>
        </is>
      </c>
      <c r="B69" s="100" t="inlineStr">
        <is>
          <t>FLO_BND</t>
        </is>
      </c>
      <c r="C69" s="82" t="inlineStr">
        <is>
          <t>UP</t>
        </is>
      </c>
      <c r="D69" s="66" t="inlineStr">
        <is>
          <t>MINBatMaterials_COB</t>
        </is>
      </c>
      <c r="E69" s="101" t="inlineStr">
        <is>
          <t>m_cobalt</t>
        </is>
      </c>
      <c r="F69" s="102" t="n">
        <v>0</v>
      </c>
      <c r="G69" s="102">
        <f>E79/10000</f>
        <v/>
      </c>
      <c r="H69" s="102">
        <f>F79/10000</f>
        <v/>
      </c>
      <c r="I69" s="102">
        <f>G79/10000</f>
        <v/>
      </c>
      <c r="J69" s="102">
        <f>H79/10000</f>
        <v/>
      </c>
      <c r="K69" s="102">
        <f>I79/10000</f>
        <v/>
      </c>
      <c r="L69" s="102">
        <f>J79/10000</f>
        <v/>
      </c>
      <c r="M69" s="102">
        <f>K79/10000</f>
        <v/>
      </c>
      <c r="N69" s="102">
        <f>L79/10000</f>
        <v/>
      </c>
      <c r="O69" s="102">
        <f>M79/10000</f>
        <v/>
      </c>
      <c r="P69" s="102">
        <f>N79/10000</f>
        <v/>
      </c>
      <c r="Q69" s="102">
        <f>O79/10000</f>
        <v/>
      </c>
      <c r="R69" s="102">
        <f>P79/10000</f>
        <v/>
      </c>
      <c r="S69" s="102">
        <f>Q79/10000</f>
        <v/>
      </c>
      <c r="T69" s="102">
        <f>R79/10000</f>
        <v/>
      </c>
      <c r="U69" s="102">
        <f>S79/10000</f>
        <v/>
      </c>
      <c r="V69" s="102">
        <f>T79/10000</f>
        <v/>
      </c>
      <c r="W69" s="102">
        <f>U79/10000</f>
        <v/>
      </c>
      <c r="X69" s="102">
        <f>V79/10000</f>
        <v/>
      </c>
      <c r="Y69" s="102">
        <f>W79/10000</f>
        <v/>
      </c>
      <c r="Z69" s="102">
        <f>X79/10000</f>
        <v/>
      </c>
      <c r="AA69" s="102">
        <f>Y79/10000</f>
        <v/>
      </c>
      <c r="AB69" s="102">
        <f>Z79/10000</f>
        <v/>
      </c>
      <c r="AC69" s="102">
        <f>AA79/10000</f>
        <v/>
      </c>
      <c r="AD69" s="102">
        <f>AB79/10000</f>
        <v/>
      </c>
      <c r="AE69" s="102">
        <f>AC79/10000</f>
        <v/>
      </c>
      <c r="AF69" s="102">
        <f>AD79/10000</f>
        <v/>
      </c>
      <c r="AG69" s="102">
        <f>AE79/10000</f>
        <v/>
      </c>
      <c r="AH69" s="102">
        <f>AF79/10000</f>
        <v/>
      </c>
      <c r="AI69" s="102">
        <f>AG79/10000</f>
        <v/>
      </c>
      <c r="AJ69" s="102">
        <f>AH79/10000</f>
        <v/>
      </c>
      <c r="AK69" s="102">
        <f>AI79/10000</f>
        <v/>
      </c>
      <c r="AL69" s="102">
        <f>AJ79/10000</f>
        <v/>
      </c>
      <c r="AM69" s="102">
        <f>AK79/10000</f>
        <v/>
      </c>
      <c r="AN69" t="n">
        <v>0</v>
      </c>
      <c r="AO69" s="81">
        <f>E69</f>
        <v/>
      </c>
      <c r="CQ69" s="103" t="n"/>
      <c r="CR69" s="103" t="n"/>
      <c r="CT69" s="103" t="n"/>
      <c r="CU69" s="103" t="n"/>
      <c r="CW69" s="99" t="inlineStr">
        <is>
          <t>FLO_BND</t>
        </is>
      </c>
      <c r="CX69" s="14" t="inlineStr">
        <is>
          <t>UP</t>
        </is>
      </c>
      <c r="CY69" s="104" t="inlineStr">
        <is>
          <t>MINBatMaterials_COB_direct</t>
        </is>
      </c>
      <c r="CZ69" s="94" t="inlineStr">
        <is>
          <t>m_cobalt</t>
        </is>
      </c>
      <c r="DA69" s="96" t="n">
        <v>0</v>
      </c>
      <c r="DB69" s="96" t="n">
        <v>1</v>
      </c>
    </row>
    <row r="70" ht="16" customFormat="1" customHeight="1" s="81">
      <c r="A70" s="81" t="inlineStr">
        <is>
          <t>2019, 2024</t>
        </is>
      </c>
      <c r="B70" s="97" t="inlineStr">
        <is>
          <t>FLO_BND</t>
        </is>
      </c>
      <c r="C70" s="84" t="inlineStr">
        <is>
          <t>UP</t>
        </is>
      </c>
      <c r="D70" s="66" t="inlineStr">
        <is>
          <t>MINBatMaterials_MN</t>
        </is>
      </c>
      <c r="E70" s="105" t="inlineStr">
        <is>
          <t>m_manganese</t>
        </is>
      </c>
      <c r="F70" s="106">
        <f>D80/1000</f>
        <v/>
      </c>
      <c r="G70" s="106">
        <f>E80/1000</f>
        <v/>
      </c>
      <c r="H70" s="106">
        <f>F80/1000</f>
        <v/>
      </c>
      <c r="I70" s="106">
        <f>G80/1000</f>
        <v/>
      </c>
      <c r="J70" s="106">
        <f>H80/1000</f>
        <v/>
      </c>
      <c r="K70" s="106">
        <f>I80/1000</f>
        <v/>
      </c>
      <c r="L70" s="106">
        <f>J80/1000</f>
        <v/>
      </c>
      <c r="M70" s="106">
        <f>K80/1000</f>
        <v/>
      </c>
      <c r="N70" s="106">
        <f>L80/1000</f>
        <v/>
      </c>
      <c r="O70" s="106">
        <f>M80/1000</f>
        <v/>
      </c>
      <c r="P70" s="106">
        <f>N80/1000</f>
        <v/>
      </c>
      <c r="Q70" s="106">
        <f>O80/1000</f>
        <v/>
      </c>
      <c r="R70" s="106">
        <f>P80/1000</f>
        <v/>
      </c>
      <c r="S70" s="106">
        <f>Q80/1000</f>
        <v/>
      </c>
      <c r="T70" s="106">
        <f>R80/1000</f>
        <v/>
      </c>
      <c r="U70" s="106">
        <f>S80/1000</f>
        <v/>
      </c>
      <c r="V70" s="106">
        <f>T80/1000</f>
        <v/>
      </c>
      <c r="W70" s="106">
        <f>U80/1000</f>
        <v/>
      </c>
      <c r="X70" s="106">
        <f>V80/1000</f>
        <v/>
      </c>
      <c r="Y70" s="106">
        <f>W80/1000</f>
        <v/>
      </c>
      <c r="Z70" s="106">
        <f>X80/1000</f>
        <v/>
      </c>
      <c r="AA70" s="107" t="n">
        <v>100</v>
      </c>
      <c r="AB70" s="81">
        <f>Z80/1000</f>
        <v/>
      </c>
      <c r="AC70" s="81">
        <f>AA80/1000</f>
        <v/>
      </c>
      <c r="AD70" s="81">
        <f>AB80/1000</f>
        <v/>
      </c>
      <c r="AE70" s="81">
        <f>AC80/1000</f>
        <v/>
      </c>
      <c r="AF70" s="81">
        <f>AD80/1000</f>
        <v/>
      </c>
      <c r="AG70" s="84">
        <f>AE80/1000</f>
        <v/>
      </c>
      <c r="AH70" s="81">
        <f>AF80/1000</f>
        <v/>
      </c>
      <c r="AI70" s="81">
        <f>AG80/1000</f>
        <v/>
      </c>
      <c r="AJ70" s="81">
        <f>AH80/1000</f>
        <v/>
      </c>
      <c r="AK70" s="81">
        <f>AI80/1000</f>
        <v/>
      </c>
      <c r="AL70" s="81">
        <f>AJ80/1000</f>
        <v/>
      </c>
      <c r="AM70" s="81">
        <f>AK80/1000</f>
        <v/>
      </c>
      <c r="AN70" t="n">
        <v>0</v>
      </c>
      <c r="AO70" s="81">
        <f>E70</f>
        <v/>
      </c>
      <c r="CQ70" s="95" t="n"/>
      <c r="CR70" s="95" t="n"/>
      <c r="CT70" s="95" t="n"/>
      <c r="CU70" s="95" t="n"/>
      <c r="CW70" s="99" t="inlineStr">
        <is>
          <t>FLO_BND</t>
        </is>
      </c>
      <c r="CX70" s="14" t="inlineStr">
        <is>
          <t>UP</t>
        </is>
      </c>
      <c r="CY70" s="94">
        <f>D70</f>
        <v/>
      </c>
      <c r="CZ70" s="108" t="inlineStr">
        <is>
          <t>m_manganese</t>
        </is>
      </c>
      <c r="DA70" s="96" t="n">
        <v>0</v>
      </c>
      <c r="DB70" s="96" t="n">
        <v>1</v>
      </c>
    </row>
    <row r="71" ht="16" customFormat="1" customHeight="1" s="83">
      <c r="A71" s="83" t="inlineStr">
        <is>
          <t>2019, 2024</t>
        </is>
      </c>
      <c r="B71" s="109" t="inlineStr">
        <is>
          <t>FLO_BND</t>
        </is>
      </c>
      <c r="C71" s="83" t="inlineStr">
        <is>
          <t>UP</t>
        </is>
      </c>
      <c r="D71" s="110" t="inlineStr">
        <is>
          <t>MINBatMaterials_AL</t>
        </is>
      </c>
      <c r="E71" s="111" t="inlineStr">
        <is>
          <t>m_aluminum</t>
        </is>
      </c>
      <c r="F71" s="83">
        <f>D81/1000</f>
        <v/>
      </c>
      <c r="G71" s="83">
        <f>E81/1000</f>
        <v/>
      </c>
      <c r="H71" s="83">
        <f>F81/1000</f>
        <v/>
      </c>
      <c r="I71" s="83">
        <f>G81/1000</f>
        <v/>
      </c>
      <c r="J71" s="83">
        <f>H81/1000</f>
        <v/>
      </c>
      <c r="K71" s="83">
        <f>I81/1000</f>
        <v/>
      </c>
      <c r="L71" s="83">
        <f>J81/1000</f>
        <v/>
      </c>
      <c r="M71" s="112" t="n">
        <v>41500</v>
      </c>
      <c r="N71" s="83">
        <f>L81/1000</f>
        <v/>
      </c>
      <c r="O71" s="83">
        <f>M81/1000</f>
        <v/>
      </c>
      <c r="P71" s="83">
        <f>N81/1000</f>
        <v/>
      </c>
      <c r="Q71" s="83">
        <f>O81/1000</f>
        <v/>
      </c>
      <c r="R71" s="83">
        <f>P81/1000</f>
        <v/>
      </c>
      <c r="S71" s="83">
        <f>Q81/1000</f>
        <v/>
      </c>
      <c r="T71" s="83">
        <f>R81/1000</f>
        <v/>
      </c>
      <c r="U71" s="83">
        <f>S81/1000</f>
        <v/>
      </c>
      <c r="V71" s="83">
        <f>T81/1000</f>
        <v/>
      </c>
      <c r="W71" s="83">
        <f>U81/1000</f>
        <v/>
      </c>
      <c r="X71" s="83">
        <f>V81/1000</f>
        <v/>
      </c>
      <c r="Y71" s="83">
        <f>W81/1000</f>
        <v/>
      </c>
      <c r="Z71" s="83">
        <f>X81/1000</f>
        <v/>
      </c>
      <c r="AA71" s="112" t="n">
        <v>3650</v>
      </c>
      <c r="AB71" s="83">
        <f>Z81/1000</f>
        <v/>
      </c>
      <c r="AC71" s="83">
        <f>AA81/1000</f>
        <v/>
      </c>
      <c r="AD71" s="83">
        <f>AB81/1000</f>
        <v/>
      </c>
      <c r="AE71" s="83">
        <f>AC81/1000</f>
        <v/>
      </c>
      <c r="AF71" s="83">
        <f>AD81/1000</f>
        <v/>
      </c>
      <c r="AG71" s="83">
        <f>AE81/1000</f>
        <v/>
      </c>
      <c r="AH71" s="83">
        <f>AF81/1000</f>
        <v/>
      </c>
      <c r="AI71" s="83">
        <f>AG81/1000</f>
        <v/>
      </c>
      <c r="AJ71" s="83">
        <f>AH81/1000</f>
        <v/>
      </c>
      <c r="AK71" s="83">
        <f>AI81/1000</f>
        <v/>
      </c>
      <c r="AL71" s="83">
        <f>AJ81/1000</f>
        <v/>
      </c>
      <c r="AM71" s="83">
        <f>AK81/1000</f>
        <v/>
      </c>
      <c r="AN71" t="n">
        <v>0</v>
      </c>
      <c r="AO71" s="83">
        <f>E71</f>
        <v/>
      </c>
      <c r="CQ71" s="113" t="n"/>
      <c r="CR71" s="113" t="n"/>
      <c r="CT71" s="113" t="n"/>
      <c r="CU71" s="113" t="n"/>
      <c r="CW71" s="99" t="inlineStr">
        <is>
          <t>FLO_BND</t>
        </is>
      </c>
      <c r="CX71" s="14" t="inlineStr">
        <is>
          <t>UP</t>
        </is>
      </c>
      <c r="CY71" s="94">
        <f>D71</f>
        <v/>
      </c>
      <c r="CZ71" s="94" t="inlineStr">
        <is>
          <t>m_aluminum</t>
        </is>
      </c>
      <c r="DA71" s="96" t="n">
        <v>0</v>
      </c>
      <c r="DB71" s="96" t="n">
        <v>1</v>
      </c>
    </row>
    <row r="72" ht="16" customFormat="1" customHeight="1" s="81">
      <c r="A72" s="81" t="inlineStr">
        <is>
          <t>2019, 2024</t>
        </is>
      </c>
      <c r="B72" s="97" t="inlineStr">
        <is>
          <t>FLO_BND</t>
        </is>
      </c>
      <c r="C72" s="84" t="inlineStr">
        <is>
          <t>UP</t>
        </is>
      </c>
      <c r="D72" s="66" t="inlineStr">
        <is>
          <t>MINBatMaterials_COP</t>
        </is>
      </c>
      <c r="E72" s="92" t="inlineStr">
        <is>
          <t>m_copper</t>
        </is>
      </c>
      <c r="F72" s="81">
        <f>D82/1000</f>
        <v/>
      </c>
      <c r="G72" s="81">
        <f>E82/1000</f>
        <v/>
      </c>
      <c r="H72" s="81">
        <f>F82/1000</f>
        <v/>
      </c>
      <c r="I72" s="81">
        <f>G82/1000</f>
        <v/>
      </c>
      <c r="J72" s="81">
        <f>H82/1000</f>
        <v/>
      </c>
      <c r="K72" s="81">
        <f>I82/1000</f>
        <v/>
      </c>
      <c r="L72" s="81">
        <f>J82/1000</f>
        <v/>
      </c>
      <c r="M72" s="81">
        <f>K82/1000</f>
        <v/>
      </c>
      <c r="N72" s="81">
        <f>L82/1000</f>
        <v/>
      </c>
      <c r="O72" s="81">
        <f>M82/1000</f>
        <v/>
      </c>
      <c r="P72" s="81">
        <f>N82/1000</f>
        <v/>
      </c>
      <c r="Q72" s="81">
        <f>O82/1000</f>
        <v/>
      </c>
      <c r="R72" s="81">
        <f>P82/1000</f>
        <v/>
      </c>
      <c r="S72" s="81">
        <f>Q82/1000</f>
        <v/>
      </c>
      <c r="T72" s="81">
        <f>R82/1000</f>
        <v/>
      </c>
      <c r="U72" s="81">
        <f>S82/1000</f>
        <v/>
      </c>
      <c r="V72" s="81">
        <f>T82/1000</f>
        <v/>
      </c>
      <c r="W72" s="81">
        <f>U82/1000</f>
        <v/>
      </c>
      <c r="X72" s="81">
        <f>V82/1000</f>
        <v/>
      </c>
      <c r="Y72" s="81">
        <f>W82/1000</f>
        <v/>
      </c>
      <c r="Z72" s="81">
        <f>X82/1000</f>
        <v/>
      </c>
      <c r="AA72" s="81">
        <f>Y82/1000</f>
        <v/>
      </c>
      <c r="AB72" s="81">
        <f>Z82/1000</f>
        <v/>
      </c>
      <c r="AC72" s="81">
        <f>AA82/1000</f>
        <v/>
      </c>
      <c r="AD72" s="81">
        <f>AB82/1000</f>
        <v/>
      </c>
      <c r="AE72" s="81">
        <f>AC82/1000</f>
        <v/>
      </c>
      <c r="AF72" s="81">
        <f>AD82/1000</f>
        <v/>
      </c>
      <c r="AG72" s="81">
        <f>AE82/1000</f>
        <v/>
      </c>
      <c r="AH72" s="81">
        <f>AF82/1000</f>
        <v/>
      </c>
      <c r="AI72" s="81">
        <f>AG82/1000</f>
        <v/>
      </c>
      <c r="AJ72" s="81">
        <f>AH82/1000</f>
        <v/>
      </c>
      <c r="AK72" s="81">
        <f>AI82/1000</f>
        <v/>
      </c>
      <c r="AL72" s="81">
        <f>AJ82/1000</f>
        <v/>
      </c>
      <c r="AM72" s="81">
        <f>AK82/1000</f>
        <v/>
      </c>
      <c r="AN72" t="n">
        <v>0</v>
      </c>
      <c r="AO72" s="81">
        <f>E72</f>
        <v/>
      </c>
      <c r="CQ72" s="95" t="n"/>
      <c r="CR72" s="95" t="n"/>
      <c r="CT72" s="95" t="n"/>
      <c r="CU72" s="95" t="n"/>
      <c r="CW72" s="99" t="inlineStr">
        <is>
          <t>FLO_BND</t>
        </is>
      </c>
      <c r="CX72" s="14" t="inlineStr">
        <is>
          <t>UP</t>
        </is>
      </c>
      <c r="CY72" s="94">
        <f>D72</f>
        <v/>
      </c>
      <c r="CZ72" s="94" t="inlineStr">
        <is>
          <t>m_copper</t>
        </is>
      </c>
      <c r="DA72" s="96" t="n">
        <v>0</v>
      </c>
      <c r="DB72" s="96" t="n">
        <v>1</v>
      </c>
    </row>
    <row r="73" ht="16" customFormat="1" customHeight="1" s="80">
      <c r="A73" s="81" t="inlineStr">
        <is>
          <t>2019, 2024</t>
        </is>
      </c>
      <c r="B73" s="97" t="inlineStr">
        <is>
          <t>FLO_BND</t>
        </is>
      </c>
      <c r="C73" s="84" t="inlineStr">
        <is>
          <t>UP</t>
        </is>
      </c>
      <c r="D73" s="66" t="inlineStr">
        <is>
          <t>MINBatMaterials_GR</t>
        </is>
      </c>
      <c r="E73" s="92" t="inlineStr">
        <is>
          <t>m_graphite</t>
        </is>
      </c>
      <c r="F73" s="81">
        <f>D83/1000</f>
        <v/>
      </c>
      <c r="G73" s="81">
        <f>E83/1000</f>
        <v/>
      </c>
      <c r="H73" s="81">
        <f>F83/1000</f>
        <v/>
      </c>
      <c r="I73" s="81">
        <f>G83/1000</f>
        <v/>
      </c>
      <c r="J73" s="81">
        <f>H83/1000</f>
        <v/>
      </c>
      <c r="K73" s="81">
        <f>I83/1000</f>
        <v/>
      </c>
      <c r="L73" s="81">
        <f>J83/1000</f>
        <v/>
      </c>
      <c r="M73" s="81">
        <f>K83/1000</f>
        <v/>
      </c>
      <c r="N73" s="81">
        <f>L83/1000</f>
        <v/>
      </c>
      <c r="O73" s="81">
        <f>M83/1000</f>
        <v/>
      </c>
      <c r="P73" s="81">
        <f>N83/1000</f>
        <v/>
      </c>
      <c r="Q73" s="81">
        <f>O83/1000</f>
        <v/>
      </c>
      <c r="R73" s="81">
        <f>P83/1000</f>
        <v/>
      </c>
      <c r="S73" s="81">
        <f>Q83/1000</f>
        <v/>
      </c>
      <c r="T73" s="81">
        <f>R83/1000</f>
        <v/>
      </c>
      <c r="U73" s="81">
        <f>S83/1000</f>
        <v/>
      </c>
      <c r="V73" s="81">
        <f>T83/1000</f>
        <v/>
      </c>
      <c r="W73" s="81">
        <f>U83/1000</f>
        <v/>
      </c>
      <c r="X73" s="81">
        <f>V83/1000</f>
        <v/>
      </c>
      <c r="Y73" s="81">
        <f>W83/1000</f>
        <v/>
      </c>
      <c r="Z73" s="81">
        <f>X83/1000</f>
        <v/>
      </c>
      <c r="AA73" s="81">
        <f>Y83/1000</f>
        <v/>
      </c>
      <c r="AB73" s="81">
        <f>Z83/1000</f>
        <v/>
      </c>
      <c r="AC73" s="81">
        <f>AA83/1000</f>
        <v/>
      </c>
      <c r="AD73" s="81">
        <f>AB83/1000</f>
        <v/>
      </c>
      <c r="AE73" s="81">
        <f>AC83/1000</f>
        <v/>
      </c>
      <c r="AF73" s="81">
        <f>AD83/1000</f>
        <v/>
      </c>
      <c r="AG73" s="81">
        <f>AE83/1000</f>
        <v/>
      </c>
      <c r="AH73" s="81">
        <f>AF83/1000</f>
        <v/>
      </c>
      <c r="AI73" s="81">
        <f>AG83/1000</f>
        <v/>
      </c>
      <c r="AJ73" s="81">
        <f>AH83/1000</f>
        <v/>
      </c>
      <c r="AK73" s="81">
        <f>AI83/1000</f>
        <v/>
      </c>
      <c r="AL73" s="81">
        <f>AJ83/1000</f>
        <v/>
      </c>
      <c r="AM73" s="81">
        <f>AK83/1000</f>
        <v/>
      </c>
      <c r="AN73" t="n">
        <v>0</v>
      </c>
      <c r="AO73" s="81">
        <f>E73</f>
        <v/>
      </c>
      <c r="AY73" s="81" t="n"/>
      <c r="BB73" s="81" t="n"/>
      <c r="CQ73" s="93" t="n"/>
      <c r="CR73" s="95" t="n"/>
      <c r="CT73" s="93" t="n"/>
      <c r="CU73" s="93" t="n"/>
      <c r="CW73" s="99" t="inlineStr">
        <is>
          <t>FLO_BND</t>
        </is>
      </c>
      <c r="CX73" s="14" t="inlineStr">
        <is>
          <t>UP</t>
        </is>
      </c>
      <c r="CY73" s="94">
        <f>D73</f>
        <v/>
      </c>
      <c r="CZ73" s="94" t="inlineStr">
        <is>
          <t>m_graphite</t>
        </is>
      </c>
      <c r="DA73" s="96" t="n">
        <v>0</v>
      </c>
      <c r="DB73" s="96" t="n">
        <v>1</v>
      </c>
    </row>
    <row r="74" ht="12.5" customFormat="1" customHeight="1" s="141"/>
    <row r="75" ht="12.5" customFormat="1" customHeight="1" s="141">
      <c r="E75" s="141" t="inlineStr">
        <is>
          <t>ktonne</t>
        </is>
      </c>
    </row>
    <row r="76" ht="12.5" customFormat="1" customHeight="1" s="141"/>
    <row r="77" ht="12.5" customFormat="1" customHeight="1" s="141">
      <c r="B77" t="inlineStr">
        <is>
          <t>*According to BloomBerg that ~2.5times more demand in 2024 vs. 2017 [means that 2.5 times higher demand every seven years] [https://about.bnef.com/blog/lithium-ion-battery-pack-prices-see-largest-drop-since-2017-falling-to-115-per-kilowatt-hour-bloombergnef/]; and a 18% learning rate also from Bloomberg</t>
        </is>
      </c>
      <c r="D77" s="114" t="n">
        <v>0</v>
      </c>
      <c r="E77" s="114" t="n">
        <v>310000</v>
      </c>
      <c r="F77" s="114" t="n">
        <v>6200000</v>
      </c>
      <c r="G77" s="114" t="n">
        <v>0</v>
      </c>
      <c r="H77" s="114" t="n"/>
      <c r="I77" s="114" t="n"/>
      <c r="J77" s="114" t="n">
        <v>250000</v>
      </c>
      <c r="K77" s="114" t="n">
        <v>2000000</v>
      </c>
      <c r="L77" s="114" t="n"/>
      <c r="M77" s="114" t="n">
        <v>0</v>
      </c>
      <c r="N77" s="114" t="n">
        <v>0</v>
      </c>
      <c r="O77" s="114" t="n">
        <v>0</v>
      </c>
      <c r="P77" s="114" t="n">
        <v>0</v>
      </c>
      <c r="Q77" s="114" t="n"/>
      <c r="R77" s="114" t="n"/>
      <c r="S77" s="114" t="n">
        <v>0</v>
      </c>
      <c r="T77" s="114" t="n"/>
      <c r="U77" s="114" t="n"/>
      <c r="V77" s="114" t="n">
        <v>0</v>
      </c>
      <c r="W77" s="114" t="n">
        <v>12250000</v>
      </c>
      <c r="X77" s="114" t="n">
        <v>0</v>
      </c>
      <c r="Y77" s="114" t="n">
        <v>1930000</v>
      </c>
      <c r="Z77" s="114" t="n">
        <v>0</v>
      </c>
      <c r="AA77" s="114" t="n">
        <v>0</v>
      </c>
      <c r="AB77" s="114" t="n">
        <v>3300000</v>
      </c>
      <c r="AC77" s="114" t="n">
        <v>0</v>
      </c>
      <c r="AD77" s="114" t="n">
        <v>0</v>
      </c>
      <c r="AE77" s="114" t="n">
        <v>0</v>
      </c>
      <c r="AF77" s="114" t="n">
        <v>60000</v>
      </c>
      <c r="AG77" s="114" t="n">
        <v>0</v>
      </c>
      <c r="AH77" s="114" t="n"/>
      <c r="AI77" s="114" t="n">
        <v>0</v>
      </c>
      <c r="AJ77" s="114" t="n">
        <v>0</v>
      </c>
      <c r="AK77" s="114" t="n">
        <v>0</v>
      </c>
    </row>
    <row r="78" ht="12.5" customFormat="1" customHeight="1" s="141">
      <c r="D78" s="114" t="n">
        <v>0</v>
      </c>
      <c r="E78" s="114" t="n">
        <v>0</v>
      </c>
      <c r="F78" s="114" t="n">
        <v>21000000</v>
      </c>
      <c r="G78" s="114" t="n">
        <v>0</v>
      </c>
      <c r="H78" s="114" t="n"/>
      <c r="I78" s="114" t="n"/>
      <c r="J78" s="114" t="n">
        <v>16000000</v>
      </c>
      <c r="K78" s="114" t="n">
        <v>2100000</v>
      </c>
      <c r="L78" s="114" t="n"/>
      <c r="M78" s="114" t="n">
        <v>0</v>
      </c>
      <c r="N78" s="114" t="n">
        <v>0</v>
      </c>
      <c r="O78" s="114" t="n">
        <v>0</v>
      </c>
      <c r="P78" s="114" t="n">
        <v>0</v>
      </c>
      <c r="Q78" s="114" t="n"/>
      <c r="R78" s="114" t="n"/>
      <c r="S78" s="114" t="n">
        <v>0</v>
      </c>
      <c r="T78" s="114" t="n"/>
      <c r="U78" s="114" t="n"/>
      <c r="V78" s="114" t="n">
        <v>0</v>
      </c>
      <c r="W78" s="114" t="n">
        <v>16000000</v>
      </c>
      <c r="X78" s="114" t="n">
        <v>0</v>
      </c>
      <c r="Y78" s="114" t="n">
        <v>2570000</v>
      </c>
      <c r="Z78" s="114" t="n">
        <v>0</v>
      </c>
      <c r="AA78" s="114" t="n">
        <v>0</v>
      </c>
      <c r="AB78" s="114" t="n">
        <v>52900000</v>
      </c>
      <c r="AC78" s="114" t="n">
        <v>7500000</v>
      </c>
      <c r="AD78" s="114" t="n">
        <v>0</v>
      </c>
      <c r="AE78" s="114" t="n">
        <v>0</v>
      </c>
      <c r="AF78" s="114" t="n">
        <v>0</v>
      </c>
      <c r="AG78" s="114" t="n">
        <v>0</v>
      </c>
      <c r="AH78" s="114" t="n"/>
      <c r="AI78" s="114" t="n">
        <v>0</v>
      </c>
      <c r="AJ78" s="114" t="n">
        <v>0</v>
      </c>
      <c r="AK78" s="114" t="n">
        <v>0</v>
      </c>
    </row>
    <row r="79" ht="12.5" customFormat="1" customHeight="1" s="141">
      <c r="D79" s="114" t="n">
        <v>13000</v>
      </c>
      <c r="E79" s="114" t="n">
        <v>4100000</v>
      </c>
      <c r="F79" s="114" t="n">
        <v>1500000</v>
      </c>
      <c r="G79" s="114" t="n">
        <v>0</v>
      </c>
      <c r="H79" s="114" t="n"/>
      <c r="I79" s="114" t="n"/>
      <c r="J79" s="114" t="n">
        <v>0</v>
      </c>
      <c r="K79" s="114" t="n">
        <v>140000</v>
      </c>
      <c r="L79" s="114" t="n"/>
      <c r="M79" s="114" t="n">
        <v>0</v>
      </c>
      <c r="N79" s="114" t="n">
        <v>0</v>
      </c>
      <c r="O79" s="114" t="n">
        <v>0</v>
      </c>
      <c r="P79" s="114" t="n">
        <v>0</v>
      </c>
      <c r="Q79" s="114" t="n"/>
      <c r="R79" s="114" t="n"/>
      <c r="S79" s="114" t="n">
        <v>0</v>
      </c>
      <c r="T79" s="114" t="n"/>
      <c r="U79" s="114" t="n"/>
      <c r="V79" s="114" t="n">
        <v>0</v>
      </c>
      <c r="W79" s="114" t="n">
        <v>500000</v>
      </c>
      <c r="X79" s="114" t="n">
        <v>36000</v>
      </c>
      <c r="Y79" s="114" t="n">
        <v>289000</v>
      </c>
      <c r="Z79" s="114" t="n">
        <v>0</v>
      </c>
      <c r="AA79" s="114" t="n">
        <v>0</v>
      </c>
      <c r="AB79" s="114" t="n">
        <v>1517000</v>
      </c>
      <c r="AC79" s="114" t="n">
        <v>250000</v>
      </c>
      <c r="AD79" s="114" t="n">
        <v>0</v>
      </c>
      <c r="AE79" s="114" t="n">
        <v>0</v>
      </c>
      <c r="AF79" s="114" t="n">
        <v>0</v>
      </c>
      <c r="AG79" s="114" t="n">
        <v>0</v>
      </c>
      <c r="AH79" s="114" t="n"/>
      <c r="AI79" s="114" t="n">
        <v>36000</v>
      </c>
      <c r="AJ79" s="114" t="n">
        <v>0</v>
      </c>
      <c r="AK79" s="114" t="n">
        <v>0</v>
      </c>
    </row>
    <row r="80" ht="12.5" customFormat="1" customHeight="1" s="141">
      <c r="D80" s="114" t="n">
        <v>0</v>
      </c>
      <c r="E80" s="114" t="n">
        <v>74000000</v>
      </c>
      <c r="F80" s="114" t="n">
        <v>270000000</v>
      </c>
      <c r="G80" s="114" t="n">
        <v>0</v>
      </c>
      <c r="H80" s="114" t="n"/>
      <c r="I80" s="114" t="n"/>
      <c r="J80" s="114" t="n">
        <v>270000000</v>
      </c>
      <c r="K80" s="114" t="n">
        <v>280000000</v>
      </c>
      <c r="L80" s="114" t="n"/>
      <c r="M80" s="114" t="n">
        <v>0</v>
      </c>
      <c r="N80" s="114" t="n">
        <v>0</v>
      </c>
      <c r="O80" s="114" t="n">
        <v>0</v>
      </c>
      <c r="P80" s="114" t="n">
        <v>0</v>
      </c>
      <c r="Q80" s="114" t="n"/>
      <c r="R80" s="114" t="n"/>
      <c r="S80" s="114" t="n">
        <v>34000000</v>
      </c>
      <c r="T80" s="114" t="n"/>
      <c r="U80" s="114" t="n"/>
      <c r="V80" s="114" t="n">
        <v>0</v>
      </c>
      <c r="W80" s="114" t="n">
        <v>275000000</v>
      </c>
      <c r="X80" s="114" t="n">
        <v>0</v>
      </c>
      <c r="Y80" s="114" t="n">
        <v>0</v>
      </c>
      <c r="Z80" s="114" t="n">
        <v>0</v>
      </c>
      <c r="AA80" s="114" t="n">
        <v>0</v>
      </c>
      <c r="AB80" s="114" t="n">
        <v>5000000</v>
      </c>
      <c r="AC80" s="114" t="n">
        <v>0</v>
      </c>
      <c r="AD80" s="114" t="n">
        <v>0</v>
      </c>
      <c r="AE80" s="114" t="n">
        <v>640000000</v>
      </c>
      <c r="AF80" s="114" t="n">
        <v>0</v>
      </c>
      <c r="AG80" s="114" t="n">
        <v>0</v>
      </c>
      <c r="AH80" s="114" t="n"/>
      <c r="AI80" s="114" t="n">
        <v>0</v>
      </c>
      <c r="AJ80" s="114" t="n">
        <v>0</v>
      </c>
      <c r="AK80" s="114" t="n">
        <v>140000000</v>
      </c>
    </row>
    <row r="81" ht="12.5" customFormat="1" customHeight="1" s="141">
      <c r="D81" s="114" t="n"/>
      <c r="E81" s="114" t="n"/>
      <c r="F81" s="114" t="n"/>
      <c r="G81" s="114" t="n"/>
      <c r="H81" s="114" t="n"/>
      <c r="I81" s="114" t="n"/>
      <c r="J81" s="114" t="n"/>
      <c r="K81" s="114" t="n"/>
      <c r="L81" s="114" t="n"/>
      <c r="M81" s="114" t="n"/>
      <c r="N81" s="114" t="n"/>
      <c r="O81" s="114" t="n"/>
      <c r="P81" s="114" t="n"/>
      <c r="Q81" s="114" t="n"/>
      <c r="R81" s="114" t="n"/>
      <c r="S81" s="114" t="n"/>
      <c r="T81" s="114" t="n"/>
      <c r="U81" s="114" t="n"/>
      <c r="V81" s="114" t="n"/>
      <c r="W81" s="114" t="n"/>
      <c r="X81" s="114" t="n"/>
      <c r="Y81" s="114" t="n">
        <v>0</v>
      </c>
      <c r="Z81" s="114" t="n"/>
      <c r="AA81" s="114" t="n"/>
      <c r="AB81" s="114" t="n"/>
      <c r="AC81" s="114" t="n"/>
      <c r="AD81" s="114" t="n"/>
      <c r="AE81" s="114" t="n"/>
      <c r="AF81" s="114" t="n"/>
      <c r="AG81" s="114" t="n"/>
      <c r="AH81" s="114" t="n"/>
      <c r="AI81" s="114" t="n"/>
      <c r="AJ81" s="114" t="n"/>
      <c r="AK81" s="114" t="n"/>
    </row>
    <row r="82" ht="12.5" customFormat="1" customHeight="1" s="141">
      <c r="D82" s="114" t="n">
        <v>0</v>
      </c>
      <c r="E82" s="114" t="n">
        <v>50000000</v>
      </c>
      <c r="F82" s="114" t="n">
        <v>97000000</v>
      </c>
      <c r="G82" s="114" t="n">
        <v>0</v>
      </c>
      <c r="H82" s="114" t="n"/>
      <c r="I82" s="114" t="n"/>
      <c r="J82" s="114" t="n">
        <v>0</v>
      </c>
      <c r="K82" s="114" t="n">
        <v>27000000</v>
      </c>
      <c r="L82" s="114" t="n"/>
      <c r="M82" s="114" t="n">
        <v>0</v>
      </c>
      <c r="N82" s="114" t="n">
        <v>0</v>
      </c>
      <c r="O82" s="114" t="n">
        <v>0</v>
      </c>
      <c r="P82" s="114" t="n">
        <v>0</v>
      </c>
      <c r="Q82" s="114" t="n"/>
      <c r="R82" s="114" t="n"/>
      <c r="S82" s="114" t="n">
        <v>0</v>
      </c>
      <c r="T82" s="114" t="n"/>
      <c r="U82" s="114" t="n"/>
      <c r="V82" s="114" t="n">
        <v>0</v>
      </c>
      <c r="W82" s="114" t="n">
        <v>324000000</v>
      </c>
      <c r="X82" s="114" t="n">
        <v>0</v>
      </c>
      <c r="Y82" s="114" t="n">
        <v>51600000</v>
      </c>
      <c r="Z82" s="114" t="n">
        <v>0</v>
      </c>
      <c r="AA82" s="114" t="n">
        <v>30000000</v>
      </c>
      <c r="AB82" s="114" t="n">
        <v>244000000</v>
      </c>
      <c r="AC82" s="114" t="n">
        <v>62000000</v>
      </c>
      <c r="AD82" s="114" t="n">
        <v>0</v>
      </c>
      <c r="AE82" s="114" t="n">
        <v>0</v>
      </c>
      <c r="AF82" s="114" t="n">
        <v>0</v>
      </c>
      <c r="AG82" s="114" t="n">
        <v>0</v>
      </c>
      <c r="AH82" s="114" t="n"/>
      <c r="AI82" s="114" t="n">
        <v>0</v>
      </c>
      <c r="AJ82" s="114" t="n">
        <v>0</v>
      </c>
      <c r="AK82" s="114" t="n">
        <v>0</v>
      </c>
    </row>
    <row r="83" ht="12.5" customFormat="1" customHeight="1" s="141">
      <c r="D83" s="114" t="n">
        <v>0</v>
      </c>
      <c r="E83" s="114" t="n">
        <v>69000000</v>
      </c>
      <c r="F83" s="114" t="n">
        <v>0</v>
      </c>
      <c r="G83" s="114" t="n">
        <v>0</v>
      </c>
      <c r="H83" s="114" t="n"/>
      <c r="I83" s="114" t="n"/>
      <c r="J83" s="114" t="n">
        <v>74000000</v>
      </c>
      <c r="K83" s="114" t="n">
        <v>52000000</v>
      </c>
      <c r="L83" s="114" t="n"/>
      <c r="M83" s="114" t="n">
        <v>0</v>
      </c>
      <c r="N83" s="114" t="n">
        <v>0</v>
      </c>
      <c r="O83" s="114" t="n">
        <v>0</v>
      </c>
      <c r="P83" s="114" t="n">
        <v>0</v>
      </c>
      <c r="Q83" s="114" t="n"/>
      <c r="R83" s="114" t="n"/>
      <c r="S83" s="114" t="n">
        <v>8000000</v>
      </c>
      <c r="T83" s="114" t="n"/>
      <c r="U83" s="114" t="n"/>
      <c r="V83" s="114" t="n">
        <v>0</v>
      </c>
      <c r="W83" s="114" t="n">
        <v>77100000</v>
      </c>
      <c r="X83" s="114" t="n">
        <v>90000000</v>
      </c>
      <c r="Y83" s="114" t="n">
        <v>5700000</v>
      </c>
      <c r="Z83" s="114" t="n">
        <v>600000</v>
      </c>
      <c r="AA83" s="114" t="n">
        <v>0</v>
      </c>
      <c r="AB83" s="114" t="n">
        <v>12900000</v>
      </c>
      <c r="AC83" s="114" t="n">
        <v>14000000</v>
      </c>
      <c r="AD83" s="114" t="n">
        <v>0</v>
      </c>
      <c r="AE83" s="114" t="n">
        <v>0</v>
      </c>
      <c r="AF83" s="114" t="n">
        <v>0</v>
      </c>
      <c r="AG83" s="114" t="n">
        <v>0</v>
      </c>
      <c r="AH83" s="114" t="n"/>
      <c r="AI83" s="114" t="n">
        <v>90000000</v>
      </c>
      <c r="AJ83" s="114" t="n">
        <v>0</v>
      </c>
      <c r="AK83" s="114" t="n">
        <v>0</v>
      </c>
    </row>
    <row r="84" ht="12.5" customFormat="1" customHeight="1" s="141"/>
    <row r="85" ht="12.5" customHeight="1" s="213">
      <c r="A85" s="14" t="n"/>
      <c r="B85" s="14" t="inlineStr">
        <is>
          <t>~TFM_INS</t>
        </is>
      </c>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W85" t="inlineStr">
        <is>
          <t>*From USGS, 2024 annual mining</t>
        </is>
      </c>
    </row>
    <row r="86" ht="12.5" customHeight="1" s="2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row>
    <row r="87" ht="12.5" customHeight="1" s="213">
      <c r="A87" s="14" t="inlineStr">
        <is>
          <t>year</t>
        </is>
      </c>
      <c r="B87" s="14" t="inlineStr">
        <is>
          <t>attribute</t>
        </is>
      </c>
      <c r="C87" s="14" t="inlineStr">
        <is>
          <t>limtype</t>
        </is>
      </c>
      <c r="D87" s="14" t="inlineStr">
        <is>
          <t>process</t>
        </is>
      </c>
      <c r="E87" s="14" t="inlineStr">
        <is>
          <t>cset_cn</t>
        </is>
      </c>
      <c r="F87" s="14" t="inlineStr">
        <is>
          <t>Africa_North</t>
        </is>
      </c>
      <c r="G87" s="14" t="inlineStr">
        <is>
          <t>Africa_Other</t>
        </is>
      </c>
      <c r="H87" s="14" t="inlineStr">
        <is>
          <t>Australia</t>
        </is>
      </c>
      <c r="I87" s="14" t="inlineStr">
        <is>
          <t>Austria</t>
        </is>
      </c>
      <c r="J87" s="14" t="inlineStr">
        <is>
          <t>Baltics</t>
        </is>
      </c>
      <c r="K87" s="14" t="inlineStr">
        <is>
          <t>BeNeLux</t>
        </is>
      </c>
      <c r="L87" s="14" t="inlineStr">
        <is>
          <t>Brazil</t>
        </is>
      </c>
      <c r="M87" s="14" t="inlineStr">
        <is>
          <t>China</t>
        </is>
      </c>
      <c r="N87" s="14" t="inlineStr">
        <is>
          <t>CroSloven</t>
        </is>
      </c>
      <c r="O87" s="14" t="inlineStr">
        <is>
          <t>CzechSlovak</t>
        </is>
      </c>
      <c r="P87" s="14" t="inlineStr">
        <is>
          <t>France</t>
        </is>
      </c>
      <c r="Q87" s="14" t="inlineStr">
        <is>
          <t>Germany</t>
        </is>
      </c>
      <c r="R87" s="14" t="inlineStr">
        <is>
          <t>GreeceCyp</t>
        </is>
      </c>
      <c r="S87" s="14" t="inlineStr">
        <is>
          <t>HunRomBul</t>
        </is>
      </c>
      <c r="T87" s="14" t="inlineStr">
        <is>
          <t>Iceland</t>
        </is>
      </c>
      <c r="U87" s="14" t="inlineStr">
        <is>
          <t>India</t>
        </is>
      </c>
      <c r="V87" s="14" t="inlineStr">
        <is>
          <t>Ireland</t>
        </is>
      </c>
      <c r="W87" s="14" t="inlineStr">
        <is>
          <t>ItalyMal</t>
        </is>
      </c>
      <c r="X87" s="14" t="inlineStr">
        <is>
          <t>Japan</t>
        </is>
      </c>
      <c r="Y87" s="14" t="inlineStr">
        <is>
          <t>LatAm</t>
        </is>
      </c>
      <c r="Z87" s="14" t="inlineStr">
        <is>
          <t>MidEast</t>
        </is>
      </c>
      <c r="AA87" s="14" t="inlineStr">
        <is>
          <t>NorthAm</t>
        </is>
      </c>
      <c r="AB87" s="14" t="inlineStr">
        <is>
          <t>Norway</t>
        </is>
      </c>
      <c r="AC87" s="14" t="inlineStr">
        <is>
          <t>Poland</t>
        </is>
      </c>
      <c r="AD87" s="14" t="inlineStr">
        <is>
          <t>ROW</t>
        </is>
      </c>
      <c r="AE87" s="14" t="inlineStr">
        <is>
          <t>Russia</t>
        </is>
      </c>
      <c r="AF87" s="14" t="inlineStr">
        <is>
          <t>SaudiArabia</t>
        </is>
      </c>
      <c r="AG87" s="14" t="inlineStr">
        <is>
          <t>SouthAfrica</t>
        </is>
      </c>
      <c r="AH87" s="14" t="inlineStr">
        <is>
          <t>SpainPor</t>
        </is>
      </c>
      <c r="AI87" s="14" t="inlineStr">
        <is>
          <t>SweFinDen</t>
        </is>
      </c>
      <c r="AJ87" s="14" t="inlineStr">
        <is>
          <t>Switzerland</t>
        </is>
      </c>
      <c r="AK87" s="14" t="inlineStr">
        <is>
          <t>Turkey</t>
        </is>
      </c>
      <c r="AL87" s="14" t="inlineStr">
        <is>
          <t>UK</t>
        </is>
      </c>
      <c r="AM87" s="14" t="inlineStr">
        <is>
          <t>Ukraine</t>
        </is>
      </c>
      <c r="AN87" s="14" t="inlineStr">
        <is>
          <t>WestBalkans</t>
        </is>
      </c>
      <c r="AO87" s="14" t="inlineStr">
        <is>
          <t>Pset_CO</t>
        </is>
      </c>
      <c r="AW87" s="115" t="inlineStr">
        <is>
          <t>Region</t>
        </is>
      </c>
      <c r="AX87" s="116" t="inlineStr">
        <is>
          <t>Likt/yr</t>
        </is>
      </c>
      <c r="AY87" s="116" t="inlineStr">
        <is>
          <t>Cokt/yr</t>
        </is>
      </c>
      <c r="AZ87" s="116" t="inlineStr">
        <is>
          <t>Nikt/yr</t>
        </is>
      </c>
      <c r="BA87" s="116" t="inlineStr">
        <is>
          <t>Mnkt/yr</t>
        </is>
      </c>
      <c r="BB87" s="116" t="inlineStr">
        <is>
          <t>Cukt/yr</t>
        </is>
      </c>
      <c r="BC87" s="116" t="inlineStr">
        <is>
          <t>Alkt/yr</t>
        </is>
      </c>
      <c r="BD87" s="116" t="inlineStr">
        <is>
          <t>Graphitekt/yr</t>
        </is>
      </c>
      <c r="BH87" s="117" t="inlineStr">
        <is>
          <t>Region</t>
        </is>
      </c>
      <c r="BI87" s="118" t="inlineStr">
        <is>
          <t>Li</t>
        </is>
      </c>
      <c r="BJ87" s="118" t="inlineStr">
        <is>
          <t>Ni</t>
        </is>
      </c>
      <c r="BK87" s="118" t="inlineStr">
        <is>
          <t>Co</t>
        </is>
      </c>
      <c r="BL87" s="118" t="inlineStr">
        <is>
          <t>Mn</t>
        </is>
      </c>
      <c r="BM87" s="118" t="inlineStr">
        <is>
          <t>Al</t>
        </is>
      </c>
      <c r="BN87" s="118" t="inlineStr">
        <is>
          <t>Cu</t>
        </is>
      </c>
      <c r="BO87" s="118" t="inlineStr">
        <is>
          <t>Graphite</t>
        </is>
      </c>
      <c r="BQ87" s="117" t="inlineStr">
        <is>
          <t>Region</t>
        </is>
      </c>
      <c r="BR87" s="119" t="inlineStr">
        <is>
          <t>Africa_North</t>
        </is>
      </c>
      <c r="BS87" s="119" t="inlineStr">
        <is>
          <t>Africa_Other</t>
        </is>
      </c>
      <c r="BT87" s="119" t="inlineStr">
        <is>
          <t>Australia</t>
        </is>
      </c>
      <c r="BU87" s="119" t="inlineStr">
        <is>
          <t>Austria</t>
        </is>
      </c>
      <c r="BV87" s="119" t="inlineStr">
        <is>
          <t>Baltics</t>
        </is>
      </c>
      <c r="BW87" s="119" t="inlineStr">
        <is>
          <t>BeNeLux</t>
        </is>
      </c>
      <c r="BX87" s="119" t="inlineStr">
        <is>
          <t>Brazil</t>
        </is>
      </c>
      <c r="BY87" s="119" t="inlineStr">
        <is>
          <t>China</t>
        </is>
      </c>
      <c r="BZ87" s="119" t="inlineStr">
        <is>
          <t>CroSloven</t>
        </is>
      </c>
      <c r="CA87" s="119" t="inlineStr">
        <is>
          <t>CzechSlovak</t>
        </is>
      </c>
      <c r="CB87" s="119" t="inlineStr">
        <is>
          <t>France</t>
        </is>
      </c>
      <c r="CC87" s="119" t="inlineStr">
        <is>
          <t>Germany</t>
        </is>
      </c>
      <c r="CD87" s="119" t="inlineStr">
        <is>
          <t>GreeceCyp</t>
        </is>
      </c>
      <c r="CE87" s="119" t="inlineStr">
        <is>
          <t>HunRomBul</t>
        </is>
      </c>
      <c r="CF87" s="119" t="inlineStr">
        <is>
          <t>Iceland</t>
        </is>
      </c>
      <c r="CG87" s="119" t="inlineStr">
        <is>
          <t>India</t>
        </is>
      </c>
      <c r="CH87" s="119" t="inlineStr">
        <is>
          <t>Ireland</t>
        </is>
      </c>
      <c r="CI87" s="119" t="inlineStr">
        <is>
          <t>ItalyMal</t>
        </is>
      </c>
      <c r="CJ87" s="119" t="inlineStr">
        <is>
          <t>Japan</t>
        </is>
      </c>
      <c r="CK87" s="119" t="inlineStr">
        <is>
          <t>LatAm</t>
        </is>
      </c>
      <c r="CL87" s="119" t="inlineStr">
        <is>
          <t>MidEast</t>
        </is>
      </c>
      <c r="CM87" s="119" t="inlineStr">
        <is>
          <t>NorthAm</t>
        </is>
      </c>
      <c r="CN87" s="119" t="inlineStr">
        <is>
          <t>Norway</t>
        </is>
      </c>
      <c r="CO87" s="119" t="inlineStr">
        <is>
          <t>Poland</t>
        </is>
      </c>
      <c r="CP87" s="119" t="inlineStr">
        <is>
          <t>ROW</t>
        </is>
      </c>
      <c r="CQ87" s="119" t="inlineStr">
        <is>
          <t>Russia</t>
        </is>
      </c>
      <c r="CR87" s="119" t="inlineStr">
        <is>
          <t>SaudiArabia</t>
        </is>
      </c>
      <c r="CS87" s="119" t="inlineStr">
        <is>
          <t>SouthAfrica</t>
        </is>
      </c>
      <c r="CT87" s="119" t="inlineStr">
        <is>
          <t>SpainPor</t>
        </is>
      </c>
      <c r="CU87" s="119" t="inlineStr">
        <is>
          <t>SweFinDen</t>
        </is>
      </c>
      <c r="CV87" s="119" t="inlineStr">
        <is>
          <t>Switzerland</t>
        </is>
      </c>
      <c r="CW87" s="119" t="inlineStr">
        <is>
          <t>Turkey</t>
        </is>
      </c>
      <c r="CX87" s="119" t="inlineStr">
        <is>
          <t>UK</t>
        </is>
      </c>
      <c r="CY87" s="119" t="inlineStr">
        <is>
          <t>Ukraine</t>
        </is>
      </c>
      <c r="CZ87" s="115" t="inlineStr">
        <is>
          <t>World</t>
        </is>
      </c>
    </row>
    <row r="88" ht="12.5" customHeight="1" s="213">
      <c r="A88" s="14" t="n">
        <v>2019</v>
      </c>
      <c r="B88" s="14" t="inlineStr">
        <is>
          <t>FLO_BND</t>
        </is>
      </c>
      <c r="C88" s="14" t="inlineStr">
        <is>
          <t>UP</t>
        </is>
      </c>
      <c r="D88" s="14" t="inlineStr">
        <is>
          <t>MINBatMaterials_LI</t>
        </is>
      </c>
      <c r="E88" s="14" t="inlineStr">
        <is>
          <t>m_lithium</t>
        </is>
      </c>
      <c r="F88" s="14">
        <f>BR88*1</f>
        <v/>
      </c>
      <c r="G88" s="14">
        <f>BS88*1</f>
        <v/>
      </c>
      <c r="H88" s="14">
        <f>BT88*1</f>
        <v/>
      </c>
      <c r="I88" s="14">
        <f>BU88*1</f>
        <v/>
      </c>
      <c r="J88" s="14">
        <f>BV88*1</f>
        <v/>
      </c>
      <c r="K88" s="14">
        <f>BW88*1</f>
        <v/>
      </c>
      <c r="L88" s="14">
        <f>BX88*1</f>
        <v/>
      </c>
      <c r="M88" s="14">
        <f>BY88*1</f>
        <v/>
      </c>
      <c r="N88" s="14">
        <f>BZ88*1</f>
        <v/>
      </c>
      <c r="O88" s="14">
        <f>CA88*1</f>
        <v/>
      </c>
      <c r="P88" s="14">
        <f>CB88*1</f>
        <v/>
      </c>
      <c r="Q88" s="14">
        <f>CC88*1</f>
        <v/>
      </c>
      <c r="R88" s="14">
        <f>CD88*1</f>
        <v/>
      </c>
      <c r="S88" s="14">
        <f>CE88*1</f>
        <v/>
      </c>
      <c r="T88" s="14">
        <f>CF88*1</f>
        <v/>
      </c>
      <c r="U88" s="14">
        <f>CG88*1</f>
        <v/>
      </c>
      <c r="V88" s="14">
        <f>CH88*1</f>
        <v/>
      </c>
      <c r="W88" s="14">
        <f>CI88*1</f>
        <v/>
      </c>
      <c r="X88" s="14">
        <f>CJ88*1</f>
        <v/>
      </c>
      <c r="Y88" s="14">
        <f>CK88*1</f>
        <v/>
      </c>
      <c r="Z88" s="14">
        <f>CL88*1</f>
        <v/>
      </c>
      <c r="AA88" s="14">
        <f>CM88*1</f>
        <v/>
      </c>
      <c r="AB88" s="14">
        <f>CN88*1</f>
        <v/>
      </c>
      <c r="AC88" s="14">
        <f>CO88*1</f>
        <v/>
      </c>
      <c r="AD88" s="14">
        <f>CP88*1</f>
        <v/>
      </c>
      <c r="AE88" s="14">
        <f>CQ88*1</f>
        <v/>
      </c>
      <c r="AF88" s="14">
        <f>CR88*1</f>
        <v/>
      </c>
      <c r="AG88" s="14">
        <f>CS88*1</f>
        <v/>
      </c>
      <c r="AH88" s="14">
        <f>CT88*1</f>
        <v/>
      </c>
      <c r="AI88" s="14">
        <f>CU88*1</f>
        <v/>
      </c>
      <c r="AJ88" s="14">
        <f>CV88*1</f>
        <v/>
      </c>
      <c r="AK88" s="14">
        <f>CW88*1</f>
        <v/>
      </c>
      <c r="AL88" s="14">
        <f>CX88*1</f>
        <v/>
      </c>
      <c r="AM88" s="14">
        <f>CY88*1</f>
        <v/>
      </c>
      <c r="AN88" s="14" t="n">
        <v>0</v>
      </c>
      <c r="AO88" s="14" t="inlineStr">
        <is>
          <t>m_lithium</t>
        </is>
      </c>
      <c r="AW88" s="120" t="inlineStr">
        <is>
          <t>NAF</t>
        </is>
      </c>
      <c r="AX88" s="121" t="inlineStr">
        <is>
          <t>—</t>
        </is>
      </c>
      <c r="AY88" s="121" t="inlineStr">
        <is>
          <t>—</t>
        </is>
      </c>
      <c r="AZ88" s="121" t="inlineStr">
        <is>
          <t>—</t>
        </is>
      </c>
      <c r="BA88" s="121" t="inlineStr">
        <is>
          <t>—</t>
        </is>
      </c>
      <c r="BB88" s="121" t="inlineStr">
        <is>
          <t>—</t>
        </is>
      </c>
      <c r="BC88" s="121" t="inlineStr">
        <is>
          <t>—</t>
        </is>
      </c>
      <c r="BD88" s="121" t="inlineStr">
        <is>
          <t>—</t>
        </is>
      </c>
      <c r="BH88" s="119" t="inlineStr">
        <is>
          <t>Africa_North</t>
        </is>
      </c>
      <c r="BI88" s="122" t="n">
        <v>0</v>
      </c>
      <c r="BJ88" s="122" t="n">
        <v>0</v>
      </c>
      <c r="BK88" s="122" t="n">
        <v>0</v>
      </c>
      <c r="BL88" s="122" t="n">
        <v>0</v>
      </c>
      <c r="BM88" s="123">
        <f>Attached_sourcedAlumina_and!P12</f>
        <v/>
      </c>
      <c r="BN88" s="122" t="n">
        <v>0</v>
      </c>
      <c r="BO88" s="122" t="n">
        <v>0</v>
      </c>
      <c r="BQ88" s="118" t="inlineStr">
        <is>
          <t>Li</t>
        </is>
      </c>
      <c r="BR88" s="238" t="n">
        <v>0</v>
      </c>
      <c r="BS88" s="238" t="n">
        <v>24.7</v>
      </c>
      <c r="BT88" s="238" t="n">
        <v>88</v>
      </c>
      <c r="BU88" s="238" t="n">
        <v>0</v>
      </c>
      <c r="BV88" s="238" t="n">
        <v>0</v>
      </c>
      <c r="BW88" s="238" t="n">
        <v>0</v>
      </c>
      <c r="BX88" s="238" t="n">
        <v>10</v>
      </c>
      <c r="BY88" s="238" t="n">
        <v>41</v>
      </c>
      <c r="BZ88" s="238" t="n">
        <v>0</v>
      </c>
      <c r="CA88" s="238" t="n">
        <v>0</v>
      </c>
      <c r="CB88" s="238" t="n">
        <v>0</v>
      </c>
      <c r="CC88" s="238" t="n">
        <v>0</v>
      </c>
      <c r="CD88" s="238" t="n">
        <v>0</v>
      </c>
      <c r="CE88" s="238" t="n">
        <v>0</v>
      </c>
      <c r="CF88" s="238" t="n">
        <v>0</v>
      </c>
      <c r="CG88" s="238" t="n">
        <v>0</v>
      </c>
      <c r="CH88" s="238" t="n">
        <v>0</v>
      </c>
      <c r="CI88" s="238" t="n">
        <v>0</v>
      </c>
      <c r="CJ88" s="238" t="n">
        <v>0</v>
      </c>
      <c r="CK88" s="238" t="n">
        <v>67</v>
      </c>
      <c r="CL88" s="238" t="n">
        <v>0</v>
      </c>
      <c r="CM88" s="238" t="n">
        <v>4.3</v>
      </c>
      <c r="CN88" s="238" t="n">
        <v>0</v>
      </c>
      <c r="CO88" s="238" t="n">
        <v>0</v>
      </c>
      <c r="CP88" s="238" t="n">
        <v>4.6</v>
      </c>
      <c r="CQ88" s="238" t="n">
        <v>0</v>
      </c>
      <c r="CR88" s="238" t="n">
        <v>0</v>
      </c>
      <c r="CS88" s="238" t="n">
        <v>0</v>
      </c>
      <c r="CT88" s="238" t="n">
        <v>0.4</v>
      </c>
      <c r="CU88" s="238" t="n">
        <v>0</v>
      </c>
      <c r="CV88" s="238" t="n">
        <v>0</v>
      </c>
      <c r="CW88" s="238" t="n">
        <v>0</v>
      </c>
      <c r="CX88" s="238" t="n">
        <v>0</v>
      </c>
      <c r="CY88" s="238" t="n">
        <v>0</v>
      </c>
      <c r="CZ88" s="239" t="n">
        <v>240</v>
      </c>
    </row>
    <row r="89" ht="12.5" customHeight="1" s="213">
      <c r="A89" s="14" t="n">
        <v>2019</v>
      </c>
      <c r="B89" s="14" t="inlineStr">
        <is>
          <t>FLO_BND</t>
        </is>
      </c>
      <c r="C89" s="14" t="inlineStr">
        <is>
          <t>UP</t>
        </is>
      </c>
      <c r="D89" s="14" t="inlineStr">
        <is>
          <t>MINBatMaterials_NI</t>
        </is>
      </c>
      <c r="E89" s="14" t="inlineStr">
        <is>
          <t>m_nickel</t>
        </is>
      </c>
      <c r="F89" s="14">
        <f>BR89*1</f>
        <v/>
      </c>
      <c r="G89" s="14">
        <f>BS89*1</f>
        <v/>
      </c>
      <c r="H89" s="14">
        <f>BT89*1</f>
        <v/>
      </c>
      <c r="I89" s="14">
        <f>BU89*1</f>
        <v/>
      </c>
      <c r="J89" s="14">
        <f>BV89*1</f>
        <v/>
      </c>
      <c r="K89" s="14">
        <f>BW89*1</f>
        <v/>
      </c>
      <c r="L89" s="14">
        <f>BX89*1</f>
        <v/>
      </c>
      <c r="M89" s="14">
        <f>BY89*1</f>
        <v/>
      </c>
      <c r="N89" s="14">
        <f>BZ89*1</f>
        <v/>
      </c>
      <c r="O89" s="14">
        <f>CA89*1</f>
        <v/>
      </c>
      <c r="P89" s="14">
        <f>CB89*1</f>
        <v/>
      </c>
      <c r="Q89" s="14">
        <f>CC89*1</f>
        <v/>
      </c>
      <c r="R89" s="14">
        <f>CD89*1</f>
        <v/>
      </c>
      <c r="S89" s="14">
        <f>CE89*1</f>
        <v/>
      </c>
      <c r="T89" s="14">
        <f>CF89*1</f>
        <v/>
      </c>
      <c r="U89" s="14">
        <f>CG89*1</f>
        <v/>
      </c>
      <c r="V89" s="14">
        <f>CH89*1</f>
        <v/>
      </c>
      <c r="W89" s="14">
        <f>CI89*1</f>
        <v/>
      </c>
      <c r="X89" s="14">
        <f>CJ89*1</f>
        <v/>
      </c>
      <c r="Y89" s="14">
        <f>CK89*1</f>
        <v/>
      </c>
      <c r="Z89" s="14">
        <f>CL89*1</f>
        <v/>
      </c>
      <c r="AA89" s="14">
        <f>CM89*1</f>
        <v/>
      </c>
      <c r="AB89" s="14">
        <f>CN89*1</f>
        <v/>
      </c>
      <c r="AC89" s="14">
        <f>CO89*1</f>
        <v/>
      </c>
      <c r="AD89" s="14">
        <f>CP89*1</f>
        <v/>
      </c>
      <c r="AE89" s="14">
        <f>CQ89*1</f>
        <v/>
      </c>
      <c r="AF89" s="14">
        <f>CR89*1</f>
        <v/>
      </c>
      <c r="AG89" s="14">
        <f>CS89*1</f>
        <v/>
      </c>
      <c r="AH89" s="14">
        <f>CT89*1</f>
        <v/>
      </c>
      <c r="AI89" s="14">
        <f>CU89*1</f>
        <v/>
      </c>
      <c r="AJ89" s="14">
        <f>CV89*1</f>
        <v/>
      </c>
      <c r="AK89" s="14">
        <f>CW89*1</f>
        <v/>
      </c>
      <c r="AL89" s="14">
        <f>CX89*1</f>
        <v/>
      </c>
      <c r="AM89" s="14">
        <f>CY89*1</f>
        <v/>
      </c>
      <c r="AN89" s="14" t="n">
        <v>0</v>
      </c>
      <c r="AO89" s="14" t="inlineStr">
        <is>
          <t>m_nickel</t>
        </is>
      </c>
      <c r="AW89" s="120" t="inlineStr">
        <is>
          <t>SSA</t>
        </is>
      </c>
      <c r="AX89" s="126" t="n">
        <v>24.7</v>
      </c>
      <c r="AY89" s="126" t="n">
        <v>223</v>
      </c>
      <c r="AZ89" s="121" t="inlineStr">
        <is>
          <t>—</t>
        </is>
      </c>
      <c r="BA89" s="127" t="n">
        <v>5780</v>
      </c>
      <c r="BB89" s="127" t="n">
        <v>3980</v>
      </c>
      <c r="BC89" s="121" t="inlineStr">
        <is>
          <t>—</t>
        </is>
      </c>
      <c r="BD89" s="126" t="n">
        <v>189</v>
      </c>
      <c r="BH89" s="119" t="inlineStr">
        <is>
          <t>Africa_Other</t>
        </is>
      </c>
      <c r="BI89" s="122" t="n">
        <v>24.7</v>
      </c>
      <c r="BJ89" s="122" t="n">
        <v>0</v>
      </c>
      <c r="BK89" s="122" t="n">
        <v>222.6</v>
      </c>
      <c r="BL89" s="128" t="n">
        <v>5780</v>
      </c>
      <c r="BM89" s="123">
        <f>Attached_sourcedAlumina_and!P13</f>
        <v/>
      </c>
      <c r="BN89" s="128" t="n">
        <v>3980</v>
      </c>
      <c r="BO89" s="122" t="n">
        <v>189</v>
      </c>
      <c r="BQ89" s="118" t="inlineStr">
        <is>
          <t>Ni</t>
        </is>
      </c>
      <c r="BR89" s="238" t="n">
        <v>0</v>
      </c>
      <c r="BS89" s="238" t="n">
        <v>0</v>
      </c>
      <c r="BT89" s="238" t="n">
        <v>110</v>
      </c>
      <c r="BU89" s="238" t="n">
        <v>0</v>
      </c>
      <c r="BV89" s="238" t="n">
        <v>0</v>
      </c>
      <c r="BW89" s="238" t="n">
        <v>0</v>
      </c>
      <c r="BX89" s="238" t="n">
        <v>77</v>
      </c>
      <c r="BY89" s="238" t="n">
        <v>120</v>
      </c>
      <c r="BZ89" s="238" t="n">
        <v>0</v>
      </c>
      <c r="CA89" s="238" t="n">
        <v>0</v>
      </c>
      <c r="CB89" s="238" t="n">
        <v>0</v>
      </c>
      <c r="CC89" s="238" t="n">
        <v>0</v>
      </c>
      <c r="CD89" s="238" t="n">
        <v>0</v>
      </c>
      <c r="CE89" s="238" t="n">
        <v>0</v>
      </c>
      <c r="CF89" s="238" t="n">
        <v>0</v>
      </c>
      <c r="CG89" s="238" t="n">
        <v>0</v>
      </c>
      <c r="CH89" s="238" t="n">
        <v>0</v>
      </c>
      <c r="CI89" s="238" t="n">
        <v>0</v>
      </c>
      <c r="CJ89" s="238" t="n">
        <v>0</v>
      </c>
      <c r="CK89" s="238" t="n">
        <v>0</v>
      </c>
      <c r="CL89" s="238" t="n">
        <v>0</v>
      </c>
      <c r="CM89" s="238" t="n">
        <v>198</v>
      </c>
      <c r="CN89" s="238" t="n">
        <v>0</v>
      </c>
      <c r="CO89" s="238" t="n">
        <v>0</v>
      </c>
      <c r="CP89" s="238" t="n">
        <v>2985</v>
      </c>
      <c r="CQ89" s="238" t="n">
        <v>210</v>
      </c>
      <c r="CR89" s="238" t="n">
        <v>0</v>
      </c>
      <c r="CS89" s="238" t="n">
        <v>0</v>
      </c>
      <c r="CT89" s="238" t="n">
        <v>0</v>
      </c>
      <c r="CU89" s="238" t="n">
        <v>0</v>
      </c>
      <c r="CV89" s="238" t="n">
        <v>0</v>
      </c>
      <c r="CW89" s="238" t="n">
        <v>0</v>
      </c>
      <c r="CX89" s="238" t="n">
        <v>0</v>
      </c>
      <c r="CY89" s="238" t="n">
        <v>0</v>
      </c>
      <c r="CZ89" s="239" t="n">
        <v>3700</v>
      </c>
    </row>
    <row r="90" ht="16" customHeight="1" s="213">
      <c r="A90" s="14" t="n">
        <v>2019</v>
      </c>
      <c r="B90" s="14" t="inlineStr">
        <is>
          <t>FLO_BND</t>
        </is>
      </c>
      <c r="C90" s="14" t="inlineStr">
        <is>
          <t>UP</t>
        </is>
      </c>
      <c r="D90" s="104" t="inlineStr">
        <is>
          <t>MINBatMaterials_COB_direct</t>
        </is>
      </c>
      <c r="E90" s="14" t="inlineStr">
        <is>
          <t>m_cobalt</t>
        </is>
      </c>
      <c r="F90" s="14">
        <f>BR90*1</f>
        <v/>
      </c>
      <c r="G90" s="14">
        <f>BS90*1</f>
        <v/>
      </c>
      <c r="H90" s="14">
        <f>BT90*1</f>
        <v/>
      </c>
      <c r="I90" s="14">
        <f>BU90*1</f>
        <v/>
      </c>
      <c r="J90" s="14">
        <f>BV90*1</f>
        <v/>
      </c>
      <c r="K90" s="14">
        <f>BW90*1</f>
        <v/>
      </c>
      <c r="L90" s="14">
        <f>BX90*1</f>
        <v/>
      </c>
      <c r="M90" s="14">
        <f>BY90*1</f>
        <v/>
      </c>
      <c r="N90" s="14">
        <f>BZ90*1</f>
        <v/>
      </c>
      <c r="O90" s="14">
        <f>CA90*1</f>
        <v/>
      </c>
      <c r="P90" s="14">
        <f>CB90*1</f>
        <v/>
      </c>
      <c r="Q90" s="14">
        <f>CC90*1</f>
        <v/>
      </c>
      <c r="R90" s="14">
        <f>CD90*1</f>
        <v/>
      </c>
      <c r="S90" s="14">
        <f>CE90*1</f>
        <v/>
      </c>
      <c r="T90" s="14">
        <f>CF90*1</f>
        <v/>
      </c>
      <c r="U90" s="14">
        <f>CG90*1</f>
        <v/>
      </c>
      <c r="V90" s="14">
        <f>CH90*1</f>
        <v/>
      </c>
      <c r="W90" s="14">
        <f>CI90*1</f>
        <v/>
      </c>
      <c r="X90" s="14">
        <f>CJ90*1</f>
        <v/>
      </c>
      <c r="Y90" s="14">
        <f>CK90*1</f>
        <v/>
      </c>
      <c r="Z90" s="14">
        <f>CL90*1</f>
        <v/>
      </c>
      <c r="AA90" s="14">
        <f>CM90*1</f>
        <v/>
      </c>
      <c r="AB90" s="14">
        <f>CN90*1</f>
        <v/>
      </c>
      <c r="AC90" s="14">
        <f>CO90*1</f>
        <v/>
      </c>
      <c r="AD90" s="14">
        <f>CP90*1</f>
        <v/>
      </c>
      <c r="AE90" s="14">
        <f>CQ90*1</f>
        <v/>
      </c>
      <c r="AF90" s="14">
        <f>CR90*1</f>
        <v/>
      </c>
      <c r="AG90" s="14">
        <f>CS90*1</f>
        <v/>
      </c>
      <c r="AH90" s="14">
        <f>CT90*1</f>
        <v/>
      </c>
      <c r="AI90" s="14">
        <f>CU90*1</f>
        <v/>
      </c>
      <c r="AJ90" s="14">
        <f>CV90*1</f>
        <v/>
      </c>
      <c r="AK90" s="14">
        <f>CW90*1</f>
        <v/>
      </c>
      <c r="AL90" s="14">
        <f>CX90*1</f>
        <v/>
      </c>
      <c r="AM90" s="14">
        <f>CY90*1</f>
        <v/>
      </c>
      <c r="AN90" s="14" t="n">
        <v>0</v>
      </c>
      <c r="AO90" s="14" t="inlineStr">
        <is>
          <t>m_cobalt</t>
        </is>
      </c>
      <c r="AW90" s="120" t="inlineStr">
        <is>
          <t>AUS</t>
        </is>
      </c>
      <c r="AX90" s="126" t="n">
        <v>88</v>
      </c>
      <c r="AY90" s="126" t="n">
        <v>3.6</v>
      </c>
      <c r="AZ90" s="126" t="n">
        <v>110</v>
      </c>
      <c r="BA90" s="127" t="n">
        <v>2800</v>
      </c>
      <c r="BB90" s="126" t="n">
        <v>800</v>
      </c>
      <c r="BC90" s="127" t="n">
        <v>1500</v>
      </c>
      <c r="BD90" s="121" t="inlineStr">
        <is>
          <t>—</t>
        </is>
      </c>
      <c r="BH90" s="119" t="inlineStr">
        <is>
          <t>Australia</t>
        </is>
      </c>
      <c r="BI90" s="122" t="n">
        <v>88</v>
      </c>
      <c r="BJ90" s="122" t="n">
        <v>110</v>
      </c>
      <c r="BK90" s="122" t="n">
        <v>3.6</v>
      </c>
      <c r="BL90" s="128" t="n">
        <v>2800</v>
      </c>
      <c r="BM90" s="123">
        <f>Attached_sourcedAlumina_and!P14</f>
        <v/>
      </c>
      <c r="BN90" s="122" t="n">
        <v>800</v>
      </c>
      <c r="BO90" s="122" t="n">
        <v>0</v>
      </c>
      <c r="BQ90" s="118" t="inlineStr">
        <is>
          <t>Co</t>
        </is>
      </c>
      <c r="BR90" s="238" t="n">
        <v>0</v>
      </c>
      <c r="BS90" s="238" t="n">
        <v>222.6</v>
      </c>
      <c r="BT90" s="238" t="n">
        <v>3.6</v>
      </c>
      <c r="BU90" s="238" t="n">
        <v>0</v>
      </c>
      <c r="BV90" s="238" t="n">
        <v>0</v>
      </c>
      <c r="BW90" s="238" t="n">
        <v>0</v>
      </c>
      <c r="BX90" s="238" t="n">
        <v>0</v>
      </c>
      <c r="BY90" s="238" t="n">
        <v>0</v>
      </c>
      <c r="BZ90" s="238" t="n">
        <v>0</v>
      </c>
      <c r="CA90" s="238" t="n">
        <v>0</v>
      </c>
      <c r="CB90" s="238" t="n">
        <v>0</v>
      </c>
      <c r="CC90" s="238" t="n">
        <v>0</v>
      </c>
      <c r="CD90" s="238" t="n">
        <v>0</v>
      </c>
      <c r="CE90" s="238" t="n">
        <v>0</v>
      </c>
      <c r="CF90" s="238" t="n">
        <v>0</v>
      </c>
      <c r="CG90" s="238" t="n">
        <v>0</v>
      </c>
      <c r="CH90" s="238" t="n">
        <v>0</v>
      </c>
      <c r="CI90" s="238" t="n">
        <v>0</v>
      </c>
      <c r="CJ90" s="238" t="n">
        <v>0</v>
      </c>
      <c r="CK90" s="238" t="n">
        <v>3.5</v>
      </c>
      <c r="CL90" s="238" t="n">
        <v>0</v>
      </c>
      <c r="CM90" s="238" t="n">
        <v>4.8</v>
      </c>
      <c r="CN90" s="238" t="n">
        <v>0</v>
      </c>
      <c r="CO90" s="238" t="n">
        <v>0</v>
      </c>
      <c r="CP90" s="238" t="n">
        <v>43.8</v>
      </c>
      <c r="CQ90" s="238" t="n">
        <v>8.699999999999999</v>
      </c>
      <c r="CR90" s="238" t="n">
        <v>0</v>
      </c>
      <c r="CS90" s="238" t="n">
        <v>0</v>
      </c>
      <c r="CT90" s="238" t="n">
        <v>0</v>
      </c>
      <c r="CU90" s="238" t="n">
        <v>0</v>
      </c>
      <c r="CV90" s="238" t="n">
        <v>0</v>
      </c>
      <c r="CW90" s="238" t="n">
        <v>2.7</v>
      </c>
      <c r="CX90" s="238" t="n">
        <v>0</v>
      </c>
      <c r="CY90" s="238" t="n">
        <v>0</v>
      </c>
      <c r="CZ90" s="239" t="n">
        <v>290</v>
      </c>
    </row>
    <row r="91" ht="12.5" customHeight="1" s="213">
      <c r="A91" s="14" t="n">
        <v>2019</v>
      </c>
      <c r="B91" s="14" t="inlineStr">
        <is>
          <t>FLO_BND</t>
        </is>
      </c>
      <c r="C91" s="14" t="inlineStr">
        <is>
          <t>UP</t>
        </is>
      </c>
      <c r="D91" s="14" t="inlineStr">
        <is>
          <t>MINBatMaterials_MN</t>
        </is>
      </c>
      <c r="E91" s="14" t="inlineStr">
        <is>
          <t>m_manganese</t>
        </is>
      </c>
      <c r="F91" s="14">
        <f>BR91*1</f>
        <v/>
      </c>
      <c r="G91" s="14">
        <f>BS91*1</f>
        <v/>
      </c>
      <c r="H91" s="14">
        <f>BT91*1</f>
        <v/>
      </c>
      <c r="I91" s="14">
        <f>BU91*1</f>
        <v/>
      </c>
      <c r="J91" s="14">
        <f>BV91*1</f>
        <v/>
      </c>
      <c r="K91" s="14">
        <f>BW91*1</f>
        <v/>
      </c>
      <c r="L91" s="14">
        <f>BX91*1</f>
        <v/>
      </c>
      <c r="M91" s="14">
        <f>BY91*1</f>
        <v/>
      </c>
      <c r="N91" s="14">
        <f>BZ91*1</f>
        <v/>
      </c>
      <c r="O91" s="14">
        <f>CA91*1</f>
        <v/>
      </c>
      <c r="P91" s="14">
        <f>CB91*1</f>
        <v/>
      </c>
      <c r="Q91" s="14">
        <f>CC91*1</f>
        <v/>
      </c>
      <c r="R91" s="14">
        <f>CD91*1</f>
        <v/>
      </c>
      <c r="S91" s="14">
        <f>CE91*1</f>
        <v/>
      </c>
      <c r="T91" s="14">
        <f>CF91*1</f>
        <v/>
      </c>
      <c r="U91" s="14">
        <f>CG91*1</f>
        <v/>
      </c>
      <c r="V91" s="14">
        <f>CH91*1</f>
        <v/>
      </c>
      <c r="W91" s="14">
        <f>CI91*1</f>
        <v/>
      </c>
      <c r="X91" s="14">
        <f>CJ91*1</f>
        <v/>
      </c>
      <c r="Y91" s="14">
        <f>CK91*1</f>
        <v/>
      </c>
      <c r="Z91" s="14">
        <f>CL91*1</f>
        <v/>
      </c>
      <c r="AA91" s="14">
        <f>CM91*1</f>
        <v/>
      </c>
      <c r="AB91" s="14">
        <f>CN91*1</f>
        <v/>
      </c>
      <c r="AC91" s="14">
        <f>CO91*1</f>
        <v/>
      </c>
      <c r="AD91" s="14">
        <f>CP91*1</f>
        <v/>
      </c>
      <c r="AE91" s="14">
        <f>CQ91*1</f>
        <v/>
      </c>
      <c r="AF91" s="14">
        <f>CR91*1</f>
        <v/>
      </c>
      <c r="AG91" s="14">
        <f>CS91*1</f>
        <v/>
      </c>
      <c r="AH91" s="14">
        <f>CT91*1</f>
        <v/>
      </c>
      <c r="AI91" s="14">
        <f>CU91*1</f>
        <v/>
      </c>
      <c r="AJ91" s="14">
        <f>CV91*1</f>
        <v/>
      </c>
      <c r="AK91" s="14">
        <f>CW91*1</f>
        <v/>
      </c>
      <c r="AL91" s="14">
        <f>CX91*1</f>
        <v/>
      </c>
      <c r="AM91" s="14">
        <f>CY91*1</f>
        <v/>
      </c>
      <c r="AN91" s="14" t="n">
        <v>0</v>
      </c>
      <c r="AO91" s="14" t="inlineStr">
        <is>
          <t>m_manganese</t>
        </is>
      </c>
      <c r="AW91" s="120" t="inlineStr">
        <is>
          <t>AUT</t>
        </is>
      </c>
      <c r="AX91" s="121" t="inlineStr">
        <is>
          <t>—</t>
        </is>
      </c>
      <c r="AY91" s="121" t="inlineStr">
        <is>
          <t>—</t>
        </is>
      </c>
      <c r="AZ91" s="121" t="inlineStr">
        <is>
          <t>—</t>
        </is>
      </c>
      <c r="BA91" s="121" t="inlineStr">
        <is>
          <t>—</t>
        </is>
      </c>
      <c r="BB91" s="121" t="inlineStr">
        <is>
          <t>—</t>
        </is>
      </c>
      <c r="BC91" s="121" t="inlineStr">
        <is>
          <t>—</t>
        </is>
      </c>
      <c r="BD91" s="126" t="n">
        <v>0.5</v>
      </c>
      <c r="BH91" s="119" t="inlineStr">
        <is>
          <t>Austria</t>
        </is>
      </c>
      <c r="BI91" s="122" t="n">
        <v>0</v>
      </c>
      <c r="BJ91" s="122" t="n">
        <v>0</v>
      </c>
      <c r="BK91" s="122" t="n">
        <v>0</v>
      </c>
      <c r="BL91" s="122" t="n">
        <v>0</v>
      </c>
      <c r="BM91" s="123">
        <f>Attached_sourcedAlumina_and!P15</f>
        <v/>
      </c>
      <c r="BN91" s="122" t="n">
        <v>0</v>
      </c>
      <c r="BO91" s="122" t="n">
        <v>0.5</v>
      </c>
      <c r="BQ91" s="118" t="inlineStr">
        <is>
          <t>Mn</t>
        </is>
      </c>
      <c r="BR91" s="238" t="n">
        <v>0</v>
      </c>
      <c r="BS91" s="238" t="n">
        <v>5780</v>
      </c>
      <c r="BT91" s="238" t="n">
        <v>2800</v>
      </c>
      <c r="BU91" s="238" t="n">
        <v>0</v>
      </c>
      <c r="BV91" s="238" t="n">
        <v>0</v>
      </c>
      <c r="BW91" s="238" t="n">
        <v>0</v>
      </c>
      <c r="BX91" s="238" t="n">
        <v>590</v>
      </c>
      <c r="BY91" s="238" t="n">
        <v>770</v>
      </c>
      <c r="BZ91" s="238" t="n">
        <v>0</v>
      </c>
      <c r="CA91" s="238" t="n">
        <v>0</v>
      </c>
      <c r="CB91" s="238" t="n">
        <v>0</v>
      </c>
      <c r="CC91" s="238" t="n">
        <v>0</v>
      </c>
      <c r="CD91" s="238" t="n">
        <v>0</v>
      </c>
      <c r="CE91" s="238" t="n">
        <v>0</v>
      </c>
      <c r="CF91" s="238" t="n">
        <v>0</v>
      </c>
      <c r="CG91" s="238" t="n">
        <v>800</v>
      </c>
      <c r="CH91" s="238" t="n">
        <v>0</v>
      </c>
      <c r="CI91" s="238" t="n">
        <v>0</v>
      </c>
      <c r="CJ91" s="238" t="n">
        <v>0</v>
      </c>
      <c r="CK91" s="238" t="n">
        <v>0</v>
      </c>
      <c r="CL91" s="238" t="n">
        <v>0</v>
      </c>
      <c r="CM91" s="238" t="n">
        <v>0</v>
      </c>
      <c r="CN91" s="238" t="n">
        <v>0</v>
      </c>
      <c r="CO91" s="238" t="n">
        <v>0</v>
      </c>
      <c r="CP91" s="238" t="n">
        <v>2060</v>
      </c>
      <c r="CQ91" s="238" t="n">
        <v>0</v>
      </c>
      <c r="CR91" s="238" t="n">
        <v>0</v>
      </c>
      <c r="CS91" s="238" t="n">
        <v>7400</v>
      </c>
      <c r="CT91" s="238" t="n">
        <v>0</v>
      </c>
      <c r="CU91" s="238" t="n">
        <v>0</v>
      </c>
      <c r="CV91" s="238" t="n">
        <v>0</v>
      </c>
      <c r="CW91" s="238" t="n">
        <v>0</v>
      </c>
      <c r="CX91" s="238" t="n">
        <v>0</v>
      </c>
      <c r="CY91" s="238" t="n">
        <v>0</v>
      </c>
      <c r="CZ91" s="239" t="n">
        <v>20190</v>
      </c>
    </row>
    <row r="92" ht="12.5" customHeight="1" s="213">
      <c r="A92" s="14" t="n">
        <v>2019</v>
      </c>
      <c r="B92" s="14" t="inlineStr">
        <is>
          <t>FLO_BND</t>
        </is>
      </c>
      <c r="C92" s="14" t="inlineStr">
        <is>
          <t>UP</t>
        </is>
      </c>
      <c r="D92" s="94" t="inlineStr">
        <is>
          <t>MINBatMaterials_AL</t>
        </is>
      </c>
      <c r="E92" s="14" t="inlineStr">
        <is>
          <t>m_aluminum</t>
        </is>
      </c>
      <c r="F92" s="14">
        <f>BR92*1</f>
        <v/>
      </c>
      <c r="G92" s="14">
        <f>BS92*1</f>
        <v/>
      </c>
      <c r="H92" s="14">
        <f>BT92*1</f>
        <v/>
      </c>
      <c r="I92" s="14">
        <f>BU92*1</f>
        <v/>
      </c>
      <c r="J92" s="14">
        <f>BV92*1</f>
        <v/>
      </c>
      <c r="K92" s="14">
        <f>BW92*1</f>
        <v/>
      </c>
      <c r="L92" s="14">
        <f>BX92*1</f>
        <v/>
      </c>
      <c r="M92" s="14">
        <f>BY92*1</f>
        <v/>
      </c>
      <c r="N92" s="14">
        <f>BZ92*1</f>
        <v/>
      </c>
      <c r="O92" s="14">
        <f>CA92*1</f>
        <v/>
      </c>
      <c r="P92" s="14">
        <f>CB92*1</f>
        <v/>
      </c>
      <c r="Q92" s="14">
        <f>CC92*1</f>
        <v/>
      </c>
      <c r="R92" s="14">
        <f>CD92*1</f>
        <v/>
      </c>
      <c r="S92" s="14">
        <f>CE92*1</f>
        <v/>
      </c>
      <c r="T92" s="14">
        <f>CF92*1</f>
        <v/>
      </c>
      <c r="U92" s="14">
        <f>CG92*1</f>
        <v/>
      </c>
      <c r="V92" s="14">
        <f>CH92*1</f>
        <v/>
      </c>
      <c r="W92" s="14">
        <f>CI92*1</f>
        <v/>
      </c>
      <c r="X92" s="14">
        <f>CJ92*1</f>
        <v/>
      </c>
      <c r="Y92" s="14">
        <f>CK92*1</f>
        <v/>
      </c>
      <c r="Z92" s="14">
        <f>CL92*1</f>
        <v/>
      </c>
      <c r="AA92" s="14">
        <f>CM92*1</f>
        <v/>
      </c>
      <c r="AB92" s="14">
        <f>CN92*1</f>
        <v/>
      </c>
      <c r="AC92" s="14">
        <f>CO92*1</f>
        <v/>
      </c>
      <c r="AD92" s="14">
        <f>CP92*1</f>
        <v/>
      </c>
      <c r="AE92" s="14">
        <f>CQ92*1</f>
        <v/>
      </c>
      <c r="AF92" s="14">
        <f>CR92*1</f>
        <v/>
      </c>
      <c r="AG92" s="14">
        <f>CS92*1</f>
        <v/>
      </c>
      <c r="AH92" s="14">
        <f>CT92*1</f>
        <v/>
      </c>
      <c r="AI92" s="14">
        <f>CU92*1</f>
        <v/>
      </c>
      <c r="AJ92" s="14">
        <f>CV92*1</f>
        <v/>
      </c>
      <c r="AK92" s="14">
        <f>CW92*1</f>
        <v/>
      </c>
      <c r="AL92" s="14">
        <f>CX92*1</f>
        <v/>
      </c>
      <c r="AM92" s="14">
        <f>CY92*1</f>
        <v/>
      </c>
      <c r="AN92" s="14" t="n">
        <v>0</v>
      </c>
      <c r="AO92" s="14" t="inlineStr">
        <is>
          <t>m_aluminum</t>
        </is>
      </c>
      <c r="AW92" s="120" t="inlineStr">
        <is>
          <t>BAL</t>
        </is>
      </c>
      <c r="AX92" s="121" t="inlineStr">
        <is>
          <t>—</t>
        </is>
      </c>
      <c r="AY92" s="121" t="inlineStr">
        <is>
          <t>—</t>
        </is>
      </c>
      <c r="AZ92" s="121" t="inlineStr">
        <is>
          <t>—</t>
        </is>
      </c>
      <c r="BA92" s="121" t="inlineStr">
        <is>
          <t>—</t>
        </is>
      </c>
      <c r="BB92" s="121" t="inlineStr">
        <is>
          <t>—</t>
        </is>
      </c>
      <c r="BC92" s="121" t="inlineStr">
        <is>
          <t>—</t>
        </is>
      </c>
      <c r="BD92" s="121" t="inlineStr">
        <is>
          <t>—</t>
        </is>
      </c>
      <c r="BH92" s="119" t="inlineStr">
        <is>
          <t>Baltics</t>
        </is>
      </c>
      <c r="BI92" s="122" t="n">
        <v>0</v>
      </c>
      <c r="BJ92" s="122" t="n">
        <v>0</v>
      </c>
      <c r="BK92" s="122" t="n">
        <v>0</v>
      </c>
      <c r="BL92" s="122" t="n">
        <v>0</v>
      </c>
      <c r="BM92" s="123">
        <f>Attached_sourcedAlumina_and!P16</f>
        <v/>
      </c>
      <c r="BN92" s="122" t="n">
        <v>0</v>
      </c>
      <c r="BO92" s="122" t="n">
        <v>0</v>
      </c>
      <c r="BQ92" s="118" t="inlineStr">
        <is>
          <t>Al</t>
        </is>
      </c>
      <c r="BR92" s="84" t="n">
        <v>0</v>
      </c>
      <c r="BS92" s="84" t="n">
        <v>159</v>
      </c>
      <c r="BT92" s="84" t="n">
        <v>9522</v>
      </c>
      <c r="BU92" s="84" t="n">
        <v>0</v>
      </c>
      <c r="BV92" s="84" t="n">
        <v>0</v>
      </c>
      <c r="BW92" s="84" t="n">
        <v>0</v>
      </c>
      <c r="BX92" s="84" t="n">
        <v>5819</v>
      </c>
      <c r="BY92" s="84" t="n">
        <v>44436</v>
      </c>
      <c r="BZ92" s="84" t="n">
        <v>0</v>
      </c>
      <c r="CA92" s="84" t="n">
        <v>0</v>
      </c>
      <c r="CB92" s="84" t="n">
        <v>0</v>
      </c>
      <c r="CC92" s="84" t="n">
        <v>508</v>
      </c>
      <c r="CD92" s="84" t="n">
        <v>455</v>
      </c>
      <c r="CE92" s="84" t="n">
        <v>0</v>
      </c>
      <c r="CF92" s="84" t="n">
        <v>0</v>
      </c>
      <c r="CG92" s="84" t="n">
        <v>4020</v>
      </c>
      <c r="CH92" s="84" t="n">
        <v>846</v>
      </c>
      <c r="CI92" s="84" t="n">
        <v>0</v>
      </c>
      <c r="CJ92" s="84" t="n">
        <v>0</v>
      </c>
      <c r="CK92" s="84" t="n">
        <v>0</v>
      </c>
      <c r="CL92" s="84" t="n">
        <v>1270</v>
      </c>
      <c r="CM92" s="84" t="n">
        <v>1175</v>
      </c>
      <c r="CN92" s="84" t="n">
        <v>0</v>
      </c>
      <c r="CO92" s="84" t="n">
        <v>0</v>
      </c>
      <c r="CP92" s="84" t="n">
        <v>3015</v>
      </c>
      <c r="CQ92" s="84" t="n">
        <v>1534</v>
      </c>
      <c r="CR92" s="84" t="n">
        <v>952</v>
      </c>
      <c r="CS92" s="84" t="n">
        <v>0</v>
      </c>
      <c r="CT92" s="84" t="n">
        <v>434</v>
      </c>
      <c r="CU92" s="84" t="n">
        <v>0</v>
      </c>
      <c r="CV92" s="84" t="n">
        <v>0</v>
      </c>
      <c r="CW92" s="84" t="n">
        <v>169</v>
      </c>
      <c r="CX92" s="84" t="n">
        <v>0</v>
      </c>
      <c r="CY92" s="84" t="n">
        <v>0</v>
      </c>
      <c r="CZ92" s="84" t="n">
        <v>75118</v>
      </c>
    </row>
    <row r="93" ht="12.5" customHeight="1" s="213">
      <c r="A93" s="14" t="n">
        <v>2019</v>
      </c>
      <c r="B93" s="14" t="inlineStr">
        <is>
          <t>FLO_BND</t>
        </is>
      </c>
      <c r="C93" s="94" t="inlineStr">
        <is>
          <t>UP</t>
        </is>
      </c>
      <c r="D93" s="94" t="inlineStr">
        <is>
          <t>MINBatMaterials_COP</t>
        </is>
      </c>
      <c r="E93" s="14" t="inlineStr">
        <is>
          <t>m_copper</t>
        </is>
      </c>
      <c r="F93" s="14">
        <f>BR93*1</f>
        <v/>
      </c>
      <c r="G93" s="14">
        <f>BS93*1</f>
        <v/>
      </c>
      <c r="H93" s="14">
        <f>BT93*1</f>
        <v/>
      </c>
      <c r="I93" s="14">
        <f>BU93*1</f>
        <v/>
      </c>
      <c r="J93" s="14">
        <f>BV93*1</f>
        <v/>
      </c>
      <c r="K93" s="14">
        <f>BW93*1</f>
        <v/>
      </c>
      <c r="L93" s="14">
        <f>BX93*1</f>
        <v/>
      </c>
      <c r="M93" s="14">
        <f>BY93*1</f>
        <v/>
      </c>
      <c r="N93" s="14">
        <f>BZ93*1</f>
        <v/>
      </c>
      <c r="O93" s="14">
        <f>CA93*1</f>
        <v/>
      </c>
      <c r="P93" s="14">
        <f>CB93*1</f>
        <v/>
      </c>
      <c r="Q93" s="14">
        <f>CC93*1</f>
        <v/>
      </c>
      <c r="R93" s="14">
        <f>CD93*1</f>
        <v/>
      </c>
      <c r="S93" s="14">
        <f>CE93*1</f>
        <v/>
      </c>
      <c r="T93" s="14">
        <f>CF93*1</f>
        <v/>
      </c>
      <c r="U93" s="14">
        <f>CG93*1</f>
        <v/>
      </c>
      <c r="V93" s="14">
        <f>CH93*1</f>
        <v/>
      </c>
      <c r="W93" s="14">
        <f>CI93*1</f>
        <v/>
      </c>
      <c r="X93" s="14">
        <f>CJ93*1</f>
        <v/>
      </c>
      <c r="Y93" s="14">
        <f>CK93*1</f>
        <v/>
      </c>
      <c r="Z93" s="14">
        <f>CL93*1</f>
        <v/>
      </c>
      <c r="AA93" s="14">
        <f>CM93*1</f>
        <v/>
      </c>
      <c r="AB93" s="14">
        <f>CN93*1</f>
        <v/>
      </c>
      <c r="AC93" s="14">
        <f>CO93*1</f>
        <v/>
      </c>
      <c r="AD93" s="14">
        <f>CP93*1</f>
        <v/>
      </c>
      <c r="AE93" s="14">
        <f>CQ93*1</f>
        <v/>
      </c>
      <c r="AF93" s="14">
        <f>CR93*1</f>
        <v/>
      </c>
      <c r="AG93" s="14">
        <f>CS93*1</f>
        <v/>
      </c>
      <c r="AH93" s="14">
        <f>CT93*1</f>
        <v/>
      </c>
      <c r="AI93" s="14">
        <f>CU93*1</f>
        <v/>
      </c>
      <c r="AJ93" s="14">
        <f>CV93*1</f>
        <v/>
      </c>
      <c r="AK93" s="14">
        <f>CW93*1</f>
        <v/>
      </c>
      <c r="AL93" s="14">
        <f>CX93*1</f>
        <v/>
      </c>
      <c r="AM93" s="14">
        <f>CY93*1</f>
        <v/>
      </c>
      <c r="AN93" s="14" t="n">
        <v>0</v>
      </c>
      <c r="AO93" s="14" t="inlineStr">
        <is>
          <t>m_copper</t>
        </is>
      </c>
      <c r="AW93" s="120" t="inlineStr">
        <is>
          <t>BNL</t>
        </is>
      </c>
      <c r="AX93" s="121" t="inlineStr">
        <is>
          <t>—</t>
        </is>
      </c>
      <c r="AY93" s="121" t="inlineStr">
        <is>
          <t>—</t>
        </is>
      </c>
      <c r="AZ93" s="121" t="inlineStr">
        <is>
          <t>—</t>
        </is>
      </c>
      <c r="BA93" s="121" t="inlineStr">
        <is>
          <t>—</t>
        </is>
      </c>
      <c r="BB93" s="121" t="inlineStr">
        <is>
          <t>—</t>
        </is>
      </c>
      <c r="BC93" s="121" t="inlineStr">
        <is>
          <t>—</t>
        </is>
      </c>
      <c r="BD93" s="121" t="inlineStr">
        <is>
          <t>—</t>
        </is>
      </c>
      <c r="BH93" s="119" t="inlineStr">
        <is>
          <t>BeNeLux</t>
        </is>
      </c>
      <c r="BI93" s="122" t="n">
        <v>0</v>
      </c>
      <c r="BJ93" s="122" t="n">
        <v>0</v>
      </c>
      <c r="BK93" s="122" t="n">
        <v>0</v>
      </c>
      <c r="BL93" s="122" t="n">
        <v>0</v>
      </c>
      <c r="BM93" s="123">
        <f>Attached_sourcedAlumina_and!P17</f>
        <v/>
      </c>
      <c r="BN93" s="122" t="n">
        <v>0</v>
      </c>
      <c r="BO93" s="122" t="n">
        <v>0</v>
      </c>
      <c r="BQ93" s="118" t="inlineStr">
        <is>
          <t>Cu</t>
        </is>
      </c>
      <c r="BR93" s="238" t="n">
        <v>0</v>
      </c>
      <c r="BS93" s="238" t="n">
        <v>3980</v>
      </c>
      <c r="BT93" s="238" t="n">
        <v>800</v>
      </c>
      <c r="BU93" s="238" t="n">
        <v>0</v>
      </c>
      <c r="BV93" s="238" t="n">
        <v>0</v>
      </c>
      <c r="BW93" s="238" t="n">
        <v>0</v>
      </c>
      <c r="BX93" s="238" t="n">
        <v>0</v>
      </c>
      <c r="BY93" s="238" t="n">
        <v>1800</v>
      </c>
      <c r="BZ93" s="238" t="n">
        <v>0</v>
      </c>
      <c r="CA93" s="238" t="n">
        <v>0</v>
      </c>
      <c r="CB93" s="238" t="n">
        <v>0</v>
      </c>
      <c r="CC93" s="238" t="n">
        <v>0</v>
      </c>
      <c r="CD93" s="238" t="n">
        <v>0</v>
      </c>
      <c r="CE93" s="238" t="n">
        <v>0</v>
      </c>
      <c r="CF93" s="238" t="n">
        <v>0</v>
      </c>
      <c r="CG93" s="238" t="n">
        <v>30</v>
      </c>
      <c r="CH93" s="238" t="n">
        <v>0</v>
      </c>
      <c r="CI93" s="238" t="n">
        <v>0</v>
      </c>
      <c r="CJ93" s="238" t="n">
        <v>0</v>
      </c>
      <c r="CK93" s="238" t="n">
        <v>7900</v>
      </c>
      <c r="CL93" s="238" t="n">
        <v>0</v>
      </c>
      <c r="CM93" s="238" t="n">
        <v>2250</v>
      </c>
      <c r="CN93" s="238" t="n">
        <v>0</v>
      </c>
      <c r="CO93" s="238" t="n">
        <v>410</v>
      </c>
      <c r="CP93" s="238" t="n">
        <v>4700</v>
      </c>
      <c r="CQ93" s="238" t="n">
        <v>930</v>
      </c>
      <c r="CR93" s="238" t="n">
        <v>0</v>
      </c>
      <c r="CS93" s="238" t="n">
        <v>0</v>
      </c>
      <c r="CT93" s="238" t="n">
        <v>0</v>
      </c>
      <c r="CU93" s="238" t="n">
        <v>0</v>
      </c>
      <c r="CV93" s="238" t="n">
        <v>0</v>
      </c>
      <c r="CW93" s="238" t="n">
        <v>0</v>
      </c>
      <c r="CX93" s="238" t="n">
        <v>0</v>
      </c>
      <c r="CY93" s="238" t="n">
        <v>0</v>
      </c>
      <c r="CZ93" s="239" t="n">
        <v>22000</v>
      </c>
    </row>
    <row r="94" ht="12.5" customHeight="1" s="213">
      <c r="A94" s="14" t="n">
        <v>2019</v>
      </c>
      <c r="B94" s="14" t="inlineStr">
        <is>
          <t>FLO_BND</t>
        </is>
      </c>
      <c r="C94" s="94" t="inlineStr">
        <is>
          <t>UP</t>
        </is>
      </c>
      <c r="D94" s="94" t="inlineStr">
        <is>
          <t>MINBatMaterials_GR</t>
        </is>
      </c>
      <c r="E94" s="14" t="inlineStr">
        <is>
          <t>m_graphite</t>
        </is>
      </c>
      <c r="F94" s="14">
        <f>BR94*1</f>
        <v/>
      </c>
      <c r="G94" s="14">
        <f>BS94*1</f>
        <v/>
      </c>
      <c r="H94" s="14">
        <f>BT94*1</f>
        <v/>
      </c>
      <c r="I94" s="14">
        <f>BU94*1</f>
        <v/>
      </c>
      <c r="J94" s="14">
        <f>BV94*1</f>
        <v/>
      </c>
      <c r="K94" s="14">
        <f>BW94*1</f>
        <v/>
      </c>
      <c r="L94" s="14">
        <f>BX94*1</f>
        <v/>
      </c>
      <c r="M94" s="14">
        <f>BY94*1</f>
        <v/>
      </c>
      <c r="N94" s="14">
        <f>BZ94*1</f>
        <v/>
      </c>
      <c r="O94" s="14">
        <f>CA94*1</f>
        <v/>
      </c>
      <c r="P94" s="14">
        <f>CB94*1</f>
        <v/>
      </c>
      <c r="Q94" s="14">
        <f>CC94*1</f>
        <v/>
      </c>
      <c r="R94" s="14">
        <f>CD94*1</f>
        <v/>
      </c>
      <c r="S94" s="14">
        <f>CE94*1</f>
        <v/>
      </c>
      <c r="T94" s="14">
        <f>CF94*1</f>
        <v/>
      </c>
      <c r="U94" s="14">
        <f>CG94*1</f>
        <v/>
      </c>
      <c r="V94" s="14">
        <f>CH94*1</f>
        <v/>
      </c>
      <c r="W94" s="14">
        <f>CI94*1</f>
        <v/>
      </c>
      <c r="X94" s="14">
        <f>CJ94*1</f>
        <v/>
      </c>
      <c r="Y94" s="14">
        <f>CK94*1</f>
        <v/>
      </c>
      <c r="Z94" s="14">
        <f>CL94*1</f>
        <v/>
      </c>
      <c r="AA94" s="14">
        <f>CM94*1</f>
        <v/>
      </c>
      <c r="AB94" s="14">
        <f>CN94*1</f>
        <v/>
      </c>
      <c r="AC94" s="14">
        <f>CO94*1</f>
        <v/>
      </c>
      <c r="AD94" s="14">
        <f>CP94*1</f>
        <v/>
      </c>
      <c r="AE94" s="14">
        <f>CQ94*1</f>
        <v/>
      </c>
      <c r="AF94" s="14">
        <f>CR94*1</f>
        <v/>
      </c>
      <c r="AG94" s="14">
        <f>CS94*1</f>
        <v/>
      </c>
      <c r="AH94" s="14">
        <f>CT94*1</f>
        <v/>
      </c>
      <c r="AI94" s="14">
        <f>CU94*1</f>
        <v/>
      </c>
      <c r="AJ94" s="14">
        <f>CV94*1</f>
        <v/>
      </c>
      <c r="AK94" s="14">
        <f>CW94*1</f>
        <v/>
      </c>
      <c r="AL94" s="14">
        <f>CX94*1</f>
        <v/>
      </c>
      <c r="AM94" s="14">
        <f>CY94*1</f>
        <v/>
      </c>
      <c r="AN94" s="14" t="n">
        <v>0</v>
      </c>
      <c r="AO94" s="14" t="inlineStr">
        <is>
          <t>m_graphite</t>
        </is>
      </c>
      <c r="AW94" s="120" t="inlineStr">
        <is>
          <t>BRA</t>
        </is>
      </c>
      <c r="AX94" s="126" t="n">
        <v>10</v>
      </c>
      <c r="AY94" s="121" t="inlineStr">
        <is>
          <t>—</t>
        </is>
      </c>
      <c r="AZ94" s="126" t="n">
        <v>77</v>
      </c>
      <c r="BA94" s="126" t="n">
        <v>590</v>
      </c>
      <c r="BB94" s="121" t="inlineStr">
        <is>
          <t>—</t>
        </is>
      </c>
      <c r="BC94" s="127" t="n">
        <v>1100</v>
      </c>
      <c r="BD94" s="126" t="n">
        <v>68</v>
      </c>
      <c r="BH94" s="119" t="inlineStr">
        <is>
          <t>Brazil</t>
        </is>
      </c>
      <c r="BI94" s="122" t="n">
        <v>10</v>
      </c>
      <c r="BJ94" s="122" t="n">
        <v>77</v>
      </c>
      <c r="BK94" s="122" t="n">
        <v>0</v>
      </c>
      <c r="BL94" s="122" t="n">
        <v>590</v>
      </c>
      <c r="BM94" s="123">
        <f>Attached_sourcedAlumina_and!P18</f>
        <v/>
      </c>
      <c r="BN94" s="122" t="n">
        <v>0</v>
      </c>
      <c r="BO94" s="122" t="n">
        <v>68</v>
      </c>
      <c r="BQ94" s="118" t="inlineStr">
        <is>
          <t>Graphite</t>
        </is>
      </c>
      <c r="BR94" s="238" t="n">
        <v>0</v>
      </c>
      <c r="BS94" s="238" t="n">
        <v>189</v>
      </c>
      <c r="BT94" s="238" t="n">
        <v>0</v>
      </c>
      <c r="BU94" s="238" t="n">
        <v>0.5</v>
      </c>
      <c r="BV94" s="238" t="n">
        <v>0</v>
      </c>
      <c r="BW94" s="238" t="n">
        <v>0</v>
      </c>
      <c r="BX94" s="238" t="n">
        <v>68</v>
      </c>
      <c r="BY94" s="238" t="n">
        <v>1270</v>
      </c>
      <c r="BZ94" s="238" t="n">
        <v>0</v>
      </c>
      <c r="CA94" s="238" t="n">
        <v>0</v>
      </c>
      <c r="CB94" s="238" t="n">
        <v>0</v>
      </c>
      <c r="CC94" s="238" t="n">
        <v>0.2</v>
      </c>
      <c r="CD94" s="238" t="n">
        <v>0</v>
      </c>
      <c r="CE94" s="238" t="n">
        <v>0</v>
      </c>
      <c r="CF94" s="238" t="n">
        <v>0</v>
      </c>
      <c r="CG94" s="238" t="n">
        <v>28</v>
      </c>
      <c r="CH94" s="238" t="n">
        <v>0</v>
      </c>
      <c r="CI94" s="238" t="n">
        <v>0</v>
      </c>
      <c r="CJ94" s="238" t="n">
        <v>0</v>
      </c>
      <c r="CK94" s="238" t="n">
        <v>0</v>
      </c>
      <c r="CL94" s="238" t="n">
        <v>0</v>
      </c>
      <c r="CM94" s="238" t="n">
        <v>20.9</v>
      </c>
      <c r="CN94" s="238" t="n">
        <v>7</v>
      </c>
      <c r="CO94" s="238" t="n">
        <v>0</v>
      </c>
      <c r="CP94" s="238" t="n">
        <v>22.9</v>
      </c>
      <c r="CQ94" s="238" t="n">
        <v>20</v>
      </c>
      <c r="CR94" s="238" t="n">
        <v>0</v>
      </c>
      <c r="CS94" s="238" t="n">
        <v>0</v>
      </c>
      <c r="CT94" s="238" t="n">
        <v>0</v>
      </c>
      <c r="CU94" s="238" t="n">
        <v>0</v>
      </c>
      <c r="CV94" s="238" t="n">
        <v>0</v>
      </c>
      <c r="CW94" s="238" t="n">
        <v>3</v>
      </c>
      <c r="CX94" s="238" t="n">
        <v>0</v>
      </c>
      <c r="CY94" s="238" t="n">
        <v>1.2</v>
      </c>
      <c r="CZ94" s="239" t="n">
        <v>1631</v>
      </c>
    </row>
    <row r="95" ht="14.5" customHeight="1" s="213">
      <c r="A95" s="14">
        <f>A94</f>
        <v/>
      </c>
      <c r="B95" s="14">
        <f>B94</f>
        <v/>
      </c>
      <c r="C95" s="14">
        <f>C94</f>
        <v/>
      </c>
      <c r="D95" s="129" t="inlineStr">
        <is>
          <t>MINBatMaterials_COB_byCop</t>
        </is>
      </c>
      <c r="E95" s="14" t="n"/>
      <c r="F95" s="94" t="n">
        <v>0</v>
      </c>
      <c r="G95" s="14" t="n">
        <v>0</v>
      </c>
      <c r="H95" s="94" t="n">
        <v>0</v>
      </c>
      <c r="I95" s="14" t="n">
        <v>0</v>
      </c>
      <c r="J95" s="94" t="n">
        <v>0</v>
      </c>
      <c r="K95" s="14" t="n">
        <v>0</v>
      </c>
      <c r="L95" s="94" t="n">
        <v>0</v>
      </c>
      <c r="M95" s="14" t="n">
        <v>0</v>
      </c>
      <c r="N95" s="94" t="n">
        <v>0</v>
      </c>
      <c r="O95" s="14" t="n">
        <v>0</v>
      </c>
      <c r="P95" s="94" t="n">
        <v>0</v>
      </c>
      <c r="Q95" s="14" t="n">
        <v>0</v>
      </c>
      <c r="R95" s="94" t="n">
        <v>0</v>
      </c>
      <c r="S95" s="14" t="n">
        <v>0</v>
      </c>
      <c r="T95" s="94" t="n">
        <v>0</v>
      </c>
      <c r="U95" s="14" t="n">
        <v>0</v>
      </c>
      <c r="V95" s="94" t="n">
        <v>0</v>
      </c>
      <c r="W95" s="14" t="n">
        <v>0</v>
      </c>
      <c r="X95" s="94" t="n">
        <v>0</v>
      </c>
      <c r="Y95" s="14" t="n">
        <v>0</v>
      </c>
      <c r="Z95" s="94" t="n">
        <v>0</v>
      </c>
      <c r="AA95" s="14" t="n">
        <v>0</v>
      </c>
      <c r="AB95" s="94" t="n">
        <v>0</v>
      </c>
      <c r="AC95" s="14" t="n">
        <v>0</v>
      </c>
      <c r="AD95" s="94" t="n">
        <v>0</v>
      </c>
      <c r="AE95" s="14" t="n">
        <v>0</v>
      </c>
      <c r="AF95" s="94" t="n">
        <v>0</v>
      </c>
      <c r="AG95" s="14" t="n">
        <v>0</v>
      </c>
      <c r="AH95" s="94" t="n">
        <v>0</v>
      </c>
      <c r="AI95" s="14" t="n">
        <v>0</v>
      </c>
      <c r="AJ95" s="94" t="n">
        <v>0</v>
      </c>
      <c r="AK95" s="14" t="n">
        <v>0</v>
      </c>
      <c r="AL95" s="94" t="n">
        <v>0</v>
      </c>
      <c r="AM95" s="14" t="n">
        <v>0</v>
      </c>
      <c r="AN95" s="94" t="n">
        <v>0</v>
      </c>
      <c r="AO95" s="14" t="n"/>
      <c r="AW95" s="120" t="inlineStr">
        <is>
          <t>CHN</t>
        </is>
      </c>
      <c r="AX95" s="126" t="n">
        <v>41</v>
      </c>
      <c r="AY95" s="121" t="inlineStr">
        <is>
          <t>—</t>
        </is>
      </c>
      <c r="AZ95" s="126" t="n">
        <v>120</v>
      </c>
      <c r="BA95" s="126" t="n">
        <v>770</v>
      </c>
      <c r="BB95" s="127" t="n">
        <v>1800</v>
      </c>
      <c r="BC95" s="127" t="n">
        <v>43000</v>
      </c>
      <c r="BD95" s="127" t="n">
        <v>1270</v>
      </c>
      <c r="BH95" s="119" t="inlineStr">
        <is>
          <t>China</t>
        </is>
      </c>
      <c r="BI95" s="122" t="n">
        <v>41</v>
      </c>
      <c r="BJ95" s="122" t="n">
        <v>120</v>
      </c>
      <c r="BK95" s="122" t="n">
        <v>0</v>
      </c>
      <c r="BL95" s="122" t="n">
        <v>770</v>
      </c>
      <c r="BM95" s="123">
        <f>Attached_sourcedAlumina_and!P19</f>
        <v/>
      </c>
      <c r="BN95" s="128" t="n">
        <v>1800</v>
      </c>
      <c r="BO95" s="128" t="n">
        <v>1270</v>
      </c>
    </row>
    <row r="96" ht="14.5" customHeight="1" s="213">
      <c r="A96" s="14">
        <f>A95</f>
        <v/>
      </c>
      <c r="B96" s="14">
        <f>B95</f>
        <v/>
      </c>
      <c r="C96" s="14">
        <f>C95</f>
        <v/>
      </c>
      <c r="D96" s="129" t="inlineStr">
        <is>
          <t>MINBatMaterials_COB_byNI_sulfide</t>
        </is>
      </c>
      <c r="E96" s="14" t="n"/>
      <c r="F96" s="14" t="n">
        <v>0</v>
      </c>
      <c r="G96" s="14" t="n">
        <v>0</v>
      </c>
      <c r="H96" s="14" t="n">
        <v>0</v>
      </c>
      <c r="I96" s="14" t="n">
        <v>0</v>
      </c>
      <c r="J96" s="14" t="n">
        <v>0</v>
      </c>
      <c r="K96" s="14" t="n">
        <v>0</v>
      </c>
      <c r="L96" s="14" t="n">
        <v>0</v>
      </c>
      <c r="M96" s="14" t="n">
        <v>0</v>
      </c>
      <c r="N96" s="14" t="n">
        <v>0</v>
      </c>
      <c r="O96" s="14" t="n">
        <v>0</v>
      </c>
      <c r="P96" s="14" t="n">
        <v>0</v>
      </c>
      <c r="Q96" s="14" t="n">
        <v>0</v>
      </c>
      <c r="R96" s="14" t="n">
        <v>0</v>
      </c>
      <c r="S96" s="14" t="n">
        <v>0</v>
      </c>
      <c r="T96" s="14" t="n">
        <v>0</v>
      </c>
      <c r="U96" s="14" t="n">
        <v>0</v>
      </c>
      <c r="V96" s="14" t="n">
        <v>0</v>
      </c>
      <c r="W96" s="14" t="n">
        <v>0</v>
      </c>
      <c r="X96" s="14" t="n">
        <v>0</v>
      </c>
      <c r="Y96" s="14" t="n">
        <v>0</v>
      </c>
      <c r="Z96" s="14" t="n">
        <v>0</v>
      </c>
      <c r="AA96" s="14" t="n">
        <v>0</v>
      </c>
      <c r="AB96" s="14" t="n">
        <v>0</v>
      </c>
      <c r="AC96" s="14" t="n">
        <v>0</v>
      </c>
      <c r="AD96" s="14" t="n">
        <v>0</v>
      </c>
      <c r="AE96" s="14" t="n">
        <v>0</v>
      </c>
      <c r="AF96" s="14" t="n">
        <v>0</v>
      </c>
      <c r="AG96" s="14" t="n">
        <v>0</v>
      </c>
      <c r="AH96" s="14" t="n">
        <v>0</v>
      </c>
      <c r="AI96" s="14" t="n">
        <v>0</v>
      </c>
      <c r="AJ96" s="14" t="n">
        <v>0</v>
      </c>
      <c r="AK96" s="14" t="n">
        <v>0</v>
      </c>
      <c r="AL96" s="14" t="n">
        <v>0</v>
      </c>
      <c r="AM96" s="14" t="n">
        <v>0</v>
      </c>
      <c r="AN96" s="14" t="n">
        <v>0</v>
      </c>
      <c r="AO96" s="14" t="n"/>
      <c r="AW96" s="120" t="inlineStr">
        <is>
          <t>CRS</t>
        </is>
      </c>
      <c r="AX96" s="121" t="inlineStr">
        <is>
          <t>—</t>
        </is>
      </c>
      <c r="AY96" s="121" t="inlineStr">
        <is>
          <t>—</t>
        </is>
      </c>
      <c r="AZ96" s="121" t="inlineStr">
        <is>
          <t>—</t>
        </is>
      </c>
      <c r="BA96" s="121" t="inlineStr">
        <is>
          <t>—</t>
        </is>
      </c>
      <c r="BB96" s="121" t="inlineStr">
        <is>
          <t>—</t>
        </is>
      </c>
      <c r="BC96" s="121" t="inlineStr">
        <is>
          <t>—</t>
        </is>
      </c>
      <c r="BD96" s="121" t="inlineStr">
        <is>
          <t>—</t>
        </is>
      </c>
      <c r="BH96" s="119" t="inlineStr">
        <is>
          <t>CroSloven</t>
        </is>
      </c>
      <c r="BI96" s="122" t="n">
        <v>0</v>
      </c>
      <c r="BJ96" s="122" t="n">
        <v>0</v>
      </c>
      <c r="BK96" s="122" t="n">
        <v>0</v>
      </c>
      <c r="BL96" s="122" t="n">
        <v>0</v>
      </c>
      <c r="BM96" s="123">
        <f>Attached_sourcedAlumina_and!P20</f>
        <v/>
      </c>
      <c r="BN96" s="122" t="n">
        <v>0</v>
      </c>
      <c r="BO96" s="122" t="n">
        <v>0</v>
      </c>
    </row>
    <row r="97" ht="14.5" customHeight="1" s="213">
      <c r="A97" s="14">
        <f>A96</f>
        <v/>
      </c>
      <c r="B97" s="14">
        <f>B96</f>
        <v/>
      </c>
      <c r="C97" s="14">
        <f>C96</f>
        <v/>
      </c>
      <c r="D97" s="129" t="inlineStr">
        <is>
          <t>MINBatMaterials_COB_byNI_HPAL</t>
        </is>
      </c>
      <c r="E97" s="14" t="n"/>
      <c r="F97" s="94" t="n">
        <v>0</v>
      </c>
      <c r="G97" s="14" t="n">
        <v>0</v>
      </c>
      <c r="H97" s="94" t="n">
        <v>0</v>
      </c>
      <c r="I97" s="14" t="n">
        <v>0</v>
      </c>
      <c r="J97" s="94" t="n">
        <v>0</v>
      </c>
      <c r="K97" s="14" t="n">
        <v>0</v>
      </c>
      <c r="L97" s="94" t="n">
        <v>0</v>
      </c>
      <c r="M97" s="14" t="n">
        <v>0</v>
      </c>
      <c r="N97" s="94" t="n">
        <v>0</v>
      </c>
      <c r="O97" s="14" t="n">
        <v>0</v>
      </c>
      <c r="P97" s="94" t="n">
        <v>0</v>
      </c>
      <c r="Q97" s="14" t="n">
        <v>0</v>
      </c>
      <c r="R97" s="94" t="n">
        <v>0</v>
      </c>
      <c r="S97" s="14" t="n">
        <v>0</v>
      </c>
      <c r="T97" s="94" t="n">
        <v>0</v>
      </c>
      <c r="U97" s="14" t="n">
        <v>0</v>
      </c>
      <c r="V97" s="94" t="n">
        <v>0</v>
      </c>
      <c r="W97" s="14" t="n">
        <v>0</v>
      </c>
      <c r="X97" s="94" t="n">
        <v>0</v>
      </c>
      <c r="Y97" s="14" t="n">
        <v>0</v>
      </c>
      <c r="Z97" s="94" t="n">
        <v>0</v>
      </c>
      <c r="AA97" s="14" t="n">
        <v>0</v>
      </c>
      <c r="AB97" s="94" t="n">
        <v>0</v>
      </c>
      <c r="AC97" s="14" t="n">
        <v>0</v>
      </c>
      <c r="AD97" s="94" t="n">
        <v>0</v>
      </c>
      <c r="AE97" s="14" t="n">
        <v>0</v>
      </c>
      <c r="AF97" s="94" t="n">
        <v>0</v>
      </c>
      <c r="AG97" s="14" t="n">
        <v>0</v>
      </c>
      <c r="AH97" s="94" t="n">
        <v>0</v>
      </c>
      <c r="AI97" s="14" t="n">
        <v>0</v>
      </c>
      <c r="AJ97" s="94" t="n">
        <v>0</v>
      </c>
      <c r="AK97" s="14" t="n">
        <v>0</v>
      </c>
      <c r="AL97" s="94" t="n">
        <v>0</v>
      </c>
      <c r="AM97" s="14" t="n">
        <v>0</v>
      </c>
      <c r="AN97" s="94" t="n">
        <v>0</v>
      </c>
      <c r="AO97" s="14" t="n"/>
      <c r="AW97" s="120" t="inlineStr">
        <is>
          <t>CZS</t>
        </is>
      </c>
      <c r="AX97" s="121" t="inlineStr">
        <is>
          <t>—</t>
        </is>
      </c>
      <c r="AY97" s="121" t="inlineStr">
        <is>
          <t>—</t>
        </is>
      </c>
      <c r="AZ97" s="121" t="inlineStr">
        <is>
          <t>—</t>
        </is>
      </c>
      <c r="BA97" s="121" t="inlineStr">
        <is>
          <t>—</t>
        </is>
      </c>
      <c r="BB97" s="121" t="inlineStr">
        <is>
          <t>—</t>
        </is>
      </c>
      <c r="BC97" s="121" t="inlineStr">
        <is>
          <t>—</t>
        </is>
      </c>
      <c r="BD97" s="121" t="inlineStr">
        <is>
          <t>—</t>
        </is>
      </c>
      <c r="BH97" s="119" t="inlineStr">
        <is>
          <t>CzechSlovak</t>
        </is>
      </c>
      <c r="BI97" s="122" t="n">
        <v>0</v>
      </c>
      <c r="BJ97" s="122" t="n">
        <v>0</v>
      </c>
      <c r="BK97" s="122" t="n">
        <v>0</v>
      </c>
      <c r="BL97" s="122" t="n">
        <v>0</v>
      </c>
      <c r="BM97" s="123">
        <f>Attached_sourcedAlumina_and!P21</f>
        <v/>
      </c>
      <c r="BN97" s="122" t="n">
        <v>0</v>
      </c>
      <c r="BO97" s="122" t="n">
        <v>0</v>
      </c>
    </row>
    <row r="98" ht="12.5" customHeight="1" s="213">
      <c r="C98" s="141" t="n"/>
      <c r="D98" s="141" t="n"/>
      <c r="H98" s="141" t="n"/>
      <c r="I98" s="141" t="n"/>
      <c r="J98" s="141" t="n"/>
      <c r="K98" s="141" t="n"/>
      <c r="L98" s="141" t="n"/>
      <c r="AW98" s="120" t="inlineStr">
        <is>
          <t>FRA</t>
        </is>
      </c>
      <c r="AX98" s="121" t="inlineStr">
        <is>
          <t>—</t>
        </is>
      </c>
      <c r="AY98" s="121" t="inlineStr">
        <is>
          <t>—</t>
        </is>
      </c>
      <c r="AZ98" s="121" t="inlineStr">
        <is>
          <t>—</t>
        </is>
      </c>
      <c r="BA98" s="121" t="inlineStr">
        <is>
          <t>—</t>
        </is>
      </c>
      <c r="BB98" s="121" t="inlineStr">
        <is>
          <t>—</t>
        </is>
      </c>
      <c r="BC98" s="121" t="inlineStr">
        <is>
          <t>—</t>
        </is>
      </c>
      <c r="BD98" s="121" t="inlineStr">
        <is>
          <t>—</t>
        </is>
      </c>
      <c r="BH98" s="119" t="inlineStr">
        <is>
          <t>France</t>
        </is>
      </c>
      <c r="BI98" s="122" t="n">
        <v>0</v>
      </c>
      <c r="BJ98" s="122" t="n">
        <v>0</v>
      </c>
      <c r="BK98" s="122" t="n">
        <v>0</v>
      </c>
      <c r="BL98" s="122" t="n">
        <v>0</v>
      </c>
      <c r="BM98" s="123">
        <f>Attached_sourcedAlumina_and!P22</f>
        <v/>
      </c>
      <c r="BN98" s="122" t="n">
        <v>0</v>
      </c>
      <c r="BO98" s="122" t="n">
        <v>0</v>
      </c>
    </row>
    <row r="99" ht="12.5" customHeight="1" s="213">
      <c r="C99" s="141" t="n"/>
      <c r="F99" s="141" t="n"/>
      <c r="AW99" s="120" t="inlineStr">
        <is>
          <t>DEU</t>
        </is>
      </c>
      <c r="AX99" s="121" t="inlineStr">
        <is>
          <t>—</t>
        </is>
      </c>
      <c r="AY99" s="121" t="inlineStr">
        <is>
          <t>—</t>
        </is>
      </c>
      <c r="AZ99" s="121" t="inlineStr">
        <is>
          <t>—</t>
        </is>
      </c>
      <c r="BA99" s="121" t="inlineStr">
        <is>
          <t>—</t>
        </is>
      </c>
      <c r="BB99" s="121" t="inlineStr">
        <is>
          <t>—</t>
        </is>
      </c>
      <c r="BC99" s="121" t="inlineStr">
        <is>
          <t>—</t>
        </is>
      </c>
      <c r="BD99" s="126" t="n">
        <v>0.2</v>
      </c>
      <c r="BH99" s="119" t="inlineStr">
        <is>
          <t>Germany</t>
        </is>
      </c>
      <c r="BI99" s="122" t="n">
        <v>0</v>
      </c>
      <c r="BJ99" s="122" t="n">
        <v>0</v>
      </c>
      <c r="BK99" s="122" t="n">
        <v>0</v>
      </c>
      <c r="BL99" s="122" t="n">
        <v>0</v>
      </c>
      <c r="BM99" s="123">
        <f>Attached_sourcedAlumina_and!P23</f>
        <v/>
      </c>
      <c r="BN99" s="122" t="n">
        <v>0</v>
      </c>
      <c r="BO99" s="122" t="n">
        <v>0.2</v>
      </c>
    </row>
    <row r="100" ht="12.5" customHeight="1" s="213">
      <c r="C100" s="141" t="n"/>
      <c r="D100" s="141" t="n"/>
      <c r="AW100" s="120" t="inlineStr">
        <is>
          <t>GRC</t>
        </is>
      </c>
      <c r="AX100" s="121" t="inlineStr">
        <is>
          <t>—</t>
        </is>
      </c>
      <c r="AY100" s="121" t="inlineStr">
        <is>
          <t>—</t>
        </is>
      </c>
      <c r="AZ100" s="121" t="inlineStr">
        <is>
          <t>—</t>
        </is>
      </c>
      <c r="BA100" s="121" t="inlineStr">
        <is>
          <t>—</t>
        </is>
      </c>
      <c r="BB100" s="121" t="inlineStr">
        <is>
          <t>—</t>
        </is>
      </c>
      <c r="BC100" s="121" t="inlineStr">
        <is>
          <t>—</t>
        </is>
      </c>
      <c r="BD100" s="121" t="inlineStr">
        <is>
          <t>—</t>
        </is>
      </c>
      <c r="BH100" s="119" t="inlineStr">
        <is>
          <t>GreeceCyp</t>
        </is>
      </c>
      <c r="BI100" s="122" t="n">
        <v>0</v>
      </c>
      <c r="BJ100" s="122" t="n">
        <v>0</v>
      </c>
      <c r="BK100" s="122" t="n">
        <v>0</v>
      </c>
      <c r="BL100" s="122" t="n">
        <v>0</v>
      </c>
      <c r="BM100" s="123">
        <f>Attached_sourcedAlumina_and!P24</f>
        <v/>
      </c>
      <c r="BN100" s="122" t="n">
        <v>0</v>
      </c>
      <c r="BO100" s="122" t="n">
        <v>0</v>
      </c>
    </row>
    <row r="101" ht="12.5" customHeight="1" s="213">
      <c r="C101" s="141" t="n"/>
      <c r="D101" s="130" t="n"/>
      <c r="E101" s="130" t="n"/>
      <c r="F101" s="130" t="n"/>
      <c r="G101" s="130" t="n"/>
      <c r="AW101" s="120" t="inlineStr">
        <is>
          <t>HRB</t>
        </is>
      </c>
      <c r="AX101" s="121" t="inlineStr">
        <is>
          <t>—</t>
        </is>
      </c>
      <c r="AY101" s="121" t="inlineStr">
        <is>
          <t>—</t>
        </is>
      </c>
      <c r="AZ101" s="121" t="inlineStr">
        <is>
          <t>—</t>
        </is>
      </c>
      <c r="BA101" s="121" t="inlineStr">
        <is>
          <t>—</t>
        </is>
      </c>
      <c r="BB101" s="121" t="inlineStr">
        <is>
          <t>—</t>
        </is>
      </c>
      <c r="BC101" s="121" t="inlineStr">
        <is>
          <t>—</t>
        </is>
      </c>
      <c r="BD101" s="121" t="inlineStr">
        <is>
          <t>—</t>
        </is>
      </c>
      <c r="BH101" s="119" t="inlineStr">
        <is>
          <t>HunRomBul</t>
        </is>
      </c>
      <c r="BI101" s="122" t="n">
        <v>0</v>
      </c>
      <c r="BJ101" s="122" t="n">
        <v>0</v>
      </c>
      <c r="BK101" s="122" t="n">
        <v>0</v>
      </c>
      <c r="BL101" s="122" t="n">
        <v>0</v>
      </c>
      <c r="BM101" s="123">
        <f>Attached_sourcedAlumina_and!P25</f>
        <v/>
      </c>
      <c r="BN101" s="122" t="n">
        <v>0</v>
      </c>
      <c r="BO101" s="122" t="n">
        <v>0</v>
      </c>
    </row>
    <row r="102" ht="12.5" customHeight="1" s="213">
      <c r="C102" s="141" t="n"/>
      <c r="D102" t="inlineStr">
        <is>
          <t>~TFM_INS</t>
        </is>
      </c>
      <c r="M102" s="132" t="n"/>
      <c r="N102" s="132" t="n"/>
      <c r="O102" s="132" t="inlineStr">
        <is>
          <t>~TFM_INS</t>
        </is>
      </c>
      <c r="P102" s="132" t="n"/>
      <c r="Q102" s="132" t="n"/>
      <c r="R102" s="132" t="n"/>
      <c r="AW102" s="120" t="inlineStr">
        <is>
          <t>ISL</t>
        </is>
      </c>
      <c r="AX102" s="121" t="inlineStr">
        <is>
          <t>—</t>
        </is>
      </c>
      <c r="AY102" s="121" t="inlineStr">
        <is>
          <t>—</t>
        </is>
      </c>
      <c r="AZ102" s="121" t="inlineStr">
        <is>
          <t>—</t>
        </is>
      </c>
      <c r="BA102" s="121" t="inlineStr">
        <is>
          <t>—</t>
        </is>
      </c>
      <c r="BB102" s="121" t="inlineStr">
        <is>
          <t>—</t>
        </is>
      </c>
      <c r="BC102" s="126" t="n">
        <v>780</v>
      </c>
      <c r="BD102" s="121" t="inlineStr">
        <is>
          <t>—</t>
        </is>
      </c>
      <c r="BH102" s="119" t="inlineStr">
        <is>
          <t>Iceland</t>
        </is>
      </c>
      <c r="BI102" s="122" t="n">
        <v>0</v>
      </c>
      <c r="BJ102" s="122" t="n">
        <v>0</v>
      </c>
      <c r="BK102" s="122" t="n">
        <v>0</v>
      </c>
      <c r="BL102" s="122" t="n">
        <v>0</v>
      </c>
      <c r="BM102" s="123">
        <f>Attached_sourcedAlumina_and!P26</f>
        <v/>
      </c>
      <c r="BN102" s="122" t="n">
        <v>0</v>
      </c>
      <c r="BO102" s="122" t="n">
        <v>0</v>
      </c>
    </row>
    <row r="103" ht="12.5" customHeight="1" s="213">
      <c r="C103" s="141" t="inlineStr">
        <is>
          <t>attribute</t>
        </is>
      </c>
      <c r="D103" s="130" t="inlineStr">
        <is>
          <t>process</t>
        </is>
      </c>
      <c r="E103" s="130" t="inlineStr">
        <is>
          <t>AllRegions</t>
        </is>
      </c>
      <c r="F103" s="130" t="inlineStr">
        <is>
          <t>China</t>
        </is>
      </c>
      <c r="G103" s="130" t="inlineStr">
        <is>
          <t>NorthAm</t>
        </is>
      </c>
      <c r="K103" t="inlineStr">
        <is>
          <t>Korea</t>
        </is>
      </c>
      <c r="M103" s="132" t="inlineStr">
        <is>
          <t>year</t>
        </is>
      </c>
      <c r="N103" s="132" t="inlineStr">
        <is>
          <t>attribute</t>
        </is>
      </c>
      <c r="O103" s="132" t="inlineStr">
        <is>
          <t>process</t>
        </is>
      </c>
      <c r="P103" s="132" t="inlineStr">
        <is>
          <t>AllRegions</t>
        </is>
      </c>
      <c r="Q103" s="132" t="inlineStr">
        <is>
          <t>China</t>
        </is>
      </c>
      <c r="R103" s="132" t="inlineStr">
        <is>
          <t>NorthAm</t>
        </is>
      </c>
      <c r="AB103" s="141" t="n"/>
      <c r="AC103" s="141" t="n"/>
      <c r="AW103" s="120" t="inlineStr">
        <is>
          <t>IND</t>
        </is>
      </c>
      <c r="AX103" s="121" t="inlineStr">
        <is>
          <t>—</t>
        </is>
      </c>
      <c r="AY103" s="121" t="inlineStr">
        <is>
          <t>—</t>
        </is>
      </c>
      <c r="AZ103" s="121" t="inlineStr">
        <is>
          <t>—</t>
        </is>
      </c>
      <c r="BA103" s="126" t="n">
        <v>800</v>
      </c>
      <c r="BB103" s="126" t="n">
        <v>30</v>
      </c>
      <c r="BC103" s="127" t="n">
        <v>4200</v>
      </c>
      <c r="BD103" s="126" t="n">
        <v>28</v>
      </c>
      <c r="BH103" s="119" t="inlineStr">
        <is>
          <t>India</t>
        </is>
      </c>
      <c r="BI103" s="122" t="n">
        <v>0</v>
      </c>
      <c r="BJ103" s="122" t="n">
        <v>0</v>
      </c>
      <c r="BK103" s="122" t="n">
        <v>0</v>
      </c>
      <c r="BL103" s="122" t="n">
        <v>800</v>
      </c>
      <c r="BM103" s="123">
        <f>Attached_sourcedAlumina_and!P27</f>
        <v/>
      </c>
      <c r="BN103" s="122" t="n">
        <v>30</v>
      </c>
      <c r="BO103" s="122" t="n">
        <v>28</v>
      </c>
    </row>
    <row r="104" ht="12.5" customHeight="1" s="213">
      <c r="C104" s="141" t="inlineStr">
        <is>
          <t>ACT_COST</t>
        </is>
      </c>
      <c r="D104" s="130" t="inlineStr">
        <is>
          <t>PyroRecy-LFP</t>
        </is>
      </c>
      <c r="E104" s="130" t="n">
        <v>7.11384396954065</v>
      </c>
      <c r="F104" s="240" t="n">
        <v>5.40179852616065</v>
      </c>
      <c r="G104" s="240" t="n">
        <v>8.855407442888721</v>
      </c>
      <c r="K104">
        <f>E104*3-F104-G104</f>
        <v/>
      </c>
      <c r="M104" s="132" t="n">
        <v>2020</v>
      </c>
      <c r="N104" s="132" t="inlineStr">
        <is>
          <t>ACT_COST</t>
        </is>
      </c>
      <c r="O104" s="132" t="inlineStr">
        <is>
          <t>PyroRecy-LFP</t>
        </is>
      </c>
      <c r="P104" s="132">
        <f>E104</f>
        <v/>
      </c>
      <c r="Q104" s="132">
        <f>F104</f>
        <v/>
      </c>
      <c r="R104" s="132">
        <f>G104</f>
        <v/>
      </c>
      <c r="AB104" s="141" t="n"/>
      <c r="AC104" s="141" t="n"/>
      <c r="AW104" s="120" t="inlineStr">
        <is>
          <t>IRL</t>
        </is>
      </c>
      <c r="AX104" s="121" t="inlineStr">
        <is>
          <t>—</t>
        </is>
      </c>
      <c r="AY104" s="121" t="inlineStr">
        <is>
          <t>—</t>
        </is>
      </c>
      <c r="AZ104" s="121" t="inlineStr">
        <is>
          <t>—</t>
        </is>
      </c>
      <c r="BA104" s="121" t="inlineStr">
        <is>
          <t>—</t>
        </is>
      </c>
      <c r="BB104" s="121" t="inlineStr">
        <is>
          <t>—</t>
        </is>
      </c>
      <c r="BC104" s="121" t="inlineStr">
        <is>
          <t>—</t>
        </is>
      </c>
      <c r="BD104" s="121" t="inlineStr">
        <is>
          <t>—</t>
        </is>
      </c>
      <c r="BH104" s="119" t="inlineStr">
        <is>
          <t>Ireland</t>
        </is>
      </c>
      <c r="BI104" s="122" t="n">
        <v>0</v>
      </c>
      <c r="BJ104" s="122" t="n">
        <v>0</v>
      </c>
      <c r="BK104" s="122" t="n">
        <v>0</v>
      </c>
      <c r="BL104" s="122" t="n">
        <v>0</v>
      </c>
      <c r="BM104" s="123">
        <f>Attached_sourcedAlumina_and!P28</f>
        <v/>
      </c>
      <c r="BN104" s="122" t="n">
        <v>0</v>
      </c>
      <c r="BO104" s="122" t="n">
        <v>0</v>
      </c>
    </row>
    <row r="105" ht="12.5" customHeight="1" s="213">
      <c r="C105" s="141" t="inlineStr">
        <is>
          <t>ACT_COST</t>
        </is>
      </c>
      <c r="D105" s="130" t="inlineStr">
        <is>
          <t>PyroRecy-LMO</t>
        </is>
      </c>
      <c r="E105" s="130" t="n">
        <v>7.11384396954065</v>
      </c>
      <c r="F105" s="240" t="n">
        <v>5.40179852616065</v>
      </c>
      <c r="G105" s="240" t="n">
        <v>8.855407442888721</v>
      </c>
      <c r="K105">
        <f>E105*3-F105-G105</f>
        <v/>
      </c>
      <c r="M105" s="132" t="n">
        <v>2020</v>
      </c>
      <c r="N105" s="132" t="inlineStr">
        <is>
          <t>ACT_COST</t>
        </is>
      </c>
      <c r="O105" s="132" t="inlineStr">
        <is>
          <t>PyroRecy-LMO</t>
        </is>
      </c>
      <c r="P105" s="132">
        <f>E105</f>
        <v/>
      </c>
      <c r="Q105" s="132">
        <f>F105</f>
        <v/>
      </c>
      <c r="R105" s="132">
        <f>G105</f>
        <v/>
      </c>
      <c r="AB105" s="141" t="n"/>
      <c r="AC105" s="141" t="n"/>
      <c r="AW105" s="120" t="inlineStr">
        <is>
          <t>ITA</t>
        </is>
      </c>
      <c r="AX105" s="121" t="inlineStr">
        <is>
          <t>—</t>
        </is>
      </c>
      <c r="AY105" s="121" t="inlineStr">
        <is>
          <t>—</t>
        </is>
      </c>
      <c r="AZ105" s="121" t="inlineStr">
        <is>
          <t>—</t>
        </is>
      </c>
      <c r="BA105" s="121" t="inlineStr">
        <is>
          <t>—</t>
        </is>
      </c>
      <c r="BB105" s="121" t="inlineStr">
        <is>
          <t>—</t>
        </is>
      </c>
      <c r="BC105" s="121" t="inlineStr">
        <is>
          <t>—</t>
        </is>
      </c>
      <c r="BD105" s="121" t="inlineStr">
        <is>
          <t>—</t>
        </is>
      </c>
      <c r="BH105" s="119" t="inlineStr">
        <is>
          <t>ItalyMal</t>
        </is>
      </c>
      <c r="BI105" s="122" t="n">
        <v>0</v>
      </c>
      <c r="BJ105" s="122" t="n">
        <v>0</v>
      </c>
      <c r="BK105" s="122" t="n">
        <v>0</v>
      </c>
      <c r="BL105" s="122" t="n">
        <v>0</v>
      </c>
      <c r="BM105" s="123">
        <f>Attached_sourcedAlumina_and!P29</f>
        <v/>
      </c>
      <c r="BN105" s="122" t="n">
        <v>0</v>
      </c>
      <c r="BO105" s="122" t="n">
        <v>0</v>
      </c>
      <c r="CH105" s="119" t="n"/>
      <c r="CI105" s="119" t="n"/>
      <c r="CJ105" s="119" t="n"/>
      <c r="CK105" s="119" t="n"/>
      <c r="CL105" s="119" t="n"/>
      <c r="CM105" s="119" t="n"/>
      <c r="CN105" s="119" t="n"/>
      <c r="CO105" s="119" t="n"/>
      <c r="CP105" s="119" t="n"/>
      <c r="CQ105" s="119" t="n"/>
      <c r="CR105" s="119" t="n"/>
      <c r="CS105" s="119" t="n"/>
      <c r="CT105" s="119" t="n"/>
      <c r="CU105" s="119" t="n"/>
      <c r="CV105" s="119" t="n"/>
      <c r="CW105" s="119" t="n"/>
      <c r="CX105" s="119" t="n"/>
      <c r="CY105" s="119" t="n"/>
      <c r="CZ105" s="119" t="n"/>
      <c r="DA105" s="119" t="n"/>
      <c r="DB105" s="119" t="n"/>
      <c r="DC105" s="119" t="n"/>
      <c r="DD105" s="119" t="n"/>
      <c r="DE105" s="119" t="n"/>
      <c r="DF105" s="119" t="n"/>
      <c r="DG105" s="119" t="n"/>
      <c r="DH105" s="119" t="n"/>
      <c r="DI105" s="119" t="n"/>
      <c r="DJ105" s="119" t="n"/>
      <c r="DK105" s="119" t="n"/>
      <c r="DL105" s="119" t="n"/>
      <c r="DM105" s="119" t="n"/>
      <c r="DN105" s="119" t="n"/>
      <c r="DO105" s="119" t="n"/>
    </row>
    <row r="106" ht="12.5" customHeight="1" s="213">
      <c r="C106" s="141" t="inlineStr">
        <is>
          <t>ACT_COST</t>
        </is>
      </c>
      <c r="D106" s="130" t="inlineStr">
        <is>
          <t>PyroRecy-NCA</t>
        </is>
      </c>
      <c r="E106" s="130" t="n">
        <v>7.62975445836404</v>
      </c>
      <c r="F106" s="240" t="n">
        <v>5.79354797347089</v>
      </c>
      <c r="G106" s="240" t="n">
        <v>9.49761967575534</v>
      </c>
      <c r="K106">
        <f>E106*3-F106-G106</f>
        <v/>
      </c>
      <c r="M106" s="132" t="n">
        <v>2020</v>
      </c>
      <c r="N106" s="132" t="inlineStr">
        <is>
          <t>ACT_COST</t>
        </is>
      </c>
      <c r="O106" s="132" t="inlineStr">
        <is>
          <t>PyroRecy-NCA</t>
        </is>
      </c>
      <c r="P106" s="132">
        <f>E106</f>
        <v/>
      </c>
      <c r="Q106" s="132">
        <f>F106</f>
        <v/>
      </c>
      <c r="R106" s="132">
        <f>G106</f>
        <v/>
      </c>
      <c r="AB106" s="141" t="n"/>
      <c r="AC106" s="141" t="n"/>
      <c r="AW106" s="120" t="inlineStr">
        <is>
          <t>JPN</t>
        </is>
      </c>
      <c r="AX106" s="121" t="inlineStr">
        <is>
          <t>—</t>
        </is>
      </c>
      <c r="AY106" s="121" t="inlineStr">
        <is>
          <t>—</t>
        </is>
      </c>
      <c r="AZ106" s="121" t="inlineStr">
        <is>
          <t>—</t>
        </is>
      </c>
      <c r="BA106" s="121" t="inlineStr">
        <is>
          <t>—</t>
        </is>
      </c>
      <c r="BB106" s="121" t="inlineStr">
        <is>
          <t>—</t>
        </is>
      </c>
      <c r="BC106" s="121" t="inlineStr">
        <is>
          <t>—</t>
        </is>
      </c>
      <c r="BD106" s="121" t="inlineStr">
        <is>
          <t>—</t>
        </is>
      </c>
      <c r="BH106" s="119" t="inlineStr">
        <is>
          <t>Japan</t>
        </is>
      </c>
      <c r="BI106" s="122" t="n">
        <v>0</v>
      </c>
      <c r="BJ106" s="122" t="n">
        <v>0</v>
      </c>
      <c r="BK106" s="122" t="n">
        <v>0</v>
      </c>
      <c r="BL106" s="122" t="n">
        <v>0</v>
      </c>
      <c r="BM106" s="123">
        <f>Attached_sourcedAlumina_and!P30</f>
        <v/>
      </c>
      <c r="BN106" s="122" t="n">
        <v>0</v>
      </c>
      <c r="BO106" s="122" t="n">
        <v>0</v>
      </c>
    </row>
    <row r="107" ht="12.5" customHeight="1" s="213">
      <c r="C107" s="141" t="inlineStr">
        <is>
          <t>ACT_COST</t>
        </is>
      </c>
      <c r="D107" s="130" t="inlineStr">
        <is>
          <t>PyroRecy-NMC111</t>
        </is>
      </c>
      <c r="E107" s="130" t="n">
        <v>7.47097081798084</v>
      </c>
      <c r="F107" s="240" t="n">
        <v>5.67297781871776</v>
      </c>
      <c r="G107" s="240" t="n">
        <v>9.29996366985999</v>
      </c>
      <c r="K107">
        <f>E107*3-F107-G107</f>
        <v/>
      </c>
      <c r="M107" s="132" t="n">
        <v>2020</v>
      </c>
      <c r="N107" s="132" t="inlineStr">
        <is>
          <t>ACT_COST</t>
        </is>
      </c>
      <c r="O107" s="132" t="inlineStr">
        <is>
          <t>PyroRecy-NMC111</t>
        </is>
      </c>
      <c r="P107" s="132">
        <f>E107</f>
        <v/>
      </c>
      <c r="Q107" s="132">
        <f>F107</f>
        <v/>
      </c>
      <c r="R107" s="132">
        <f>G107</f>
        <v/>
      </c>
      <c r="AB107" s="141" t="n"/>
      <c r="AC107" s="141" t="n"/>
      <c r="AW107" s="120" t="inlineStr">
        <is>
          <t>LAM</t>
        </is>
      </c>
      <c r="AX107" s="126" t="n">
        <v>67</v>
      </c>
      <c r="AY107" s="126" t="n">
        <v>3.5</v>
      </c>
      <c r="AZ107" s="121" t="inlineStr">
        <is>
          <t>—</t>
        </is>
      </c>
      <c r="BA107" s="121" t="inlineStr">
        <is>
          <t>—</t>
        </is>
      </c>
      <c r="BB107" s="127" t="n">
        <v>7900</v>
      </c>
      <c r="BC107" s="121" t="inlineStr">
        <is>
          <t>—</t>
        </is>
      </c>
      <c r="BD107" s="121" t="inlineStr">
        <is>
          <t>—</t>
        </is>
      </c>
      <c r="BH107" s="119" t="inlineStr">
        <is>
          <t>LatAm</t>
        </is>
      </c>
      <c r="BI107" s="122" t="n">
        <v>67</v>
      </c>
      <c r="BJ107" s="122" t="n">
        <v>0</v>
      </c>
      <c r="BK107" s="122" t="n">
        <v>3.5</v>
      </c>
      <c r="BL107" s="122" t="n">
        <v>0</v>
      </c>
      <c r="BM107" s="123">
        <f>Attached_sourcedAlumina_and!P31</f>
        <v/>
      </c>
      <c r="BN107" s="128" t="n">
        <v>7900</v>
      </c>
      <c r="BO107" s="122" t="n">
        <v>0</v>
      </c>
    </row>
    <row r="108" ht="12.5" customHeight="1" s="213">
      <c r="C108" s="141" t="inlineStr">
        <is>
          <t>ACT_COST</t>
        </is>
      </c>
      <c r="D108" s="130" t="inlineStr">
        <is>
          <t>PyroRecy-NMC532</t>
        </is>
      </c>
      <c r="E108" s="130" t="n">
        <v>7.51643520019651</v>
      </c>
      <c r="F108" s="240" t="n">
        <v>5.70750058953574</v>
      </c>
      <c r="G108" s="240" t="n">
        <v>9.356558364038319</v>
      </c>
      <c r="K108">
        <f>E108*3-F108-G108</f>
        <v/>
      </c>
      <c r="M108" s="132" t="n">
        <v>2020</v>
      </c>
      <c r="N108" s="132" t="inlineStr">
        <is>
          <t>ACT_COST</t>
        </is>
      </c>
      <c r="O108" s="132" t="inlineStr">
        <is>
          <t>PyroRecy-NMC532</t>
        </is>
      </c>
      <c r="P108" s="132">
        <f>E108</f>
        <v/>
      </c>
      <c r="Q108" s="132">
        <f>F108</f>
        <v/>
      </c>
      <c r="R108" s="132">
        <f>G108</f>
        <v/>
      </c>
      <c r="AB108" s="141" t="n"/>
      <c r="AC108" s="141" t="n"/>
      <c r="AW108" s="120" t="inlineStr">
        <is>
          <t>MEA</t>
        </is>
      </c>
      <c r="AX108" s="121" t="inlineStr">
        <is>
          <t>—</t>
        </is>
      </c>
      <c r="AY108" s="121" t="inlineStr">
        <is>
          <t>—</t>
        </is>
      </c>
      <c r="AZ108" s="121" t="inlineStr">
        <is>
          <t>—</t>
        </is>
      </c>
      <c r="BA108" s="121" t="inlineStr">
        <is>
          <t>—</t>
        </is>
      </c>
      <c r="BB108" s="121" t="inlineStr">
        <is>
          <t>—</t>
        </is>
      </c>
      <c r="BC108" s="127" t="n">
        <v>4300</v>
      </c>
      <c r="BD108" s="121" t="inlineStr">
        <is>
          <t>—</t>
        </is>
      </c>
      <c r="BH108" s="119" t="inlineStr">
        <is>
          <t>MidEast</t>
        </is>
      </c>
      <c r="BI108" s="122" t="n">
        <v>0</v>
      </c>
      <c r="BJ108" s="122" t="n">
        <v>0</v>
      </c>
      <c r="BK108" s="122" t="n">
        <v>0</v>
      </c>
      <c r="BL108" s="122" t="n">
        <v>0</v>
      </c>
      <c r="BM108" s="123">
        <f>Attached_sourcedAlumina_and!P32</f>
        <v/>
      </c>
      <c r="BN108" s="122" t="n">
        <v>0</v>
      </c>
      <c r="BO108" s="122" t="n">
        <v>0</v>
      </c>
    </row>
    <row r="109" ht="12.5" customHeight="1" s="213">
      <c r="C109" s="141" t="inlineStr">
        <is>
          <t>ACT_COST</t>
        </is>
      </c>
      <c r="D109" s="130" t="inlineStr">
        <is>
          <t>PyroRecy-NMC622</t>
        </is>
      </c>
      <c r="E109" s="130" t="n">
        <v>7.55036263817244</v>
      </c>
      <c r="F109" s="240" t="n">
        <v>5.73326293294031</v>
      </c>
      <c r="G109" s="240" t="n">
        <v>9.398791672807659</v>
      </c>
      <c r="K109">
        <f>E109*3-F109-G109</f>
        <v/>
      </c>
      <c r="M109" s="132" t="n">
        <v>2020</v>
      </c>
      <c r="N109" s="132" t="inlineStr">
        <is>
          <t>ACT_COST</t>
        </is>
      </c>
      <c r="O109" s="132" t="inlineStr">
        <is>
          <t>PyroRecy-NMC622</t>
        </is>
      </c>
      <c r="P109" s="132">
        <f>E109</f>
        <v/>
      </c>
      <c r="Q109" s="132">
        <f>F109</f>
        <v/>
      </c>
      <c r="R109" s="132">
        <f>G109</f>
        <v/>
      </c>
      <c r="AB109" s="141" t="n"/>
      <c r="AC109" s="141" t="n"/>
      <c r="AW109" s="120" t="inlineStr">
        <is>
          <t>NAM</t>
        </is>
      </c>
      <c r="AX109" s="126" t="n">
        <v>4.3</v>
      </c>
      <c r="AY109" s="126" t="n">
        <v>4.8</v>
      </c>
      <c r="AZ109" s="126" t="n">
        <v>198</v>
      </c>
      <c r="BA109" s="121" t="inlineStr">
        <is>
          <t>—</t>
        </is>
      </c>
      <c r="BB109" s="127" t="n">
        <v>2250</v>
      </c>
      <c r="BC109" s="127" t="n">
        <v>3970</v>
      </c>
      <c r="BD109" s="126" t="n">
        <v>20.9</v>
      </c>
      <c r="BH109" s="119" t="inlineStr">
        <is>
          <t>NorthAm</t>
        </is>
      </c>
      <c r="BI109" s="122" t="n">
        <v>4.3</v>
      </c>
      <c r="BJ109" s="122" t="n">
        <v>198</v>
      </c>
      <c r="BK109" s="122" t="n">
        <v>4.8</v>
      </c>
      <c r="BL109" s="122" t="n">
        <v>0</v>
      </c>
      <c r="BM109" s="123">
        <f>Attached_sourcedAlumina_and!P33</f>
        <v/>
      </c>
      <c r="BN109" s="128" t="n">
        <v>2250</v>
      </c>
      <c r="BO109" s="122" t="n">
        <v>20.9</v>
      </c>
    </row>
    <row r="110" ht="12.5" customHeight="1" s="213">
      <c r="C110" s="141" t="inlineStr">
        <is>
          <t>ACT_COST</t>
        </is>
      </c>
      <c r="D110" s="130" t="inlineStr">
        <is>
          <t>PyroRecy-NMC811</t>
        </is>
      </c>
      <c r="E110" s="130" t="n">
        <v>7.62975445836404</v>
      </c>
      <c r="F110" s="240" t="n">
        <v>5.79354797347089</v>
      </c>
      <c r="G110" s="240" t="n">
        <v>9.49761967575534</v>
      </c>
      <c r="K110">
        <f>E110*3-F110-G110</f>
        <v/>
      </c>
      <c r="M110" s="132" t="n">
        <v>2020</v>
      </c>
      <c r="N110" s="132" t="inlineStr">
        <is>
          <t>ACT_COST</t>
        </is>
      </c>
      <c r="O110" s="132" t="inlineStr">
        <is>
          <t>PyroRecy-NMC811</t>
        </is>
      </c>
      <c r="P110" s="132">
        <f>E110</f>
        <v/>
      </c>
      <c r="Q110" s="132">
        <f>F110</f>
        <v/>
      </c>
      <c r="R110" s="132">
        <f>G110</f>
        <v/>
      </c>
      <c r="AB110" s="141" t="n"/>
      <c r="AC110" s="141" t="n"/>
      <c r="AW110" s="120" t="inlineStr">
        <is>
          <t>NOR</t>
        </is>
      </c>
      <c r="AX110" s="121" t="inlineStr">
        <is>
          <t>—</t>
        </is>
      </c>
      <c r="AY110" s="121" t="inlineStr">
        <is>
          <t>—</t>
        </is>
      </c>
      <c r="AZ110" s="121" t="inlineStr">
        <is>
          <t>—</t>
        </is>
      </c>
      <c r="BA110" s="121" t="inlineStr">
        <is>
          <t>—</t>
        </is>
      </c>
      <c r="BB110" s="121" t="inlineStr">
        <is>
          <t>—</t>
        </is>
      </c>
      <c r="BC110" s="127" t="n">
        <v>1300</v>
      </c>
      <c r="BD110" s="126" t="n">
        <v>7</v>
      </c>
      <c r="BH110" s="119" t="inlineStr">
        <is>
          <t>Norway</t>
        </is>
      </c>
      <c r="BI110" s="122" t="n">
        <v>0</v>
      </c>
      <c r="BJ110" s="122" t="n">
        <v>0</v>
      </c>
      <c r="BK110" s="122" t="n">
        <v>0</v>
      </c>
      <c r="BL110" s="122" t="n">
        <v>0</v>
      </c>
      <c r="BM110" s="123">
        <f>Attached_sourcedAlumina_and!P34</f>
        <v/>
      </c>
      <c r="BN110" s="122" t="n">
        <v>0</v>
      </c>
      <c r="BO110" s="122" t="n">
        <v>7</v>
      </c>
    </row>
    <row r="111" ht="12.5" customHeight="1" s="213">
      <c r="C111" s="141" t="inlineStr">
        <is>
          <t>ACT_COST</t>
        </is>
      </c>
      <c r="D111" s="130" t="inlineStr">
        <is>
          <t>HydRecy-LFP</t>
        </is>
      </c>
      <c r="E111" s="130" t="n">
        <v>4.18384600835176</v>
      </c>
      <c r="F111" s="240" t="n">
        <v>3.17694532056006</v>
      </c>
      <c r="G111" s="240" t="n">
        <v>5.20810707442889</v>
      </c>
      <c r="K111">
        <f>E111*3-F111-G111</f>
        <v/>
      </c>
      <c r="M111" s="132" t="n">
        <v>2020</v>
      </c>
      <c r="N111" s="132" t="inlineStr">
        <is>
          <t>ACT_COST</t>
        </is>
      </c>
      <c r="O111" s="132" t="inlineStr">
        <is>
          <t>HydRecy-LFP</t>
        </is>
      </c>
      <c r="P111" s="132">
        <f>E111</f>
        <v/>
      </c>
      <c r="Q111" s="132">
        <f>F111</f>
        <v/>
      </c>
      <c r="R111" s="132">
        <f>G111</f>
        <v/>
      </c>
      <c r="AB111" s="141" t="n"/>
      <c r="AC111" s="141" t="n"/>
      <c r="AW111" s="120" t="inlineStr">
        <is>
          <t>POL</t>
        </is>
      </c>
      <c r="AX111" s="121" t="inlineStr">
        <is>
          <t>—</t>
        </is>
      </c>
      <c r="AY111" s="121" t="inlineStr">
        <is>
          <t>—</t>
        </is>
      </c>
      <c r="AZ111" s="121" t="inlineStr">
        <is>
          <t>—</t>
        </is>
      </c>
      <c r="BA111" s="121" t="inlineStr">
        <is>
          <t>—</t>
        </is>
      </c>
      <c r="BB111" s="126" t="n">
        <v>410</v>
      </c>
      <c r="BC111" s="121" t="inlineStr">
        <is>
          <t>—</t>
        </is>
      </c>
      <c r="BD111" s="121" t="inlineStr">
        <is>
          <t>—</t>
        </is>
      </c>
      <c r="BH111" s="119" t="inlineStr">
        <is>
          <t>Poland</t>
        </is>
      </c>
      <c r="BI111" s="122" t="n">
        <v>0</v>
      </c>
      <c r="BJ111" s="122" t="n">
        <v>0</v>
      </c>
      <c r="BK111" s="122" t="n">
        <v>0</v>
      </c>
      <c r="BL111" s="122" t="n">
        <v>0</v>
      </c>
      <c r="BM111" s="123">
        <f>Attached_sourcedAlumina_and!P35</f>
        <v/>
      </c>
      <c r="BN111" s="122" t="n">
        <v>410</v>
      </c>
      <c r="BO111" s="122" t="n">
        <v>0</v>
      </c>
    </row>
    <row r="112" ht="12.5" customHeight="1" s="213">
      <c r="C112" s="141" t="inlineStr">
        <is>
          <t>ACT_COST</t>
        </is>
      </c>
      <c r="D112" s="130" t="inlineStr">
        <is>
          <t>HydRecy-LMO</t>
        </is>
      </c>
      <c r="E112" s="130" t="n">
        <v>4.18384600835176</v>
      </c>
      <c r="F112" s="240" t="n">
        <v>3.17694532056006</v>
      </c>
      <c r="G112" s="240" t="n">
        <v>5.20810707442889</v>
      </c>
      <c r="K112">
        <f>E112*3-F112-G112</f>
        <v/>
      </c>
      <c r="M112" s="132" t="n">
        <v>2020</v>
      </c>
      <c r="N112" s="132" t="inlineStr">
        <is>
          <t>ACT_COST</t>
        </is>
      </c>
      <c r="O112" s="132" t="inlineStr">
        <is>
          <t>HydRecy-LMO</t>
        </is>
      </c>
      <c r="P112" s="132">
        <f>E112</f>
        <v/>
      </c>
      <c r="Q112" s="132">
        <f>F112</f>
        <v/>
      </c>
      <c r="R112" s="132">
        <f>G112</f>
        <v/>
      </c>
      <c r="AB112" s="141" t="n"/>
      <c r="AC112" s="141" t="n"/>
      <c r="AW112" s="120" t="inlineStr">
        <is>
          <t>ROW</t>
        </is>
      </c>
      <c r="AX112" s="126" t="n">
        <v>4.6</v>
      </c>
      <c r="AY112" s="126" t="n">
        <v>43.8</v>
      </c>
      <c r="AZ112" s="127" t="n">
        <v>2985</v>
      </c>
      <c r="BA112" s="127" t="n">
        <v>2060</v>
      </c>
      <c r="BB112" s="127" t="n">
        <v>4700</v>
      </c>
      <c r="BC112" s="127" t="n">
        <v>8050</v>
      </c>
      <c r="BD112" s="126" t="n">
        <v>22.9</v>
      </c>
      <c r="BH112" s="119" t="inlineStr">
        <is>
          <t>ROW</t>
        </is>
      </c>
      <c r="BI112" s="122" t="n">
        <v>4.6</v>
      </c>
      <c r="BJ112" s="128" t="n">
        <v>2985</v>
      </c>
      <c r="BK112" s="122" t="n">
        <v>43.8</v>
      </c>
      <c r="BL112" s="128" t="n">
        <v>2060</v>
      </c>
      <c r="BM112" s="123">
        <f>Attached_sourcedAlumina_and!P36</f>
        <v/>
      </c>
      <c r="BN112" s="128" t="n">
        <v>4700</v>
      </c>
      <c r="BO112" s="122" t="n">
        <v>22.9</v>
      </c>
    </row>
    <row r="113" ht="12.5" customHeight="1" s="213">
      <c r="C113" s="141" t="inlineStr">
        <is>
          <t>ACT_COST</t>
        </is>
      </c>
      <c r="D113" s="130" t="inlineStr">
        <is>
          <t>HydRecy-NCA</t>
        </is>
      </c>
      <c r="E113" s="130" t="n">
        <v>4.18384600835176</v>
      </c>
      <c r="F113" s="240" t="n">
        <v>3.17694532056006</v>
      </c>
      <c r="G113" s="240" t="n">
        <v>5.20810707442889</v>
      </c>
      <c r="K113">
        <f>E113*3-F113-G113</f>
        <v/>
      </c>
      <c r="M113" s="132" t="n">
        <v>2020</v>
      </c>
      <c r="N113" s="132" t="inlineStr">
        <is>
          <t>ACT_COST</t>
        </is>
      </c>
      <c r="O113" s="132" t="inlineStr">
        <is>
          <t>HydRecy-NCA</t>
        </is>
      </c>
      <c r="P113" s="132">
        <f>E113</f>
        <v/>
      </c>
      <c r="Q113" s="132">
        <f>F113</f>
        <v/>
      </c>
      <c r="R113" s="132">
        <f>G113</f>
        <v/>
      </c>
      <c r="AB113" s="141" t="n"/>
      <c r="AC113" s="141" t="n"/>
      <c r="AW113" s="120" t="inlineStr">
        <is>
          <t>RUS</t>
        </is>
      </c>
      <c r="AX113" s="121" t="inlineStr">
        <is>
          <t>—</t>
        </is>
      </c>
      <c r="AY113" s="126" t="n">
        <v>8.699999999999999</v>
      </c>
      <c r="AZ113" s="126" t="n">
        <v>210</v>
      </c>
      <c r="BA113" s="121" t="inlineStr">
        <is>
          <t>—</t>
        </is>
      </c>
      <c r="BB113" s="126" t="n">
        <v>930</v>
      </c>
      <c r="BC113" s="127" t="n">
        <v>3800</v>
      </c>
      <c r="BD113" s="126" t="n">
        <v>20</v>
      </c>
      <c r="BH113" s="119" t="inlineStr">
        <is>
          <t>Russia</t>
        </is>
      </c>
      <c r="BI113" s="122" t="n">
        <v>0</v>
      </c>
      <c r="BJ113" s="122" t="n">
        <v>210</v>
      </c>
      <c r="BK113" s="122" t="n">
        <v>8.699999999999999</v>
      </c>
      <c r="BL113" s="122" t="n">
        <v>0</v>
      </c>
      <c r="BM113" s="123">
        <f>Attached_sourcedAlumina_and!P37</f>
        <v/>
      </c>
      <c r="BN113" s="122" t="n">
        <v>930</v>
      </c>
      <c r="BO113" s="122" t="n">
        <v>20</v>
      </c>
    </row>
    <row r="114" ht="12.5" customHeight="1" s="213">
      <c r="C114" s="141" t="inlineStr">
        <is>
          <t>ACT_COST</t>
        </is>
      </c>
      <c r="D114" s="130" t="inlineStr">
        <is>
          <t>HydRecy-NMC111</t>
        </is>
      </c>
      <c r="E114" s="130" t="n">
        <v>4.18384600835176</v>
      </c>
      <c r="F114" s="240" t="n">
        <v>3.17694532056006</v>
      </c>
      <c r="G114" s="240" t="n">
        <v>5.20810707442889</v>
      </c>
      <c r="K114">
        <f>E114*3-F114-G114</f>
        <v/>
      </c>
      <c r="M114" s="132" t="n">
        <v>2020</v>
      </c>
      <c r="N114" s="132" t="inlineStr">
        <is>
          <t>ACT_COST</t>
        </is>
      </c>
      <c r="O114" s="132" t="inlineStr">
        <is>
          <t>HydRecy-NMC111</t>
        </is>
      </c>
      <c r="P114" s="132">
        <f>E114</f>
        <v/>
      </c>
      <c r="Q114" s="132">
        <f>F114</f>
        <v/>
      </c>
      <c r="R114" s="132">
        <f>G114</f>
        <v/>
      </c>
      <c r="AB114" s="141" t="n"/>
      <c r="AC114" s="141" t="n"/>
      <c r="AW114" s="120" t="inlineStr">
        <is>
          <t>SAU</t>
        </is>
      </c>
      <c r="AX114" s="121" t="inlineStr">
        <is>
          <t>—</t>
        </is>
      </c>
      <c r="AY114" s="121" t="inlineStr">
        <is>
          <t>—</t>
        </is>
      </c>
      <c r="AZ114" s="121" t="inlineStr">
        <is>
          <t>—</t>
        </is>
      </c>
      <c r="BA114" s="121" t="inlineStr">
        <is>
          <t>—</t>
        </is>
      </c>
      <c r="BB114" s="121" t="inlineStr">
        <is>
          <t>—</t>
        </is>
      </c>
      <c r="BC114" s="121" t="inlineStr">
        <is>
          <t>—</t>
        </is>
      </c>
      <c r="BD114" s="121" t="inlineStr">
        <is>
          <t>—</t>
        </is>
      </c>
      <c r="BH114" s="119" t="inlineStr">
        <is>
          <t>SaudiArabia</t>
        </is>
      </c>
      <c r="BI114" s="122" t="n">
        <v>0</v>
      </c>
      <c r="BJ114" s="122" t="n">
        <v>0</v>
      </c>
      <c r="BK114" s="122" t="n">
        <v>0</v>
      </c>
      <c r="BL114" s="122" t="n">
        <v>0</v>
      </c>
      <c r="BM114" s="123">
        <f>Attached_sourcedAlumina_and!P38</f>
        <v/>
      </c>
      <c r="BN114" s="122" t="n">
        <v>0</v>
      </c>
      <c r="BO114" s="122" t="n">
        <v>0</v>
      </c>
    </row>
    <row r="115" ht="12.5" customHeight="1" s="213">
      <c r="C115" s="141" t="inlineStr">
        <is>
          <t>ACT_COST</t>
        </is>
      </c>
      <c r="D115" s="130" t="inlineStr">
        <is>
          <t>HydRecy-NMC532</t>
        </is>
      </c>
      <c r="E115" s="130" t="n">
        <v>4.18384600835176</v>
      </c>
      <c r="F115" s="240" t="n">
        <v>3.17694532056006</v>
      </c>
      <c r="G115" s="240" t="n">
        <v>5.20810707442889</v>
      </c>
      <c r="K115">
        <f>E115*3-F115-G115</f>
        <v/>
      </c>
      <c r="M115" s="132" t="n">
        <v>2020</v>
      </c>
      <c r="N115" s="132" t="inlineStr">
        <is>
          <t>ACT_COST</t>
        </is>
      </c>
      <c r="O115" s="132" t="inlineStr">
        <is>
          <t>HydRecy-NMC532</t>
        </is>
      </c>
      <c r="P115" s="132">
        <f>E115</f>
        <v/>
      </c>
      <c r="Q115" s="132">
        <f>F115</f>
        <v/>
      </c>
      <c r="R115" s="132">
        <f>G115</f>
        <v/>
      </c>
      <c r="AB115" s="141" t="n"/>
      <c r="AC115" s="141" t="n"/>
      <c r="AW115" s="120" t="inlineStr">
        <is>
          <t>ZAF</t>
        </is>
      </c>
      <c r="AX115" s="121" t="inlineStr">
        <is>
          <t>—</t>
        </is>
      </c>
      <c r="AY115" s="121" t="inlineStr">
        <is>
          <t>—</t>
        </is>
      </c>
      <c r="AZ115" s="121" t="inlineStr">
        <is>
          <t>—</t>
        </is>
      </c>
      <c r="BA115" s="127" t="n">
        <v>7400</v>
      </c>
      <c r="BB115" s="121" t="inlineStr">
        <is>
          <t>—</t>
        </is>
      </c>
      <c r="BC115" s="121" t="inlineStr">
        <is>
          <t>—</t>
        </is>
      </c>
      <c r="BD115" s="121" t="inlineStr">
        <is>
          <t>—</t>
        </is>
      </c>
      <c r="BH115" s="119" t="inlineStr">
        <is>
          <t>SouthAfrica</t>
        </is>
      </c>
      <c r="BI115" s="122" t="n">
        <v>0</v>
      </c>
      <c r="BJ115" s="122" t="n">
        <v>0</v>
      </c>
      <c r="BK115" s="122" t="n">
        <v>0</v>
      </c>
      <c r="BL115" s="128" t="n">
        <v>7400</v>
      </c>
      <c r="BM115" s="123">
        <f>Attached_sourcedAlumina_and!P39</f>
        <v/>
      </c>
      <c r="BN115" s="122" t="n">
        <v>0</v>
      </c>
      <c r="BO115" s="122" t="n">
        <v>0</v>
      </c>
    </row>
    <row r="116" ht="12.5" customHeight="1" s="213">
      <c r="C116" s="141" t="inlineStr">
        <is>
          <t>ACT_COST</t>
        </is>
      </c>
      <c r="D116" s="130" t="inlineStr">
        <is>
          <t>HydRecy-NMC622</t>
        </is>
      </c>
      <c r="E116" s="130" t="n">
        <v>4.18384600835176</v>
      </c>
      <c r="F116" s="240" t="n">
        <v>3.17694532056006</v>
      </c>
      <c r="G116" s="240" t="n">
        <v>5.20810707442889</v>
      </c>
      <c r="K116">
        <f>E116*3-F116-G116</f>
        <v/>
      </c>
      <c r="M116" s="132" t="n">
        <v>2020</v>
      </c>
      <c r="N116" s="132" t="inlineStr">
        <is>
          <t>ACT_COST</t>
        </is>
      </c>
      <c r="O116" s="132" t="inlineStr">
        <is>
          <t>HydRecy-NMC622</t>
        </is>
      </c>
      <c r="P116" s="132">
        <f>E116</f>
        <v/>
      </c>
      <c r="Q116" s="132">
        <f>F116</f>
        <v/>
      </c>
      <c r="R116" s="132">
        <f>G116</f>
        <v/>
      </c>
      <c r="AB116" s="141" t="n"/>
      <c r="AC116" s="141" t="n"/>
      <c r="AW116" s="120" t="inlineStr">
        <is>
          <t>ESP</t>
        </is>
      </c>
      <c r="AX116" s="126" t="n">
        <v>0.4</v>
      </c>
      <c r="AY116" s="121" t="inlineStr">
        <is>
          <t>—</t>
        </is>
      </c>
      <c r="AZ116" s="121" t="inlineStr">
        <is>
          <t>—</t>
        </is>
      </c>
      <c r="BA116" s="121" t="inlineStr">
        <is>
          <t>—</t>
        </is>
      </c>
      <c r="BB116" s="121" t="inlineStr">
        <is>
          <t>—</t>
        </is>
      </c>
      <c r="BC116" s="121" t="inlineStr">
        <is>
          <t>—</t>
        </is>
      </c>
      <c r="BD116" s="121" t="inlineStr">
        <is>
          <t>—</t>
        </is>
      </c>
      <c r="BH116" s="119" t="inlineStr">
        <is>
          <t>SpainPor</t>
        </is>
      </c>
      <c r="BI116" s="122" t="n">
        <v>0.4</v>
      </c>
      <c r="BJ116" s="122" t="n">
        <v>0</v>
      </c>
      <c r="BK116" s="122" t="n">
        <v>0</v>
      </c>
      <c r="BL116" s="122" t="n">
        <v>0</v>
      </c>
      <c r="BM116" s="123">
        <f>Attached_sourcedAlumina_and!P40</f>
        <v/>
      </c>
      <c r="BN116" s="122" t="n">
        <v>0</v>
      </c>
      <c r="BO116" s="122" t="n">
        <v>0</v>
      </c>
    </row>
    <row r="117" ht="12.5" customHeight="1" s="213">
      <c r="C117" s="141" t="inlineStr">
        <is>
          <t>ACT_COST</t>
        </is>
      </c>
      <c r="D117" s="130" t="inlineStr">
        <is>
          <t>HydRecy-NMC811</t>
        </is>
      </c>
      <c r="E117" s="130" t="n">
        <v>4.18384600835176</v>
      </c>
      <c r="F117" s="240" t="n">
        <v>3.17694532056006</v>
      </c>
      <c r="G117" s="240" t="n">
        <v>5.20810707442889</v>
      </c>
      <c r="K117">
        <f>E117*3-F117-G117</f>
        <v/>
      </c>
      <c r="M117" s="132" t="n">
        <v>2020</v>
      </c>
      <c r="N117" s="132" t="inlineStr">
        <is>
          <t>ACT_COST</t>
        </is>
      </c>
      <c r="O117" s="132" t="inlineStr">
        <is>
          <t>HydRecy-NMC811</t>
        </is>
      </c>
      <c r="P117" s="132">
        <f>E117</f>
        <v/>
      </c>
      <c r="Q117" s="132">
        <f>F117</f>
        <v/>
      </c>
      <c r="R117" s="132">
        <f>G117</f>
        <v/>
      </c>
      <c r="AB117" s="141" t="n"/>
      <c r="AC117" s="141" t="n"/>
      <c r="AW117" s="120" t="inlineStr">
        <is>
          <t>SFD</t>
        </is>
      </c>
      <c r="AX117" s="121" t="inlineStr">
        <is>
          <t>—</t>
        </is>
      </c>
      <c r="AY117" s="121" t="inlineStr">
        <is>
          <t>—</t>
        </is>
      </c>
      <c r="AZ117" s="121" t="inlineStr">
        <is>
          <t>—</t>
        </is>
      </c>
      <c r="BA117" s="121" t="inlineStr">
        <is>
          <t>—</t>
        </is>
      </c>
      <c r="BB117" s="121" t="inlineStr">
        <is>
          <t>—</t>
        </is>
      </c>
      <c r="BC117" s="121" t="inlineStr">
        <is>
          <t>—</t>
        </is>
      </c>
      <c r="BD117" s="121" t="inlineStr">
        <is>
          <t>—</t>
        </is>
      </c>
      <c r="BH117" s="119" t="inlineStr">
        <is>
          <t>SweFinDen</t>
        </is>
      </c>
      <c r="BI117" s="122" t="n">
        <v>0</v>
      </c>
      <c r="BJ117" s="122" t="n">
        <v>0</v>
      </c>
      <c r="BK117" s="122" t="n">
        <v>0</v>
      </c>
      <c r="BL117" s="122" t="n">
        <v>0</v>
      </c>
      <c r="BM117" s="123">
        <f>Attached_sourcedAlumina_and!P41</f>
        <v/>
      </c>
      <c r="BN117" s="122" t="n">
        <v>0</v>
      </c>
      <c r="BO117" s="122" t="n">
        <v>0</v>
      </c>
    </row>
    <row r="118" ht="12.5" customHeight="1" s="213">
      <c r="C118" s="141" t="inlineStr">
        <is>
          <t>ACT_COST</t>
        </is>
      </c>
      <c r="D118" s="130" t="inlineStr">
        <is>
          <t>DirRecy-LFP</t>
        </is>
      </c>
      <c r="E118" s="130" t="n">
        <v>3.56556266273643</v>
      </c>
      <c r="F118" s="240" t="n">
        <v>2.70746042741341</v>
      </c>
      <c r="G118" s="240" t="n">
        <v>4.4384597641857</v>
      </c>
      <c r="K118">
        <f>E118*3-F118-G118</f>
        <v/>
      </c>
      <c r="M118" s="132" t="n">
        <v>2020</v>
      </c>
      <c r="N118" s="132" t="inlineStr">
        <is>
          <t>ACT_COST</t>
        </is>
      </c>
      <c r="O118" s="132" t="inlineStr">
        <is>
          <t>DirRecy-LFP</t>
        </is>
      </c>
      <c r="P118" s="132">
        <f>E118</f>
        <v/>
      </c>
      <c r="Q118" s="132">
        <f>F118</f>
        <v/>
      </c>
      <c r="R118" s="132">
        <f>G118</f>
        <v/>
      </c>
      <c r="AB118" s="141" t="n"/>
      <c r="AC118" s="141" t="n"/>
      <c r="AW118" s="120" t="inlineStr">
        <is>
          <t>CHE</t>
        </is>
      </c>
      <c r="AX118" s="121" t="inlineStr">
        <is>
          <t>—</t>
        </is>
      </c>
      <c r="AY118" s="121" t="inlineStr">
        <is>
          <t>—</t>
        </is>
      </c>
      <c r="AZ118" s="121" t="inlineStr">
        <is>
          <t>—</t>
        </is>
      </c>
      <c r="BA118" s="121" t="inlineStr">
        <is>
          <t>—</t>
        </is>
      </c>
      <c r="BB118" s="121" t="inlineStr">
        <is>
          <t>—</t>
        </is>
      </c>
      <c r="BC118" s="121" t="inlineStr">
        <is>
          <t>—</t>
        </is>
      </c>
      <c r="BD118" s="121" t="inlineStr">
        <is>
          <t>—</t>
        </is>
      </c>
      <c r="BH118" s="119" t="inlineStr">
        <is>
          <t>Switzerland</t>
        </is>
      </c>
      <c r="BI118" s="122" t="n">
        <v>0</v>
      </c>
      <c r="BJ118" s="122" t="n">
        <v>0</v>
      </c>
      <c r="BK118" s="122" t="n">
        <v>0</v>
      </c>
      <c r="BL118" s="122" t="n">
        <v>0</v>
      </c>
      <c r="BM118" s="123">
        <f>Attached_sourcedAlumina_and!P42</f>
        <v/>
      </c>
      <c r="BN118" s="122" t="n">
        <v>0</v>
      </c>
      <c r="BO118" s="122" t="n">
        <v>0</v>
      </c>
    </row>
    <row r="119" ht="12.5" customHeight="1" s="213">
      <c r="C119" s="141" t="inlineStr">
        <is>
          <t>ACT_COST</t>
        </is>
      </c>
      <c r="D119" s="130" t="inlineStr">
        <is>
          <t>DirRecy-LMO</t>
        </is>
      </c>
      <c r="E119" s="130" t="n">
        <v>3.60087708179809</v>
      </c>
      <c r="F119" s="240" t="n">
        <v>2.73427597641857</v>
      </c>
      <c r="G119" s="240" t="n">
        <v>4.48241960206338</v>
      </c>
      <c r="K119">
        <f>E119*3-F119-G119</f>
        <v/>
      </c>
      <c r="M119" s="132" t="n">
        <v>2020</v>
      </c>
      <c r="N119" s="132" t="inlineStr">
        <is>
          <t>ACT_COST</t>
        </is>
      </c>
      <c r="O119" s="132" t="inlineStr">
        <is>
          <t>DirRecy-LMO</t>
        </is>
      </c>
      <c r="P119" s="132">
        <f>E119</f>
        <v/>
      </c>
      <c r="Q119" s="132">
        <f>F119</f>
        <v/>
      </c>
      <c r="R119" s="132">
        <f>G119</f>
        <v/>
      </c>
      <c r="AB119" s="141" t="n"/>
      <c r="AC119" s="141" t="n"/>
      <c r="AW119" s="120" t="inlineStr">
        <is>
          <t>TUR</t>
        </is>
      </c>
      <c r="AX119" s="121" t="inlineStr">
        <is>
          <t>—</t>
        </is>
      </c>
      <c r="AY119" s="126" t="n">
        <v>2.7</v>
      </c>
      <c r="AZ119" s="121" t="inlineStr">
        <is>
          <t>—</t>
        </is>
      </c>
      <c r="BA119" s="121" t="inlineStr">
        <is>
          <t>—</t>
        </is>
      </c>
      <c r="BB119" s="121" t="inlineStr">
        <is>
          <t>—</t>
        </is>
      </c>
      <c r="BC119" s="121" t="inlineStr">
        <is>
          <t>—</t>
        </is>
      </c>
      <c r="BD119" s="126" t="n">
        <v>3</v>
      </c>
      <c r="BH119" s="119" t="inlineStr">
        <is>
          <t>Turkey</t>
        </is>
      </c>
      <c r="BI119" s="122" t="n">
        <v>0</v>
      </c>
      <c r="BJ119" s="122" t="n">
        <v>0</v>
      </c>
      <c r="BK119" s="122" t="n">
        <v>2.7</v>
      </c>
      <c r="BL119" s="122" t="n">
        <v>0</v>
      </c>
      <c r="BM119" s="123">
        <f>Attached_sourcedAlumina_and!P43</f>
        <v/>
      </c>
      <c r="BN119" s="122" t="n">
        <v>0</v>
      </c>
      <c r="BO119" s="122" t="n">
        <v>3</v>
      </c>
    </row>
    <row r="120" ht="12.5" customHeight="1" s="213">
      <c r="C120" s="141" t="inlineStr">
        <is>
          <t>ACT_COST</t>
        </is>
      </c>
      <c r="D120" s="130" t="inlineStr">
        <is>
          <t>DirRecy-NCA</t>
        </is>
      </c>
      <c r="E120" s="130" t="n">
        <v>3.56556266273643</v>
      </c>
      <c r="F120" s="240" t="n">
        <v>2.70746042741341</v>
      </c>
      <c r="G120" s="240" t="n">
        <v>4.4384597641857</v>
      </c>
      <c r="K120">
        <f>E120*3-F120-G120</f>
        <v/>
      </c>
      <c r="M120" s="132" t="n">
        <v>2020</v>
      </c>
      <c r="N120" s="132" t="inlineStr">
        <is>
          <t>ACT_COST</t>
        </is>
      </c>
      <c r="O120" s="132" t="inlineStr">
        <is>
          <t>DirRecy-NCA</t>
        </is>
      </c>
      <c r="P120" s="132">
        <f>E120</f>
        <v/>
      </c>
      <c r="Q120" s="132">
        <f>F120</f>
        <v/>
      </c>
      <c r="R120" s="132">
        <f>G120</f>
        <v/>
      </c>
      <c r="AB120" s="141" t="n"/>
      <c r="AC120" s="141" t="n"/>
      <c r="AW120" s="120" t="inlineStr">
        <is>
          <t>UK</t>
        </is>
      </c>
      <c r="AX120" s="121" t="inlineStr">
        <is>
          <t>—</t>
        </is>
      </c>
      <c r="AY120" s="121" t="inlineStr">
        <is>
          <t>—</t>
        </is>
      </c>
      <c r="AZ120" s="121" t="inlineStr">
        <is>
          <t>—</t>
        </is>
      </c>
      <c r="BA120" s="121" t="inlineStr">
        <is>
          <t>—</t>
        </is>
      </c>
      <c r="BB120" s="121" t="inlineStr">
        <is>
          <t>—</t>
        </is>
      </c>
      <c r="BC120" s="121" t="inlineStr">
        <is>
          <t>—</t>
        </is>
      </c>
      <c r="BD120" s="121" t="inlineStr">
        <is>
          <t>—</t>
        </is>
      </c>
      <c r="BH120" s="119" t="inlineStr">
        <is>
          <t>UK</t>
        </is>
      </c>
      <c r="BI120" s="122" t="n">
        <v>0</v>
      </c>
      <c r="BJ120" s="122" t="n">
        <v>0</v>
      </c>
      <c r="BK120" s="122" t="n">
        <v>0</v>
      </c>
      <c r="BL120" s="122" t="n">
        <v>0</v>
      </c>
      <c r="BM120" s="123">
        <f>Attached_sourcedAlumina_and!P44</f>
        <v/>
      </c>
      <c r="BN120" s="122" t="n">
        <v>0</v>
      </c>
      <c r="BO120" s="122" t="n">
        <v>0</v>
      </c>
    </row>
    <row r="121" ht="12.5" customHeight="1" s="213">
      <c r="C121" s="141" t="inlineStr">
        <is>
          <t>ACT_COST</t>
        </is>
      </c>
      <c r="D121" s="130" t="inlineStr">
        <is>
          <t>DirRecy-NMC111</t>
        </is>
      </c>
      <c r="E121" s="130" t="n">
        <v>3.56645369688037</v>
      </c>
      <c r="F121" s="240" t="n">
        <v>2.70813706705969</v>
      </c>
      <c r="G121" s="240" t="n">
        <v>4.43956890198968</v>
      </c>
      <c r="K121">
        <f>E121*3-F121-G121</f>
        <v/>
      </c>
      <c r="M121" s="132" t="n">
        <v>2020</v>
      </c>
      <c r="N121" s="132" t="inlineStr">
        <is>
          <t>ACT_COST</t>
        </is>
      </c>
      <c r="O121" s="132" t="inlineStr">
        <is>
          <t>DirRecy-NMC111</t>
        </is>
      </c>
      <c r="P121" s="132">
        <f>E121</f>
        <v/>
      </c>
      <c r="Q121" s="132">
        <f>F121</f>
        <v/>
      </c>
      <c r="R121" s="132">
        <f>G121</f>
        <v/>
      </c>
      <c r="AB121" s="141" t="n"/>
      <c r="AC121" s="141" t="n"/>
      <c r="AW121" s="120" t="inlineStr">
        <is>
          <t>UKR</t>
        </is>
      </c>
      <c r="AX121" s="121" t="inlineStr">
        <is>
          <t>—</t>
        </is>
      </c>
      <c r="AY121" s="121" t="inlineStr">
        <is>
          <t>—</t>
        </is>
      </c>
      <c r="AZ121" s="121" t="inlineStr">
        <is>
          <t>—</t>
        </is>
      </c>
      <c r="BA121" s="121" t="inlineStr">
        <is>
          <t>—</t>
        </is>
      </c>
      <c r="BB121" s="121" t="inlineStr">
        <is>
          <t>—</t>
        </is>
      </c>
      <c r="BC121" s="121" t="inlineStr">
        <is>
          <t>—</t>
        </is>
      </c>
      <c r="BD121" s="126" t="n">
        <v>1.2</v>
      </c>
      <c r="BH121" s="119" t="inlineStr">
        <is>
          <t>Ukraine</t>
        </is>
      </c>
      <c r="BI121" s="122" t="n">
        <v>0</v>
      </c>
      <c r="BJ121" s="122" t="n">
        <v>0</v>
      </c>
      <c r="BK121" s="122" t="n">
        <v>0</v>
      </c>
      <c r="BL121" s="122" t="n">
        <v>0</v>
      </c>
      <c r="BM121" s="123">
        <f>Attached_sourcedAlumina_and!P45</f>
        <v/>
      </c>
      <c r="BN121" s="122" t="n">
        <v>0</v>
      </c>
      <c r="BO121" s="122" t="n">
        <v>1.2</v>
      </c>
    </row>
    <row r="122" ht="12.5" customHeight="1" s="213">
      <c r="C122" s="141" t="inlineStr">
        <is>
          <t>ACT_COST</t>
        </is>
      </c>
      <c r="D122" s="130" t="inlineStr">
        <is>
          <t>DirRecy-NMC532</t>
        </is>
      </c>
      <c r="E122" s="130" t="n">
        <v>3.56585961680177</v>
      </c>
      <c r="F122" s="240" t="n">
        <v>2.70768592483419</v>
      </c>
      <c r="G122" s="240" t="n">
        <v>4.43882940309506</v>
      </c>
      <c r="K122">
        <f>E122*3-F122-G122</f>
        <v/>
      </c>
      <c r="M122" s="132" t="n">
        <v>2020</v>
      </c>
      <c r="N122" s="132" t="inlineStr">
        <is>
          <t>ACT_COST</t>
        </is>
      </c>
      <c r="O122" s="132" t="inlineStr">
        <is>
          <t>DirRecy-NMC532</t>
        </is>
      </c>
      <c r="P122" s="132">
        <f>E122</f>
        <v/>
      </c>
      <c r="Q122" s="132">
        <f>F122</f>
        <v/>
      </c>
      <c r="R122" s="132">
        <f>G122</f>
        <v/>
      </c>
      <c r="AB122" s="141" t="n"/>
      <c r="AC122" s="141" t="n"/>
      <c r="AW122" s="120" t="inlineStr">
        <is>
          <t>WBK</t>
        </is>
      </c>
      <c r="AX122" s="121" t="inlineStr">
        <is>
          <t>—</t>
        </is>
      </c>
      <c r="AY122" s="121" t="inlineStr">
        <is>
          <t>—</t>
        </is>
      </c>
      <c r="AZ122" s="121" t="inlineStr">
        <is>
          <t>—</t>
        </is>
      </c>
      <c r="BA122" s="121" t="inlineStr">
        <is>
          <t>—</t>
        </is>
      </c>
      <c r="BB122" s="121" t="inlineStr">
        <is>
          <t>—</t>
        </is>
      </c>
      <c r="BC122" s="121" t="inlineStr">
        <is>
          <t>—</t>
        </is>
      </c>
      <c r="BD122" s="121" t="inlineStr">
        <is>
          <t>—</t>
        </is>
      </c>
      <c r="BH122" s="115" t="inlineStr">
        <is>
          <t>World</t>
        </is>
      </c>
      <c r="BI122" s="116" t="n">
        <v>240</v>
      </c>
      <c r="BJ122" s="135" t="n">
        <v>3700</v>
      </c>
      <c r="BK122" s="116" t="n">
        <v>290</v>
      </c>
      <c r="BL122" s="135" t="n">
        <v>20200</v>
      </c>
      <c r="BM122" s="123">
        <f>Attached_sourcedAlumina_and!P46</f>
        <v/>
      </c>
      <c r="BN122" s="135" t="n">
        <v>22000</v>
      </c>
      <c r="BO122" s="135" t="n">
        <v>1631</v>
      </c>
    </row>
    <row r="123" ht="12.5" customHeight="1" s="213">
      <c r="C123" s="141" t="inlineStr">
        <is>
          <t>ACT_COST</t>
        </is>
      </c>
      <c r="D123" s="130" t="inlineStr">
        <is>
          <t>DirRecy-NMC622</t>
        </is>
      </c>
      <c r="E123" s="130" t="n">
        <v>3.56556266273643</v>
      </c>
      <c r="F123" s="240" t="n">
        <v>2.70746042741341</v>
      </c>
      <c r="G123" s="240" t="n">
        <v>4.4384597641857</v>
      </c>
      <c r="K123">
        <f>E123*3-F123-G123</f>
        <v/>
      </c>
      <c r="M123" s="132" t="n">
        <v>2020</v>
      </c>
      <c r="N123" s="132" t="inlineStr">
        <is>
          <t>ACT_COST</t>
        </is>
      </c>
      <c r="O123" s="132" t="inlineStr">
        <is>
          <t>DirRecy-NMC622</t>
        </is>
      </c>
      <c r="P123" s="132">
        <f>E123</f>
        <v/>
      </c>
      <c r="Q123" s="132">
        <f>F123</f>
        <v/>
      </c>
      <c r="R123" s="132">
        <f>G123</f>
        <v/>
      </c>
      <c r="AB123" s="141" t="n"/>
      <c r="AC123" s="141" t="n"/>
      <c r="AW123" s="136" t="inlineStr">
        <is>
          <t>World</t>
        </is>
      </c>
      <c r="AX123" s="137" t="n">
        <v>240</v>
      </c>
      <c r="AY123" s="137" t="n">
        <v>290</v>
      </c>
      <c r="AZ123" s="138" t="n">
        <v>3700</v>
      </c>
      <c r="BA123" s="138" t="n">
        <v>20200</v>
      </c>
      <c r="BB123" s="138" t="n">
        <v>22000</v>
      </c>
      <c r="BC123" s="138" t="n">
        <v>72000</v>
      </c>
      <c r="BD123" s="138" t="n">
        <v>1631</v>
      </c>
    </row>
    <row r="124" ht="12.5" customHeight="1" s="213">
      <c r="C124" s="141" t="inlineStr">
        <is>
          <t>ACT_COST</t>
        </is>
      </c>
      <c r="D124" s="139" t="inlineStr">
        <is>
          <t>DirRecy-NMC811</t>
        </is>
      </c>
      <c r="E124" s="130" t="n">
        <v>3.56496890198968</v>
      </c>
      <c r="F124" s="240" t="n">
        <v>2.70700957995578</v>
      </c>
      <c r="G124" s="240" t="n">
        <v>4.43772063375092</v>
      </c>
      <c r="K124">
        <f>E124*3-F124-G124</f>
        <v/>
      </c>
      <c r="M124" s="132" t="n">
        <v>2020</v>
      </c>
      <c r="N124" s="132" t="inlineStr">
        <is>
          <t>ACT_COST</t>
        </is>
      </c>
      <c r="O124" s="132" t="inlineStr">
        <is>
          <t>DirRecy-NMC811</t>
        </is>
      </c>
      <c r="P124" s="132">
        <f>E124</f>
        <v/>
      </c>
      <c r="Q124" s="132">
        <f>F124</f>
        <v/>
      </c>
      <c r="R124" s="132">
        <f>G124</f>
        <v/>
      </c>
      <c r="AB124" s="141" t="n"/>
      <c r="AC124" s="141" t="n"/>
    </row>
    <row r="125" ht="12.5" customHeight="1" s="213"/>
    <row r="126" ht="12.5" customHeight="1" s="213"/>
    <row r="127" ht="12.5" customHeight="1" s="213"/>
    <row r="129" ht="12.5" customHeight="1" s="213">
      <c r="C129" s="14" t="n"/>
      <c r="D129" s="14" t="n"/>
      <c r="E129" s="14" t="n"/>
      <c r="F129" s="14" t="n"/>
      <c r="G129" s="14" t="n"/>
    </row>
    <row r="130" ht="12.5" customHeight="1" s="213">
      <c r="C130" s="14" t="n"/>
      <c r="D130" s="14" t="inlineStr">
        <is>
          <t>~TFM_INS</t>
        </is>
      </c>
      <c r="E130" s="14" t="n"/>
      <c r="F130" s="14" t="n"/>
      <c r="G130" s="14" t="n"/>
    </row>
    <row r="131" ht="12.5" customHeight="1" s="213">
      <c r="C131" s="14" t="n"/>
      <c r="D131" s="14" t="n"/>
      <c r="E131" s="14" t="n"/>
      <c r="F131" s="14" t="n"/>
      <c r="G131" s="14" t="n"/>
    </row>
    <row r="132" ht="12.5" customHeight="1" s="213">
      <c r="C132" s="94" t="n"/>
      <c r="D132" s="14" t="n"/>
      <c r="E132" s="14" t="n"/>
      <c r="F132" s="14" t="n"/>
      <c r="G132" s="14" t="n"/>
      <c r="M132" s="141" t="n"/>
      <c r="Y132" s="141" t="n"/>
      <c r="AE132" s="141" t="n"/>
      <c r="AF132" t="inlineStr">
        <is>
          <t>~TFM_INS</t>
        </is>
      </c>
    </row>
    <row r="133" ht="12.5" customHeight="1" s="213">
      <c r="C133" s="94" t="inlineStr">
        <is>
          <t>attribute</t>
        </is>
      </c>
      <c r="D133" s="91" t="inlineStr">
        <is>
          <t>process</t>
        </is>
      </c>
      <c r="E133" s="91" t="inlineStr">
        <is>
          <t>AllRegions</t>
        </is>
      </c>
      <c r="F133" s="91" t="n"/>
      <c r="G133" s="91" t="n"/>
      <c r="M133" s="141" t="n"/>
      <c r="N133" s="141" t="n"/>
      <c r="O133" s="141" t="n"/>
      <c r="P133" s="141" t="n"/>
      <c r="Q133" s="141" t="n"/>
      <c r="Y133" s="141" t="n"/>
      <c r="Z133" s="142" t="n"/>
      <c r="AA133" s="142" t="n"/>
      <c r="AB133" s="141" t="n"/>
      <c r="AC133" s="141" t="n"/>
      <c r="AD133" t="inlineStr">
        <is>
          <t>year</t>
        </is>
      </c>
      <c r="AE133" s="141" t="inlineStr">
        <is>
          <t>attribute</t>
        </is>
      </c>
      <c r="AF133" s="130" t="inlineStr">
        <is>
          <t>process</t>
        </is>
      </c>
      <c r="AG133" s="130" t="inlineStr">
        <is>
          <t>AllRegions</t>
        </is>
      </c>
      <c r="AH133" s="130" t="inlineStr">
        <is>
          <t>China</t>
        </is>
      </c>
      <c r="AI133" s="130" t="inlineStr">
        <is>
          <t>NorthAm</t>
        </is>
      </c>
    </row>
    <row r="134" ht="12.5" customHeight="1" s="213">
      <c r="C134" s="94" t="inlineStr">
        <is>
          <t>NCAP_COST</t>
        </is>
      </c>
      <c r="D134" s="91" t="inlineStr">
        <is>
          <t>PyroRecy-LFP</t>
        </is>
      </c>
      <c r="E134" s="91" t="n">
        <v>0.1</v>
      </c>
      <c r="F134" s="241" t="n"/>
      <c r="G134" s="241" t="n"/>
      <c r="M134" s="141" t="n"/>
      <c r="N134" s="141" t="n"/>
      <c r="O134" s="141" t="n"/>
      <c r="P134" s="141" t="n"/>
      <c r="Q134" s="141" t="n"/>
      <c r="Y134" s="141" t="n"/>
      <c r="Z134" s="142" t="n"/>
      <c r="AA134" s="142" t="n"/>
      <c r="AB134" s="141" t="n"/>
      <c r="AC134" s="141" t="n"/>
      <c r="AD134" t="n">
        <v>2050</v>
      </c>
      <c r="AE134" s="141" t="inlineStr">
        <is>
          <t>ACT_COST</t>
        </is>
      </c>
      <c r="AF134" s="130" t="inlineStr">
        <is>
          <t>PyroRecy-LFP</t>
        </is>
      </c>
      <c r="AG134" s="130">
        <f>E104*0.313</f>
        <v/>
      </c>
      <c r="AH134" s="130">
        <f>F104*0.313</f>
        <v/>
      </c>
      <c r="AI134" s="130">
        <f>G104*0.313</f>
        <v/>
      </c>
    </row>
    <row r="135" ht="12.5" customHeight="1" s="213">
      <c r="C135" s="94" t="inlineStr">
        <is>
          <t>NCAP_COST</t>
        </is>
      </c>
      <c r="D135" s="91" t="inlineStr">
        <is>
          <t>PyroRecy-LMO</t>
        </is>
      </c>
      <c r="E135" s="91">
        <f>E134</f>
        <v/>
      </c>
      <c r="F135" s="241" t="n"/>
      <c r="G135" s="241" t="n"/>
      <c r="M135" s="141" t="n"/>
      <c r="N135" s="141" t="n"/>
      <c r="O135" s="141" t="n"/>
      <c r="P135" s="141" t="n"/>
      <c r="Q135" s="141" t="n"/>
      <c r="Y135" s="141" t="n"/>
      <c r="Z135" s="142" t="n"/>
      <c r="AA135" s="142" t="n"/>
      <c r="AB135" s="141" t="n"/>
      <c r="AC135" s="141" t="n"/>
      <c r="AD135" t="n">
        <v>2050</v>
      </c>
      <c r="AE135" s="141" t="inlineStr">
        <is>
          <t>ACT_COST</t>
        </is>
      </c>
      <c r="AF135" s="130" t="inlineStr">
        <is>
          <t>PyroRecy-LMO</t>
        </is>
      </c>
      <c r="AG135" s="130">
        <f>E105*0.313</f>
        <v/>
      </c>
      <c r="AH135" s="130">
        <f>F105*0.313</f>
        <v/>
      </c>
      <c r="AI135" s="130">
        <f>G105*0.313</f>
        <v/>
      </c>
    </row>
    <row r="136" ht="12.5" customHeight="1" s="213">
      <c r="C136" s="94" t="inlineStr">
        <is>
          <t>NCAP_COST</t>
        </is>
      </c>
      <c r="D136" s="91" t="inlineStr">
        <is>
          <t>PyroRecy-NCA</t>
        </is>
      </c>
      <c r="E136" s="91">
        <f>E135</f>
        <v/>
      </c>
      <c r="F136" s="241" t="n"/>
      <c r="G136" s="241" t="n"/>
      <c r="M136" s="141" t="n"/>
      <c r="N136" s="141" t="n"/>
      <c r="O136" s="141" t="n"/>
      <c r="P136" s="141" t="n"/>
      <c r="Q136" s="141" t="n"/>
      <c r="Y136" s="141" t="n"/>
      <c r="Z136" s="142" t="n"/>
      <c r="AA136" s="142" t="n"/>
      <c r="AB136" s="141" t="n"/>
      <c r="AC136" s="141" t="n"/>
      <c r="AD136" t="n">
        <v>2050</v>
      </c>
      <c r="AE136" s="141" t="inlineStr">
        <is>
          <t>ACT_COST</t>
        </is>
      </c>
      <c r="AF136" s="130" t="inlineStr">
        <is>
          <t>PyroRecy-NCA</t>
        </is>
      </c>
      <c r="AG136" s="130">
        <f>E106*0.313</f>
        <v/>
      </c>
      <c r="AH136" s="130">
        <f>F106*0.313</f>
        <v/>
      </c>
      <c r="AI136" s="130">
        <f>G106*0.313</f>
        <v/>
      </c>
    </row>
    <row r="137" ht="12.5" customHeight="1" s="213">
      <c r="C137" s="94" t="inlineStr">
        <is>
          <t>NCAP_COST</t>
        </is>
      </c>
      <c r="D137" s="91" t="inlineStr">
        <is>
          <t>PyroRecy-NMC111</t>
        </is>
      </c>
      <c r="E137" s="91">
        <f>E136</f>
        <v/>
      </c>
      <c r="F137" s="241" t="n"/>
      <c r="G137" s="241" t="n"/>
      <c r="M137" s="141" t="n"/>
      <c r="N137" s="141" t="n"/>
      <c r="O137" s="141" t="n"/>
      <c r="P137" s="141" t="n"/>
      <c r="Q137" s="141" t="n"/>
      <c r="Y137" s="141" t="n"/>
      <c r="Z137" s="142" t="n"/>
      <c r="AA137" s="142" t="n"/>
      <c r="AB137" s="141" t="n"/>
      <c r="AC137" s="141" t="n"/>
      <c r="AD137" t="n">
        <v>2050</v>
      </c>
      <c r="AE137" s="141" t="inlineStr">
        <is>
          <t>ACT_COST</t>
        </is>
      </c>
      <c r="AF137" s="130" t="inlineStr">
        <is>
          <t>PyroRecy-NMC111</t>
        </is>
      </c>
      <c r="AG137" s="130">
        <f>E107*0.313</f>
        <v/>
      </c>
      <c r="AH137" s="130">
        <f>F107*0.313</f>
        <v/>
      </c>
      <c r="AI137" s="130">
        <f>G107*0.313</f>
        <v/>
      </c>
    </row>
    <row r="138" ht="12.5" customHeight="1" s="213">
      <c r="C138" s="94" t="inlineStr">
        <is>
          <t>NCAP_COST</t>
        </is>
      </c>
      <c r="D138" s="91" t="inlineStr">
        <is>
          <t>PyroRecy-NMC532</t>
        </is>
      </c>
      <c r="E138" s="91">
        <f>E137</f>
        <v/>
      </c>
      <c r="F138" s="241" t="n"/>
      <c r="G138" s="241" t="n"/>
      <c r="M138" s="141" t="n"/>
      <c r="N138" s="141" t="n"/>
      <c r="O138" s="141" t="n"/>
      <c r="P138" s="141" t="n"/>
      <c r="Q138" s="141" t="n"/>
      <c r="Y138" s="141" t="n"/>
      <c r="Z138" s="142" t="n"/>
      <c r="AA138" s="142" t="n"/>
      <c r="AB138" s="141" t="n"/>
      <c r="AC138" s="141" t="n"/>
      <c r="AD138" t="n">
        <v>2050</v>
      </c>
      <c r="AE138" s="141" t="inlineStr">
        <is>
          <t>ACT_COST</t>
        </is>
      </c>
      <c r="AF138" s="130" t="inlineStr">
        <is>
          <t>PyroRecy-NMC532</t>
        </is>
      </c>
      <c r="AG138" s="130">
        <f>E108*0.313</f>
        <v/>
      </c>
      <c r="AH138" s="130">
        <f>F108*0.313</f>
        <v/>
      </c>
      <c r="AI138" s="130">
        <f>G108*0.313</f>
        <v/>
      </c>
    </row>
    <row r="139" ht="12.5" customHeight="1" s="213">
      <c r="C139" s="94" t="inlineStr">
        <is>
          <t>NCAP_COST</t>
        </is>
      </c>
      <c r="D139" s="91" t="inlineStr">
        <is>
          <t>PyroRecy-NMC622</t>
        </is>
      </c>
      <c r="E139" s="91">
        <f>E138</f>
        <v/>
      </c>
      <c r="F139" s="241" t="n"/>
      <c r="G139" s="241" t="n"/>
      <c r="M139" s="141" t="n"/>
      <c r="N139" s="141" t="n"/>
      <c r="O139" s="141" t="n"/>
      <c r="P139" s="141" t="n"/>
      <c r="Q139" s="141" t="n"/>
      <c r="Y139" s="141" t="n"/>
      <c r="Z139" s="142" t="n"/>
      <c r="AA139" s="142" t="n"/>
      <c r="AB139" s="141" t="n"/>
      <c r="AC139" s="141" t="n"/>
      <c r="AD139" t="n">
        <v>2050</v>
      </c>
      <c r="AE139" s="141" t="inlineStr">
        <is>
          <t>ACT_COST</t>
        </is>
      </c>
      <c r="AF139" s="130" t="inlineStr">
        <is>
          <t>PyroRecy-NMC622</t>
        </is>
      </c>
      <c r="AG139" s="130">
        <f>E109*0.313</f>
        <v/>
      </c>
      <c r="AH139" s="130">
        <f>F109*0.313</f>
        <v/>
      </c>
      <c r="AI139" s="130">
        <f>G109*0.313</f>
        <v/>
      </c>
    </row>
    <row r="140" ht="12.5" customHeight="1" s="213">
      <c r="C140" s="94" t="inlineStr">
        <is>
          <t>NCAP_COST</t>
        </is>
      </c>
      <c r="D140" s="91" t="inlineStr">
        <is>
          <t>PyroRecy-NMC811</t>
        </is>
      </c>
      <c r="E140" s="91">
        <f>E139</f>
        <v/>
      </c>
      <c r="F140" s="241" t="n"/>
      <c r="G140" s="241" t="n"/>
      <c r="M140" s="141" t="n"/>
      <c r="N140" s="141" t="n"/>
      <c r="O140" s="141" t="n"/>
      <c r="P140" s="141" t="n"/>
      <c r="Q140" s="141" t="n"/>
      <c r="Y140" s="141" t="n"/>
      <c r="Z140" s="142" t="n"/>
      <c r="AA140" s="142" t="n"/>
      <c r="AB140" s="141" t="n"/>
      <c r="AC140" s="141" t="n"/>
      <c r="AD140" t="n">
        <v>2050</v>
      </c>
      <c r="AE140" s="141" t="inlineStr">
        <is>
          <t>ACT_COST</t>
        </is>
      </c>
      <c r="AF140" s="130" t="inlineStr">
        <is>
          <t>PyroRecy-NMC811</t>
        </is>
      </c>
      <c r="AG140" s="130">
        <f>E110*0.313</f>
        <v/>
      </c>
      <c r="AH140" s="130">
        <f>F110*0.313</f>
        <v/>
      </c>
      <c r="AI140" s="130">
        <f>G110*0.313</f>
        <v/>
      </c>
    </row>
    <row r="141" ht="12.5" customHeight="1" s="213">
      <c r="C141" s="94" t="inlineStr">
        <is>
          <t>NCAP_COST</t>
        </is>
      </c>
      <c r="D141" s="91" t="inlineStr">
        <is>
          <t>HydRecy-LFP</t>
        </is>
      </c>
      <c r="E141" s="91">
        <f>E140</f>
        <v/>
      </c>
      <c r="F141" s="241" t="n"/>
      <c r="G141" s="241" t="n"/>
      <c r="M141" s="141" t="n"/>
      <c r="N141" s="141" t="n"/>
      <c r="O141" s="141" t="n"/>
      <c r="P141" s="141" t="n"/>
      <c r="Q141" s="141" t="n"/>
      <c r="Y141" s="141" t="n"/>
      <c r="Z141" s="142" t="n"/>
      <c r="AA141" s="142" t="n"/>
      <c r="AB141" s="141" t="n"/>
      <c r="AC141" s="141" t="n"/>
      <c r="AD141" t="n">
        <v>2050</v>
      </c>
      <c r="AE141" s="141" t="inlineStr">
        <is>
          <t>ACT_COST</t>
        </is>
      </c>
      <c r="AF141" s="130" t="inlineStr">
        <is>
          <t>HydRecy-LFP</t>
        </is>
      </c>
      <c r="AG141" s="130">
        <f>E111*0.313</f>
        <v/>
      </c>
      <c r="AH141" s="130">
        <f>F111*0.313</f>
        <v/>
      </c>
      <c r="AI141" s="130">
        <f>G111*0.313</f>
        <v/>
      </c>
    </row>
    <row r="142" ht="12.5" customHeight="1" s="213">
      <c r="C142" s="94" t="inlineStr">
        <is>
          <t>NCAP_COST</t>
        </is>
      </c>
      <c r="D142" s="91" t="inlineStr">
        <is>
          <t>HydRecy-LMO</t>
        </is>
      </c>
      <c r="E142" s="91">
        <f>E141</f>
        <v/>
      </c>
      <c r="F142" s="241" t="n"/>
      <c r="G142" s="241" t="n"/>
      <c r="M142" s="141" t="n"/>
      <c r="N142" s="141" t="n"/>
      <c r="O142" s="141" t="n"/>
      <c r="P142" s="141" t="n"/>
      <c r="Q142" s="141" t="n"/>
      <c r="Y142" s="141" t="n"/>
      <c r="Z142" s="142" t="n"/>
      <c r="AA142" s="142" t="n"/>
      <c r="AB142" s="141" t="n"/>
      <c r="AC142" s="141" t="n"/>
      <c r="AD142" t="n">
        <v>2050</v>
      </c>
      <c r="AE142" s="141" t="inlineStr">
        <is>
          <t>ACT_COST</t>
        </is>
      </c>
      <c r="AF142" s="130" t="inlineStr">
        <is>
          <t>HydRecy-LMO</t>
        </is>
      </c>
      <c r="AG142" s="130">
        <f>E112*0.313</f>
        <v/>
      </c>
      <c r="AH142" s="130">
        <f>F112*0.313</f>
        <v/>
      </c>
      <c r="AI142" s="130">
        <f>G112*0.313</f>
        <v/>
      </c>
    </row>
    <row r="143" ht="12.5" customHeight="1" s="213">
      <c r="C143" s="94" t="inlineStr">
        <is>
          <t>NCAP_COST</t>
        </is>
      </c>
      <c r="D143" s="91" t="inlineStr">
        <is>
          <t>HydRecy-NCA</t>
        </is>
      </c>
      <c r="E143" s="91">
        <f>E142</f>
        <v/>
      </c>
      <c r="F143" s="241" t="n"/>
      <c r="G143" s="241" t="n"/>
      <c r="M143" s="141" t="n"/>
      <c r="N143" s="141" t="n"/>
      <c r="O143" s="141" t="n"/>
      <c r="P143" s="141" t="n"/>
      <c r="Q143" s="141" t="n"/>
      <c r="Y143" s="141" t="n"/>
      <c r="Z143" s="142" t="n"/>
      <c r="AA143" s="142" t="n"/>
      <c r="AB143" s="141" t="n"/>
      <c r="AC143" s="141" t="n"/>
      <c r="AD143" t="n">
        <v>2050</v>
      </c>
      <c r="AE143" s="141" t="inlineStr">
        <is>
          <t>ACT_COST</t>
        </is>
      </c>
      <c r="AF143" s="130" t="inlineStr">
        <is>
          <t>HydRecy-NCA</t>
        </is>
      </c>
      <c r="AG143" s="130">
        <f>E113*0.313</f>
        <v/>
      </c>
      <c r="AH143" s="130">
        <f>F113*0.313</f>
        <v/>
      </c>
      <c r="AI143" s="130">
        <f>G113*0.313</f>
        <v/>
      </c>
    </row>
    <row r="144" ht="12.5" customHeight="1" s="213">
      <c r="C144" s="94" t="inlineStr">
        <is>
          <t>NCAP_COST</t>
        </is>
      </c>
      <c r="D144" s="91" t="inlineStr">
        <is>
          <t>HydRecy-NMC111</t>
        </is>
      </c>
      <c r="E144" s="91">
        <f>E143</f>
        <v/>
      </c>
      <c r="F144" s="241" t="n"/>
      <c r="G144" s="241" t="n"/>
      <c r="M144" s="141" t="n"/>
      <c r="N144" s="141" t="n"/>
      <c r="O144" s="141" t="n"/>
      <c r="P144" s="141" t="n"/>
      <c r="Q144" s="141" t="n"/>
      <c r="Y144" s="141" t="n"/>
      <c r="Z144" s="142" t="n"/>
      <c r="AA144" s="142" t="n"/>
      <c r="AB144" s="141" t="n"/>
      <c r="AC144" s="141" t="n"/>
      <c r="AD144" t="n">
        <v>2050</v>
      </c>
      <c r="AE144" s="141" t="inlineStr">
        <is>
          <t>ACT_COST</t>
        </is>
      </c>
      <c r="AF144" s="130" t="inlineStr">
        <is>
          <t>HydRecy-NMC111</t>
        </is>
      </c>
      <c r="AG144" s="130">
        <f>E114*0.313</f>
        <v/>
      </c>
      <c r="AH144" s="130">
        <f>F114*0.313</f>
        <v/>
      </c>
      <c r="AI144" s="130">
        <f>G114*0.313</f>
        <v/>
      </c>
    </row>
    <row r="145" ht="12.5" customHeight="1" s="213">
      <c r="C145" s="94" t="inlineStr">
        <is>
          <t>NCAP_COST</t>
        </is>
      </c>
      <c r="D145" s="91" t="inlineStr">
        <is>
          <t>HydRecy-NMC532</t>
        </is>
      </c>
      <c r="E145" s="91">
        <f>E144</f>
        <v/>
      </c>
      <c r="F145" s="241" t="n"/>
      <c r="G145" s="241" t="n"/>
      <c r="M145" s="141" t="n"/>
      <c r="N145" s="141" t="n"/>
      <c r="O145" s="141" t="n"/>
      <c r="P145" s="141" t="n"/>
      <c r="Q145" s="141" t="n"/>
      <c r="Y145" s="141" t="n"/>
      <c r="Z145" s="142" t="n"/>
      <c r="AA145" s="142" t="n"/>
      <c r="AB145" s="141" t="n"/>
      <c r="AC145" s="141" t="n"/>
      <c r="AD145" t="n">
        <v>2050</v>
      </c>
      <c r="AE145" s="141" t="inlineStr">
        <is>
          <t>ACT_COST</t>
        </is>
      </c>
      <c r="AF145" s="130" t="inlineStr">
        <is>
          <t>HydRecy-NMC532</t>
        </is>
      </c>
      <c r="AG145" s="130">
        <f>E115*0.313</f>
        <v/>
      </c>
      <c r="AH145" s="130">
        <f>F115*0.313</f>
        <v/>
      </c>
      <c r="AI145" s="130">
        <f>G115*0.313</f>
        <v/>
      </c>
    </row>
    <row r="146" ht="12.5" customHeight="1" s="213">
      <c r="C146" s="94" t="inlineStr">
        <is>
          <t>NCAP_COST</t>
        </is>
      </c>
      <c r="D146" s="91" t="inlineStr">
        <is>
          <t>HydRecy-NMC622</t>
        </is>
      </c>
      <c r="E146" s="91">
        <f>E145</f>
        <v/>
      </c>
      <c r="F146" s="241" t="n"/>
      <c r="G146" s="241" t="n"/>
      <c r="M146" s="141" t="n"/>
      <c r="N146" s="141" t="n"/>
      <c r="O146" s="141" t="n"/>
      <c r="P146" s="141" t="n"/>
      <c r="Q146" s="141" t="n"/>
      <c r="Y146" s="141" t="n"/>
      <c r="Z146" s="142" t="n"/>
      <c r="AA146" s="142" t="n"/>
      <c r="AB146" s="141" t="n"/>
      <c r="AC146" s="141" t="n"/>
      <c r="AD146" t="n">
        <v>2050</v>
      </c>
      <c r="AE146" s="141" t="inlineStr">
        <is>
          <t>ACT_COST</t>
        </is>
      </c>
      <c r="AF146" s="130" t="inlineStr">
        <is>
          <t>HydRecy-NMC622</t>
        </is>
      </c>
      <c r="AG146" s="130">
        <f>E116*0.313</f>
        <v/>
      </c>
      <c r="AH146" s="130">
        <f>F116*0.313</f>
        <v/>
      </c>
      <c r="AI146" s="130">
        <f>G116*0.313</f>
        <v/>
      </c>
    </row>
    <row r="147" ht="12.5" customHeight="1" s="213">
      <c r="C147" s="94" t="inlineStr">
        <is>
          <t>NCAP_COST</t>
        </is>
      </c>
      <c r="D147" s="91" t="inlineStr">
        <is>
          <t>HydRecy-NMC811</t>
        </is>
      </c>
      <c r="E147" s="91">
        <f>E146</f>
        <v/>
      </c>
      <c r="F147" s="241" t="n"/>
      <c r="G147" s="241" t="n"/>
      <c r="M147" s="141" t="n"/>
      <c r="N147" s="141" t="n"/>
      <c r="O147" s="141" t="n"/>
      <c r="P147" s="141" t="n"/>
      <c r="Q147" s="141" t="n"/>
      <c r="Y147" s="141" t="n"/>
      <c r="Z147" s="142" t="n"/>
      <c r="AA147" s="142" t="n"/>
      <c r="AB147" s="141" t="n"/>
      <c r="AC147" s="141" t="n"/>
      <c r="AD147" t="n">
        <v>2050</v>
      </c>
      <c r="AE147" s="141" t="inlineStr">
        <is>
          <t>ACT_COST</t>
        </is>
      </c>
      <c r="AF147" s="130" t="inlineStr">
        <is>
          <t>HydRecy-NMC811</t>
        </is>
      </c>
      <c r="AG147" s="130">
        <f>E117*0.313</f>
        <v/>
      </c>
      <c r="AH147" s="130">
        <f>F117*0.313</f>
        <v/>
      </c>
      <c r="AI147" s="130">
        <f>G117*0.313</f>
        <v/>
      </c>
    </row>
    <row r="148" ht="12.5" customHeight="1" s="213">
      <c r="C148" s="94" t="inlineStr">
        <is>
          <t>NCAP_COST</t>
        </is>
      </c>
      <c r="D148" s="91" t="inlineStr">
        <is>
          <t>DirRecy-LFP</t>
        </is>
      </c>
      <c r="E148" s="91">
        <f>E147</f>
        <v/>
      </c>
      <c r="F148" s="241" t="n"/>
      <c r="G148" s="241" t="n"/>
      <c r="M148" s="141" t="n"/>
      <c r="N148" s="141" t="n"/>
      <c r="O148" s="141" t="n"/>
      <c r="P148" s="141" t="n"/>
      <c r="Q148" s="141" t="n"/>
      <c r="Y148" s="141" t="n"/>
      <c r="Z148" s="142" t="n"/>
      <c r="AA148" s="142" t="n"/>
      <c r="AB148" s="141" t="n"/>
      <c r="AC148" s="141" t="n"/>
      <c r="AD148" t="n">
        <v>2050</v>
      </c>
      <c r="AE148" s="141" t="inlineStr">
        <is>
          <t>ACT_COST</t>
        </is>
      </c>
      <c r="AF148" s="130" t="inlineStr">
        <is>
          <t>DirRecy-LFP</t>
        </is>
      </c>
      <c r="AG148" s="130">
        <f>E118*0.313</f>
        <v/>
      </c>
      <c r="AH148" s="130">
        <f>F118*0.313</f>
        <v/>
      </c>
      <c r="AI148" s="130">
        <f>G118*0.313</f>
        <v/>
      </c>
    </row>
    <row r="149" ht="12.5" customHeight="1" s="213">
      <c r="C149" s="94" t="inlineStr">
        <is>
          <t>NCAP_COST</t>
        </is>
      </c>
      <c r="D149" s="91" t="inlineStr">
        <is>
          <t>DirRecy-LMO</t>
        </is>
      </c>
      <c r="E149" s="91">
        <f>E148</f>
        <v/>
      </c>
      <c r="F149" s="241" t="n"/>
      <c r="G149" s="241" t="n"/>
      <c r="M149" s="141" t="n"/>
      <c r="N149" s="141" t="n"/>
      <c r="O149" s="141" t="n"/>
      <c r="P149" s="141" t="n"/>
      <c r="Q149" s="141" t="n"/>
      <c r="Y149" s="141" t="n"/>
      <c r="Z149" s="142" t="n"/>
      <c r="AA149" s="142" t="n"/>
      <c r="AB149" s="141" t="n"/>
      <c r="AC149" s="141" t="n"/>
      <c r="AD149" t="n">
        <v>2050</v>
      </c>
      <c r="AE149" s="141" t="inlineStr">
        <is>
          <t>ACT_COST</t>
        </is>
      </c>
      <c r="AF149" s="130" t="inlineStr">
        <is>
          <t>DirRecy-LMO</t>
        </is>
      </c>
      <c r="AG149" s="130">
        <f>E119*0.313</f>
        <v/>
      </c>
      <c r="AH149" s="130">
        <f>F119*0.313</f>
        <v/>
      </c>
      <c r="AI149" s="130">
        <f>G119*0.313</f>
        <v/>
      </c>
    </row>
    <row r="150" ht="12.5" customHeight="1" s="213">
      <c r="C150" s="94" t="inlineStr">
        <is>
          <t>NCAP_COST</t>
        </is>
      </c>
      <c r="D150" s="91" t="inlineStr">
        <is>
          <t>DirRecy-NCA</t>
        </is>
      </c>
      <c r="E150" s="91">
        <f>E149</f>
        <v/>
      </c>
      <c r="F150" s="241" t="n"/>
      <c r="G150" s="241" t="n"/>
      <c r="M150" s="141" t="n"/>
      <c r="N150" s="141" t="n"/>
      <c r="O150" s="141" t="n"/>
      <c r="P150" s="141" t="n"/>
      <c r="Q150" s="141" t="n"/>
      <c r="Y150" s="141" t="n"/>
      <c r="Z150" s="142" t="n"/>
      <c r="AA150" s="142" t="n"/>
      <c r="AB150" s="141" t="n"/>
      <c r="AC150" s="141" t="n"/>
      <c r="AD150" t="n">
        <v>2050</v>
      </c>
      <c r="AE150" s="141" t="inlineStr">
        <is>
          <t>ACT_COST</t>
        </is>
      </c>
      <c r="AF150" s="130" t="inlineStr">
        <is>
          <t>DirRecy-NCA</t>
        </is>
      </c>
      <c r="AG150" s="130">
        <f>E120*0.313</f>
        <v/>
      </c>
      <c r="AH150" s="130">
        <f>F120*0.313</f>
        <v/>
      </c>
      <c r="AI150" s="130">
        <f>G120*0.313</f>
        <v/>
      </c>
    </row>
    <row r="151" ht="12.5" customHeight="1" s="213">
      <c r="C151" s="94" t="inlineStr">
        <is>
          <t>NCAP_COST</t>
        </is>
      </c>
      <c r="D151" s="91" t="inlineStr">
        <is>
          <t>DirRecy-NMC111</t>
        </is>
      </c>
      <c r="E151" s="91">
        <f>E150</f>
        <v/>
      </c>
      <c r="F151" s="241" t="n"/>
      <c r="G151" s="241" t="n"/>
      <c r="M151" s="141" t="n"/>
      <c r="N151" s="141" t="n"/>
      <c r="O151" s="141" t="n"/>
      <c r="P151" s="141" t="n"/>
      <c r="Q151" s="141" t="n"/>
      <c r="Y151" s="141" t="n"/>
      <c r="Z151" s="142" t="n"/>
      <c r="AA151" s="142" t="n"/>
      <c r="AB151" s="141" t="n"/>
      <c r="AC151" s="141" t="n"/>
      <c r="AD151" t="n">
        <v>2050</v>
      </c>
      <c r="AE151" s="141" t="inlineStr">
        <is>
          <t>ACT_COST</t>
        </is>
      </c>
      <c r="AF151" s="130" t="inlineStr">
        <is>
          <t>DirRecy-NMC111</t>
        </is>
      </c>
      <c r="AG151" s="130">
        <f>E121*0.313</f>
        <v/>
      </c>
      <c r="AH151" s="130">
        <f>F121*0.313</f>
        <v/>
      </c>
      <c r="AI151" s="130">
        <f>G121*0.313</f>
        <v/>
      </c>
    </row>
    <row r="152" ht="12.5" customHeight="1" s="213">
      <c r="C152" s="94" t="inlineStr">
        <is>
          <t>NCAP_COST</t>
        </is>
      </c>
      <c r="D152" s="91" t="inlineStr">
        <is>
          <t>DirRecy-NMC532</t>
        </is>
      </c>
      <c r="E152" s="91">
        <f>E151</f>
        <v/>
      </c>
      <c r="F152" s="241" t="n"/>
      <c r="G152" s="241" t="n"/>
      <c r="M152" s="141" t="n"/>
      <c r="N152" s="141" t="n"/>
      <c r="O152" s="141" t="n"/>
      <c r="P152" s="141" t="n"/>
      <c r="Q152" s="141" t="n"/>
      <c r="Y152" s="141" t="n"/>
      <c r="Z152" s="142" t="n"/>
      <c r="AA152" s="142" t="n"/>
      <c r="AB152" s="141" t="n"/>
      <c r="AC152" s="141" t="n"/>
      <c r="AD152" t="n">
        <v>2050</v>
      </c>
      <c r="AE152" s="141" t="inlineStr">
        <is>
          <t>ACT_COST</t>
        </is>
      </c>
      <c r="AF152" s="130" t="inlineStr">
        <is>
          <t>DirRecy-NMC532</t>
        </is>
      </c>
      <c r="AG152" s="130">
        <f>E122*0.313</f>
        <v/>
      </c>
      <c r="AH152" s="130">
        <f>F122*0.313</f>
        <v/>
      </c>
      <c r="AI152" s="130">
        <f>G122*0.313</f>
        <v/>
      </c>
    </row>
    <row r="153" ht="12.5" customHeight="1" s="213">
      <c r="C153" s="94" t="inlineStr">
        <is>
          <t>NCAP_COST</t>
        </is>
      </c>
      <c r="D153" s="91" t="inlineStr">
        <is>
          <t>DirRecy-NMC622</t>
        </is>
      </c>
      <c r="E153" s="91">
        <f>E152</f>
        <v/>
      </c>
      <c r="F153" s="241" t="n"/>
      <c r="G153" s="241" t="n"/>
      <c r="M153" s="141" t="n"/>
      <c r="N153" s="141" t="n"/>
      <c r="O153" s="141" t="n"/>
      <c r="P153" s="141" t="n"/>
      <c r="Q153" s="141" t="n"/>
      <c r="Y153" s="141" t="n"/>
      <c r="Z153" s="142" t="n"/>
      <c r="AA153" s="142" t="n"/>
      <c r="AB153" s="141" t="n"/>
      <c r="AC153" s="141" t="n"/>
      <c r="AD153" t="n">
        <v>2050</v>
      </c>
      <c r="AE153" s="141" t="inlineStr">
        <is>
          <t>ACT_COST</t>
        </is>
      </c>
      <c r="AF153" s="130" t="inlineStr">
        <is>
          <t>DirRecy-NMC622</t>
        </is>
      </c>
      <c r="AG153" s="130">
        <f>E123*0.313</f>
        <v/>
      </c>
      <c r="AH153" s="130">
        <f>F123*0.313</f>
        <v/>
      </c>
      <c r="AI153" s="130">
        <f>G123*0.313</f>
        <v/>
      </c>
    </row>
    <row r="154" ht="12.5" customHeight="1" s="213">
      <c r="C154" s="94" t="inlineStr">
        <is>
          <t>NCAP_COST</t>
        </is>
      </c>
      <c r="D154" s="144" t="inlineStr">
        <is>
          <t>DirRecy-NMC811</t>
        </is>
      </c>
      <c r="E154" s="91">
        <f>E153</f>
        <v/>
      </c>
      <c r="F154" s="241" t="n"/>
      <c r="G154" s="241" t="n"/>
      <c r="M154" s="141" t="n"/>
      <c r="N154" s="141" t="n"/>
      <c r="O154" s="141" t="n"/>
      <c r="P154" s="141" t="n"/>
      <c r="Q154" s="141" t="n"/>
      <c r="Y154" s="141" t="n"/>
      <c r="Z154" s="142" t="n"/>
      <c r="AA154" s="142" t="n"/>
      <c r="AB154" s="141" t="n"/>
      <c r="AC154" s="141" t="n"/>
      <c r="AD154" t="n">
        <v>2050</v>
      </c>
      <c r="AE154" s="141" t="inlineStr">
        <is>
          <t>ACT_COST</t>
        </is>
      </c>
      <c r="AF154" s="139" t="inlineStr">
        <is>
          <t>DirRecy-NMC811</t>
        </is>
      </c>
      <c r="AG154" s="130">
        <f>E124*0.313</f>
        <v/>
      </c>
      <c r="AH154" s="130">
        <f>F124*0.313</f>
        <v/>
      </c>
      <c r="AI154" s="130">
        <f>G124*0.313</f>
        <v/>
      </c>
    </row>
    <row r="161" ht="12.5" customHeight="1" s="213">
      <c r="B161" s="84" t="inlineStr">
        <is>
          <t>~TFM_INS</t>
        </is>
      </c>
    </row>
    <row r="164" ht="12.5" customHeight="1" s="213">
      <c r="A164" t="inlineStr">
        <is>
          <t>year</t>
        </is>
      </c>
      <c r="B164" t="inlineStr">
        <is>
          <t>attribute</t>
        </is>
      </c>
      <c r="C164" t="inlineStr">
        <is>
          <t>limtype</t>
        </is>
      </c>
      <c r="D164" t="inlineStr">
        <is>
          <t>process</t>
        </is>
      </c>
      <c r="E164" t="inlineStr">
        <is>
          <t>cset_cn</t>
        </is>
      </c>
      <c r="F164" t="inlineStr">
        <is>
          <t>Africa_North</t>
        </is>
      </c>
      <c r="G164" t="inlineStr">
        <is>
          <t>Africa_Other</t>
        </is>
      </c>
      <c r="H164" t="inlineStr">
        <is>
          <t>Australia</t>
        </is>
      </c>
      <c r="I164" t="inlineStr">
        <is>
          <t>Austria</t>
        </is>
      </c>
      <c r="J164" t="inlineStr">
        <is>
          <t>Baltics</t>
        </is>
      </c>
      <c r="K164" t="inlineStr">
        <is>
          <t>BeNeLux</t>
        </is>
      </c>
      <c r="L164" t="inlineStr">
        <is>
          <t>Brazil</t>
        </is>
      </c>
      <c r="M164" t="inlineStr">
        <is>
          <t>China</t>
        </is>
      </c>
      <c r="N164" t="inlineStr">
        <is>
          <t>CroSloven</t>
        </is>
      </c>
      <c r="O164" t="inlineStr">
        <is>
          <t>CzechSlovak</t>
        </is>
      </c>
      <c r="P164" t="inlineStr">
        <is>
          <t>France</t>
        </is>
      </c>
      <c r="Q164" t="inlineStr">
        <is>
          <t>Germany</t>
        </is>
      </c>
      <c r="R164" t="inlineStr">
        <is>
          <t>GreeceCyp</t>
        </is>
      </c>
      <c r="S164" t="inlineStr">
        <is>
          <t>HunRomBul</t>
        </is>
      </c>
      <c r="T164" t="inlineStr">
        <is>
          <t>Iceland</t>
        </is>
      </c>
      <c r="U164" t="inlineStr">
        <is>
          <t>India</t>
        </is>
      </c>
      <c r="V164" t="inlineStr">
        <is>
          <t>Ireland</t>
        </is>
      </c>
      <c r="W164" t="inlineStr">
        <is>
          <t>ItalyMal</t>
        </is>
      </c>
      <c r="X164" t="inlineStr">
        <is>
          <t>Japan</t>
        </is>
      </c>
      <c r="Y164" t="inlineStr">
        <is>
          <t>LatAm</t>
        </is>
      </c>
      <c r="Z164" t="inlineStr">
        <is>
          <t>MidEast</t>
        </is>
      </c>
      <c r="AA164" t="inlineStr">
        <is>
          <t>NorthAm</t>
        </is>
      </c>
      <c r="AB164" t="inlineStr">
        <is>
          <t>Norway</t>
        </is>
      </c>
      <c r="AC164" t="inlineStr">
        <is>
          <t>Poland</t>
        </is>
      </c>
      <c r="AD164" t="inlineStr">
        <is>
          <t>ROW</t>
        </is>
      </c>
      <c r="AE164" t="inlineStr">
        <is>
          <t>Russia</t>
        </is>
      </c>
      <c r="AF164" t="inlineStr">
        <is>
          <t>SaudiArabia</t>
        </is>
      </c>
      <c r="AG164" t="inlineStr">
        <is>
          <t>SouthAfrica</t>
        </is>
      </c>
      <c r="AH164" t="inlineStr">
        <is>
          <t>SpainPor</t>
        </is>
      </c>
      <c r="AI164" t="inlineStr">
        <is>
          <t>SweFinDen</t>
        </is>
      </c>
      <c r="AJ164" t="inlineStr">
        <is>
          <t>Switzerland</t>
        </is>
      </c>
      <c r="AK164" t="inlineStr">
        <is>
          <t>Turkey</t>
        </is>
      </c>
      <c r="AL164" t="inlineStr">
        <is>
          <t>UK</t>
        </is>
      </c>
      <c r="AM164" t="inlineStr">
        <is>
          <t>Ukraine</t>
        </is>
      </c>
      <c r="AN164" t="inlineStr">
        <is>
          <t>Pset_CO</t>
        </is>
      </c>
    </row>
    <row r="165" ht="12.5" customHeight="1" s="213">
      <c r="A165" t="n">
        <v>2025</v>
      </c>
      <c r="B165" t="inlineStr">
        <is>
          <t>FLO_BND</t>
        </is>
      </c>
      <c r="C165" t="inlineStr">
        <is>
          <t>UP</t>
        </is>
      </c>
      <c r="D165" t="inlineStr">
        <is>
          <t>MINBatMaterials_LI</t>
        </is>
      </c>
      <c r="E165" t="inlineStr">
        <is>
          <t>m_lithium</t>
        </is>
      </c>
      <c r="F165">
        <f>F88</f>
        <v/>
      </c>
      <c r="G165">
        <f>G88</f>
        <v/>
      </c>
      <c r="H165">
        <f>H88</f>
        <v/>
      </c>
      <c r="I165">
        <f>I88</f>
        <v/>
      </c>
      <c r="J165">
        <f>J88</f>
        <v/>
      </c>
      <c r="K165">
        <f>K88</f>
        <v/>
      </c>
      <c r="L165">
        <f>L88</f>
        <v/>
      </c>
      <c r="M165">
        <f>M88</f>
        <v/>
      </c>
      <c r="N165">
        <f>N88</f>
        <v/>
      </c>
      <c r="O165">
        <f>O88</f>
        <v/>
      </c>
      <c r="P165">
        <f>P88</f>
        <v/>
      </c>
      <c r="Q165">
        <f>Q88</f>
        <v/>
      </c>
      <c r="R165">
        <f>R88</f>
        <v/>
      </c>
      <c r="S165">
        <f>S88</f>
        <v/>
      </c>
      <c r="T165">
        <f>T88</f>
        <v/>
      </c>
      <c r="U165">
        <f>U88</f>
        <v/>
      </c>
      <c r="V165">
        <f>V88</f>
        <v/>
      </c>
      <c r="W165">
        <f>W88</f>
        <v/>
      </c>
      <c r="X165">
        <f>X88</f>
        <v/>
      </c>
      <c r="Y165">
        <f>Y88</f>
        <v/>
      </c>
      <c r="Z165">
        <f>Z88</f>
        <v/>
      </c>
      <c r="AA165">
        <f>AA88</f>
        <v/>
      </c>
      <c r="AB165">
        <f>AB88</f>
        <v/>
      </c>
      <c r="AC165">
        <f>AC88</f>
        <v/>
      </c>
      <c r="AD165">
        <f>AD88</f>
        <v/>
      </c>
      <c r="AE165">
        <f>AE88</f>
        <v/>
      </c>
      <c r="AF165">
        <f>AF88</f>
        <v/>
      </c>
      <c r="AG165">
        <f>AG88</f>
        <v/>
      </c>
      <c r="AH165">
        <f>AH88</f>
        <v/>
      </c>
      <c r="AI165">
        <f>AI88</f>
        <v/>
      </c>
      <c r="AJ165">
        <f>AJ88</f>
        <v/>
      </c>
      <c r="AK165">
        <f>AK88</f>
        <v/>
      </c>
      <c r="AL165">
        <f>AL88</f>
        <v/>
      </c>
      <c r="AM165">
        <f>AM88</f>
        <v/>
      </c>
      <c r="AN165" t="inlineStr">
        <is>
          <t>m_lithium</t>
        </is>
      </c>
    </row>
    <row r="166" ht="12.5" customHeight="1" s="213">
      <c r="A166" t="n">
        <v>2025</v>
      </c>
      <c r="B166" t="inlineStr">
        <is>
          <t>FLO_BND</t>
        </is>
      </c>
      <c r="C166" t="inlineStr">
        <is>
          <t>UP</t>
        </is>
      </c>
      <c r="D166" t="inlineStr">
        <is>
          <t>MINBatMaterials_NI</t>
        </is>
      </c>
      <c r="E166" t="inlineStr">
        <is>
          <t>m_nickel</t>
        </is>
      </c>
      <c r="F166">
        <f>F89</f>
        <v/>
      </c>
      <c r="G166">
        <f>G89</f>
        <v/>
      </c>
      <c r="H166">
        <f>H89</f>
        <v/>
      </c>
      <c r="I166">
        <f>I89</f>
        <v/>
      </c>
      <c r="J166">
        <f>J89</f>
        <v/>
      </c>
      <c r="K166">
        <f>K89</f>
        <v/>
      </c>
      <c r="L166">
        <f>L89</f>
        <v/>
      </c>
      <c r="M166">
        <f>M89</f>
        <v/>
      </c>
      <c r="N166">
        <f>N89</f>
        <v/>
      </c>
      <c r="O166">
        <f>O89</f>
        <v/>
      </c>
      <c r="P166">
        <f>P89</f>
        <v/>
      </c>
      <c r="Q166">
        <f>Q89</f>
        <v/>
      </c>
      <c r="R166">
        <f>R89</f>
        <v/>
      </c>
      <c r="S166">
        <f>S89</f>
        <v/>
      </c>
      <c r="T166">
        <f>T89</f>
        <v/>
      </c>
      <c r="U166">
        <f>U89</f>
        <v/>
      </c>
      <c r="V166">
        <f>V89</f>
        <v/>
      </c>
      <c r="W166">
        <f>W89</f>
        <v/>
      </c>
      <c r="X166">
        <f>X89</f>
        <v/>
      </c>
      <c r="Y166">
        <f>Y89</f>
        <v/>
      </c>
      <c r="Z166">
        <f>Z89</f>
        <v/>
      </c>
      <c r="AA166">
        <f>AA89</f>
        <v/>
      </c>
      <c r="AB166">
        <f>AB89</f>
        <v/>
      </c>
      <c r="AC166">
        <f>AC89</f>
        <v/>
      </c>
      <c r="AD166">
        <f>AD89</f>
        <v/>
      </c>
      <c r="AE166">
        <f>AE89</f>
        <v/>
      </c>
      <c r="AF166">
        <f>AF89</f>
        <v/>
      </c>
      <c r="AG166">
        <f>AG89</f>
        <v/>
      </c>
      <c r="AH166">
        <f>AH89</f>
        <v/>
      </c>
      <c r="AI166">
        <f>AI89</f>
        <v/>
      </c>
      <c r="AJ166">
        <f>AJ89</f>
        <v/>
      </c>
      <c r="AK166">
        <f>AK89</f>
        <v/>
      </c>
      <c r="AL166">
        <f>AL89</f>
        <v/>
      </c>
      <c r="AM166">
        <f>AM89</f>
        <v/>
      </c>
      <c r="AN166" t="inlineStr">
        <is>
          <t>m_nickel</t>
        </is>
      </c>
    </row>
    <row r="167" ht="12.5" customHeight="1" s="213">
      <c r="A167" t="n">
        <v>2025</v>
      </c>
      <c r="B167" t="inlineStr">
        <is>
          <t>FLO_BND</t>
        </is>
      </c>
      <c r="C167" t="inlineStr">
        <is>
          <t>UP</t>
        </is>
      </c>
      <c r="D167" t="inlineStr">
        <is>
          <t>MINBatMaterials_COB</t>
        </is>
      </c>
      <c r="E167" t="inlineStr">
        <is>
          <t>m_cobalt</t>
        </is>
      </c>
      <c r="F167">
        <f>F90</f>
        <v/>
      </c>
      <c r="G167">
        <f>G90</f>
        <v/>
      </c>
      <c r="H167">
        <f>H90</f>
        <v/>
      </c>
      <c r="I167">
        <f>I90</f>
        <v/>
      </c>
      <c r="J167">
        <f>J90</f>
        <v/>
      </c>
      <c r="K167">
        <f>K90</f>
        <v/>
      </c>
      <c r="L167">
        <f>L90</f>
        <v/>
      </c>
      <c r="M167">
        <f>M90</f>
        <v/>
      </c>
      <c r="N167">
        <f>N90</f>
        <v/>
      </c>
      <c r="O167">
        <f>O90</f>
        <v/>
      </c>
      <c r="P167">
        <f>P90</f>
        <v/>
      </c>
      <c r="Q167">
        <f>Q90</f>
        <v/>
      </c>
      <c r="R167">
        <f>R90</f>
        <v/>
      </c>
      <c r="S167">
        <f>S90</f>
        <v/>
      </c>
      <c r="T167">
        <f>T90</f>
        <v/>
      </c>
      <c r="U167">
        <f>U90</f>
        <v/>
      </c>
      <c r="V167">
        <f>V90</f>
        <v/>
      </c>
      <c r="W167">
        <f>W90</f>
        <v/>
      </c>
      <c r="X167">
        <f>X90</f>
        <v/>
      </c>
      <c r="Y167">
        <f>Y90</f>
        <v/>
      </c>
      <c r="Z167">
        <f>Z90</f>
        <v/>
      </c>
      <c r="AA167">
        <f>AA90</f>
        <v/>
      </c>
      <c r="AB167">
        <f>AB90</f>
        <v/>
      </c>
      <c r="AC167">
        <f>AC90</f>
        <v/>
      </c>
      <c r="AD167">
        <f>AD90</f>
        <v/>
      </c>
      <c r="AE167">
        <f>AE90</f>
        <v/>
      </c>
      <c r="AF167">
        <f>AF90</f>
        <v/>
      </c>
      <c r="AG167">
        <f>AG90</f>
        <v/>
      </c>
      <c r="AH167">
        <f>AH90</f>
        <v/>
      </c>
      <c r="AI167">
        <f>AI90</f>
        <v/>
      </c>
      <c r="AJ167">
        <f>AJ90</f>
        <v/>
      </c>
      <c r="AK167">
        <f>AK90</f>
        <v/>
      </c>
      <c r="AL167">
        <f>AL90</f>
        <v/>
      </c>
      <c r="AM167">
        <f>AM90</f>
        <v/>
      </c>
      <c r="AN167" t="inlineStr">
        <is>
          <t>m_cobalt</t>
        </is>
      </c>
    </row>
    <row r="168" ht="12.5" customHeight="1" s="213">
      <c r="A168" t="n">
        <v>2025</v>
      </c>
      <c r="B168" t="inlineStr">
        <is>
          <t>FLO_BND</t>
        </is>
      </c>
      <c r="C168" t="inlineStr">
        <is>
          <t>UP</t>
        </is>
      </c>
      <c r="D168" t="inlineStr">
        <is>
          <t>MINBatMaterials_MN</t>
        </is>
      </c>
      <c r="E168" t="inlineStr">
        <is>
          <t>m_manganese</t>
        </is>
      </c>
      <c r="F168">
        <f>F91</f>
        <v/>
      </c>
      <c r="G168">
        <f>G91</f>
        <v/>
      </c>
      <c r="H168">
        <f>H91</f>
        <v/>
      </c>
      <c r="I168">
        <f>I91</f>
        <v/>
      </c>
      <c r="J168">
        <f>J91</f>
        <v/>
      </c>
      <c r="K168">
        <f>K91</f>
        <v/>
      </c>
      <c r="L168">
        <f>L91</f>
        <v/>
      </c>
      <c r="M168">
        <f>M91</f>
        <v/>
      </c>
      <c r="N168">
        <f>N91</f>
        <v/>
      </c>
      <c r="O168">
        <f>O91</f>
        <v/>
      </c>
      <c r="P168">
        <f>P91</f>
        <v/>
      </c>
      <c r="Q168">
        <f>Q91</f>
        <v/>
      </c>
      <c r="R168">
        <f>R91</f>
        <v/>
      </c>
      <c r="S168">
        <f>S91</f>
        <v/>
      </c>
      <c r="T168">
        <f>T91</f>
        <v/>
      </c>
      <c r="U168">
        <f>U91</f>
        <v/>
      </c>
      <c r="V168">
        <f>V91</f>
        <v/>
      </c>
      <c r="W168">
        <f>W91</f>
        <v/>
      </c>
      <c r="X168">
        <f>X91</f>
        <v/>
      </c>
      <c r="Y168">
        <f>Y91</f>
        <v/>
      </c>
      <c r="Z168">
        <f>Z91</f>
        <v/>
      </c>
      <c r="AA168">
        <f>AA91</f>
        <v/>
      </c>
      <c r="AB168">
        <f>AB91</f>
        <v/>
      </c>
      <c r="AC168">
        <f>AC91</f>
        <v/>
      </c>
      <c r="AD168">
        <f>AD91</f>
        <v/>
      </c>
      <c r="AE168">
        <f>AE91</f>
        <v/>
      </c>
      <c r="AF168">
        <f>AF91</f>
        <v/>
      </c>
      <c r="AG168">
        <f>AG91</f>
        <v/>
      </c>
      <c r="AH168">
        <f>AH91</f>
        <v/>
      </c>
      <c r="AI168">
        <f>AI91</f>
        <v/>
      </c>
      <c r="AJ168">
        <f>AJ91</f>
        <v/>
      </c>
      <c r="AK168">
        <f>AK91</f>
        <v/>
      </c>
      <c r="AL168">
        <f>AL91</f>
        <v/>
      </c>
      <c r="AM168">
        <f>AM91</f>
        <v/>
      </c>
      <c r="AN168" t="inlineStr">
        <is>
          <t>m_manganese</t>
        </is>
      </c>
    </row>
    <row r="169" ht="12.5" customHeight="1" s="213">
      <c r="A169" t="n">
        <v>2025</v>
      </c>
      <c r="B169" t="inlineStr">
        <is>
          <t>FLO_BND</t>
        </is>
      </c>
      <c r="C169" t="inlineStr">
        <is>
          <t>UP</t>
        </is>
      </c>
      <c r="D169" s="141" t="inlineStr">
        <is>
          <t>MINBatMaterials_AL</t>
        </is>
      </c>
      <c r="E169" t="inlineStr">
        <is>
          <t>m_aluminum</t>
        </is>
      </c>
      <c r="F169">
        <f>F92</f>
        <v/>
      </c>
      <c r="G169">
        <f>G92</f>
        <v/>
      </c>
      <c r="H169">
        <f>H92</f>
        <v/>
      </c>
      <c r="I169">
        <f>I92</f>
        <v/>
      </c>
      <c r="J169">
        <f>J92</f>
        <v/>
      </c>
      <c r="K169">
        <f>K92</f>
        <v/>
      </c>
      <c r="L169">
        <f>L92</f>
        <v/>
      </c>
      <c r="M169">
        <f>M92</f>
        <v/>
      </c>
      <c r="N169">
        <f>N92</f>
        <v/>
      </c>
      <c r="O169">
        <f>O92</f>
        <v/>
      </c>
      <c r="P169">
        <f>P92</f>
        <v/>
      </c>
      <c r="Q169">
        <f>Q92</f>
        <v/>
      </c>
      <c r="R169">
        <f>R92</f>
        <v/>
      </c>
      <c r="S169">
        <f>S92</f>
        <v/>
      </c>
      <c r="T169">
        <f>T92</f>
        <v/>
      </c>
      <c r="U169">
        <f>U92</f>
        <v/>
      </c>
      <c r="V169">
        <f>V92</f>
        <v/>
      </c>
      <c r="W169">
        <f>W92</f>
        <v/>
      </c>
      <c r="X169">
        <f>X92</f>
        <v/>
      </c>
      <c r="Y169">
        <f>Y92</f>
        <v/>
      </c>
      <c r="Z169">
        <f>Z92</f>
        <v/>
      </c>
      <c r="AA169">
        <f>AA92</f>
        <v/>
      </c>
      <c r="AB169">
        <f>AB92</f>
        <v/>
      </c>
      <c r="AC169">
        <f>AC92</f>
        <v/>
      </c>
      <c r="AD169">
        <f>AD92</f>
        <v/>
      </c>
      <c r="AE169">
        <f>AE92</f>
        <v/>
      </c>
      <c r="AF169">
        <f>AF92</f>
        <v/>
      </c>
      <c r="AG169">
        <f>AG92</f>
        <v/>
      </c>
      <c r="AH169">
        <f>AH92</f>
        <v/>
      </c>
      <c r="AI169">
        <f>AI92</f>
        <v/>
      </c>
      <c r="AJ169">
        <f>AJ92</f>
        <v/>
      </c>
      <c r="AK169">
        <f>AK92</f>
        <v/>
      </c>
      <c r="AL169">
        <f>AL92</f>
        <v/>
      </c>
      <c r="AM169">
        <f>AM92</f>
        <v/>
      </c>
      <c r="AN169" t="inlineStr">
        <is>
          <t>m_aluminum</t>
        </is>
      </c>
    </row>
    <row r="170" ht="12.5" customHeight="1" s="213">
      <c r="A170" t="n">
        <v>2025</v>
      </c>
      <c r="B170" t="inlineStr">
        <is>
          <t>FLO_BND</t>
        </is>
      </c>
      <c r="C170" s="141" t="inlineStr">
        <is>
          <t>UP</t>
        </is>
      </c>
      <c r="D170" s="141" t="inlineStr">
        <is>
          <t>MINBatMaterials_COP</t>
        </is>
      </c>
      <c r="E170" t="inlineStr">
        <is>
          <t>m_copper</t>
        </is>
      </c>
      <c r="F170">
        <f>F93</f>
        <v/>
      </c>
      <c r="G170">
        <f>G93</f>
        <v/>
      </c>
      <c r="H170">
        <f>H93</f>
        <v/>
      </c>
      <c r="I170">
        <f>I93</f>
        <v/>
      </c>
      <c r="J170">
        <f>J93</f>
        <v/>
      </c>
      <c r="K170">
        <f>K93</f>
        <v/>
      </c>
      <c r="L170">
        <f>L93</f>
        <v/>
      </c>
      <c r="M170">
        <f>M93</f>
        <v/>
      </c>
      <c r="N170">
        <f>N93</f>
        <v/>
      </c>
      <c r="O170">
        <f>O93</f>
        <v/>
      </c>
      <c r="P170">
        <f>P93</f>
        <v/>
      </c>
      <c r="Q170">
        <f>Q93</f>
        <v/>
      </c>
      <c r="R170">
        <f>R93</f>
        <v/>
      </c>
      <c r="S170">
        <f>S93</f>
        <v/>
      </c>
      <c r="T170">
        <f>T93</f>
        <v/>
      </c>
      <c r="U170">
        <f>U93</f>
        <v/>
      </c>
      <c r="V170">
        <f>V93</f>
        <v/>
      </c>
      <c r="W170">
        <f>W93</f>
        <v/>
      </c>
      <c r="X170">
        <f>X93</f>
        <v/>
      </c>
      <c r="Y170">
        <f>Y93</f>
        <v/>
      </c>
      <c r="Z170">
        <f>Z93</f>
        <v/>
      </c>
      <c r="AA170">
        <f>AA93</f>
        <v/>
      </c>
      <c r="AB170">
        <f>AB93</f>
        <v/>
      </c>
      <c r="AC170">
        <f>AC93</f>
        <v/>
      </c>
      <c r="AD170">
        <f>AD93</f>
        <v/>
      </c>
      <c r="AE170">
        <f>AE93</f>
        <v/>
      </c>
      <c r="AF170">
        <f>AF93</f>
        <v/>
      </c>
      <c r="AG170">
        <f>AG93</f>
        <v/>
      </c>
      <c r="AH170">
        <f>AH93</f>
        <v/>
      </c>
      <c r="AI170">
        <f>AI93</f>
        <v/>
      </c>
      <c r="AJ170">
        <f>AJ93</f>
        <v/>
      </c>
      <c r="AK170">
        <f>AK93</f>
        <v/>
      </c>
      <c r="AL170">
        <f>AL93</f>
        <v/>
      </c>
      <c r="AM170">
        <f>AM93</f>
        <v/>
      </c>
      <c r="AN170" t="inlineStr">
        <is>
          <t>m_copper</t>
        </is>
      </c>
    </row>
    <row r="171" ht="12.5" customHeight="1" s="213">
      <c r="A171" t="n">
        <v>2025</v>
      </c>
      <c r="B171" t="inlineStr">
        <is>
          <t>FLO_BND</t>
        </is>
      </c>
      <c r="C171" s="141" t="inlineStr">
        <is>
          <t>UP</t>
        </is>
      </c>
      <c r="D171" s="141" t="inlineStr">
        <is>
          <t>MINBatMaterials_GR</t>
        </is>
      </c>
      <c r="E171" t="inlineStr">
        <is>
          <t>m_graphite</t>
        </is>
      </c>
      <c r="F171">
        <f>F94</f>
        <v/>
      </c>
      <c r="G171">
        <f>G94</f>
        <v/>
      </c>
      <c r="H171">
        <f>H94</f>
        <v/>
      </c>
      <c r="I171">
        <f>I94</f>
        <v/>
      </c>
      <c r="J171">
        <f>J94</f>
        <v/>
      </c>
      <c r="K171">
        <f>K94</f>
        <v/>
      </c>
      <c r="L171">
        <f>L94</f>
        <v/>
      </c>
      <c r="M171">
        <f>M94</f>
        <v/>
      </c>
      <c r="N171">
        <f>N94</f>
        <v/>
      </c>
      <c r="O171">
        <f>O94</f>
        <v/>
      </c>
      <c r="P171">
        <f>P94</f>
        <v/>
      </c>
      <c r="Q171">
        <f>Q94</f>
        <v/>
      </c>
      <c r="R171">
        <f>R94</f>
        <v/>
      </c>
      <c r="S171">
        <f>S94</f>
        <v/>
      </c>
      <c r="T171">
        <f>T94</f>
        <v/>
      </c>
      <c r="U171">
        <f>U94</f>
        <v/>
      </c>
      <c r="V171">
        <f>V94</f>
        <v/>
      </c>
      <c r="W171">
        <f>W94</f>
        <v/>
      </c>
      <c r="X171">
        <f>X94</f>
        <v/>
      </c>
      <c r="Y171">
        <f>Y94</f>
        <v/>
      </c>
      <c r="Z171">
        <f>Z94</f>
        <v/>
      </c>
      <c r="AA171">
        <f>AA94</f>
        <v/>
      </c>
      <c r="AB171">
        <f>AB94</f>
        <v/>
      </c>
      <c r="AC171">
        <f>AC94</f>
        <v/>
      </c>
      <c r="AD171">
        <f>AD94</f>
        <v/>
      </c>
      <c r="AE171">
        <f>AE94</f>
        <v/>
      </c>
      <c r="AF171">
        <f>AF94</f>
        <v/>
      </c>
      <c r="AG171">
        <f>AG94</f>
        <v/>
      </c>
      <c r="AH171">
        <f>AH94</f>
        <v/>
      </c>
      <c r="AI171">
        <f>AI94</f>
        <v/>
      </c>
      <c r="AJ171">
        <f>AJ94</f>
        <v/>
      </c>
      <c r="AK171">
        <f>AK94</f>
        <v/>
      </c>
      <c r="AL171">
        <f>AL94</f>
        <v/>
      </c>
      <c r="AM171">
        <f>AM94</f>
        <v/>
      </c>
      <c r="AN171" t="inlineStr">
        <is>
          <t>m_graphite</t>
        </is>
      </c>
    </row>
    <row r="178" ht="12.5" customHeight="1" s="213">
      <c r="B178" s="84" t="inlineStr">
        <is>
          <t>~TFM_INS</t>
        </is>
      </c>
    </row>
    <row r="180" ht="12.5" customHeight="1" s="213">
      <c r="A180" t="inlineStr">
        <is>
          <t>year</t>
        </is>
      </c>
      <c r="B180" t="inlineStr">
        <is>
          <t>attribute</t>
        </is>
      </c>
      <c r="C180" t="inlineStr">
        <is>
          <t>limtype</t>
        </is>
      </c>
      <c r="D180" t="inlineStr">
        <is>
          <t>process</t>
        </is>
      </c>
      <c r="E180" t="inlineStr">
        <is>
          <t>cset_cn</t>
        </is>
      </c>
      <c r="F180" t="inlineStr">
        <is>
          <t>Africa_North</t>
        </is>
      </c>
      <c r="G180" t="inlineStr">
        <is>
          <t>Africa_Other</t>
        </is>
      </c>
      <c r="H180" t="inlineStr">
        <is>
          <t>Australia</t>
        </is>
      </c>
      <c r="I180" t="inlineStr">
        <is>
          <t>Austria</t>
        </is>
      </c>
      <c r="J180" t="inlineStr">
        <is>
          <t>Baltics</t>
        </is>
      </c>
      <c r="K180" t="inlineStr">
        <is>
          <t>BeNeLux</t>
        </is>
      </c>
      <c r="L180" t="inlineStr">
        <is>
          <t>Brazil</t>
        </is>
      </c>
      <c r="M180" t="inlineStr">
        <is>
          <t>China</t>
        </is>
      </c>
      <c r="N180" t="inlineStr">
        <is>
          <t>CroSloven</t>
        </is>
      </c>
      <c r="O180" t="inlineStr">
        <is>
          <t>CzechSlovak</t>
        </is>
      </c>
      <c r="P180" t="inlineStr">
        <is>
          <t>France</t>
        </is>
      </c>
      <c r="Q180" t="inlineStr">
        <is>
          <t>Germany</t>
        </is>
      </c>
      <c r="R180" t="inlineStr">
        <is>
          <t>GreeceCyp</t>
        </is>
      </c>
      <c r="S180" t="inlineStr">
        <is>
          <t>HunRomBul</t>
        </is>
      </c>
      <c r="T180" t="inlineStr">
        <is>
          <t>Iceland</t>
        </is>
      </c>
      <c r="U180" t="inlineStr">
        <is>
          <t>India</t>
        </is>
      </c>
      <c r="V180" t="inlineStr">
        <is>
          <t>Ireland</t>
        </is>
      </c>
      <c r="W180" t="inlineStr">
        <is>
          <t>ItalyMal</t>
        </is>
      </c>
      <c r="X180" t="inlineStr">
        <is>
          <t>Japan</t>
        </is>
      </c>
      <c r="Y180" t="inlineStr">
        <is>
          <t>LatAm</t>
        </is>
      </c>
      <c r="Z180" t="inlineStr">
        <is>
          <t>MidEast</t>
        </is>
      </c>
      <c r="AA180" t="inlineStr">
        <is>
          <t>NorthAm</t>
        </is>
      </c>
      <c r="AB180" t="inlineStr">
        <is>
          <t>Norway</t>
        </is>
      </c>
      <c r="AC180" t="inlineStr">
        <is>
          <t>Poland</t>
        </is>
      </c>
      <c r="AD180" t="inlineStr">
        <is>
          <t>ROW</t>
        </is>
      </c>
      <c r="AE180" t="inlineStr">
        <is>
          <t>Russia</t>
        </is>
      </c>
      <c r="AF180" t="inlineStr">
        <is>
          <t>SaudiArabia</t>
        </is>
      </c>
      <c r="AG180" t="inlineStr">
        <is>
          <t>SouthAfrica</t>
        </is>
      </c>
      <c r="AH180" t="inlineStr">
        <is>
          <t>SpainPor</t>
        </is>
      </c>
      <c r="AI180" t="inlineStr">
        <is>
          <t>SweFinDen</t>
        </is>
      </c>
      <c r="AJ180" t="inlineStr">
        <is>
          <t>Switzerland</t>
        </is>
      </c>
      <c r="AK180" t="inlineStr">
        <is>
          <t>Turkey</t>
        </is>
      </c>
      <c r="AL180" t="inlineStr">
        <is>
          <t>UK</t>
        </is>
      </c>
      <c r="AM180" t="inlineStr">
        <is>
          <t>Ukraine</t>
        </is>
      </c>
      <c r="AN180" t="inlineStr">
        <is>
          <t>Pset_CO</t>
        </is>
      </c>
    </row>
    <row r="181" ht="12.5" customHeight="1" s="213">
      <c r="A181" t="n">
        <v>2050</v>
      </c>
      <c r="B181" t="inlineStr">
        <is>
          <t>FLO_BND</t>
        </is>
      </c>
      <c r="C181" t="inlineStr">
        <is>
          <t>UP</t>
        </is>
      </c>
      <c r="D181" t="inlineStr">
        <is>
          <t>MINBatMaterials_LI</t>
        </is>
      </c>
      <c r="E181" t="inlineStr">
        <is>
          <t>m_lithium</t>
        </is>
      </c>
      <c r="F181">
        <f>F165/1*10</f>
        <v/>
      </c>
      <c r="G181">
        <f>G165/1*10</f>
        <v/>
      </c>
      <c r="H181">
        <f>H165/1*10</f>
        <v/>
      </c>
      <c r="I181">
        <f>I165/1*10</f>
        <v/>
      </c>
      <c r="J181">
        <f>J165/1*10</f>
        <v/>
      </c>
      <c r="K181">
        <f>K165/1*10</f>
        <v/>
      </c>
      <c r="L181">
        <f>L165/1*10</f>
        <v/>
      </c>
      <c r="M181">
        <f>M165/1*10</f>
        <v/>
      </c>
      <c r="N181">
        <f>N165/1*10</f>
        <v/>
      </c>
      <c r="O181">
        <f>O165/1*10</f>
        <v/>
      </c>
      <c r="P181">
        <f>P165/1*10</f>
        <v/>
      </c>
      <c r="Q181">
        <f>Q165/1*10</f>
        <v/>
      </c>
      <c r="R181">
        <f>R165/1*10</f>
        <v/>
      </c>
      <c r="S181">
        <f>S165/1*10</f>
        <v/>
      </c>
      <c r="T181">
        <f>T165/1*10</f>
        <v/>
      </c>
      <c r="U181">
        <f>U165/1*10</f>
        <v/>
      </c>
      <c r="V181">
        <f>V165/1*10</f>
        <v/>
      </c>
      <c r="W181">
        <f>W165/1*10</f>
        <v/>
      </c>
      <c r="X181">
        <f>X165/1*10</f>
        <v/>
      </c>
      <c r="Y181">
        <f>Y165/1*10</f>
        <v/>
      </c>
      <c r="Z181">
        <f>Z165/1*10</f>
        <v/>
      </c>
      <c r="AA181">
        <f>AA165/1*10</f>
        <v/>
      </c>
      <c r="AB181">
        <f>AB165/1*10</f>
        <v/>
      </c>
      <c r="AC181">
        <f>AC165/1*10</f>
        <v/>
      </c>
      <c r="AD181">
        <f>AD165/1*10</f>
        <v/>
      </c>
      <c r="AE181">
        <f>AE165/1*10</f>
        <v/>
      </c>
      <c r="AF181">
        <f>AF165/1*10</f>
        <v/>
      </c>
      <c r="AG181">
        <f>AG165/1*10</f>
        <v/>
      </c>
      <c r="AH181">
        <f>AH165/1*10</f>
        <v/>
      </c>
      <c r="AI181">
        <f>AI165/1*10</f>
        <v/>
      </c>
      <c r="AJ181">
        <f>AJ165/1*10</f>
        <v/>
      </c>
      <c r="AK181">
        <f>AK165/1*10</f>
        <v/>
      </c>
      <c r="AL181">
        <f>AL165/1*10</f>
        <v/>
      </c>
      <c r="AM181">
        <f>AM165/1*10</f>
        <v/>
      </c>
      <c r="AN181" t="inlineStr">
        <is>
          <t>m_lithium</t>
        </is>
      </c>
    </row>
    <row r="182" ht="12.5" customHeight="1" s="213">
      <c r="A182">
        <f>A181</f>
        <v/>
      </c>
      <c r="B182" t="inlineStr">
        <is>
          <t>FLO_BND</t>
        </is>
      </c>
      <c r="C182" t="inlineStr">
        <is>
          <t>UP</t>
        </is>
      </c>
      <c r="D182" t="inlineStr">
        <is>
          <t>MINBatMaterials_NI</t>
        </is>
      </c>
      <c r="E182" t="inlineStr">
        <is>
          <t>m_nickel</t>
        </is>
      </c>
      <c r="F182">
        <f>F166/1*10</f>
        <v/>
      </c>
      <c r="G182">
        <f>G166/1*10</f>
        <v/>
      </c>
      <c r="H182">
        <f>H166/1*10</f>
        <v/>
      </c>
      <c r="I182">
        <f>I166/1*10</f>
        <v/>
      </c>
      <c r="J182">
        <f>J166/1*10</f>
        <v/>
      </c>
      <c r="K182">
        <f>K166/1*10</f>
        <v/>
      </c>
      <c r="L182">
        <f>L166/1*10</f>
        <v/>
      </c>
      <c r="M182">
        <f>M166/1*10</f>
        <v/>
      </c>
      <c r="N182">
        <f>N166/1*10</f>
        <v/>
      </c>
      <c r="O182">
        <f>O166/1*10</f>
        <v/>
      </c>
      <c r="P182">
        <f>P166/1*10</f>
        <v/>
      </c>
      <c r="Q182">
        <f>Q166/1*10</f>
        <v/>
      </c>
      <c r="R182">
        <f>R166/1*10</f>
        <v/>
      </c>
      <c r="S182">
        <f>S166/1*10</f>
        <v/>
      </c>
      <c r="T182">
        <f>T166/1*10</f>
        <v/>
      </c>
      <c r="U182">
        <f>U166/1*10</f>
        <v/>
      </c>
      <c r="V182">
        <f>V166/1*10</f>
        <v/>
      </c>
      <c r="W182">
        <f>W166/1*10</f>
        <v/>
      </c>
      <c r="X182">
        <f>X166/1*10</f>
        <v/>
      </c>
      <c r="Y182">
        <f>Y166/1*10</f>
        <v/>
      </c>
      <c r="Z182">
        <f>Z166/1*10</f>
        <v/>
      </c>
      <c r="AA182">
        <f>AA166/1*10</f>
        <v/>
      </c>
      <c r="AB182">
        <f>AB166/1*10</f>
        <v/>
      </c>
      <c r="AC182">
        <f>AC166/1*10</f>
        <v/>
      </c>
      <c r="AD182">
        <f>AD166/1*10</f>
        <v/>
      </c>
      <c r="AE182">
        <f>AE166/1*10</f>
        <v/>
      </c>
      <c r="AF182">
        <f>AF166/1*10</f>
        <v/>
      </c>
      <c r="AG182">
        <f>AG166/1*10</f>
        <v/>
      </c>
      <c r="AH182">
        <f>AH166/1*10</f>
        <v/>
      </c>
      <c r="AI182">
        <f>AI166/1*10</f>
        <v/>
      </c>
      <c r="AJ182">
        <f>AJ166/1*10</f>
        <v/>
      </c>
      <c r="AK182">
        <f>AK166/1*10</f>
        <v/>
      </c>
      <c r="AL182">
        <f>AL166/1*10</f>
        <v/>
      </c>
      <c r="AM182">
        <f>AM166/1*10</f>
        <v/>
      </c>
      <c r="AN182" t="inlineStr">
        <is>
          <t>m_nickel</t>
        </is>
      </c>
    </row>
    <row r="183" ht="12.5" customHeight="1" s="213">
      <c r="A183">
        <f>A182</f>
        <v/>
      </c>
      <c r="B183" t="inlineStr">
        <is>
          <t>FLO_BND</t>
        </is>
      </c>
      <c r="C183" t="inlineStr">
        <is>
          <t>UP</t>
        </is>
      </c>
      <c r="D183" t="inlineStr">
        <is>
          <t>MINBatMaterials_COB</t>
        </is>
      </c>
      <c r="E183" t="inlineStr">
        <is>
          <t>m_cobalt</t>
        </is>
      </c>
      <c r="F183">
        <f>F167/1*10</f>
        <v/>
      </c>
      <c r="G183">
        <f>G167/1*10</f>
        <v/>
      </c>
      <c r="H183">
        <f>H167/1*10</f>
        <v/>
      </c>
      <c r="I183">
        <f>I167/1*10</f>
        <v/>
      </c>
      <c r="J183">
        <f>J167/1*10</f>
        <v/>
      </c>
      <c r="K183">
        <f>K167/1*10</f>
        <v/>
      </c>
      <c r="L183">
        <f>L167/1*10</f>
        <v/>
      </c>
      <c r="M183">
        <f>M167/1*10</f>
        <v/>
      </c>
      <c r="N183">
        <f>N167/1*10</f>
        <v/>
      </c>
      <c r="O183">
        <f>O167/1*10</f>
        <v/>
      </c>
      <c r="P183">
        <f>P167/1*10</f>
        <v/>
      </c>
      <c r="Q183">
        <f>Q167/1*10</f>
        <v/>
      </c>
      <c r="R183">
        <f>R167/1*10</f>
        <v/>
      </c>
      <c r="S183">
        <f>S167/1*10</f>
        <v/>
      </c>
      <c r="T183">
        <f>T167/1*10</f>
        <v/>
      </c>
      <c r="U183">
        <f>U167/1*10</f>
        <v/>
      </c>
      <c r="V183">
        <f>V167/1*10</f>
        <v/>
      </c>
      <c r="W183">
        <f>W167/1*10</f>
        <v/>
      </c>
      <c r="X183">
        <f>X167/1*10</f>
        <v/>
      </c>
      <c r="Y183">
        <f>Y167/1*10</f>
        <v/>
      </c>
      <c r="Z183">
        <f>Z167/1*10</f>
        <v/>
      </c>
      <c r="AA183">
        <f>AA167/1*10</f>
        <v/>
      </c>
      <c r="AB183">
        <f>AB167/1*10</f>
        <v/>
      </c>
      <c r="AC183">
        <f>AC167/1*10</f>
        <v/>
      </c>
      <c r="AD183">
        <f>AD167/1*10</f>
        <v/>
      </c>
      <c r="AE183">
        <f>AE167/1*10</f>
        <v/>
      </c>
      <c r="AF183">
        <f>AF167/1*10</f>
        <v/>
      </c>
      <c r="AG183">
        <f>AG167/1*10</f>
        <v/>
      </c>
      <c r="AH183">
        <f>AH167/1*10</f>
        <v/>
      </c>
      <c r="AI183">
        <f>AI167/1*10</f>
        <v/>
      </c>
      <c r="AJ183">
        <f>AJ167/1*10</f>
        <v/>
      </c>
      <c r="AK183">
        <f>AK167/1*10</f>
        <v/>
      </c>
      <c r="AL183">
        <f>AL167/1*10</f>
        <v/>
      </c>
      <c r="AM183">
        <f>AM167/1*10</f>
        <v/>
      </c>
      <c r="AN183" t="inlineStr">
        <is>
          <t>m_cobalt</t>
        </is>
      </c>
    </row>
    <row r="184" ht="12.5" customHeight="1" s="213">
      <c r="A184">
        <f>A183</f>
        <v/>
      </c>
      <c r="B184" t="inlineStr">
        <is>
          <t>FLO_BND</t>
        </is>
      </c>
      <c r="C184" t="inlineStr">
        <is>
          <t>UP</t>
        </is>
      </c>
      <c r="D184" t="inlineStr">
        <is>
          <t>MINBatMaterials_MN</t>
        </is>
      </c>
      <c r="E184" t="inlineStr">
        <is>
          <t>m_manganese</t>
        </is>
      </c>
      <c r="F184">
        <f>F168/1*10</f>
        <v/>
      </c>
      <c r="G184">
        <f>G168/1*10</f>
        <v/>
      </c>
      <c r="H184">
        <f>H168/1*10</f>
        <v/>
      </c>
      <c r="I184">
        <f>I168/1*10</f>
        <v/>
      </c>
      <c r="J184">
        <f>J168/1*10</f>
        <v/>
      </c>
      <c r="K184">
        <f>K168/1*10</f>
        <v/>
      </c>
      <c r="L184">
        <f>L168/1*10</f>
        <v/>
      </c>
      <c r="M184">
        <f>M168/1*10</f>
        <v/>
      </c>
      <c r="N184">
        <f>N168/1*10</f>
        <v/>
      </c>
      <c r="O184">
        <f>O168/1*10</f>
        <v/>
      </c>
      <c r="P184">
        <f>P168/1*10</f>
        <v/>
      </c>
      <c r="Q184">
        <f>Q168/1*10</f>
        <v/>
      </c>
      <c r="R184">
        <f>R168/1*10</f>
        <v/>
      </c>
      <c r="S184">
        <f>S168/1*10</f>
        <v/>
      </c>
      <c r="T184">
        <f>T168/1*10</f>
        <v/>
      </c>
      <c r="U184">
        <f>U168/1*10</f>
        <v/>
      </c>
      <c r="V184">
        <f>V168/1*10</f>
        <v/>
      </c>
      <c r="W184">
        <f>W168/1*10</f>
        <v/>
      </c>
      <c r="X184">
        <f>X168/1*10</f>
        <v/>
      </c>
      <c r="Y184">
        <f>Y168/1*10</f>
        <v/>
      </c>
      <c r="Z184">
        <f>Z168/1*10</f>
        <v/>
      </c>
      <c r="AA184">
        <f>AA168/1*10</f>
        <v/>
      </c>
      <c r="AB184">
        <f>AB168/1*10</f>
        <v/>
      </c>
      <c r="AC184">
        <f>AC168/1*10</f>
        <v/>
      </c>
      <c r="AD184">
        <f>AD168/1*10</f>
        <v/>
      </c>
      <c r="AE184">
        <f>AE168/1*10</f>
        <v/>
      </c>
      <c r="AF184">
        <f>AF168/1*10</f>
        <v/>
      </c>
      <c r="AG184">
        <f>AG168/1*10</f>
        <v/>
      </c>
      <c r="AH184">
        <f>AH168/1*10</f>
        <v/>
      </c>
      <c r="AI184">
        <f>AI168/1*10</f>
        <v/>
      </c>
      <c r="AJ184">
        <f>AJ168/1*10</f>
        <v/>
      </c>
      <c r="AK184">
        <f>AK168/1*10</f>
        <v/>
      </c>
      <c r="AL184">
        <f>AL168/1*10</f>
        <v/>
      </c>
      <c r="AM184">
        <f>AM168/1*10</f>
        <v/>
      </c>
      <c r="AN184" t="inlineStr">
        <is>
          <t>m_manganese</t>
        </is>
      </c>
    </row>
    <row r="185" ht="12.5" customHeight="1" s="213">
      <c r="A185">
        <f>A184</f>
        <v/>
      </c>
      <c r="B185" t="inlineStr">
        <is>
          <t>FLO_BND</t>
        </is>
      </c>
      <c r="C185" t="inlineStr">
        <is>
          <t>UP</t>
        </is>
      </c>
      <c r="D185" t="inlineStr">
        <is>
          <t>MINBatMaterials_AL</t>
        </is>
      </c>
      <c r="E185" t="inlineStr">
        <is>
          <t>m_aluminum</t>
        </is>
      </c>
      <c r="F185">
        <f>F169/1*10</f>
        <v/>
      </c>
      <c r="G185">
        <f>G169/1*10</f>
        <v/>
      </c>
      <c r="H185">
        <f>H169/1*10</f>
        <v/>
      </c>
      <c r="I185">
        <f>I169/1*10</f>
        <v/>
      </c>
      <c r="J185">
        <f>J169/1*10</f>
        <v/>
      </c>
      <c r="K185">
        <f>K169/1*10</f>
        <v/>
      </c>
      <c r="L185">
        <f>L169/1*10</f>
        <v/>
      </c>
      <c r="M185">
        <f>M169/1*10</f>
        <v/>
      </c>
      <c r="N185">
        <f>N169/1*10</f>
        <v/>
      </c>
      <c r="O185">
        <f>O169/1*10</f>
        <v/>
      </c>
      <c r="P185">
        <f>P169/1*10</f>
        <v/>
      </c>
      <c r="Q185">
        <f>Q169/1*10</f>
        <v/>
      </c>
      <c r="R185">
        <f>R169/1*10</f>
        <v/>
      </c>
      <c r="S185">
        <f>S169/1*10</f>
        <v/>
      </c>
      <c r="T185">
        <f>T169/1*10</f>
        <v/>
      </c>
      <c r="U185">
        <f>U169/1*10</f>
        <v/>
      </c>
      <c r="V185">
        <f>V169/1*10</f>
        <v/>
      </c>
      <c r="W185">
        <f>W169/1*10</f>
        <v/>
      </c>
      <c r="X185">
        <f>X169/1*10</f>
        <v/>
      </c>
      <c r="Y185">
        <f>Y169/1*10</f>
        <v/>
      </c>
      <c r="Z185">
        <f>Z169/1*10</f>
        <v/>
      </c>
      <c r="AA185">
        <f>AA169/1*10</f>
        <v/>
      </c>
      <c r="AB185">
        <f>AB169/1*10</f>
        <v/>
      </c>
      <c r="AC185">
        <f>AC169/1*10</f>
        <v/>
      </c>
      <c r="AD185">
        <f>AD169/1*10</f>
        <v/>
      </c>
      <c r="AE185">
        <f>AE169/1*10</f>
        <v/>
      </c>
      <c r="AF185">
        <f>AF169/1*10</f>
        <v/>
      </c>
      <c r="AG185">
        <f>AG169/1*10</f>
        <v/>
      </c>
      <c r="AH185">
        <f>AH169/1*10</f>
        <v/>
      </c>
      <c r="AI185">
        <f>AI169/1*10</f>
        <v/>
      </c>
      <c r="AJ185">
        <f>AJ169/1*10</f>
        <v/>
      </c>
      <c r="AK185">
        <f>AK169/1*10</f>
        <v/>
      </c>
      <c r="AL185">
        <f>AL169/1*10</f>
        <v/>
      </c>
      <c r="AM185">
        <f>AM169/1*10</f>
        <v/>
      </c>
      <c r="AN185" t="inlineStr">
        <is>
          <t>m_aluminum</t>
        </is>
      </c>
    </row>
    <row r="186" ht="12.5" customHeight="1" s="213">
      <c r="A186">
        <f>A185</f>
        <v/>
      </c>
      <c r="B186" t="inlineStr">
        <is>
          <t>FLO_BND</t>
        </is>
      </c>
      <c r="C186" t="inlineStr">
        <is>
          <t>UP</t>
        </is>
      </c>
      <c r="D186" t="inlineStr">
        <is>
          <t>MINBatMaterials_COP</t>
        </is>
      </c>
      <c r="E186" t="inlineStr">
        <is>
          <t>m_copper</t>
        </is>
      </c>
      <c r="F186">
        <f>F170/1*10</f>
        <v/>
      </c>
      <c r="G186">
        <f>G170/1*10</f>
        <v/>
      </c>
      <c r="H186">
        <f>H170/1*10</f>
        <v/>
      </c>
      <c r="I186">
        <f>I170/1*10</f>
        <v/>
      </c>
      <c r="J186">
        <f>J170/1*10</f>
        <v/>
      </c>
      <c r="K186">
        <f>K170/1*10</f>
        <v/>
      </c>
      <c r="L186">
        <f>L170/1*10</f>
        <v/>
      </c>
      <c r="M186">
        <f>M170/1*10</f>
        <v/>
      </c>
      <c r="N186">
        <f>N170/1*10</f>
        <v/>
      </c>
      <c r="O186">
        <f>O170/1*10</f>
        <v/>
      </c>
      <c r="P186">
        <f>P170/1*10</f>
        <v/>
      </c>
      <c r="Q186">
        <f>Q170/1*10</f>
        <v/>
      </c>
      <c r="R186">
        <f>R170/1*10</f>
        <v/>
      </c>
      <c r="S186">
        <f>S170/1*10</f>
        <v/>
      </c>
      <c r="T186">
        <f>T170/1*10</f>
        <v/>
      </c>
      <c r="U186">
        <f>U170/1*10</f>
        <v/>
      </c>
      <c r="V186">
        <f>V170/1*10</f>
        <v/>
      </c>
      <c r="W186">
        <f>W170/1*10</f>
        <v/>
      </c>
      <c r="X186">
        <f>X170/1*10</f>
        <v/>
      </c>
      <c r="Y186">
        <f>Y170/1*10</f>
        <v/>
      </c>
      <c r="Z186">
        <f>Z170/1*10</f>
        <v/>
      </c>
      <c r="AA186">
        <f>AA170/1*10</f>
        <v/>
      </c>
      <c r="AB186">
        <f>AB170/1*10</f>
        <v/>
      </c>
      <c r="AC186">
        <f>AC170/1*10</f>
        <v/>
      </c>
      <c r="AD186">
        <f>AD170/1*10</f>
        <v/>
      </c>
      <c r="AE186">
        <f>AE170/1*10</f>
        <v/>
      </c>
      <c r="AF186">
        <f>AF170/1*10</f>
        <v/>
      </c>
      <c r="AG186">
        <f>AG170/1*10</f>
        <v/>
      </c>
      <c r="AH186">
        <f>AH170/1*10</f>
        <v/>
      </c>
      <c r="AI186">
        <f>AI170/1*10</f>
        <v/>
      </c>
      <c r="AJ186">
        <f>AJ170/1*10</f>
        <v/>
      </c>
      <c r="AK186">
        <f>AK170/1*10</f>
        <v/>
      </c>
      <c r="AL186">
        <f>AL170/1*10</f>
        <v/>
      </c>
      <c r="AM186">
        <f>AM170/1*10</f>
        <v/>
      </c>
      <c r="AN186" t="inlineStr">
        <is>
          <t>m_copper</t>
        </is>
      </c>
    </row>
    <row r="187" ht="12.5" customHeight="1" s="213">
      <c r="A187">
        <f>A186</f>
        <v/>
      </c>
      <c r="B187" t="inlineStr">
        <is>
          <t>FLO_BND</t>
        </is>
      </c>
      <c r="C187" t="inlineStr">
        <is>
          <t>UP</t>
        </is>
      </c>
      <c r="D187" t="inlineStr">
        <is>
          <t>MINBatMaterials_GR</t>
        </is>
      </c>
      <c r="E187" t="inlineStr">
        <is>
          <t>m_graphite</t>
        </is>
      </c>
      <c r="F187">
        <f>F171/1*10</f>
        <v/>
      </c>
      <c r="G187">
        <f>G171/1*10</f>
        <v/>
      </c>
      <c r="H187">
        <f>H171/1*10</f>
        <v/>
      </c>
      <c r="I187">
        <f>I171/1*10</f>
        <v/>
      </c>
      <c r="J187">
        <f>J171/1*10</f>
        <v/>
      </c>
      <c r="K187">
        <f>K171/1*10</f>
        <v/>
      </c>
      <c r="L187">
        <f>L171/1*10</f>
        <v/>
      </c>
      <c r="M187">
        <f>M171/1*10</f>
        <v/>
      </c>
      <c r="N187">
        <f>N171/1*10</f>
        <v/>
      </c>
      <c r="O187">
        <f>O171/1*10</f>
        <v/>
      </c>
      <c r="P187">
        <f>P171/1*10</f>
        <v/>
      </c>
      <c r="Q187">
        <f>Q171/1*10</f>
        <v/>
      </c>
      <c r="R187">
        <f>R171/1*10</f>
        <v/>
      </c>
      <c r="S187">
        <f>S171/1*10</f>
        <v/>
      </c>
      <c r="T187">
        <f>T171/1*10</f>
        <v/>
      </c>
      <c r="U187">
        <f>U171/1*10</f>
        <v/>
      </c>
      <c r="V187">
        <f>V171/1*10</f>
        <v/>
      </c>
      <c r="W187">
        <f>W171/1*10</f>
        <v/>
      </c>
      <c r="X187">
        <f>X171/1*10</f>
        <v/>
      </c>
      <c r="Y187">
        <f>Y171/1*10</f>
        <v/>
      </c>
      <c r="Z187">
        <f>Z171/1*10</f>
        <v/>
      </c>
      <c r="AA187">
        <f>AA171/1*10</f>
        <v/>
      </c>
      <c r="AB187">
        <f>AB171/1*10</f>
        <v/>
      </c>
      <c r="AC187">
        <f>AC171/1*10</f>
        <v/>
      </c>
      <c r="AD187">
        <f>AD171/1*10</f>
        <v/>
      </c>
      <c r="AE187">
        <f>AE171/1*10</f>
        <v/>
      </c>
      <c r="AF187">
        <f>AF171/1*10</f>
        <v/>
      </c>
      <c r="AG187">
        <f>AG171/1*10</f>
        <v/>
      </c>
      <c r="AH187">
        <f>AH171/1*10</f>
        <v/>
      </c>
      <c r="AI187">
        <f>AI171/1*10</f>
        <v/>
      </c>
      <c r="AJ187">
        <f>AJ171/1*10</f>
        <v/>
      </c>
      <c r="AK187">
        <f>AK171/1*10</f>
        <v/>
      </c>
      <c r="AL187">
        <f>AL171/1*10</f>
        <v/>
      </c>
      <c r="AM187">
        <f>AM171/1*10</f>
        <v/>
      </c>
      <c r="AN187" t="inlineStr">
        <is>
          <t>m_graphite</t>
        </is>
      </c>
    </row>
    <row r="191" ht="12.5" customHeight="1" s="213">
      <c r="B191" s="84" t="inlineStr">
        <is>
          <t>~TFM_INS</t>
        </is>
      </c>
    </row>
    <row r="193" ht="12.5" customHeight="1" s="213">
      <c r="A193" t="inlineStr">
        <is>
          <t>year</t>
        </is>
      </c>
      <c r="B193" t="inlineStr">
        <is>
          <t>attribute</t>
        </is>
      </c>
      <c r="C193" t="inlineStr">
        <is>
          <t>limtype</t>
        </is>
      </c>
      <c r="D193" t="inlineStr">
        <is>
          <t>process</t>
        </is>
      </c>
      <c r="E193" t="inlineStr">
        <is>
          <t>cset_cn</t>
        </is>
      </c>
      <c r="F193" t="inlineStr">
        <is>
          <t>Africa_North</t>
        </is>
      </c>
      <c r="G193" t="inlineStr">
        <is>
          <t>Africa_Other</t>
        </is>
      </c>
      <c r="H193" t="inlineStr">
        <is>
          <t>Australia</t>
        </is>
      </c>
      <c r="I193" t="inlineStr">
        <is>
          <t>Austria</t>
        </is>
      </c>
      <c r="J193" t="inlineStr">
        <is>
          <t>Baltics</t>
        </is>
      </c>
      <c r="K193" t="inlineStr">
        <is>
          <t>BeNeLux</t>
        </is>
      </c>
      <c r="L193" t="inlineStr">
        <is>
          <t>Brazil</t>
        </is>
      </c>
      <c r="M193" t="inlineStr">
        <is>
          <t>China</t>
        </is>
      </c>
      <c r="N193" t="inlineStr">
        <is>
          <t>CroSloven</t>
        </is>
      </c>
      <c r="O193" t="inlineStr">
        <is>
          <t>CzechSlovak</t>
        </is>
      </c>
      <c r="P193" t="inlineStr">
        <is>
          <t>France</t>
        </is>
      </c>
      <c r="Q193" t="inlineStr">
        <is>
          <t>Germany</t>
        </is>
      </c>
      <c r="R193" t="inlineStr">
        <is>
          <t>GreeceCyp</t>
        </is>
      </c>
      <c r="S193" t="inlineStr">
        <is>
          <t>HunRomBul</t>
        </is>
      </c>
      <c r="T193" t="inlineStr">
        <is>
          <t>Iceland</t>
        </is>
      </c>
      <c r="U193" t="inlineStr">
        <is>
          <t>India</t>
        </is>
      </c>
      <c r="V193" t="inlineStr">
        <is>
          <t>Ireland</t>
        </is>
      </c>
      <c r="W193" t="inlineStr">
        <is>
          <t>ItalyMal</t>
        </is>
      </c>
      <c r="X193" t="inlineStr">
        <is>
          <t>Japan</t>
        </is>
      </c>
      <c r="Y193" t="inlineStr">
        <is>
          <t>LatAm</t>
        </is>
      </c>
      <c r="Z193" t="inlineStr">
        <is>
          <t>MidEast</t>
        </is>
      </c>
      <c r="AA193" t="inlineStr">
        <is>
          <t>NorthAm</t>
        </is>
      </c>
      <c r="AB193" t="inlineStr">
        <is>
          <t>Norway</t>
        </is>
      </c>
      <c r="AC193" t="inlineStr">
        <is>
          <t>Poland</t>
        </is>
      </c>
      <c r="AD193" t="inlineStr">
        <is>
          <t>ROW</t>
        </is>
      </c>
      <c r="AE193" t="inlineStr">
        <is>
          <t>Russia</t>
        </is>
      </c>
      <c r="AF193" t="inlineStr">
        <is>
          <t>SaudiArabia</t>
        </is>
      </c>
      <c r="AG193" t="inlineStr">
        <is>
          <t>SouthAfrica</t>
        </is>
      </c>
      <c r="AH193" t="inlineStr">
        <is>
          <t>SpainPor</t>
        </is>
      </c>
      <c r="AI193" t="inlineStr">
        <is>
          <t>SweFinDen</t>
        </is>
      </c>
      <c r="AJ193" t="inlineStr">
        <is>
          <t>Switzerland</t>
        </is>
      </c>
      <c r="AK193" t="inlineStr">
        <is>
          <t>Turkey</t>
        </is>
      </c>
      <c r="AL193" t="inlineStr">
        <is>
          <t>UK</t>
        </is>
      </c>
      <c r="AM193" t="inlineStr">
        <is>
          <t>Ukraine</t>
        </is>
      </c>
      <c r="AN193" t="inlineStr">
        <is>
          <t>Pset_CO</t>
        </is>
      </c>
    </row>
    <row r="194" ht="12.5" customHeight="1" s="213">
      <c r="A194" t="n">
        <v>2100</v>
      </c>
      <c r="B194" t="inlineStr">
        <is>
          <t>FLO_BND</t>
        </is>
      </c>
      <c r="C194" t="inlineStr">
        <is>
          <t>UP</t>
        </is>
      </c>
      <c r="D194" t="inlineStr">
        <is>
          <t>MINBatMaterials_LI</t>
        </is>
      </c>
      <c r="E194" t="inlineStr">
        <is>
          <t>m_lithium</t>
        </is>
      </c>
      <c r="F194">
        <f>F165/1*30</f>
        <v/>
      </c>
      <c r="G194">
        <f>G165/1*30</f>
        <v/>
      </c>
      <c r="H194">
        <f>H165/1*30</f>
        <v/>
      </c>
      <c r="I194">
        <f>I165/1*30</f>
        <v/>
      </c>
      <c r="J194">
        <f>J165/1*30</f>
        <v/>
      </c>
      <c r="K194">
        <f>K165/1*30</f>
        <v/>
      </c>
      <c r="L194">
        <f>L165/1*30</f>
        <v/>
      </c>
      <c r="M194">
        <f>M165/1*30</f>
        <v/>
      </c>
      <c r="N194">
        <f>N165/1*30</f>
        <v/>
      </c>
      <c r="O194">
        <f>O165/1*30</f>
        <v/>
      </c>
      <c r="P194">
        <f>P165/1*30</f>
        <v/>
      </c>
      <c r="Q194">
        <f>Q165/1*30</f>
        <v/>
      </c>
      <c r="R194">
        <f>R165/1*30</f>
        <v/>
      </c>
      <c r="S194">
        <f>S165/1*30</f>
        <v/>
      </c>
      <c r="T194">
        <f>T165/1*30</f>
        <v/>
      </c>
      <c r="U194">
        <f>U165/1*30</f>
        <v/>
      </c>
      <c r="V194">
        <f>V165/1*30</f>
        <v/>
      </c>
      <c r="W194">
        <f>W165/1*30</f>
        <v/>
      </c>
      <c r="X194">
        <f>X165/1*30</f>
        <v/>
      </c>
      <c r="Y194">
        <f>Y165/1*30</f>
        <v/>
      </c>
      <c r="Z194">
        <f>Z165/1*30</f>
        <v/>
      </c>
      <c r="AA194">
        <f>AA165/1*30</f>
        <v/>
      </c>
      <c r="AB194">
        <f>AB165/1*30</f>
        <v/>
      </c>
      <c r="AC194">
        <f>AC165/1*30</f>
        <v/>
      </c>
      <c r="AD194">
        <f>AD165/1*30</f>
        <v/>
      </c>
      <c r="AE194">
        <f>AE165/1*30</f>
        <v/>
      </c>
      <c r="AF194">
        <f>AF165/1*30</f>
        <v/>
      </c>
      <c r="AG194">
        <f>AG165/1*30</f>
        <v/>
      </c>
      <c r="AH194">
        <f>AH165/1*30</f>
        <v/>
      </c>
      <c r="AI194">
        <f>AI165/1*30</f>
        <v/>
      </c>
      <c r="AJ194">
        <f>AJ165/1*30</f>
        <v/>
      </c>
      <c r="AK194">
        <f>AK165/1*30</f>
        <v/>
      </c>
      <c r="AL194">
        <f>AL165/1*30</f>
        <v/>
      </c>
      <c r="AM194">
        <f>AM165/1*30</f>
        <v/>
      </c>
      <c r="AN194" t="inlineStr">
        <is>
          <t>m_lithium</t>
        </is>
      </c>
    </row>
    <row r="195" ht="12.5" customHeight="1" s="213">
      <c r="A195" t="n">
        <v>2100</v>
      </c>
      <c r="B195" t="inlineStr">
        <is>
          <t>FLO_BND</t>
        </is>
      </c>
      <c r="C195" t="inlineStr">
        <is>
          <t>UP</t>
        </is>
      </c>
      <c r="D195" t="inlineStr">
        <is>
          <t>MINBatMaterials_NI</t>
        </is>
      </c>
      <c r="E195" t="inlineStr">
        <is>
          <t>m_nickel</t>
        </is>
      </c>
      <c r="F195">
        <f>F166/1*30</f>
        <v/>
      </c>
      <c r="G195">
        <f>G166/1*30</f>
        <v/>
      </c>
      <c r="H195">
        <f>H166/1*30</f>
        <v/>
      </c>
      <c r="I195">
        <f>I166/1*30</f>
        <v/>
      </c>
      <c r="J195">
        <f>J166/1*30</f>
        <v/>
      </c>
      <c r="K195">
        <f>K166/1*30</f>
        <v/>
      </c>
      <c r="L195">
        <f>L166/1*30</f>
        <v/>
      </c>
      <c r="M195">
        <f>M166/1*30</f>
        <v/>
      </c>
      <c r="N195">
        <f>N166/1*30</f>
        <v/>
      </c>
      <c r="O195">
        <f>O166/1*30</f>
        <v/>
      </c>
      <c r="P195">
        <f>P166/1*30</f>
        <v/>
      </c>
      <c r="Q195">
        <f>Q166/1*30</f>
        <v/>
      </c>
      <c r="R195">
        <f>R166/1*30</f>
        <v/>
      </c>
      <c r="S195">
        <f>S166/1*30</f>
        <v/>
      </c>
      <c r="T195">
        <f>T166/1*30</f>
        <v/>
      </c>
      <c r="U195">
        <f>U166/1*30</f>
        <v/>
      </c>
      <c r="V195">
        <f>V166/1*30</f>
        <v/>
      </c>
      <c r="W195">
        <f>W166/1*30</f>
        <v/>
      </c>
      <c r="X195">
        <f>X166/1*30</f>
        <v/>
      </c>
      <c r="Y195">
        <f>Y166/1*30</f>
        <v/>
      </c>
      <c r="Z195">
        <f>Z166/1*30</f>
        <v/>
      </c>
      <c r="AA195">
        <f>AA166/1*30</f>
        <v/>
      </c>
      <c r="AB195">
        <f>AB166/1*30</f>
        <v/>
      </c>
      <c r="AC195">
        <f>AC166/1*30</f>
        <v/>
      </c>
      <c r="AD195">
        <f>AD166/1*30</f>
        <v/>
      </c>
      <c r="AE195">
        <f>AE166/1*30</f>
        <v/>
      </c>
      <c r="AF195">
        <f>AF166/1*30</f>
        <v/>
      </c>
      <c r="AG195">
        <f>AG166/1*30</f>
        <v/>
      </c>
      <c r="AH195">
        <f>AH166/1*30</f>
        <v/>
      </c>
      <c r="AI195">
        <f>AI166/1*30</f>
        <v/>
      </c>
      <c r="AJ195">
        <f>AJ166/1*30</f>
        <v/>
      </c>
      <c r="AK195">
        <f>AK166/1*30</f>
        <v/>
      </c>
      <c r="AL195">
        <f>AL166/1*30</f>
        <v/>
      </c>
      <c r="AM195">
        <f>AM166/1*30</f>
        <v/>
      </c>
      <c r="AN195" t="inlineStr">
        <is>
          <t>m_nickel</t>
        </is>
      </c>
    </row>
    <row r="196" ht="12.5" customHeight="1" s="213">
      <c r="A196" t="n">
        <v>2100</v>
      </c>
      <c r="B196" t="inlineStr">
        <is>
          <t>FLO_BND</t>
        </is>
      </c>
      <c r="C196" t="inlineStr">
        <is>
          <t>UP</t>
        </is>
      </c>
      <c r="D196" t="inlineStr">
        <is>
          <t>MINBatMaterials_COB</t>
        </is>
      </c>
      <c r="E196" t="inlineStr">
        <is>
          <t>m_cobalt</t>
        </is>
      </c>
      <c r="F196">
        <f>F167/1*30</f>
        <v/>
      </c>
      <c r="G196">
        <f>G167/1*30</f>
        <v/>
      </c>
      <c r="H196">
        <f>H167/1*30</f>
        <v/>
      </c>
      <c r="I196">
        <f>I167/1*30</f>
        <v/>
      </c>
      <c r="J196">
        <f>J167/1*30</f>
        <v/>
      </c>
      <c r="K196">
        <f>K167/1*30</f>
        <v/>
      </c>
      <c r="L196">
        <f>L167/1*30</f>
        <v/>
      </c>
      <c r="M196">
        <f>M167/1*30</f>
        <v/>
      </c>
      <c r="N196">
        <f>N167/1*30</f>
        <v/>
      </c>
      <c r="O196">
        <f>O167/1*30</f>
        <v/>
      </c>
      <c r="P196">
        <f>P167/1*30</f>
        <v/>
      </c>
      <c r="Q196">
        <f>Q167/1*30</f>
        <v/>
      </c>
      <c r="R196">
        <f>R167/1*30</f>
        <v/>
      </c>
      <c r="S196">
        <f>S167/1*30</f>
        <v/>
      </c>
      <c r="T196">
        <f>T167/1*30</f>
        <v/>
      </c>
      <c r="U196">
        <f>U167/1*30</f>
        <v/>
      </c>
      <c r="V196">
        <f>V167/1*30</f>
        <v/>
      </c>
      <c r="W196">
        <f>W167/1*30</f>
        <v/>
      </c>
      <c r="X196">
        <f>X167/1*30</f>
        <v/>
      </c>
      <c r="Y196">
        <f>Y167/1*30</f>
        <v/>
      </c>
      <c r="Z196">
        <f>Z167/1*30</f>
        <v/>
      </c>
      <c r="AA196">
        <f>AA167/1*30</f>
        <v/>
      </c>
      <c r="AB196">
        <f>AB167/1*30</f>
        <v/>
      </c>
      <c r="AC196">
        <f>AC167/1*30</f>
        <v/>
      </c>
      <c r="AD196">
        <f>AD167/1*30</f>
        <v/>
      </c>
      <c r="AE196">
        <f>AE167/1*30</f>
        <v/>
      </c>
      <c r="AF196">
        <f>AF167/1*30</f>
        <v/>
      </c>
      <c r="AG196">
        <f>AG167/1*30</f>
        <v/>
      </c>
      <c r="AH196">
        <f>AH167/1*30</f>
        <v/>
      </c>
      <c r="AI196">
        <f>AI167/1*30</f>
        <v/>
      </c>
      <c r="AJ196">
        <f>AJ167/1*30</f>
        <v/>
      </c>
      <c r="AK196">
        <f>AK167/1*30</f>
        <v/>
      </c>
      <c r="AL196">
        <f>AL167/1*30</f>
        <v/>
      </c>
      <c r="AM196">
        <f>AM167/1*30</f>
        <v/>
      </c>
      <c r="AN196" t="inlineStr">
        <is>
          <t>m_cobalt</t>
        </is>
      </c>
    </row>
    <row r="197" ht="12.5" customHeight="1" s="213">
      <c r="A197" t="n">
        <v>2100</v>
      </c>
      <c r="B197" t="inlineStr">
        <is>
          <t>FLO_BND</t>
        </is>
      </c>
      <c r="C197" t="inlineStr">
        <is>
          <t>UP</t>
        </is>
      </c>
      <c r="D197" t="inlineStr">
        <is>
          <t>MINBatMaterials_MN</t>
        </is>
      </c>
      <c r="E197" t="inlineStr">
        <is>
          <t>m_manganese</t>
        </is>
      </c>
      <c r="F197">
        <f>F168/1*30</f>
        <v/>
      </c>
      <c r="G197">
        <f>G168/1*30</f>
        <v/>
      </c>
      <c r="H197">
        <f>H168/1*30</f>
        <v/>
      </c>
      <c r="I197">
        <f>I168/1*30</f>
        <v/>
      </c>
      <c r="J197">
        <f>J168/1*30</f>
        <v/>
      </c>
      <c r="K197">
        <f>K168/1*30</f>
        <v/>
      </c>
      <c r="L197">
        <f>L168/1*30</f>
        <v/>
      </c>
      <c r="M197">
        <f>M168/1*30</f>
        <v/>
      </c>
      <c r="N197">
        <f>N168/1*30</f>
        <v/>
      </c>
      <c r="O197">
        <f>O168/1*30</f>
        <v/>
      </c>
      <c r="P197">
        <f>P168/1*30</f>
        <v/>
      </c>
      <c r="Q197">
        <f>Q168/1*30</f>
        <v/>
      </c>
      <c r="R197">
        <f>R168/1*30</f>
        <v/>
      </c>
      <c r="S197">
        <f>S168/1*30</f>
        <v/>
      </c>
      <c r="T197">
        <f>T168/1*30</f>
        <v/>
      </c>
      <c r="U197">
        <f>U168/1*30</f>
        <v/>
      </c>
      <c r="V197">
        <f>V168/1*30</f>
        <v/>
      </c>
      <c r="W197">
        <f>W168/1*30</f>
        <v/>
      </c>
      <c r="X197">
        <f>X168/1*30</f>
        <v/>
      </c>
      <c r="Y197">
        <f>Y168/1*30</f>
        <v/>
      </c>
      <c r="Z197">
        <f>Z168/1*30</f>
        <v/>
      </c>
      <c r="AA197">
        <f>AA168/1*30</f>
        <v/>
      </c>
      <c r="AB197">
        <f>AB168/1*30</f>
        <v/>
      </c>
      <c r="AC197">
        <f>AC168/1*30</f>
        <v/>
      </c>
      <c r="AD197">
        <f>AD168/1*30</f>
        <v/>
      </c>
      <c r="AE197">
        <f>AE168/1*30</f>
        <v/>
      </c>
      <c r="AF197">
        <f>AF168/1*30</f>
        <v/>
      </c>
      <c r="AG197">
        <f>AG168/1*30</f>
        <v/>
      </c>
      <c r="AH197">
        <f>AH168/1*30</f>
        <v/>
      </c>
      <c r="AI197">
        <f>AI168/1*30</f>
        <v/>
      </c>
      <c r="AJ197">
        <f>AJ168/1*30</f>
        <v/>
      </c>
      <c r="AK197">
        <f>AK168/1*30</f>
        <v/>
      </c>
      <c r="AL197">
        <f>AL168/1*30</f>
        <v/>
      </c>
      <c r="AM197">
        <f>AM168/1*30</f>
        <v/>
      </c>
      <c r="AN197" t="inlineStr">
        <is>
          <t>m_manganese</t>
        </is>
      </c>
    </row>
    <row r="198" ht="12.5" customHeight="1" s="213">
      <c r="A198" t="n">
        <v>2100</v>
      </c>
      <c r="B198" t="inlineStr">
        <is>
          <t>FLO_BND</t>
        </is>
      </c>
      <c r="C198" t="inlineStr">
        <is>
          <t>UP</t>
        </is>
      </c>
      <c r="D198" t="inlineStr">
        <is>
          <t>MINBatMaterials_AL</t>
        </is>
      </c>
      <c r="E198" t="inlineStr">
        <is>
          <t>m_aluminum</t>
        </is>
      </c>
      <c r="F198">
        <f>F169/1*30</f>
        <v/>
      </c>
      <c r="G198">
        <f>G169/1*30</f>
        <v/>
      </c>
      <c r="H198">
        <f>H169/1*30</f>
        <v/>
      </c>
      <c r="I198">
        <f>I169/1*30</f>
        <v/>
      </c>
      <c r="J198">
        <f>J169/1*30</f>
        <v/>
      </c>
      <c r="K198">
        <f>K169/1*30</f>
        <v/>
      </c>
      <c r="L198">
        <f>L169/1*30</f>
        <v/>
      </c>
      <c r="M198">
        <f>M169/1*30</f>
        <v/>
      </c>
      <c r="N198">
        <f>N169/1*30</f>
        <v/>
      </c>
      <c r="O198">
        <f>O169/1*30</f>
        <v/>
      </c>
      <c r="P198">
        <f>P169/1*30</f>
        <v/>
      </c>
      <c r="Q198">
        <f>Q169/1*30</f>
        <v/>
      </c>
      <c r="R198">
        <f>R169/1*30</f>
        <v/>
      </c>
      <c r="S198">
        <f>S169/1*30</f>
        <v/>
      </c>
      <c r="T198">
        <f>T169/1*30</f>
        <v/>
      </c>
      <c r="U198">
        <f>U169/1*30</f>
        <v/>
      </c>
      <c r="V198">
        <f>V169/1*30</f>
        <v/>
      </c>
      <c r="W198">
        <f>W169/1*30</f>
        <v/>
      </c>
      <c r="X198">
        <f>X169/1*30</f>
        <v/>
      </c>
      <c r="Y198">
        <f>Y169/1*30</f>
        <v/>
      </c>
      <c r="Z198">
        <f>Z169/1*30</f>
        <v/>
      </c>
      <c r="AA198">
        <f>AA169/1*30</f>
        <v/>
      </c>
      <c r="AB198">
        <f>AB169/1*30</f>
        <v/>
      </c>
      <c r="AC198">
        <f>AC169/1*30</f>
        <v/>
      </c>
      <c r="AD198">
        <f>AD169/1*30</f>
        <v/>
      </c>
      <c r="AE198">
        <f>AE169/1*30</f>
        <v/>
      </c>
      <c r="AF198">
        <f>AF169/1*30</f>
        <v/>
      </c>
      <c r="AG198">
        <f>AG169/1*30</f>
        <v/>
      </c>
      <c r="AH198">
        <f>AH169/1*30</f>
        <v/>
      </c>
      <c r="AI198">
        <f>AI169/1*30</f>
        <v/>
      </c>
      <c r="AJ198">
        <f>AJ169/1*30</f>
        <v/>
      </c>
      <c r="AK198">
        <f>AK169/1*30</f>
        <v/>
      </c>
      <c r="AL198">
        <f>AL169/1*30</f>
        <v/>
      </c>
      <c r="AM198">
        <f>AM169/1*30</f>
        <v/>
      </c>
      <c r="AN198" t="inlineStr">
        <is>
          <t>m_aluminum</t>
        </is>
      </c>
    </row>
    <row r="199" ht="12.5" customHeight="1" s="213">
      <c r="A199" t="n">
        <v>2100</v>
      </c>
      <c r="B199" t="inlineStr">
        <is>
          <t>FLO_BND</t>
        </is>
      </c>
      <c r="C199" t="inlineStr">
        <is>
          <t>UP</t>
        </is>
      </c>
      <c r="D199" t="inlineStr">
        <is>
          <t>MINBatMaterials_COP</t>
        </is>
      </c>
      <c r="E199" t="inlineStr">
        <is>
          <t>m_copper</t>
        </is>
      </c>
      <c r="F199">
        <f>F170/1*30</f>
        <v/>
      </c>
      <c r="G199">
        <f>G170/1*30</f>
        <v/>
      </c>
      <c r="H199">
        <f>H170/1*30</f>
        <v/>
      </c>
      <c r="I199">
        <f>I170/1*30</f>
        <v/>
      </c>
      <c r="J199">
        <f>J170/1*30</f>
        <v/>
      </c>
      <c r="K199">
        <f>K170/1*30</f>
        <v/>
      </c>
      <c r="L199">
        <f>L170/1*30</f>
        <v/>
      </c>
      <c r="M199">
        <f>M170/1*30</f>
        <v/>
      </c>
      <c r="N199">
        <f>N170/1*30</f>
        <v/>
      </c>
      <c r="O199">
        <f>O170/1*30</f>
        <v/>
      </c>
      <c r="P199">
        <f>P170/1*30</f>
        <v/>
      </c>
      <c r="Q199">
        <f>Q170/1*30</f>
        <v/>
      </c>
      <c r="R199">
        <f>R170/1*30</f>
        <v/>
      </c>
      <c r="S199">
        <f>S170/1*30</f>
        <v/>
      </c>
      <c r="T199">
        <f>T170/1*30</f>
        <v/>
      </c>
      <c r="U199">
        <f>U170/1*30</f>
        <v/>
      </c>
      <c r="V199">
        <f>V170/1*30</f>
        <v/>
      </c>
      <c r="W199">
        <f>W170/1*30</f>
        <v/>
      </c>
      <c r="X199">
        <f>X170/1*30</f>
        <v/>
      </c>
      <c r="Y199">
        <f>Y170/1*30</f>
        <v/>
      </c>
      <c r="Z199">
        <f>Z170/1*30</f>
        <v/>
      </c>
      <c r="AA199">
        <f>AA170/1*30</f>
        <v/>
      </c>
      <c r="AB199">
        <f>AB170/1*30</f>
        <v/>
      </c>
      <c r="AC199">
        <f>AC170/1*30</f>
        <v/>
      </c>
      <c r="AD199">
        <f>AD170/1*30</f>
        <v/>
      </c>
      <c r="AE199">
        <f>AE170/1*30</f>
        <v/>
      </c>
      <c r="AF199">
        <f>AF170/1*30</f>
        <v/>
      </c>
      <c r="AG199">
        <f>AG170/1*30</f>
        <v/>
      </c>
      <c r="AH199">
        <f>AH170/1*30</f>
        <v/>
      </c>
      <c r="AI199">
        <f>AI170/1*30</f>
        <v/>
      </c>
      <c r="AJ199">
        <f>AJ170/1*30</f>
        <v/>
      </c>
      <c r="AK199">
        <f>AK170/1*30</f>
        <v/>
      </c>
      <c r="AL199">
        <f>AL170/1*30</f>
        <v/>
      </c>
      <c r="AM199">
        <f>AM170/1*30</f>
        <v/>
      </c>
      <c r="AN199" t="inlineStr">
        <is>
          <t>m_copper</t>
        </is>
      </c>
    </row>
    <row r="200" ht="12.5" customHeight="1" s="213">
      <c r="A200" t="n">
        <v>2100</v>
      </c>
      <c r="B200" t="inlineStr">
        <is>
          <t>FLO_BND</t>
        </is>
      </c>
      <c r="C200" t="inlineStr">
        <is>
          <t>UP</t>
        </is>
      </c>
      <c r="D200" t="inlineStr">
        <is>
          <t>MINBatMaterials_GR</t>
        </is>
      </c>
      <c r="E200" t="inlineStr">
        <is>
          <t>m_graphite</t>
        </is>
      </c>
      <c r="F200">
        <f>F171/1*30</f>
        <v/>
      </c>
      <c r="G200">
        <f>G171/1*30</f>
        <v/>
      </c>
      <c r="H200">
        <f>H171/1*30</f>
        <v/>
      </c>
      <c r="I200">
        <f>I171/1*30</f>
        <v/>
      </c>
      <c r="J200">
        <f>J171/1*30</f>
        <v/>
      </c>
      <c r="K200">
        <f>K171/1*30</f>
        <v/>
      </c>
      <c r="L200">
        <f>L171/1*30</f>
        <v/>
      </c>
      <c r="M200">
        <f>M171/1*30</f>
        <v/>
      </c>
      <c r="N200">
        <f>N171/1*30</f>
        <v/>
      </c>
      <c r="O200">
        <f>O171/1*30</f>
        <v/>
      </c>
      <c r="P200">
        <f>P171/1*30</f>
        <v/>
      </c>
      <c r="Q200">
        <f>Q171/1*30</f>
        <v/>
      </c>
      <c r="R200">
        <f>R171/1*30</f>
        <v/>
      </c>
      <c r="S200">
        <f>S171/1*30</f>
        <v/>
      </c>
      <c r="T200">
        <f>T171/1*30</f>
        <v/>
      </c>
      <c r="U200">
        <f>U171/1*30</f>
        <v/>
      </c>
      <c r="V200">
        <f>V171/1*30</f>
        <v/>
      </c>
      <c r="W200">
        <f>W171/1*30</f>
        <v/>
      </c>
      <c r="X200">
        <f>X171/1*30</f>
        <v/>
      </c>
      <c r="Y200">
        <f>Y171/1*30</f>
        <v/>
      </c>
      <c r="Z200">
        <f>Z171/1*30</f>
        <v/>
      </c>
      <c r="AA200">
        <f>AA171/1*30</f>
        <v/>
      </c>
      <c r="AB200">
        <f>AB171/1*30</f>
        <v/>
      </c>
      <c r="AC200">
        <f>AC171/1*30</f>
        <v/>
      </c>
      <c r="AD200">
        <f>AD171/1*30</f>
        <v/>
      </c>
      <c r="AE200">
        <f>AE171/1*30</f>
        <v/>
      </c>
      <c r="AF200">
        <f>AF171/1*30</f>
        <v/>
      </c>
      <c r="AG200">
        <f>AG171/1*30</f>
        <v/>
      </c>
      <c r="AH200">
        <f>AH171/1*30</f>
        <v/>
      </c>
      <c r="AI200">
        <f>AI171/1*30</f>
        <v/>
      </c>
      <c r="AJ200">
        <f>AJ171/1*30</f>
        <v/>
      </c>
      <c r="AK200">
        <f>AK171/1*30</f>
        <v/>
      </c>
      <c r="AL200">
        <f>AL171/1*30</f>
        <v/>
      </c>
      <c r="AM200">
        <f>AM171/1*30</f>
        <v/>
      </c>
      <c r="AN200" t="inlineStr">
        <is>
          <t>m_graphite</t>
        </is>
      </c>
    </row>
    <row r="208" ht="12.5" customHeight="1" s="213">
      <c r="B208" s="84" t="inlineStr">
        <is>
          <t>~TFM_INS</t>
        </is>
      </c>
    </row>
    <row r="210" ht="12.5" customFormat="1" customHeight="1" s="84"/>
    <row r="211" ht="12.5" customFormat="1" customHeight="1" s="84">
      <c r="A211" s="84">
        <f>A193</f>
        <v/>
      </c>
      <c r="B211" s="84">
        <f>B193</f>
        <v/>
      </c>
      <c r="C211" s="84" t="inlineStr">
        <is>
          <t>limtype</t>
        </is>
      </c>
      <c r="D211" s="84" t="inlineStr">
        <is>
          <t>process</t>
        </is>
      </c>
      <c r="E211" s="84">
        <f>F87</f>
        <v/>
      </c>
      <c r="F211" s="84">
        <f>G87</f>
        <v/>
      </c>
      <c r="G211" s="84">
        <f>H87</f>
        <v/>
      </c>
      <c r="H211" s="84">
        <f>I87</f>
        <v/>
      </c>
      <c r="I211" s="84">
        <f>J87</f>
        <v/>
      </c>
      <c r="J211" s="84">
        <f>K87</f>
        <v/>
      </c>
      <c r="K211" s="84">
        <f>L87</f>
        <v/>
      </c>
      <c r="L211" s="84">
        <f>M87</f>
        <v/>
      </c>
      <c r="M211" s="84">
        <f>N87</f>
        <v/>
      </c>
      <c r="N211" s="84">
        <f>O87</f>
        <v/>
      </c>
      <c r="O211" s="84">
        <f>P87</f>
        <v/>
      </c>
      <c r="P211" s="84">
        <f>Q87</f>
        <v/>
      </c>
      <c r="Q211" s="84">
        <f>R87</f>
        <v/>
      </c>
      <c r="R211" s="84">
        <f>S87</f>
        <v/>
      </c>
      <c r="S211" s="84">
        <f>T87</f>
        <v/>
      </c>
      <c r="T211" s="84">
        <f>U87</f>
        <v/>
      </c>
      <c r="U211" s="84">
        <f>V87</f>
        <v/>
      </c>
      <c r="V211" s="84">
        <f>W87</f>
        <v/>
      </c>
      <c r="W211" s="84">
        <f>X87</f>
        <v/>
      </c>
      <c r="X211" s="84">
        <f>Y87</f>
        <v/>
      </c>
      <c r="Y211" s="84">
        <f>Z87</f>
        <v/>
      </c>
      <c r="Z211" s="84">
        <f>AA87</f>
        <v/>
      </c>
      <c r="AA211" s="84">
        <f>AB87</f>
        <v/>
      </c>
      <c r="AB211" s="84">
        <f>AC87</f>
        <v/>
      </c>
      <c r="AC211" s="84">
        <f>AD87</f>
        <v/>
      </c>
      <c r="AD211" s="84">
        <f>AE87</f>
        <v/>
      </c>
      <c r="AE211" s="84">
        <f>AF87</f>
        <v/>
      </c>
      <c r="AF211" s="84">
        <f>AG87</f>
        <v/>
      </c>
      <c r="AG211" s="84">
        <f>AH87</f>
        <v/>
      </c>
      <c r="AH211" s="84">
        <f>AI87</f>
        <v/>
      </c>
      <c r="AI211" s="84">
        <f>AJ87</f>
        <v/>
      </c>
      <c r="AJ211" s="84">
        <f>AK87</f>
        <v/>
      </c>
      <c r="AK211" s="84">
        <f>AL87</f>
        <v/>
      </c>
      <c r="AL211" s="84">
        <f>AM87</f>
        <v/>
      </c>
      <c r="AM211" s="84">
        <f>AO87</f>
        <v/>
      </c>
    </row>
    <row r="212" ht="16" customFormat="1" customHeight="1" s="84">
      <c r="A212" s="84" t="n">
        <v>2019</v>
      </c>
      <c r="B212" s="145" t="inlineStr">
        <is>
          <t>PRC_RESID</t>
        </is>
      </c>
      <c r="C212" s="84" t="inlineStr">
        <is>
          <t>FX</t>
        </is>
      </c>
      <c r="D212" s="84" t="inlineStr">
        <is>
          <t>MINBatMaterials_LI</t>
        </is>
      </c>
      <c r="E212" s="84">
        <f>F88/1</f>
        <v/>
      </c>
      <c r="F212" s="84">
        <f>G88/1</f>
        <v/>
      </c>
      <c r="G212" s="84">
        <f>H88/1</f>
        <v/>
      </c>
      <c r="H212" s="84">
        <f>I88/1</f>
        <v/>
      </c>
      <c r="I212" s="84">
        <f>J88/1</f>
        <v/>
      </c>
      <c r="J212" s="84">
        <f>K88/1</f>
        <v/>
      </c>
      <c r="K212" s="84">
        <f>L88/1</f>
        <v/>
      </c>
      <c r="L212" s="84">
        <f>M88/1</f>
        <v/>
      </c>
      <c r="M212" s="84">
        <f>N88/1</f>
        <v/>
      </c>
      <c r="N212" s="84">
        <f>O88/1</f>
        <v/>
      </c>
      <c r="O212" s="84">
        <f>P88/1</f>
        <v/>
      </c>
      <c r="P212" s="84">
        <f>Q88/1</f>
        <v/>
      </c>
      <c r="Q212" s="84">
        <f>R88/1</f>
        <v/>
      </c>
      <c r="R212" s="84">
        <f>S88/1</f>
        <v/>
      </c>
      <c r="S212" s="84">
        <f>T88/1</f>
        <v/>
      </c>
      <c r="T212" s="84">
        <f>U88/1</f>
        <v/>
      </c>
      <c r="U212" s="84">
        <f>V88/1</f>
        <v/>
      </c>
      <c r="V212" s="84">
        <f>W88/1</f>
        <v/>
      </c>
      <c r="W212" s="84">
        <f>X88/1</f>
        <v/>
      </c>
      <c r="X212" s="84">
        <f>Y88/1</f>
        <v/>
      </c>
      <c r="Y212" s="84">
        <f>Z88/1</f>
        <v/>
      </c>
      <c r="Z212" s="84">
        <f>AA88/1</f>
        <v/>
      </c>
      <c r="AA212" s="84">
        <f>AB88/1</f>
        <v/>
      </c>
      <c r="AB212" s="84">
        <f>AC88/1</f>
        <v/>
      </c>
      <c r="AC212" s="84">
        <f>AD88/1</f>
        <v/>
      </c>
      <c r="AD212" s="84">
        <f>AE88/1</f>
        <v/>
      </c>
      <c r="AE212" s="84">
        <f>AF88/1</f>
        <v/>
      </c>
      <c r="AF212" s="84">
        <f>AG88/1</f>
        <v/>
      </c>
      <c r="AG212" s="84">
        <f>AH88/1</f>
        <v/>
      </c>
      <c r="AH212" s="84">
        <f>AI88/1</f>
        <v/>
      </c>
      <c r="AI212" s="84">
        <f>AJ88/1</f>
        <v/>
      </c>
      <c r="AJ212" s="84">
        <f>AK88/1</f>
        <v/>
      </c>
      <c r="AK212" s="84">
        <f>AL88/1</f>
        <v/>
      </c>
      <c r="AL212" s="84">
        <f>AM88/1</f>
        <v/>
      </c>
      <c r="AM212" s="84">
        <f>AO88</f>
        <v/>
      </c>
    </row>
    <row r="213" ht="12.5" customFormat="1" customHeight="1" s="84">
      <c r="A213" s="84">
        <f>A212</f>
        <v/>
      </c>
      <c r="B213" s="84">
        <f>B212</f>
        <v/>
      </c>
      <c r="C213" s="84" t="inlineStr">
        <is>
          <t>FX</t>
        </is>
      </c>
      <c r="D213" s="84" t="inlineStr">
        <is>
          <t>MINBatMaterials_NI</t>
        </is>
      </c>
      <c r="E213" s="84">
        <f>F89/1</f>
        <v/>
      </c>
      <c r="F213" s="84">
        <f>G89/1</f>
        <v/>
      </c>
      <c r="G213" s="84">
        <f>H89/1</f>
        <v/>
      </c>
      <c r="H213" s="84">
        <f>I89/1</f>
        <v/>
      </c>
      <c r="I213" s="84">
        <f>J89/1</f>
        <v/>
      </c>
      <c r="J213" s="84">
        <f>K89/1</f>
        <v/>
      </c>
      <c r="K213" s="84">
        <f>L89/1</f>
        <v/>
      </c>
      <c r="L213" s="84">
        <f>M89/1</f>
        <v/>
      </c>
      <c r="M213" s="84">
        <f>N89/1</f>
        <v/>
      </c>
      <c r="N213" s="84">
        <f>O89/1</f>
        <v/>
      </c>
      <c r="O213" s="84">
        <f>P89/1</f>
        <v/>
      </c>
      <c r="P213" s="84">
        <f>Q89/1</f>
        <v/>
      </c>
      <c r="Q213" s="84">
        <f>R89/1</f>
        <v/>
      </c>
      <c r="R213" s="84">
        <f>S89/1</f>
        <v/>
      </c>
      <c r="S213" s="84">
        <f>T89/1</f>
        <v/>
      </c>
      <c r="T213" s="84">
        <f>U89/1</f>
        <v/>
      </c>
      <c r="U213" s="84">
        <f>V89/1</f>
        <v/>
      </c>
      <c r="V213" s="84">
        <f>W89/1</f>
        <v/>
      </c>
      <c r="W213" s="84">
        <f>X89/1</f>
        <v/>
      </c>
      <c r="X213" s="84">
        <f>Y89/1</f>
        <v/>
      </c>
      <c r="Y213" s="84">
        <f>Z89/1</f>
        <v/>
      </c>
      <c r="Z213" s="84">
        <f>AA89/1</f>
        <v/>
      </c>
      <c r="AA213" s="84">
        <f>AB89/1</f>
        <v/>
      </c>
      <c r="AB213" s="84">
        <f>AC89/1</f>
        <v/>
      </c>
      <c r="AC213" s="84">
        <f>AD89/1</f>
        <v/>
      </c>
      <c r="AD213" s="84">
        <f>AE89/1</f>
        <v/>
      </c>
      <c r="AE213" s="84">
        <f>AF89/1</f>
        <v/>
      </c>
      <c r="AF213" s="84">
        <f>AG89/1</f>
        <v/>
      </c>
      <c r="AG213" s="84">
        <f>AH89/1</f>
        <v/>
      </c>
      <c r="AH213" s="84">
        <f>AI89/1</f>
        <v/>
      </c>
      <c r="AI213" s="84">
        <f>AJ89/1</f>
        <v/>
      </c>
      <c r="AJ213" s="84">
        <f>AK89/1</f>
        <v/>
      </c>
      <c r="AK213" s="84">
        <f>AL89/1</f>
        <v/>
      </c>
      <c r="AL213" s="84">
        <f>AM89/1</f>
        <v/>
      </c>
      <c r="AM213" s="84">
        <f>AO89</f>
        <v/>
      </c>
    </row>
    <row r="214" ht="12.5" customFormat="1" customHeight="1" s="84">
      <c r="A214" s="84">
        <f>A213</f>
        <v/>
      </c>
      <c r="B214" s="84">
        <f>B213</f>
        <v/>
      </c>
      <c r="C214" s="84" t="inlineStr">
        <is>
          <t>FX</t>
        </is>
      </c>
      <c r="D214" s="84" t="inlineStr">
        <is>
          <t>MINBatMaterials_COB</t>
        </is>
      </c>
      <c r="E214" s="84">
        <f>F90/1</f>
        <v/>
      </c>
      <c r="F214" s="84">
        <f>G90/1</f>
        <v/>
      </c>
      <c r="G214" s="84">
        <f>H90/1</f>
        <v/>
      </c>
      <c r="H214" s="84">
        <f>I90/1</f>
        <v/>
      </c>
      <c r="I214" s="84">
        <f>J90/1</f>
        <v/>
      </c>
      <c r="J214" s="84">
        <f>K90/1</f>
        <v/>
      </c>
      <c r="K214" s="84">
        <f>L90/1</f>
        <v/>
      </c>
      <c r="L214" s="84">
        <f>M90/1</f>
        <v/>
      </c>
      <c r="M214" s="84">
        <f>N90/1</f>
        <v/>
      </c>
      <c r="N214" s="84">
        <f>O90/1</f>
        <v/>
      </c>
      <c r="O214" s="84">
        <f>P90/1</f>
        <v/>
      </c>
      <c r="P214" s="84">
        <f>Q90/1</f>
        <v/>
      </c>
      <c r="Q214" s="84">
        <f>R90/1</f>
        <v/>
      </c>
      <c r="R214" s="84">
        <f>S90/1</f>
        <v/>
      </c>
      <c r="S214" s="84">
        <f>T90/1</f>
        <v/>
      </c>
      <c r="T214" s="84">
        <f>U90/1</f>
        <v/>
      </c>
      <c r="U214" s="84">
        <f>V90/1</f>
        <v/>
      </c>
      <c r="V214" s="84">
        <f>W90/1</f>
        <v/>
      </c>
      <c r="W214" s="84">
        <f>X90/1</f>
        <v/>
      </c>
      <c r="X214" s="84">
        <f>Y90/1</f>
        <v/>
      </c>
      <c r="Y214" s="84">
        <f>Z90/1</f>
        <v/>
      </c>
      <c r="Z214" s="84">
        <f>AA90/1</f>
        <v/>
      </c>
      <c r="AA214" s="84">
        <f>AB90/1</f>
        <v/>
      </c>
      <c r="AB214" s="84">
        <f>AC90/1</f>
        <v/>
      </c>
      <c r="AC214" s="84">
        <f>AD90/1</f>
        <v/>
      </c>
      <c r="AD214" s="84">
        <f>AE90/1</f>
        <v/>
      </c>
      <c r="AE214" s="84">
        <f>AF90/1</f>
        <v/>
      </c>
      <c r="AF214" s="84">
        <f>AG90/1</f>
        <v/>
      </c>
      <c r="AG214" s="84">
        <f>AH90/1</f>
        <v/>
      </c>
      <c r="AH214" s="84">
        <f>AI90/1</f>
        <v/>
      </c>
      <c r="AI214" s="84">
        <f>AJ90/1</f>
        <v/>
      </c>
      <c r="AJ214" s="84">
        <f>AK90/1</f>
        <v/>
      </c>
      <c r="AK214" s="84">
        <f>AL90/1</f>
        <v/>
      </c>
      <c r="AL214" s="84">
        <f>AM90/1</f>
        <v/>
      </c>
      <c r="AM214" s="84">
        <f>AO90</f>
        <v/>
      </c>
    </row>
    <row r="215" ht="12.5" customFormat="1" customHeight="1" s="84">
      <c r="A215" s="84">
        <f>A214</f>
        <v/>
      </c>
      <c r="B215" s="84">
        <f>B214</f>
        <v/>
      </c>
      <c r="C215" s="84" t="inlineStr">
        <is>
          <t>FX</t>
        </is>
      </c>
      <c r="D215" s="84" t="inlineStr">
        <is>
          <t>MINBatMaterials_MN</t>
        </is>
      </c>
      <c r="E215" s="84">
        <f>F91/1</f>
        <v/>
      </c>
      <c r="F215" s="84">
        <f>G91/1</f>
        <v/>
      </c>
      <c r="G215" s="84">
        <f>H91/1</f>
        <v/>
      </c>
      <c r="H215" s="84">
        <f>I91/1</f>
        <v/>
      </c>
      <c r="I215" s="84">
        <f>J91/1</f>
        <v/>
      </c>
      <c r="J215" s="84">
        <f>K91/1</f>
        <v/>
      </c>
      <c r="K215" s="84">
        <f>L91/1</f>
        <v/>
      </c>
      <c r="L215" s="84">
        <f>M91/1</f>
        <v/>
      </c>
      <c r="M215" s="84">
        <f>N91/1</f>
        <v/>
      </c>
      <c r="N215" s="84">
        <f>O91/1</f>
        <v/>
      </c>
      <c r="O215" s="84">
        <f>P91/1</f>
        <v/>
      </c>
      <c r="P215" s="84">
        <f>Q91/1</f>
        <v/>
      </c>
      <c r="Q215" s="84">
        <f>R91/1</f>
        <v/>
      </c>
      <c r="R215" s="84">
        <f>S91/1</f>
        <v/>
      </c>
      <c r="S215" s="84">
        <f>T91/1</f>
        <v/>
      </c>
      <c r="T215" s="84">
        <f>U91/1</f>
        <v/>
      </c>
      <c r="U215" s="84">
        <f>V91/1</f>
        <v/>
      </c>
      <c r="V215" s="84">
        <f>W91/1</f>
        <v/>
      </c>
      <c r="W215" s="84">
        <f>X91/1</f>
        <v/>
      </c>
      <c r="X215" s="84">
        <f>Y91/1</f>
        <v/>
      </c>
      <c r="Y215" s="84">
        <f>Z91/1</f>
        <v/>
      </c>
      <c r="Z215" s="84">
        <f>AA91/1</f>
        <v/>
      </c>
      <c r="AA215" s="84">
        <f>AB91/1</f>
        <v/>
      </c>
      <c r="AB215" s="84">
        <f>AC91/1</f>
        <v/>
      </c>
      <c r="AC215" s="84">
        <f>AD91/1</f>
        <v/>
      </c>
      <c r="AD215" s="84">
        <f>AE91/1</f>
        <v/>
      </c>
      <c r="AE215" s="84">
        <f>AF91/1</f>
        <v/>
      </c>
      <c r="AF215" s="84">
        <f>AG91/1</f>
        <v/>
      </c>
      <c r="AG215" s="84">
        <f>AH91/1</f>
        <v/>
      </c>
      <c r="AH215" s="84">
        <f>AI91/1</f>
        <v/>
      </c>
      <c r="AI215" s="84">
        <f>AJ91/1</f>
        <v/>
      </c>
      <c r="AJ215" s="84">
        <f>AK91/1</f>
        <v/>
      </c>
      <c r="AK215" s="84">
        <f>AL91/1</f>
        <v/>
      </c>
      <c r="AL215" s="84">
        <f>AM91/1</f>
        <v/>
      </c>
      <c r="AM215" s="84">
        <f>AO91</f>
        <v/>
      </c>
    </row>
    <row r="216" ht="12.5" customFormat="1" customHeight="1" s="84">
      <c r="A216" s="84">
        <f>A215</f>
        <v/>
      </c>
      <c r="B216" s="84">
        <f>B215</f>
        <v/>
      </c>
      <c r="C216" s="84" t="inlineStr">
        <is>
          <t>FX</t>
        </is>
      </c>
      <c r="D216" s="84" t="inlineStr">
        <is>
          <t>MINBatMaterials_AL</t>
        </is>
      </c>
      <c r="E216" s="84">
        <f>F92/1</f>
        <v/>
      </c>
      <c r="F216" s="84">
        <f>G92/1</f>
        <v/>
      </c>
      <c r="G216" s="84">
        <f>H92/1</f>
        <v/>
      </c>
      <c r="H216" s="84">
        <f>I92/1</f>
        <v/>
      </c>
      <c r="I216" s="84">
        <f>J92/1</f>
        <v/>
      </c>
      <c r="J216" s="84">
        <f>K92/1</f>
        <v/>
      </c>
      <c r="K216" s="84">
        <f>L92/1</f>
        <v/>
      </c>
      <c r="L216" s="84">
        <f>M92/1</f>
        <v/>
      </c>
      <c r="M216" s="84">
        <f>N92/1</f>
        <v/>
      </c>
      <c r="N216" s="84">
        <f>O92/1</f>
        <v/>
      </c>
      <c r="O216" s="84">
        <f>P92/1</f>
        <v/>
      </c>
      <c r="P216" s="84">
        <f>Q92/1</f>
        <v/>
      </c>
      <c r="Q216" s="84">
        <f>R92/1</f>
        <v/>
      </c>
      <c r="R216" s="84">
        <f>S92/1</f>
        <v/>
      </c>
      <c r="S216" s="84">
        <f>T92/1</f>
        <v/>
      </c>
      <c r="T216" s="84">
        <f>U92/1</f>
        <v/>
      </c>
      <c r="U216" s="84">
        <f>V92/1</f>
        <v/>
      </c>
      <c r="V216" s="84">
        <f>W92/1</f>
        <v/>
      </c>
      <c r="W216" s="84">
        <f>X92/1</f>
        <v/>
      </c>
      <c r="X216" s="84">
        <f>Y92/1</f>
        <v/>
      </c>
      <c r="Y216" s="84">
        <f>Z92/1</f>
        <v/>
      </c>
      <c r="Z216" s="84">
        <f>AA92/1</f>
        <v/>
      </c>
      <c r="AA216" s="84">
        <f>AB92/1</f>
        <v/>
      </c>
      <c r="AB216" s="84">
        <f>AC92/1</f>
        <v/>
      </c>
      <c r="AC216" s="84">
        <f>AD92/1</f>
        <v/>
      </c>
      <c r="AD216" s="84">
        <f>AE92/1</f>
        <v/>
      </c>
      <c r="AE216" s="84">
        <f>AF92/1</f>
        <v/>
      </c>
      <c r="AF216" s="84">
        <f>AG92/1</f>
        <v/>
      </c>
      <c r="AG216" s="84">
        <f>AH92/1</f>
        <v/>
      </c>
      <c r="AH216" s="84">
        <f>AI92/1</f>
        <v/>
      </c>
      <c r="AI216" s="84">
        <f>AJ92/1</f>
        <v/>
      </c>
      <c r="AJ216" s="84">
        <f>AK92/1</f>
        <v/>
      </c>
      <c r="AK216" s="84">
        <f>AL92/1</f>
        <v/>
      </c>
      <c r="AL216" s="84">
        <f>AM92/1</f>
        <v/>
      </c>
      <c r="AM216" s="84">
        <f>AO92</f>
        <v/>
      </c>
    </row>
    <row r="217" ht="12.5" customFormat="1" customHeight="1" s="84">
      <c r="A217" s="84">
        <f>A216</f>
        <v/>
      </c>
      <c r="B217" s="84">
        <f>B216</f>
        <v/>
      </c>
      <c r="C217" s="84" t="inlineStr">
        <is>
          <t>FX</t>
        </is>
      </c>
      <c r="D217" s="84" t="inlineStr">
        <is>
          <t>MINBatMaterials_COP</t>
        </is>
      </c>
      <c r="E217" s="84">
        <f>F93/1</f>
        <v/>
      </c>
      <c r="F217" s="84">
        <f>G93/1</f>
        <v/>
      </c>
      <c r="G217" s="84">
        <f>H93/1</f>
        <v/>
      </c>
      <c r="H217" s="84">
        <f>I93/1</f>
        <v/>
      </c>
      <c r="I217" s="84">
        <f>J93/1</f>
        <v/>
      </c>
      <c r="J217" s="84">
        <f>K93/1</f>
        <v/>
      </c>
      <c r="K217" s="84">
        <f>L93/1</f>
        <v/>
      </c>
      <c r="L217" s="84">
        <f>M93/1</f>
        <v/>
      </c>
      <c r="M217" s="84">
        <f>N93/1</f>
        <v/>
      </c>
      <c r="N217" s="84">
        <f>O93/1</f>
        <v/>
      </c>
      <c r="O217" s="84">
        <f>P93/1</f>
        <v/>
      </c>
      <c r="P217" s="84">
        <f>Q93/1</f>
        <v/>
      </c>
      <c r="Q217" s="84">
        <f>R93/1</f>
        <v/>
      </c>
      <c r="R217" s="84">
        <f>S93/1</f>
        <v/>
      </c>
      <c r="S217" s="84">
        <f>T93/1</f>
        <v/>
      </c>
      <c r="T217" s="84">
        <f>U93/1</f>
        <v/>
      </c>
      <c r="U217" s="84">
        <f>V93/1</f>
        <v/>
      </c>
      <c r="V217" s="84">
        <f>W93/1</f>
        <v/>
      </c>
      <c r="W217" s="84">
        <f>X93/1</f>
        <v/>
      </c>
      <c r="X217" s="84">
        <f>Y93/1</f>
        <v/>
      </c>
      <c r="Y217" s="84">
        <f>Z93/1</f>
        <v/>
      </c>
      <c r="Z217" s="84">
        <f>AA93/1</f>
        <v/>
      </c>
      <c r="AA217" s="84">
        <f>AB93/1</f>
        <v/>
      </c>
      <c r="AB217" s="84">
        <f>AC93/1</f>
        <v/>
      </c>
      <c r="AC217" s="84">
        <f>AD93/1</f>
        <v/>
      </c>
      <c r="AD217" s="84">
        <f>AE93/1</f>
        <v/>
      </c>
      <c r="AE217" s="84">
        <f>AF93/1</f>
        <v/>
      </c>
      <c r="AF217" s="84">
        <f>AG93/1</f>
        <v/>
      </c>
      <c r="AG217" s="84">
        <f>AH93/1</f>
        <v/>
      </c>
      <c r="AH217" s="84">
        <f>AI93/1</f>
        <v/>
      </c>
      <c r="AI217" s="84">
        <f>AJ93/1</f>
        <v/>
      </c>
      <c r="AJ217" s="84">
        <f>AK93/1</f>
        <v/>
      </c>
      <c r="AK217" s="84">
        <f>AL93/1</f>
        <v/>
      </c>
      <c r="AL217" s="84">
        <f>AM93/1</f>
        <v/>
      </c>
      <c r="AM217" s="84">
        <f>AO93</f>
        <v/>
      </c>
    </row>
    <row r="218" ht="12.5" customFormat="1" customHeight="1" s="84">
      <c r="A218" s="84">
        <f>A217</f>
        <v/>
      </c>
      <c r="B218" s="84">
        <f>B217</f>
        <v/>
      </c>
      <c r="C218" s="84" t="inlineStr">
        <is>
          <t>FX</t>
        </is>
      </c>
      <c r="D218" s="84" t="inlineStr">
        <is>
          <t>MINBatMaterials_GR</t>
        </is>
      </c>
      <c r="E218" s="84">
        <f>F94/1</f>
        <v/>
      </c>
      <c r="F218" s="84">
        <f>G94/1</f>
        <v/>
      </c>
      <c r="G218" s="84">
        <f>H94/1</f>
        <v/>
      </c>
      <c r="H218" s="84">
        <f>I94/1</f>
        <v/>
      </c>
      <c r="I218" s="84">
        <f>J94/1</f>
        <v/>
      </c>
      <c r="J218" s="84">
        <f>K94/1</f>
        <v/>
      </c>
      <c r="K218" s="84">
        <f>L94/1</f>
        <v/>
      </c>
      <c r="L218" s="84">
        <f>M94/1</f>
        <v/>
      </c>
      <c r="M218" s="84">
        <f>N94/1</f>
        <v/>
      </c>
      <c r="N218" s="84">
        <f>O94/1</f>
        <v/>
      </c>
      <c r="O218" s="84">
        <f>P94/1</f>
        <v/>
      </c>
      <c r="P218" s="84">
        <f>Q94/1</f>
        <v/>
      </c>
      <c r="Q218" s="84">
        <f>R94/1</f>
        <v/>
      </c>
      <c r="R218" s="84">
        <f>S94/1</f>
        <v/>
      </c>
      <c r="S218" s="84">
        <f>T94/1</f>
        <v/>
      </c>
      <c r="T218" s="84">
        <f>U94/1</f>
        <v/>
      </c>
      <c r="U218" s="84">
        <f>V94/1</f>
        <v/>
      </c>
      <c r="V218" s="84">
        <f>W94/1</f>
        <v/>
      </c>
      <c r="W218" s="84">
        <f>X94/1</f>
        <v/>
      </c>
      <c r="X218" s="84">
        <f>Y94/1</f>
        <v/>
      </c>
      <c r="Y218" s="84">
        <f>Z94/1</f>
        <v/>
      </c>
      <c r="Z218" s="84">
        <f>AA94/1</f>
        <v/>
      </c>
      <c r="AA218" s="84">
        <f>AB94/1</f>
        <v/>
      </c>
      <c r="AB218" s="84">
        <f>AC94/1</f>
        <v/>
      </c>
      <c r="AC218" s="84">
        <f>AD94/1</f>
        <v/>
      </c>
      <c r="AD218" s="84">
        <f>AE94/1</f>
        <v/>
      </c>
      <c r="AE218" s="84">
        <f>AF94/1</f>
        <v/>
      </c>
      <c r="AF218" s="84">
        <f>AG94/1</f>
        <v/>
      </c>
      <c r="AG218" s="84">
        <f>AH94/1</f>
        <v/>
      </c>
      <c r="AH218" s="84">
        <f>AI94/1</f>
        <v/>
      </c>
      <c r="AI218" s="84">
        <f>AJ94/1</f>
        <v/>
      </c>
      <c r="AJ218" s="84">
        <f>AK94/1</f>
        <v/>
      </c>
      <c r="AK218" s="84">
        <f>AL94/1</f>
        <v/>
      </c>
      <c r="AL218" s="84">
        <f>AM94/1</f>
        <v/>
      </c>
      <c r="AM218" s="84">
        <f>AO94</f>
        <v/>
      </c>
    </row>
    <row r="226" ht="12.5" customHeight="1" s="213"/>
    <row r="227" ht="12.5" customHeight="1" s="213"/>
    <row r="228" ht="12.5" customHeight="1" s="213"/>
    <row r="229" ht="12.5" customHeight="1" s="213"/>
    <row r="230" ht="12.5" customHeight="1" s="213"/>
    <row r="231" ht="12.5" customHeight="1" s="213"/>
    <row r="232" ht="12.5" customHeight="1" s="213"/>
    <row r="233" ht="12.5" customHeight="1" s="213"/>
    <row r="234" ht="12.5" customHeight="1" s="213"/>
    <row r="241" ht="12.5" customHeight="1" s="213">
      <c r="D241" t="inlineStr">
        <is>
          <t>Translated from ETP2024</t>
        </is>
      </c>
    </row>
    <row r="243" ht="14.5" customHeight="1" s="213">
      <c r="D243" s="6" t="inlineStr">
        <is>
          <t>Region</t>
        </is>
      </c>
      <c r="E243" s="6" t="inlineStr">
        <is>
          <t>Tra_EV_Batt-LFP_virgin</t>
        </is>
      </c>
      <c r="F243" s="6" t="inlineStr">
        <is>
          <t>Tra_EV_Batt-NMC622_virgin</t>
        </is>
      </c>
      <c r="G243" s="6" t="inlineStr">
        <is>
          <t>Tra_EV_Batt-NMC811_virgin</t>
        </is>
      </c>
      <c r="H243" s="6" t="inlineStr">
        <is>
          <t>Tra_EV_Batt-NMC532_virgin</t>
        </is>
      </c>
      <c r="I243" s="6" t="inlineStr">
        <is>
          <t>Tra_EV_Batt-NCA_virgin</t>
        </is>
      </c>
      <c r="J243" s="6" t="inlineStr">
        <is>
          <t>Tra_EV_Batt-LMO_virgin</t>
        </is>
      </c>
      <c r="K243" s="6" t="inlineStr">
        <is>
          <t>Tra_EV_Batt-Sodium_virgin</t>
        </is>
      </c>
      <c r="P243" t="inlineStr">
        <is>
          <t>**According to ETP2024, actual production is around 1/3 of capacity</t>
        </is>
      </c>
    </row>
    <row r="244" ht="14.5" customHeight="1" s="213">
      <c r="D244" s="6" t="inlineStr">
        <is>
          <t>Africa_North</t>
        </is>
      </c>
      <c r="E244" s="6" t="n">
        <v>0</v>
      </c>
      <c r="F244" s="6" t="n">
        <v>0</v>
      </c>
      <c r="G244" s="6" t="n">
        <v>0</v>
      </c>
      <c r="H244" s="6" t="n">
        <v>0</v>
      </c>
      <c r="I244" s="6" t="n">
        <v>0</v>
      </c>
      <c r="J244" s="6" t="n">
        <v>0</v>
      </c>
      <c r="K244" s="6" t="n">
        <v>0</v>
      </c>
      <c r="Q244">
        <f>E244/3</f>
        <v/>
      </c>
      <c r="R244">
        <f>F244/3</f>
        <v/>
      </c>
      <c r="S244">
        <f>G244/3</f>
        <v/>
      </c>
      <c r="T244">
        <f>H244/3</f>
        <v/>
      </c>
      <c r="U244">
        <f>I244/3</f>
        <v/>
      </c>
      <c r="V244">
        <f>J244/3</f>
        <v/>
      </c>
      <c r="W244">
        <f>K244/3</f>
        <v/>
      </c>
    </row>
    <row r="245" ht="14.5" customHeight="1" s="213">
      <c r="D245" s="6" t="inlineStr">
        <is>
          <t>Africa_Other</t>
        </is>
      </c>
      <c r="E245" s="6" t="n">
        <v>0</v>
      </c>
      <c r="F245" s="6" t="n">
        <v>0</v>
      </c>
      <c r="G245" s="6" t="n">
        <v>0</v>
      </c>
      <c r="H245" s="6" t="n">
        <v>0</v>
      </c>
      <c r="I245" s="6" t="n">
        <v>0</v>
      </c>
      <c r="J245" s="6" t="n">
        <v>0</v>
      </c>
      <c r="K245" s="6" t="n">
        <v>0</v>
      </c>
      <c r="Q245">
        <f>E245/3</f>
        <v/>
      </c>
      <c r="R245">
        <f>F245/3</f>
        <v/>
      </c>
      <c r="S245">
        <f>G245/3</f>
        <v/>
      </c>
      <c r="T245">
        <f>H245/3</f>
        <v/>
      </c>
      <c r="U245">
        <f>I245/3</f>
        <v/>
      </c>
      <c r="V245">
        <f>J245/3</f>
        <v/>
      </c>
      <c r="W245">
        <f>K245/3</f>
        <v/>
      </c>
    </row>
    <row r="246" ht="14.5" customHeight="1" s="213">
      <c r="D246" s="6" t="inlineStr">
        <is>
          <t>Australia</t>
        </is>
      </c>
      <c r="E246" s="6" t="n">
        <v>0</v>
      </c>
      <c r="F246" s="6" t="n">
        <v>0</v>
      </c>
      <c r="G246" s="6" t="n">
        <v>0</v>
      </c>
      <c r="H246" s="6" t="n">
        <v>0</v>
      </c>
      <c r="I246" s="6" t="n">
        <v>0</v>
      </c>
      <c r="J246" s="6" t="n">
        <v>0</v>
      </c>
      <c r="K246" s="6" t="n">
        <v>0</v>
      </c>
      <c r="Q246">
        <f>E246/3</f>
        <v/>
      </c>
      <c r="R246">
        <f>F246/3</f>
        <v/>
      </c>
      <c r="S246">
        <f>G246/3</f>
        <v/>
      </c>
      <c r="T246">
        <f>H246/3</f>
        <v/>
      </c>
      <c r="U246">
        <f>I246/3</f>
        <v/>
      </c>
      <c r="V246">
        <f>J246/3</f>
        <v/>
      </c>
      <c r="W246">
        <f>K246/3</f>
        <v/>
      </c>
    </row>
    <row r="247" ht="14.5" customHeight="1" s="213">
      <c r="D247" s="6" t="inlineStr">
        <is>
          <t>Austria</t>
        </is>
      </c>
      <c r="E247" s="6" t="n">
        <v>0</v>
      </c>
      <c r="F247" s="6" t="n">
        <v>0</v>
      </c>
      <c r="G247" s="6" t="n">
        <v>0</v>
      </c>
      <c r="H247" s="6" t="n">
        <v>0</v>
      </c>
      <c r="I247" s="6" t="n">
        <v>0</v>
      </c>
      <c r="J247" s="6" t="n">
        <v>0</v>
      </c>
      <c r="K247" s="6" t="n">
        <v>0</v>
      </c>
      <c r="Q247">
        <f>E247/3</f>
        <v/>
      </c>
      <c r="R247">
        <f>F247/3</f>
        <v/>
      </c>
      <c r="S247">
        <f>G247/3</f>
        <v/>
      </c>
      <c r="T247">
        <f>H247/3</f>
        <v/>
      </c>
      <c r="U247">
        <f>I247/3</f>
        <v/>
      </c>
      <c r="V247">
        <f>J247/3</f>
        <v/>
      </c>
      <c r="W247">
        <f>K247/3</f>
        <v/>
      </c>
    </row>
    <row r="248" ht="14.5" customHeight="1" s="213">
      <c r="D248" s="6" t="inlineStr">
        <is>
          <t>Baltics</t>
        </is>
      </c>
      <c r="E248" s="6" t="n">
        <v>0</v>
      </c>
      <c r="F248" s="6" t="n">
        <v>0</v>
      </c>
      <c r="G248" s="6" t="n">
        <v>0</v>
      </c>
      <c r="H248" s="6" t="n">
        <v>0</v>
      </c>
      <c r="I248" s="6" t="n">
        <v>0</v>
      </c>
      <c r="J248" s="6" t="n">
        <v>0</v>
      </c>
      <c r="K248" s="6" t="n">
        <v>0</v>
      </c>
      <c r="Q248">
        <f>E248/3</f>
        <v/>
      </c>
      <c r="R248">
        <f>F248/3</f>
        <v/>
      </c>
      <c r="S248">
        <f>G248/3</f>
        <v/>
      </c>
      <c r="T248">
        <f>H248/3</f>
        <v/>
      </c>
      <c r="U248">
        <f>I248/3</f>
        <v/>
      </c>
      <c r="V248">
        <f>J248/3</f>
        <v/>
      </c>
      <c r="W248">
        <f>K248/3</f>
        <v/>
      </c>
    </row>
    <row r="249" ht="14.5" customHeight="1" s="213">
      <c r="D249" s="6" t="inlineStr">
        <is>
          <t>BeNeLux</t>
        </is>
      </c>
      <c r="E249" s="6" t="n">
        <v>0</v>
      </c>
      <c r="F249" s="6" t="n">
        <v>0</v>
      </c>
      <c r="G249" s="6" t="n">
        <v>0</v>
      </c>
      <c r="H249" s="6" t="n">
        <v>0</v>
      </c>
      <c r="I249" s="6" t="n">
        <v>0</v>
      </c>
      <c r="J249" s="6" t="n">
        <v>0</v>
      </c>
      <c r="K249" s="6" t="n">
        <v>0</v>
      </c>
      <c r="Q249">
        <f>E249/3</f>
        <v/>
      </c>
      <c r="R249">
        <f>F249/3</f>
        <v/>
      </c>
      <c r="S249">
        <f>G249/3</f>
        <v/>
      </c>
      <c r="T249">
        <f>H249/3</f>
        <v/>
      </c>
      <c r="U249">
        <f>I249/3</f>
        <v/>
      </c>
      <c r="V249">
        <f>J249/3</f>
        <v/>
      </c>
      <c r="W249">
        <f>K249/3</f>
        <v/>
      </c>
    </row>
    <row r="250" ht="14.5" customHeight="1" s="213">
      <c r="D250" s="6" t="inlineStr">
        <is>
          <t>Brazil</t>
        </is>
      </c>
      <c r="E250" s="6" t="n">
        <v>0</v>
      </c>
      <c r="F250" s="6" t="n">
        <v>0</v>
      </c>
      <c r="G250" s="6" t="n">
        <v>0</v>
      </c>
      <c r="H250" s="6" t="n">
        <v>0</v>
      </c>
      <c r="I250" s="6" t="n">
        <v>0</v>
      </c>
      <c r="J250" s="6" t="n">
        <v>0</v>
      </c>
      <c r="K250" s="6" t="n">
        <v>0</v>
      </c>
      <c r="Q250">
        <f>E250/3</f>
        <v/>
      </c>
      <c r="R250">
        <f>F250/3</f>
        <v/>
      </c>
      <c r="S250">
        <f>G250/3</f>
        <v/>
      </c>
      <c r="T250">
        <f>H250/3</f>
        <v/>
      </c>
      <c r="U250">
        <f>I250/3</f>
        <v/>
      </c>
      <c r="V250">
        <f>J250/3</f>
        <v/>
      </c>
      <c r="W250">
        <f>K250/3</f>
        <v/>
      </c>
    </row>
    <row r="251" ht="14.5" customHeight="1" s="213">
      <c r="D251" s="6" t="inlineStr">
        <is>
          <t>China</t>
        </is>
      </c>
      <c r="E251" s="6" t="n">
        <v>970</v>
      </c>
      <c r="F251" s="6" t="n">
        <v>483</v>
      </c>
      <c r="G251" s="6" t="n">
        <v>268</v>
      </c>
      <c r="H251" s="6" t="n">
        <v>188</v>
      </c>
      <c r="I251" s="6" t="n">
        <v>80</v>
      </c>
      <c r="J251" s="6" t="n">
        <v>188</v>
      </c>
      <c r="K251" s="6" t="n">
        <v>0</v>
      </c>
      <c r="Q251">
        <f>E251/3</f>
        <v/>
      </c>
      <c r="R251">
        <f>F251/3</f>
        <v/>
      </c>
      <c r="S251">
        <f>G251/3</f>
        <v/>
      </c>
      <c r="T251">
        <f>H251/3</f>
        <v/>
      </c>
      <c r="U251">
        <f>I251/3</f>
        <v/>
      </c>
      <c r="V251">
        <f>J251/3</f>
        <v/>
      </c>
      <c r="W251">
        <f>K251/3</f>
        <v/>
      </c>
    </row>
    <row r="252" ht="14.5" customHeight="1" s="213">
      <c r="D252" s="6" t="inlineStr">
        <is>
          <t>CroSloven</t>
        </is>
      </c>
      <c r="E252" s="6" t="n">
        <v>0</v>
      </c>
      <c r="F252" s="6" t="n">
        <v>0</v>
      </c>
      <c r="G252" s="6" t="n">
        <v>0</v>
      </c>
      <c r="H252" s="6" t="n">
        <v>0</v>
      </c>
      <c r="I252" s="6" t="n">
        <v>0</v>
      </c>
      <c r="J252" s="6" t="n">
        <v>0</v>
      </c>
      <c r="K252" s="6" t="n">
        <v>0</v>
      </c>
      <c r="Q252">
        <f>E252/3</f>
        <v/>
      </c>
      <c r="R252">
        <f>F252/3</f>
        <v/>
      </c>
      <c r="S252">
        <f>G252/3</f>
        <v/>
      </c>
      <c r="T252">
        <f>H252/3</f>
        <v/>
      </c>
      <c r="U252">
        <f>I252/3</f>
        <v/>
      </c>
      <c r="V252">
        <f>J252/3</f>
        <v/>
      </c>
      <c r="W252">
        <f>K252/3</f>
        <v/>
      </c>
    </row>
    <row r="253" ht="14.5" customHeight="1" s="213">
      <c r="D253" s="6" t="inlineStr">
        <is>
          <t>CzechSlovak</t>
        </is>
      </c>
      <c r="E253" s="6" t="n">
        <v>0</v>
      </c>
      <c r="F253" s="6" t="n">
        <v>0</v>
      </c>
      <c r="G253" s="6" t="n">
        <v>0</v>
      </c>
      <c r="H253" s="6" t="n">
        <v>0</v>
      </c>
      <c r="I253" s="6" t="n">
        <v>0</v>
      </c>
      <c r="J253" s="6" t="n">
        <v>0</v>
      </c>
      <c r="K253" s="6" t="n">
        <v>0</v>
      </c>
      <c r="Q253">
        <f>E253/3</f>
        <v/>
      </c>
      <c r="R253">
        <f>F253/3</f>
        <v/>
      </c>
      <c r="S253">
        <f>G253/3</f>
        <v/>
      </c>
      <c r="T253">
        <f>H253/3</f>
        <v/>
      </c>
      <c r="U253">
        <f>I253/3</f>
        <v/>
      </c>
      <c r="V253">
        <f>J253/3</f>
        <v/>
      </c>
      <c r="W253">
        <f>K253/3</f>
        <v/>
      </c>
    </row>
    <row r="254" ht="14.5" customHeight="1" s="213">
      <c r="D254" s="6" t="inlineStr">
        <is>
          <t>France</t>
        </is>
      </c>
      <c r="E254" s="6" t="n">
        <v>1</v>
      </c>
      <c r="F254" s="6" t="n">
        <v>2</v>
      </c>
      <c r="G254" s="6" t="n">
        <v>2</v>
      </c>
      <c r="H254" s="6" t="n">
        <v>1</v>
      </c>
      <c r="I254" s="6" t="n">
        <v>1</v>
      </c>
      <c r="J254" s="6" t="n">
        <v>0</v>
      </c>
      <c r="K254" s="6" t="n">
        <v>0</v>
      </c>
      <c r="Q254">
        <f>E254/3</f>
        <v/>
      </c>
      <c r="R254">
        <f>F254/3</f>
        <v/>
      </c>
      <c r="S254">
        <f>G254/3</f>
        <v/>
      </c>
      <c r="T254">
        <f>H254/3</f>
        <v/>
      </c>
      <c r="U254">
        <f>I254/3</f>
        <v/>
      </c>
      <c r="V254">
        <f>J254/3</f>
        <v/>
      </c>
      <c r="W254">
        <f>K254/3</f>
        <v/>
      </c>
    </row>
    <row r="255" ht="14.5" customHeight="1" s="213">
      <c r="D255" s="6" t="inlineStr">
        <is>
          <t>Germany</t>
        </is>
      </c>
      <c r="E255" s="6" t="n">
        <v>3</v>
      </c>
      <c r="F255" s="6" t="n">
        <v>8</v>
      </c>
      <c r="G255" s="6" t="n">
        <v>6</v>
      </c>
      <c r="H255" s="6" t="n">
        <v>5</v>
      </c>
      <c r="I255" s="6" t="n">
        <v>3</v>
      </c>
      <c r="J255" s="6" t="n">
        <v>1</v>
      </c>
      <c r="K255" s="6" t="n">
        <v>0</v>
      </c>
      <c r="Q255">
        <f>E255/3</f>
        <v/>
      </c>
      <c r="R255">
        <f>F255/3</f>
        <v/>
      </c>
      <c r="S255">
        <f>G255/3</f>
        <v/>
      </c>
      <c r="T255">
        <f>H255/3</f>
        <v/>
      </c>
      <c r="U255">
        <f>I255/3</f>
        <v/>
      </c>
      <c r="V255">
        <f>J255/3</f>
        <v/>
      </c>
      <c r="W255">
        <f>K255/3</f>
        <v/>
      </c>
    </row>
    <row r="256" ht="14.5" customHeight="1" s="213">
      <c r="D256" s="6" t="inlineStr">
        <is>
          <t>GreeceCyp</t>
        </is>
      </c>
      <c r="E256" s="6" t="n">
        <v>0</v>
      </c>
      <c r="F256" s="6" t="n">
        <v>0</v>
      </c>
      <c r="G256" s="6" t="n">
        <v>0</v>
      </c>
      <c r="H256" s="6" t="n">
        <v>0</v>
      </c>
      <c r="I256" s="6" t="n">
        <v>0</v>
      </c>
      <c r="J256" s="6" t="n">
        <v>0</v>
      </c>
      <c r="K256" s="6" t="n">
        <v>0</v>
      </c>
      <c r="Q256">
        <f>E256/3</f>
        <v/>
      </c>
      <c r="R256">
        <f>F256/3</f>
        <v/>
      </c>
      <c r="S256">
        <f>G256/3</f>
        <v/>
      </c>
      <c r="T256">
        <f>H256/3</f>
        <v/>
      </c>
      <c r="U256">
        <f>I256/3</f>
        <v/>
      </c>
      <c r="V256">
        <f>J256/3</f>
        <v/>
      </c>
      <c r="W256">
        <f>K256/3</f>
        <v/>
      </c>
    </row>
    <row r="257" ht="14.5" customHeight="1" s="213">
      <c r="D257" s="6" t="inlineStr">
        <is>
          <t>HunRomBul</t>
        </is>
      </c>
      <c r="E257" s="6" t="n">
        <v>3</v>
      </c>
      <c r="F257" s="6" t="n">
        <v>8</v>
      </c>
      <c r="G257" s="6" t="n">
        <v>6</v>
      </c>
      <c r="H257" s="6" t="n">
        <v>5</v>
      </c>
      <c r="I257" s="6" t="n">
        <v>3</v>
      </c>
      <c r="J257" s="6" t="n">
        <v>1</v>
      </c>
      <c r="K257" s="6" t="n">
        <v>0</v>
      </c>
      <c r="Q257">
        <f>E257/3</f>
        <v/>
      </c>
      <c r="R257">
        <f>F257/3</f>
        <v/>
      </c>
      <c r="S257">
        <f>G257/3</f>
        <v/>
      </c>
      <c r="T257">
        <f>H257/3</f>
        <v/>
      </c>
      <c r="U257">
        <f>I257/3</f>
        <v/>
      </c>
      <c r="V257">
        <f>J257/3</f>
        <v/>
      </c>
      <c r="W257">
        <f>K257/3</f>
        <v/>
      </c>
    </row>
    <row r="258" ht="14.5" customHeight="1" s="213">
      <c r="D258" s="6" t="inlineStr">
        <is>
          <t>Iceland</t>
        </is>
      </c>
      <c r="E258" s="6" t="n">
        <v>0</v>
      </c>
      <c r="F258" s="6" t="n">
        <v>0</v>
      </c>
      <c r="G258" s="6" t="n">
        <v>0</v>
      </c>
      <c r="H258" s="6" t="n">
        <v>0</v>
      </c>
      <c r="I258" s="6" t="n">
        <v>0</v>
      </c>
      <c r="J258" s="6" t="n">
        <v>0</v>
      </c>
      <c r="K258" s="6" t="n">
        <v>0</v>
      </c>
      <c r="Q258">
        <f>E258/3</f>
        <v/>
      </c>
      <c r="R258">
        <f>F258/3</f>
        <v/>
      </c>
      <c r="S258">
        <f>G258/3</f>
        <v/>
      </c>
      <c r="T258">
        <f>H258/3</f>
        <v/>
      </c>
      <c r="U258">
        <f>I258/3</f>
        <v/>
      </c>
      <c r="V258">
        <f>J258/3</f>
        <v/>
      </c>
      <c r="W258">
        <f>K258/3</f>
        <v/>
      </c>
    </row>
    <row r="259" ht="14.5" customHeight="1" s="213">
      <c r="D259" s="6" t="inlineStr">
        <is>
          <t>India</t>
        </is>
      </c>
      <c r="E259" s="6" t="n">
        <v>0</v>
      </c>
      <c r="F259" s="6" t="n">
        <v>0</v>
      </c>
      <c r="G259" s="6" t="n">
        <v>0</v>
      </c>
      <c r="H259" s="6" t="n">
        <v>0</v>
      </c>
      <c r="I259" s="6" t="n">
        <v>0</v>
      </c>
      <c r="J259" s="6" t="n">
        <v>0</v>
      </c>
      <c r="K259" s="6" t="n">
        <v>0</v>
      </c>
      <c r="Q259">
        <f>E259/3</f>
        <v/>
      </c>
      <c r="R259">
        <f>F259/3</f>
        <v/>
      </c>
      <c r="S259">
        <f>G259/3</f>
        <v/>
      </c>
      <c r="T259">
        <f>H259/3</f>
        <v/>
      </c>
      <c r="U259">
        <f>I259/3</f>
        <v/>
      </c>
      <c r="V259">
        <f>J259/3</f>
        <v/>
      </c>
      <c r="W259">
        <f>K259/3</f>
        <v/>
      </c>
    </row>
    <row r="260" ht="14.5" customHeight="1" s="213">
      <c r="D260" s="6" t="inlineStr">
        <is>
          <t>Ireland</t>
        </is>
      </c>
      <c r="E260" s="6" t="n">
        <v>0</v>
      </c>
      <c r="F260" s="6" t="n">
        <v>0</v>
      </c>
      <c r="G260" s="6" t="n">
        <v>0</v>
      </c>
      <c r="H260" s="6" t="n">
        <v>0</v>
      </c>
      <c r="I260" s="6" t="n">
        <v>0</v>
      </c>
      <c r="J260" s="6" t="n">
        <v>0</v>
      </c>
      <c r="K260" s="6" t="n">
        <v>0</v>
      </c>
      <c r="Q260">
        <f>E260/3</f>
        <v/>
      </c>
      <c r="R260">
        <f>F260/3</f>
        <v/>
      </c>
      <c r="S260">
        <f>G260/3</f>
        <v/>
      </c>
      <c r="T260">
        <f>H260/3</f>
        <v/>
      </c>
      <c r="U260">
        <f>I260/3</f>
        <v/>
      </c>
      <c r="V260">
        <f>J260/3</f>
        <v/>
      </c>
      <c r="W260">
        <f>K260/3</f>
        <v/>
      </c>
    </row>
    <row r="261" ht="14.5" customHeight="1" s="213">
      <c r="D261" s="6" t="inlineStr">
        <is>
          <t>ItalyMal</t>
        </is>
      </c>
      <c r="E261" s="6" t="n">
        <v>0</v>
      </c>
      <c r="F261" s="6" t="n">
        <v>0</v>
      </c>
      <c r="G261" s="6" t="n">
        <v>0</v>
      </c>
      <c r="H261" s="6" t="n">
        <v>0</v>
      </c>
      <c r="I261" s="6" t="n">
        <v>0</v>
      </c>
      <c r="J261" s="6" t="n">
        <v>0</v>
      </c>
      <c r="K261" s="6" t="n">
        <v>0</v>
      </c>
      <c r="Q261">
        <f>E261/3</f>
        <v/>
      </c>
      <c r="R261">
        <f>F261/3</f>
        <v/>
      </c>
      <c r="S261">
        <f>G261/3</f>
        <v/>
      </c>
      <c r="T261">
        <f>H261/3</f>
        <v/>
      </c>
      <c r="U261">
        <f>I261/3</f>
        <v/>
      </c>
      <c r="V261">
        <f>J261/3</f>
        <v/>
      </c>
      <c r="W261">
        <f>K261/3</f>
        <v/>
      </c>
    </row>
    <row r="262" ht="14.5" customHeight="1" s="213">
      <c r="D262" s="6" t="inlineStr">
        <is>
          <t>Japan</t>
        </is>
      </c>
      <c r="E262" s="6" t="n">
        <v>3</v>
      </c>
      <c r="F262" s="6" t="n">
        <v>12</v>
      </c>
      <c r="G262" s="6" t="n">
        <v>12</v>
      </c>
      <c r="H262" s="6" t="n">
        <v>9</v>
      </c>
      <c r="I262" s="6" t="n">
        <v>23</v>
      </c>
      <c r="J262" s="6" t="n">
        <v>1</v>
      </c>
      <c r="K262" s="6" t="n">
        <v>0</v>
      </c>
      <c r="Q262">
        <f>E262/3</f>
        <v/>
      </c>
      <c r="R262">
        <f>F262/3</f>
        <v/>
      </c>
      <c r="S262">
        <f>G262/3</f>
        <v/>
      </c>
      <c r="T262">
        <f>H262/3</f>
        <v/>
      </c>
      <c r="U262">
        <f>I262/3</f>
        <v/>
      </c>
      <c r="V262">
        <f>J262/3</f>
        <v/>
      </c>
      <c r="W262">
        <f>K262/3</f>
        <v/>
      </c>
    </row>
    <row r="263" ht="14.5" customHeight="1" s="213">
      <c r="D263" s="6" t="inlineStr">
        <is>
          <t>LatAm</t>
        </is>
      </c>
      <c r="E263" s="6" t="n">
        <v>0</v>
      </c>
      <c r="F263" s="6" t="n">
        <v>0</v>
      </c>
      <c r="G263" s="6" t="n">
        <v>0</v>
      </c>
      <c r="H263" s="6" t="n">
        <v>0</v>
      </c>
      <c r="I263" s="6" t="n">
        <v>0</v>
      </c>
      <c r="J263" s="6" t="n">
        <v>0</v>
      </c>
      <c r="K263" s="6" t="n">
        <v>0</v>
      </c>
      <c r="Q263">
        <f>E263/3</f>
        <v/>
      </c>
      <c r="R263">
        <f>F263/3</f>
        <v/>
      </c>
      <c r="S263">
        <f>G263/3</f>
        <v/>
      </c>
      <c r="T263">
        <f>H263/3</f>
        <v/>
      </c>
      <c r="U263">
        <f>I263/3</f>
        <v/>
      </c>
      <c r="V263">
        <f>J263/3</f>
        <v/>
      </c>
      <c r="W263">
        <f>K263/3</f>
        <v/>
      </c>
    </row>
    <row r="264" ht="14.5" customHeight="1" s="213">
      <c r="D264" s="6" t="inlineStr">
        <is>
          <t>MidEast</t>
        </is>
      </c>
      <c r="E264" s="6" t="n">
        <v>0</v>
      </c>
      <c r="F264" s="6" t="n">
        <v>0</v>
      </c>
      <c r="G264" s="6" t="n">
        <v>0</v>
      </c>
      <c r="H264" s="6" t="n">
        <v>0</v>
      </c>
      <c r="I264" s="6" t="n">
        <v>0</v>
      </c>
      <c r="J264" s="6" t="n">
        <v>0</v>
      </c>
      <c r="K264" s="6" t="n">
        <v>0</v>
      </c>
      <c r="Q264">
        <f>E264/3</f>
        <v/>
      </c>
      <c r="R264">
        <f>F264/3</f>
        <v/>
      </c>
      <c r="S264">
        <f>G264/3</f>
        <v/>
      </c>
      <c r="T264">
        <f>H264/3</f>
        <v/>
      </c>
      <c r="U264">
        <f>I264/3</f>
        <v/>
      </c>
      <c r="V264">
        <f>J264/3</f>
        <v/>
      </c>
      <c r="W264">
        <f>K264/3</f>
        <v/>
      </c>
    </row>
    <row r="265" ht="14.5" customHeight="1" s="213">
      <c r="D265" s="6" t="inlineStr">
        <is>
          <t>NorthAm</t>
        </is>
      </c>
      <c r="E265" s="6" t="n">
        <v>19</v>
      </c>
      <c r="F265" s="6" t="n">
        <v>26</v>
      </c>
      <c r="G265" s="6" t="n">
        <v>23</v>
      </c>
      <c r="H265" s="6" t="n">
        <v>15</v>
      </c>
      <c r="I265" s="6" t="n">
        <v>38</v>
      </c>
      <c r="J265" s="6" t="n">
        <v>6</v>
      </c>
      <c r="K265" s="6" t="n">
        <v>0</v>
      </c>
      <c r="Q265">
        <f>E265/3</f>
        <v/>
      </c>
      <c r="R265">
        <f>F265/3</f>
        <v/>
      </c>
      <c r="S265">
        <f>G265/3</f>
        <v/>
      </c>
      <c r="T265">
        <f>H265/3</f>
        <v/>
      </c>
      <c r="U265">
        <f>I265/3</f>
        <v/>
      </c>
      <c r="V265">
        <f>J265/3</f>
        <v/>
      </c>
      <c r="W265">
        <f>K265/3</f>
        <v/>
      </c>
    </row>
    <row r="266" ht="14.5" customHeight="1" s="213">
      <c r="D266" s="6" t="inlineStr">
        <is>
          <t>Norway</t>
        </is>
      </c>
      <c r="E266" s="6" t="n">
        <v>0</v>
      </c>
      <c r="F266" s="6" t="n">
        <v>0</v>
      </c>
      <c r="G266" s="6" t="n">
        <v>0</v>
      </c>
      <c r="H266" s="6" t="n">
        <v>0</v>
      </c>
      <c r="I266" s="6" t="n">
        <v>0</v>
      </c>
      <c r="J266" s="6" t="n">
        <v>0</v>
      </c>
      <c r="K266" s="6" t="n">
        <v>0</v>
      </c>
      <c r="Q266">
        <f>E266/3</f>
        <v/>
      </c>
      <c r="R266">
        <f>F266/3</f>
        <v/>
      </c>
      <c r="S266">
        <f>G266/3</f>
        <v/>
      </c>
      <c r="T266">
        <f>H266/3</f>
        <v/>
      </c>
      <c r="U266">
        <f>I266/3</f>
        <v/>
      </c>
      <c r="V266">
        <f>J266/3</f>
        <v/>
      </c>
      <c r="W266">
        <f>K266/3</f>
        <v/>
      </c>
    </row>
    <row r="267" ht="14.5" customHeight="1" s="213">
      <c r="D267" s="6" t="inlineStr">
        <is>
          <t>Poland</t>
        </is>
      </c>
      <c r="E267" s="6" t="n">
        <v>7</v>
      </c>
      <c r="F267" s="6" t="n">
        <v>19</v>
      </c>
      <c r="G267" s="6" t="n">
        <v>14</v>
      </c>
      <c r="H267" s="6" t="n">
        <v>10</v>
      </c>
      <c r="I267" s="6" t="n">
        <v>6</v>
      </c>
      <c r="J267" s="6" t="n">
        <v>2</v>
      </c>
      <c r="K267" s="6" t="n">
        <v>0</v>
      </c>
      <c r="Q267">
        <f>E267/3</f>
        <v/>
      </c>
      <c r="R267">
        <f>F267/3</f>
        <v/>
      </c>
      <c r="S267">
        <f>G267/3</f>
        <v/>
      </c>
      <c r="T267">
        <f>H267/3</f>
        <v/>
      </c>
      <c r="U267">
        <f>I267/3</f>
        <v/>
      </c>
      <c r="V267">
        <f>J267/3</f>
        <v/>
      </c>
      <c r="W267">
        <f>K267/3</f>
        <v/>
      </c>
    </row>
    <row r="268" ht="14.5" customHeight="1" s="213">
      <c r="D268" s="6" t="inlineStr">
        <is>
          <t>ROW</t>
        </is>
      </c>
      <c r="E268" s="6" t="n">
        <v>17</v>
      </c>
      <c r="F268" s="6" t="n">
        <v>17</v>
      </c>
      <c r="G268" s="6" t="n">
        <v>12</v>
      </c>
      <c r="H268" s="6" t="n">
        <v>8</v>
      </c>
      <c r="I268" s="6" t="n">
        <v>12</v>
      </c>
      <c r="J268" s="6" t="n">
        <v>1</v>
      </c>
      <c r="K268" s="6" t="n">
        <v>0</v>
      </c>
      <c r="Q268">
        <f>E268/3</f>
        <v/>
      </c>
      <c r="R268">
        <f>F268/3</f>
        <v/>
      </c>
      <c r="S268">
        <f>G268/3</f>
        <v/>
      </c>
      <c r="T268">
        <f>H268/3</f>
        <v/>
      </c>
      <c r="U268">
        <f>I268/3</f>
        <v/>
      </c>
      <c r="V268">
        <f>J268/3</f>
        <v/>
      </c>
      <c r="W268">
        <f>K268/3</f>
        <v/>
      </c>
    </row>
    <row r="269" ht="14.5" customHeight="1" s="213">
      <c r="D269" s="6" t="inlineStr">
        <is>
          <t>Russia</t>
        </is>
      </c>
      <c r="E269" s="6" t="n">
        <v>0</v>
      </c>
      <c r="F269" s="6" t="n">
        <v>0</v>
      </c>
      <c r="G269" s="6" t="n">
        <v>0</v>
      </c>
      <c r="H269" s="6" t="n">
        <v>0</v>
      </c>
      <c r="I269" s="6" t="n">
        <v>0</v>
      </c>
      <c r="J269" s="6" t="n">
        <v>0</v>
      </c>
      <c r="K269" s="6" t="n">
        <v>0</v>
      </c>
      <c r="Q269">
        <f>E269/3</f>
        <v/>
      </c>
      <c r="R269">
        <f>F269/3</f>
        <v/>
      </c>
      <c r="S269">
        <f>G269/3</f>
        <v/>
      </c>
      <c r="T269">
        <f>H269/3</f>
        <v/>
      </c>
      <c r="U269">
        <f>I269/3</f>
        <v/>
      </c>
      <c r="V269">
        <f>J269/3</f>
        <v/>
      </c>
      <c r="W269">
        <f>K269/3</f>
        <v/>
      </c>
    </row>
    <row r="270" ht="14.5" customHeight="1" s="213">
      <c r="D270" s="6" t="inlineStr">
        <is>
          <t>SaudiArabia</t>
        </is>
      </c>
      <c r="E270" s="6" t="n">
        <v>0</v>
      </c>
      <c r="F270" s="6" t="n">
        <v>0</v>
      </c>
      <c r="G270" s="6" t="n">
        <v>0</v>
      </c>
      <c r="H270" s="6" t="n">
        <v>0</v>
      </c>
      <c r="I270" s="6" t="n">
        <v>0</v>
      </c>
      <c r="J270" s="6" t="n">
        <v>0</v>
      </c>
      <c r="K270" s="6" t="n">
        <v>0</v>
      </c>
      <c r="Q270">
        <f>E270/3</f>
        <v/>
      </c>
      <c r="R270">
        <f>F270/3</f>
        <v/>
      </c>
      <c r="S270">
        <f>G270/3</f>
        <v/>
      </c>
      <c r="T270">
        <f>H270/3</f>
        <v/>
      </c>
      <c r="U270">
        <f>I270/3</f>
        <v/>
      </c>
      <c r="V270">
        <f>J270/3</f>
        <v/>
      </c>
      <c r="W270">
        <f>K270/3</f>
        <v/>
      </c>
    </row>
    <row r="271" ht="14.5" customHeight="1" s="213">
      <c r="D271" s="6" t="inlineStr">
        <is>
          <t>SouthAfrica</t>
        </is>
      </c>
      <c r="E271" s="6" t="n">
        <v>0</v>
      </c>
      <c r="F271" s="6" t="n">
        <v>0</v>
      </c>
      <c r="G271" s="6" t="n">
        <v>0</v>
      </c>
      <c r="H271" s="6" t="n">
        <v>0</v>
      </c>
      <c r="I271" s="6" t="n">
        <v>0</v>
      </c>
      <c r="J271" s="6" t="n">
        <v>0</v>
      </c>
      <c r="K271" s="6" t="n">
        <v>0</v>
      </c>
      <c r="Q271">
        <f>E271/3</f>
        <v/>
      </c>
      <c r="R271">
        <f>F271/3</f>
        <v/>
      </c>
      <c r="S271">
        <f>G271/3</f>
        <v/>
      </c>
      <c r="T271">
        <f>H271/3</f>
        <v/>
      </c>
      <c r="U271">
        <f>I271/3</f>
        <v/>
      </c>
      <c r="V271">
        <f>J271/3</f>
        <v/>
      </c>
      <c r="W271">
        <f>K271/3</f>
        <v/>
      </c>
    </row>
    <row r="272" ht="14.5" customHeight="1" s="213">
      <c r="D272" s="6" t="inlineStr">
        <is>
          <t>SpainPor</t>
        </is>
      </c>
      <c r="E272" s="6" t="n">
        <v>0</v>
      </c>
      <c r="F272" s="6" t="n">
        <v>0</v>
      </c>
      <c r="G272" s="6" t="n">
        <v>0</v>
      </c>
      <c r="H272" s="6" t="n">
        <v>0</v>
      </c>
      <c r="I272" s="6" t="n">
        <v>0</v>
      </c>
      <c r="J272" s="6" t="n">
        <v>0</v>
      </c>
      <c r="K272" s="6" t="n">
        <v>0</v>
      </c>
      <c r="Q272">
        <f>E272/3</f>
        <v/>
      </c>
      <c r="R272">
        <f>F272/3</f>
        <v/>
      </c>
      <c r="S272">
        <f>G272/3</f>
        <v/>
      </c>
      <c r="T272">
        <f>H272/3</f>
        <v/>
      </c>
      <c r="U272">
        <f>I272/3</f>
        <v/>
      </c>
      <c r="V272">
        <f>J272/3</f>
        <v/>
      </c>
      <c r="W272">
        <f>K272/3</f>
        <v/>
      </c>
    </row>
    <row r="273" ht="14.5" customHeight="1" s="213">
      <c r="D273" s="6" t="inlineStr">
        <is>
          <t>SweFinDen</t>
        </is>
      </c>
      <c r="E273" s="6" t="n">
        <v>2</v>
      </c>
      <c r="F273" s="6" t="n">
        <v>4</v>
      </c>
      <c r="G273" s="6" t="n">
        <v>3</v>
      </c>
      <c r="H273" s="6" t="n">
        <v>2</v>
      </c>
      <c r="I273" s="6" t="n">
        <v>1</v>
      </c>
      <c r="J273" s="6" t="n">
        <v>0</v>
      </c>
      <c r="K273" s="6" t="n">
        <v>0</v>
      </c>
      <c r="Q273">
        <f>E273/3</f>
        <v/>
      </c>
      <c r="R273">
        <f>F273/3</f>
        <v/>
      </c>
      <c r="S273">
        <f>G273/3</f>
        <v/>
      </c>
      <c r="T273">
        <f>H273/3</f>
        <v/>
      </c>
      <c r="U273">
        <f>I273/3</f>
        <v/>
      </c>
      <c r="V273">
        <f>J273/3</f>
        <v/>
      </c>
      <c r="W273">
        <f>K273/3</f>
        <v/>
      </c>
    </row>
    <row r="274" ht="14.5" customHeight="1" s="213">
      <c r="D274" s="6" t="inlineStr">
        <is>
          <t>Switzerland</t>
        </is>
      </c>
      <c r="E274" s="6" t="n">
        <v>0</v>
      </c>
      <c r="F274" s="6" t="n">
        <v>0</v>
      </c>
      <c r="G274" s="6" t="n">
        <v>0</v>
      </c>
      <c r="H274" s="6" t="n">
        <v>0</v>
      </c>
      <c r="I274" s="6" t="n">
        <v>0</v>
      </c>
      <c r="J274" s="6" t="n">
        <v>0</v>
      </c>
      <c r="K274" s="6" t="n">
        <v>0</v>
      </c>
      <c r="Q274">
        <f>E274/3</f>
        <v/>
      </c>
      <c r="R274">
        <f>F274/3</f>
        <v/>
      </c>
      <c r="S274">
        <f>G274/3</f>
        <v/>
      </c>
      <c r="T274">
        <f>H274/3</f>
        <v/>
      </c>
      <c r="U274">
        <f>I274/3</f>
        <v/>
      </c>
      <c r="V274">
        <f>J274/3</f>
        <v/>
      </c>
      <c r="W274">
        <f>K274/3</f>
        <v/>
      </c>
    </row>
    <row r="275" ht="14.5" customHeight="1" s="213">
      <c r="D275" s="6" t="inlineStr">
        <is>
          <t>Turkey</t>
        </is>
      </c>
      <c r="E275" s="6" t="n">
        <v>0</v>
      </c>
      <c r="F275" s="6" t="n">
        <v>0</v>
      </c>
      <c r="G275" s="6" t="n">
        <v>0</v>
      </c>
      <c r="H275" s="6" t="n">
        <v>0</v>
      </c>
      <c r="I275" s="6" t="n">
        <v>0</v>
      </c>
      <c r="J275" s="6" t="n">
        <v>0</v>
      </c>
      <c r="K275" s="6" t="n">
        <v>0</v>
      </c>
      <c r="Q275">
        <f>E275/3</f>
        <v/>
      </c>
      <c r="R275">
        <f>F275/3</f>
        <v/>
      </c>
      <c r="S275">
        <f>G275/3</f>
        <v/>
      </c>
      <c r="T275">
        <f>H275/3</f>
        <v/>
      </c>
      <c r="U275">
        <f>I275/3</f>
        <v/>
      </c>
      <c r="V275">
        <f>J275/3</f>
        <v/>
      </c>
      <c r="W275">
        <f>K275/3</f>
        <v/>
      </c>
    </row>
    <row r="276" ht="14.5" customHeight="1" s="213">
      <c r="D276" s="6" t="inlineStr">
        <is>
          <t>UK</t>
        </is>
      </c>
      <c r="E276" s="6" t="n">
        <v>0</v>
      </c>
      <c r="F276" s="6" t="n">
        <v>0</v>
      </c>
      <c r="G276" s="6" t="n">
        <v>0</v>
      </c>
      <c r="H276" s="6" t="n">
        <v>0</v>
      </c>
      <c r="I276" s="6" t="n">
        <v>0</v>
      </c>
      <c r="J276" s="6" t="n">
        <v>0</v>
      </c>
      <c r="K276" s="6" t="n">
        <v>0</v>
      </c>
      <c r="Q276">
        <f>E276/3</f>
        <v/>
      </c>
      <c r="R276">
        <f>F276/3</f>
        <v/>
      </c>
      <c r="S276">
        <f>G276/3</f>
        <v/>
      </c>
      <c r="T276">
        <f>H276/3</f>
        <v/>
      </c>
      <c r="U276">
        <f>I276/3</f>
        <v/>
      </c>
      <c r="V276">
        <f>J276/3</f>
        <v/>
      </c>
      <c r="W276">
        <f>K276/3</f>
        <v/>
      </c>
    </row>
    <row r="277" ht="14.5" customHeight="1" s="213">
      <c r="D277" s="6" t="inlineStr">
        <is>
          <t>Ukraine</t>
        </is>
      </c>
      <c r="E277" s="6" t="n">
        <v>0</v>
      </c>
      <c r="F277" s="6" t="n">
        <v>0</v>
      </c>
      <c r="G277" s="6" t="n">
        <v>0</v>
      </c>
      <c r="H277" s="6" t="n">
        <v>0</v>
      </c>
      <c r="I277" s="6" t="n">
        <v>0</v>
      </c>
      <c r="J277" s="6" t="n">
        <v>0</v>
      </c>
      <c r="K277" s="6" t="n">
        <v>0</v>
      </c>
      <c r="Q277">
        <f>E277/3</f>
        <v/>
      </c>
      <c r="R277">
        <f>F277/3</f>
        <v/>
      </c>
      <c r="S277">
        <f>G277/3</f>
        <v/>
      </c>
      <c r="T277">
        <f>H277/3</f>
        <v/>
      </c>
      <c r="U277">
        <f>I277/3</f>
        <v/>
      </c>
      <c r="V277">
        <f>J277/3</f>
        <v/>
      </c>
      <c r="W277">
        <f>K277/3</f>
        <v/>
      </c>
    </row>
    <row r="278" ht="14.5" customHeight="1" s="213">
      <c r="D278" s="6" t="n"/>
      <c r="E278" s="6" t="n"/>
      <c r="F278" s="6" t="n"/>
      <c r="G278" s="6" t="n"/>
      <c r="H278" s="6" t="n"/>
      <c r="I278" s="6" t="n"/>
      <c r="J278" s="6" t="n"/>
      <c r="K278" s="6" t="n"/>
    </row>
    <row r="280" ht="12.5" customHeight="1" s="213">
      <c r="B280" s="146" t="inlineStr">
        <is>
          <t>~TFM_INS</t>
        </is>
      </c>
    </row>
    <row r="283" ht="12.5" customHeight="1" s="213">
      <c r="B283" t="inlineStr">
        <is>
          <t>~TFM_INS</t>
        </is>
      </c>
    </row>
    <row r="284" ht="12.5" customHeight="1" s="213">
      <c r="A284" s="84" t="n"/>
      <c r="C284" s="84" t="n"/>
    </row>
    <row r="285" ht="14.5" customHeight="1" s="213">
      <c r="A285" s="146" t="inlineStr">
        <is>
          <t>year</t>
        </is>
      </c>
      <c r="B285" s="146" t="inlineStr">
        <is>
          <t>attribute</t>
        </is>
      </c>
      <c r="C285" s="146" t="inlineStr">
        <is>
          <t>limtype</t>
        </is>
      </c>
      <c r="D285" s="147" t="inlineStr">
        <is>
          <t>process</t>
        </is>
      </c>
      <c r="E285" s="147" t="inlineStr">
        <is>
          <t>Africa_North</t>
        </is>
      </c>
      <c r="F285" s="147" t="inlineStr">
        <is>
          <t>Africa_Other</t>
        </is>
      </c>
      <c r="G285" s="147" t="inlineStr">
        <is>
          <t>Australia</t>
        </is>
      </c>
      <c r="H285" s="147" t="inlineStr">
        <is>
          <t>Austria</t>
        </is>
      </c>
      <c r="I285" s="147" t="inlineStr">
        <is>
          <t>Baltics</t>
        </is>
      </c>
      <c r="J285" s="147" t="inlineStr">
        <is>
          <t>BeNeLux</t>
        </is>
      </c>
      <c r="K285" s="147" t="inlineStr">
        <is>
          <t>Brazil</t>
        </is>
      </c>
      <c r="L285" s="147" t="inlineStr">
        <is>
          <t>China</t>
        </is>
      </c>
      <c r="M285" s="147" t="inlineStr">
        <is>
          <t>CroSloven</t>
        </is>
      </c>
      <c r="N285" s="147" t="inlineStr">
        <is>
          <t>CzechSlovak</t>
        </is>
      </c>
      <c r="O285" s="147" t="inlineStr">
        <is>
          <t>France</t>
        </is>
      </c>
      <c r="P285" s="147" t="inlineStr">
        <is>
          <t>Germany</t>
        </is>
      </c>
      <c r="Q285" s="147" t="inlineStr">
        <is>
          <t>GreeceCyp</t>
        </is>
      </c>
      <c r="R285" s="147" t="inlineStr">
        <is>
          <t>HunRomBul</t>
        </is>
      </c>
      <c r="S285" s="147" t="inlineStr">
        <is>
          <t>Iceland</t>
        </is>
      </c>
      <c r="T285" s="147" t="inlineStr">
        <is>
          <t>India</t>
        </is>
      </c>
      <c r="U285" s="147" t="inlineStr">
        <is>
          <t>Ireland</t>
        </is>
      </c>
      <c r="V285" s="147" t="inlineStr">
        <is>
          <t>ItalyMal</t>
        </is>
      </c>
      <c r="W285" s="147" t="inlineStr">
        <is>
          <t>Japan</t>
        </is>
      </c>
      <c r="X285" s="147" t="inlineStr">
        <is>
          <t>LatAm</t>
        </is>
      </c>
      <c r="Y285" s="147" t="inlineStr">
        <is>
          <t>MidEast</t>
        </is>
      </c>
      <c r="Z285" s="147" t="inlineStr">
        <is>
          <t>NorthAm</t>
        </is>
      </c>
      <c r="AA285" s="147" t="inlineStr">
        <is>
          <t>Norway</t>
        </is>
      </c>
      <c r="AB285" s="147" t="inlineStr">
        <is>
          <t>Poland</t>
        </is>
      </c>
      <c r="AC285" s="147" t="inlineStr">
        <is>
          <t>ROW</t>
        </is>
      </c>
      <c r="AD285" s="147" t="inlineStr">
        <is>
          <t>Russia</t>
        </is>
      </c>
      <c r="AE285" s="147" t="inlineStr">
        <is>
          <t>SaudiArabia</t>
        </is>
      </c>
      <c r="AF285" s="147" t="inlineStr">
        <is>
          <t>SouthAfrica</t>
        </is>
      </c>
      <c r="AG285" s="147" t="inlineStr">
        <is>
          <t>SpainPor</t>
        </is>
      </c>
      <c r="AH285" s="147" t="inlineStr">
        <is>
          <t>SweFinDen</t>
        </is>
      </c>
      <c r="AI285" s="147" t="inlineStr">
        <is>
          <t>Switzerland</t>
        </is>
      </c>
      <c r="AJ285" s="147" t="inlineStr">
        <is>
          <t>Turkey</t>
        </is>
      </c>
      <c r="AK285" s="147" t="inlineStr">
        <is>
          <t>UK</t>
        </is>
      </c>
      <c r="AL285" s="147" t="inlineStr">
        <is>
          <t>Ukraine</t>
        </is>
      </c>
    </row>
    <row r="286" ht="14.5" customHeight="1" s="213">
      <c r="A286" s="146" t="n">
        <v>2019</v>
      </c>
      <c r="B286" s="146" t="inlineStr">
        <is>
          <t>PRC_RESID</t>
        </is>
      </c>
      <c r="C286" s="146" t="inlineStr">
        <is>
          <t>FX</t>
        </is>
      </c>
      <c r="D286" s="147" t="inlineStr">
        <is>
          <t>Tra_EV_Batt-LFP_virgin, Tra_EV_Batt-LFP_virgin_pack</t>
        </is>
      </c>
      <c r="E286" s="146">
        <f>F309*25%</f>
        <v/>
      </c>
      <c r="F286" s="146">
        <f>G309*25%</f>
        <v/>
      </c>
      <c r="G286" s="146">
        <f>H309*25%</f>
        <v/>
      </c>
      <c r="H286" s="146">
        <f>I309*25%</f>
        <v/>
      </c>
      <c r="I286" s="146">
        <f>J309*25%</f>
        <v/>
      </c>
      <c r="J286" s="146">
        <f>K309*25%</f>
        <v/>
      </c>
      <c r="K286" s="146">
        <f>L309*25%</f>
        <v/>
      </c>
      <c r="L286" s="146">
        <f>M309*25%</f>
        <v/>
      </c>
      <c r="M286" s="146">
        <f>N309*25%</f>
        <v/>
      </c>
      <c r="N286" s="146">
        <f>O309*25%</f>
        <v/>
      </c>
      <c r="O286" s="146">
        <f>P309*25%</f>
        <v/>
      </c>
      <c r="P286" s="146">
        <f>Q309*25%</f>
        <v/>
      </c>
      <c r="Q286" s="146">
        <f>R309*25%</f>
        <v/>
      </c>
      <c r="R286" s="146">
        <f>S309*25%</f>
        <v/>
      </c>
      <c r="S286" s="146">
        <f>T309*25%</f>
        <v/>
      </c>
      <c r="T286" s="146">
        <f>U309*25%</f>
        <v/>
      </c>
      <c r="U286" s="146">
        <f>V309*25%</f>
        <v/>
      </c>
      <c r="V286" s="146">
        <f>W309*25%</f>
        <v/>
      </c>
      <c r="W286" s="146">
        <f>X309*25%</f>
        <v/>
      </c>
      <c r="X286" s="146">
        <f>Y309*25%</f>
        <v/>
      </c>
      <c r="Y286" s="146">
        <f>Z309*25%</f>
        <v/>
      </c>
      <c r="Z286" s="146">
        <f>AA309*25%</f>
        <v/>
      </c>
      <c r="AA286" s="146">
        <f>AB309*25%</f>
        <v/>
      </c>
      <c r="AB286" s="146">
        <f>AC309*25%</f>
        <v/>
      </c>
      <c r="AC286" s="146">
        <f>AD309*25%</f>
        <v/>
      </c>
      <c r="AD286" s="146">
        <f>AE309*25%</f>
        <v/>
      </c>
      <c r="AE286" s="146">
        <f>AF309*25%</f>
        <v/>
      </c>
      <c r="AF286" s="146">
        <f>AG309*25%</f>
        <v/>
      </c>
      <c r="AG286" s="146">
        <f>AH309*25%</f>
        <v/>
      </c>
      <c r="AH286" s="146">
        <f>AI309*25%</f>
        <v/>
      </c>
      <c r="AI286" s="146">
        <f>AJ309*25%</f>
        <v/>
      </c>
      <c r="AJ286" s="146">
        <f>AK309*25%</f>
        <v/>
      </c>
      <c r="AK286" s="146">
        <f>AL309*25%</f>
        <v/>
      </c>
      <c r="AL286" s="146">
        <f>AM309*25%</f>
        <v/>
      </c>
    </row>
    <row r="287" ht="14.5" customHeight="1" s="213">
      <c r="A287" s="146" t="n">
        <v>2019</v>
      </c>
      <c r="B287" s="146" t="inlineStr">
        <is>
          <t>PRC_RESID</t>
        </is>
      </c>
      <c r="C287" s="146" t="inlineStr">
        <is>
          <t>FX</t>
        </is>
      </c>
      <c r="D287" s="147" t="inlineStr">
        <is>
          <t>Tra_EV_Batt-NMC622_virgin, Tra_EV_Batt-NMC622_virgin_pack</t>
        </is>
      </c>
      <c r="E287" s="146">
        <f>F309*15%</f>
        <v/>
      </c>
      <c r="F287" s="146">
        <f>G309*15%</f>
        <v/>
      </c>
      <c r="G287" s="146">
        <f>H309*15%</f>
        <v/>
      </c>
      <c r="H287" s="146">
        <f>I309*15%</f>
        <v/>
      </c>
      <c r="I287" s="146">
        <f>J309*15%</f>
        <v/>
      </c>
      <c r="J287" s="146">
        <f>K309*15%</f>
        <v/>
      </c>
      <c r="K287" s="146">
        <f>L309*15%</f>
        <v/>
      </c>
      <c r="L287" s="146">
        <f>M309*15%</f>
        <v/>
      </c>
      <c r="M287" s="146">
        <f>N309*15%</f>
        <v/>
      </c>
      <c r="N287" s="146">
        <f>O309*15%</f>
        <v/>
      </c>
      <c r="O287" s="146">
        <f>P309*15%</f>
        <v/>
      </c>
      <c r="P287" s="146">
        <f>Q309*15%</f>
        <v/>
      </c>
      <c r="Q287" s="146">
        <f>R309*15%</f>
        <v/>
      </c>
      <c r="R287" s="146">
        <f>S309*15%</f>
        <v/>
      </c>
      <c r="S287" s="146">
        <f>T309*15%</f>
        <v/>
      </c>
      <c r="T287" s="146">
        <f>U309*15%</f>
        <v/>
      </c>
      <c r="U287" s="146">
        <f>V309*15%</f>
        <v/>
      </c>
      <c r="V287" s="146">
        <f>W309*15%</f>
        <v/>
      </c>
      <c r="W287" s="146">
        <f>X309*15%</f>
        <v/>
      </c>
      <c r="X287" s="146">
        <f>Y309*15%</f>
        <v/>
      </c>
      <c r="Y287" s="146">
        <f>Z309*15%</f>
        <v/>
      </c>
      <c r="Z287" s="146">
        <f>AA309*15%</f>
        <v/>
      </c>
      <c r="AA287" s="146">
        <f>AB309*15%</f>
        <v/>
      </c>
      <c r="AB287" s="146">
        <f>AC309*15%</f>
        <v/>
      </c>
      <c r="AC287" s="146">
        <f>AD309*15%</f>
        <v/>
      </c>
      <c r="AD287" s="146">
        <f>AE309*15%</f>
        <v/>
      </c>
      <c r="AE287" s="146">
        <f>AF309*15%</f>
        <v/>
      </c>
      <c r="AF287" s="146">
        <f>AG309*15%</f>
        <v/>
      </c>
      <c r="AG287" s="146">
        <f>AH309*15%</f>
        <v/>
      </c>
      <c r="AH287" s="146">
        <f>AI309*15%</f>
        <v/>
      </c>
      <c r="AI287" s="146">
        <f>AJ309*15%</f>
        <v/>
      </c>
      <c r="AJ287" s="146">
        <f>AK309*15%</f>
        <v/>
      </c>
      <c r="AK287" s="146">
        <f>AL309*15%</f>
        <v/>
      </c>
      <c r="AL287" s="146">
        <f>AM309*15%</f>
        <v/>
      </c>
    </row>
    <row r="288" ht="14.5" customHeight="1" s="213">
      <c r="A288" s="146" t="n">
        <v>2019</v>
      </c>
      <c r="B288" s="146" t="inlineStr">
        <is>
          <t>PRC_RESID</t>
        </is>
      </c>
      <c r="C288" s="146" t="inlineStr">
        <is>
          <t>FX</t>
        </is>
      </c>
      <c r="D288" s="147" t="inlineStr">
        <is>
          <t>Tra_EV_Batt-NMC811_virgin, Tra_EV_Batt-NMC811_virgin_pack</t>
        </is>
      </c>
      <c r="E288" s="146">
        <f>F309*15%</f>
        <v/>
      </c>
      <c r="F288" s="146">
        <f>G309*15%</f>
        <v/>
      </c>
      <c r="G288" s="146">
        <f>H309*15%</f>
        <v/>
      </c>
      <c r="H288" s="146">
        <f>I309*15%</f>
        <v/>
      </c>
      <c r="I288" s="146">
        <f>J309*15%</f>
        <v/>
      </c>
      <c r="J288" s="146">
        <f>K309*15%</f>
        <v/>
      </c>
      <c r="K288" s="146">
        <f>L309*15%</f>
        <v/>
      </c>
      <c r="L288" s="146">
        <f>M309*15%</f>
        <v/>
      </c>
      <c r="M288" s="146">
        <f>N309*15%</f>
        <v/>
      </c>
      <c r="N288" s="146">
        <f>O309*15%</f>
        <v/>
      </c>
      <c r="O288" s="146">
        <f>P309*15%</f>
        <v/>
      </c>
      <c r="P288" s="146">
        <f>Q309*15%</f>
        <v/>
      </c>
      <c r="Q288" s="146">
        <f>R309*15%</f>
        <v/>
      </c>
      <c r="R288" s="146">
        <f>S309*15%</f>
        <v/>
      </c>
      <c r="S288" s="146">
        <f>T309*15%</f>
        <v/>
      </c>
      <c r="T288" s="146">
        <f>U309*15%</f>
        <v/>
      </c>
      <c r="U288" s="146">
        <f>V309*15%</f>
        <v/>
      </c>
      <c r="V288" s="146">
        <f>W309*15%</f>
        <v/>
      </c>
      <c r="W288" s="146">
        <f>X309*15%</f>
        <v/>
      </c>
      <c r="X288" s="146">
        <f>Y309*15%</f>
        <v/>
      </c>
      <c r="Y288" s="146">
        <f>Z309*15%</f>
        <v/>
      </c>
      <c r="Z288" s="146">
        <f>AA309*15%</f>
        <v/>
      </c>
      <c r="AA288" s="146">
        <f>AB309*15%</f>
        <v/>
      </c>
      <c r="AB288" s="146">
        <f>AC309*15%</f>
        <v/>
      </c>
      <c r="AC288" s="146">
        <f>AD309*15%</f>
        <v/>
      </c>
      <c r="AD288" s="146">
        <f>AE309*15%</f>
        <v/>
      </c>
      <c r="AE288" s="146">
        <f>AF309*15%</f>
        <v/>
      </c>
      <c r="AF288" s="146">
        <f>AG309*15%</f>
        <v/>
      </c>
      <c r="AG288" s="146">
        <f>AH309*15%</f>
        <v/>
      </c>
      <c r="AH288" s="146">
        <f>AI309*15%</f>
        <v/>
      </c>
      <c r="AI288" s="146">
        <f>AJ309*15%</f>
        <v/>
      </c>
      <c r="AJ288" s="146">
        <f>AK309*15%</f>
        <v/>
      </c>
      <c r="AK288" s="146">
        <f>AL309*15%</f>
        <v/>
      </c>
      <c r="AL288" s="146">
        <f>AM309*15%</f>
        <v/>
      </c>
    </row>
    <row r="289" ht="14.5" customHeight="1" s="213">
      <c r="A289" s="146" t="n">
        <v>2019</v>
      </c>
      <c r="B289" s="146" t="inlineStr">
        <is>
          <t>PRC_RESID</t>
        </is>
      </c>
      <c r="C289" s="146" t="inlineStr">
        <is>
          <t>FX</t>
        </is>
      </c>
      <c r="D289" s="147" t="inlineStr">
        <is>
          <t>Tra_EV_Batt-NMC532_virgin, Tra_EV_Batt-NMC532_virgin_pack</t>
        </is>
      </c>
      <c r="E289" s="146">
        <f>F309*15%</f>
        <v/>
      </c>
      <c r="F289" s="146">
        <f>G309*15%</f>
        <v/>
      </c>
      <c r="G289" s="146">
        <f>H309*15%</f>
        <v/>
      </c>
      <c r="H289" s="146">
        <f>I309*15%</f>
        <v/>
      </c>
      <c r="I289" s="146">
        <f>J309*15%</f>
        <v/>
      </c>
      <c r="J289" s="146">
        <f>K309*15%</f>
        <v/>
      </c>
      <c r="K289" s="146">
        <f>L309*15%</f>
        <v/>
      </c>
      <c r="L289" s="146">
        <f>M309*15%</f>
        <v/>
      </c>
      <c r="M289" s="146">
        <f>N309*15%</f>
        <v/>
      </c>
      <c r="N289" s="146">
        <f>O309*15%</f>
        <v/>
      </c>
      <c r="O289" s="146">
        <f>P309*15%</f>
        <v/>
      </c>
      <c r="P289" s="146">
        <f>Q309*15%</f>
        <v/>
      </c>
      <c r="Q289" s="146">
        <f>R309*15%</f>
        <v/>
      </c>
      <c r="R289" s="146">
        <f>S309*15%</f>
        <v/>
      </c>
      <c r="S289" s="146">
        <f>T309*15%</f>
        <v/>
      </c>
      <c r="T289" s="146">
        <f>U309*15%</f>
        <v/>
      </c>
      <c r="U289" s="146">
        <f>V309*15%</f>
        <v/>
      </c>
      <c r="V289" s="146">
        <f>W309*15%</f>
        <v/>
      </c>
      <c r="W289" s="146">
        <f>X309*15%</f>
        <v/>
      </c>
      <c r="X289" s="146">
        <f>Y309*15%</f>
        <v/>
      </c>
      <c r="Y289" s="146">
        <f>Z309*15%</f>
        <v/>
      </c>
      <c r="Z289" s="146">
        <f>AA309*15%</f>
        <v/>
      </c>
      <c r="AA289" s="146">
        <f>AB309*15%</f>
        <v/>
      </c>
      <c r="AB289" s="146">
        <f>AC309*15%</f>
        <v/>
      </c>
      <c r="AC289" s="146">
        <f>AD309*15%</f>
        <v/>
      </c>
      <c r="AD289" s="146">
        <f>AE309*15%</f>
        <v/>
      </c>
      <c r="AE289" s="146">
        <f>AF309*15%</f>
        <v/>
      </c>
      <c r="AF289" s="146">
        <f>AG309*15%</f>
        <v/>
      </c>
      <c r="AG289" s="146">
        <f>AH309*15%</f>
        <v/>
      </c>
      <c r="AH289" s="146">
        <f>AI309*15%</f>
        <v/>
      </c>
      <c r="AI289" s="146">
        <f>AJ309*15%</f>
        <v/>
      </c>
      <c r="AJ289" s="146">
        <f>AK309*15%</f>
        <v/>
      </c>
      <c r="AK289" s="146">
        <f>AL309*15%</f>
        <v/>
      </c>
      <c r="AL289" s="146">
        <f>AM309*15%</f>
        <v/>
      </c>
    </row>
    <row r="290" ht="14.5" customHeight="1" s="213">
      <c r="A290" s="146" t="n">
        <v>2019</v>
      </c>
      <c r="B290" s="146" t="inlineStr">
        <is>
          <t>PRC_RESID</t>
        </is>
      </c>
      <c r="C290" s="146" t="inlineStr">
        <is>
          <t>FX</t>
        </is>
      </c>
      <c r="D290" s="147" t="inlineStr">
        <is>
          <t>Tra_EV_Batt-NCA_virgin, Tra_EV_Batt-NCA_virgin_pack</t>
        </is>
      </c>
      <c r="E290" s="146">
        <f>F309*15%</f>
        <v/>
      </c>
      <c r="F290" s="146">
        <f>G309*15%</f>
        <v/>
      </c>
      <c r="G290" s="146">
        <f>H309*15%</f>
        <v/>
      </c>
      <c r="H290" s="146">
        <f>I309*15%</f>
        <v/>
      </c>
      <c r="I290" s="146">
        <f>J309*15%</f>
        <v/>
      </c>
      <c r="J290" s="146">
        <f>K309*15%</f>
        <v/>
      </c>
      <c r="K290" s="146">
        <f>L309*15%</f>
        <v/>
      </c>
      <c r="L290" s="146">
        <f>M309*15%</f>
        <v/>
      </c>
      <c r="M290" s="146">
        <f>N309*15%</f>
        <v/>
      </c>
      <c r="N290" s="146">
        <f>O309*15%</f>
        <v/>
      </c>
      <c r="O290" s="146">
        <f>P309*15%</f>
        <v/>
      </c>
      <c r="P290" s="146">
        <f>Q309*15%</f>
        <v/>
      </c>
      <c r="Q290" s="146">
        <f>R309*15%</f>
        <v/>
      </c>
      <c r="R290" s="146">
        <f>S309*15%</f>
        <v/>
      </c>
      <c r="S290" s="146">
        <f>T309*15%</f>
        <v/>
      </c>
      <c r="T290" s="146">
        <f>U309*15%</f>
        <v/>
      </c>
      <c r="U290" s="146">
        <f>V309*15%</f>
        <v/>
      </c>
      <c r="V290" s="146">
        <f>W309*15%</f>
        <v/>
      </c>
      <c r="W290" s="146">
        <f>X309*15%</f>
        <v/>
      </c>
      <c r="X290" s="146">
        <f>Y309*15%</f>
        <v/>
      </c>
      <c r="Y290" s="146">
        <f>Z309*15%</f>
        <v/>
      </c>
      <c r="Z290" s="146">
        <f>AA309*15%</f>
        <v/>
      </c>
      <c r="AA290" s="146">
        <f>AB309*15%</f>
        <v/>
      </c>
      <c r="AB290" s="146">
        <f>AC309*15%</f>
        <v/>
      </c>
      <c r="AC290" s="146">
        <f>AD309*15%</f>
        <v/>
      </c>
      <c r="AD290" s="146">
        <f>AE309*15%</f>
        <v/>
      </c>
      <c r="AE290" s="146">
        <f>AF309*15%</f>
        <v/>
      </c>
      <c r="AF290" s="146">
        <f>AG309*15%</f>
        <v/>
      </c>
      <c r="AG290" s="146">
        <f>AH309*15%</f>
        <v/>
      </c>
      <c r="AH290" s="146">
        <f>AI309*15%</f>
        <v/>
      </c>
      <c r="AI290" s="146">
        <f>AJ309*15%</f>
        <v/>
      </c>
      <c r="AJ290" s="146">
        <f>AK309*15%</f>
        <v/>
      </c>
      <c r="AK290" s="146">
        <f>AL309*15%</f>
        <v/>
      </c>
      <c r="AL290" s="146">
        <f>AM309*15%</f>
        <v/>
      </c>
    </row>
    <row r="291" ht="14.5" customHeight="1" s="213">
      <c r="A291" s="146" t="n">
        <v>2019</v>
      </c>
      <c r="B291" s="146" t="inlineStr">
        <is>
          <t>PRC_RESID</t>
        </is>
      </c>
      <c r="C291" s="146" t="inlineStr">
        <is>
          <t>FX</t>
        </is>
      </c>
      <c r="D291" s="147" t="inlineStr">
        <is>
          <t>Tra_EV_Batt-LMO_virgin, Tra_EV_Batt-LMO_virgin_pack</t>
        </is>
      </c>
      <c r="E291" s="146">
        <f>0</f>
        <v/>
      </c>
      <c r="F291" s="146">
        <f>0</f>
        <v/>
      </c>
      <c r="G291" s="146">
        <f>0</f>
        <v/>
      </c>
      <c r="H291" s="146">
        <f>0</f>
        <v/>
      </c>
      <c r="I291" s="146">
        <f>0</f>
        <v/>
      </c>
      <c r="J291" s="146">
        <f>0</f>
        <v/>
      </c>
      <c r="K291" s="146">
        <f>0</f>
        <v/>
      </c>
      <c r="L291" s="146">
        <f>0</f>
        <v/>
      </c>
      <c r="M291" s="146">
        <f>0</f>
        <v/>
      </c>
      <c r="N291" s="146">
        <f>0</f>
        <v/>
      </c>
      <c r="O291" s="146">
        <f>0</f>
        <v/>
      </c>
      <c r="P291" s="146">
        <f>0</f>
        <v/>
      </c>
      <c r="Q291" s="146">
        <f>0</f>
        <v/>
      </c>
      <c r="R291" s="146">
        <f>0</f>
        <v/>
      </c>
      <c r="S291" s="146">
        <f>0</f>
        <v/>
      </c>
      <c r="T291" s="146">
        <f>0</f>
        <v/>
      </c>
      <c r="U291" s="146">
        <f>0</f>
        <v/>
      </c>
      <c r="V291" s="146">
        <f>0</f>
        <v/>
      </c>
      <c r="W291" s="146">
        <f>0</f>
        <v/>
      </c>
      <c r="X291" s="146">
        <f>0</f>
        <v/>
      </c>
      <c r="Y291" s="146">
        <f>0</f>
        <v/>
      </c>
      <c r="Z291" s="146">
        <f>0</f>
        <v/>
      </c>
      <c r="AA291" s="146">
        <f>0</f>
        <v/>
      </c>
      <c r="AB291" s="146">
        <f>0</f>
        <v/>
      </c>
      <c r="AC291" s="146">
        <f>0</f>
        <v/>
      </c>
      <c r="AD291" s="146">
        <f>0</f>
        <v/>
      </c>
      <c r="AE291" s="146">
        <f>0</f>
        <v/>
      </c>
      <c r="AF291" s="146">
        <f>0</f>
        <v/>
      </c>
      <c r="AG291" s="146">
        <f>0</f>
        <v/>
      </c>
      <c r="AH291" s="146">
        <f>0</f>
        <v/>
      </c>
      <c r="AI291" s="146">
        <f>0</f>
        <v/>
      </c>
      <c r="AJ291" s="146">
        <f>0</f>
        <v/>
      </c>
      <c r="AK291" s="146">
        <f>0</f>
        <v/>
      </c>
      <c r="AL291" s="146">
        <f>0</f>
        <v/>
      </c>
    </row>
    <row r="292" ht="14.5" customHeight="1" s="213">
      <c r="A292" s="146" t="n">
        <v>2019</v>
      </c>
      <c r="B292" s="146" t="inlineStr">
        <is>
          <t>PRC_RESID</t>
        </is>
      </c>
      <c r="C292" s="146" t="inlineStr">
        <is>
          <t>FX</t>
        </is>
      </c>
      <c r="D292" s="147" t="inlineStr">
        <is>
          <t>Tra_EV_Batt-Sodium_virgin, Tra_EV_Batt-Sodium_virgin_pack</t>
        </is>
      </c>
      <c r="E292" s="146">
        <f>0</f>
        <v/>
      </c>
      <c r="F292" s="146">
        <f>0</f>
        <v/>
      </c>
      <c r="G292" s="146">
        <f>0</f>
        <v/>
      </c>
      <c r="H292" s="146">
        <f>0</f>
        <v/>
      </c>
      <c r="I292" s="146">
        <f>0</f>
        <v/>
      </c>
      <c r="J292" s="146">
        <f>0</f>
        <v/>
      </c>
      <c r="K292" s="146">
        <f>0</f>
        <v/>
      </c>
      <c r="L292" s="146">
        <f>0</f>
        <v/>
      </c>
      <c r="M292" s="146">
        <f>0</f>
        <v/>
      </c>
      <c r="N292" s="146">
        <f>0</f>
        <v/>
      </c>
      <c r="O292" s="146">
        <f>0</f>
        <v/>
      </c>
      <c r="P292" s="146">
        <f>0</f>
        <v/>
      </c>
      <c r="Q292" s="146">
        <f>0</f>
        <v/>
      </c>
      <c r="R292" s="146">
        <f>0</f>
        <v/>
      </c>
      <c r="S292" s="146">
        <f>0</f>
        <v/>
      </c>
      <c r="T292" s="146">
        <f>0</f>
        <v/>
      </c>
      <c r="U292" s="146">
        <f>0</f>
        <v/>
      </c>
      <c r="V292" s="146">
        <f>0</f>
        <v/>
      </c>
      <c r="W292" s="146">
        <f>0</f>
        <v/>
      </c>
      <c r="X292" s="146">
        <f>0</f>
        <v/>
      </c>
      <c r="Y292" s="146">
        <f>0</f>
        <v/>
      </c>
      <c r="Z292" s="146">
        <f>0</f>
        <v/>
      </c>
      <c r="AA292" s="146">
        <f>0</f>
        <v/>
      </c>
      <c r="AB292" s="146">
        <f>0</f>
        <v/>
      </c>
      <c r="AC292" s="146">
        <f>0</f>
        <v/>
      </c>
      <c r="AD292" s="146">
        <f>0</f>
        <v/>
      </c>
      <c r="AE292" s="146">
        <f>0</f>
        <v/>
      </c>
      <c r="AF292" s="146">
        <f>0</f>
        <v/>
      </c>
      <c r="AG292" s="146">
        <f>0</f>
        <v/>
      </c>
      <c r="AH292" s="146">
        <f>0</f>
        <v/>
      </c>
      <c r="AI292" s="146">
        <f>0</f>
        <v/>
      </c>
      <c r="AJ292" s="146">
        <f>0</f>
        <v/>
      </c>
      <c r="AK292" s="146">
        <f>0</f>
        <v/>
      </c>
      <c r="AL292" s="146">
        <f>0</f>
        <v/>
      </c>
    </row>
    <row r="293" ht="14.5" customHeight="1" s="213">
      <c r="A293" s="146" t="n">
        <v>2019</v>
      </c>
      <c r="B293" s="146" t="inlineStr">
        <is>
          <t>PRC_RESID</t>
        </is>
      </c>
      <c r="C293" s="146" t="inlineStr">
        <is>
          <t>FX</t>
        </is>
      </c>
      <c r="D293" s="147" t="inlineStr">
        <is>
          <t>Tra_EV_Batt-NMC111_virgin, Tra_EV_Batt-NMC111_virgin_pack</t>
        </is>
      </c>
      <c r="E293" s="146">
        <f>E290</f>
        <v/>
      </c>
      <c r="F293" s="146">
        <f>F290</f>
        <v/>
      </c>
      <c r="G293" s="146">
        <f>G290</f>
        <v/>
      </c>
      <c r="H293" s="146">
        <f>H290</f>
        <v/>
      </c>
      <c r="I293" s="146">
        <f>I290</f>
        <v/>
      </c>
      <c r="J293" s="146">
        <f>J290</f>
        <v/>
      </c>
      <c r="K293" s="146">
        <f>K290</f>
        <v/>
      </c>
      <c r="L293" s="146">
        <f>L290</f>
        <v/>
      </c>
      <c r="M293" s="146">
        <f>M290</f>
        <v/>
      </c>
      <c r="N293" s="146">
        <f>N290</f>
        <v/>
      </c>
      <c r="O293" s="146">
        <f>O290</f>
        <v/>
      </c>
      <c r="P293" s="146">
        <f>P290</f>
        <v/>
      </c>
      <c r="Q293" s="146">
        <f>Q290</f>
        <v/>
      </c>
      <c r="R293" s="146">
        <f>R290</f>
        <v/>
      </c>
      <c r="S293" s="146">
        <f>S290</f>
        <v/>
      </c>
      <c r="T293" s="146">
        <f>T290</f>
        <v/>
      </c>
      <c r="U293" s="146">
        <f>U290</f>
        <v/>
      </c>
      <c r="V293" s="146">
        <f>V290</f>
        <v/>
      </c>
      <c r="W293" s="146">
        <f>W290</f>
        <v/>
      </c>
      <c r="X293" s="146">
        <f>X290</f>
        <v/>
      </c>
      <c r="Y293" s="146">
        <f>Y290</f>
        <v/>
      </c>
      <c r="Z293" s="146">
        <f>Z290</f>
        <v/>
      </c>
      <c r="AA293" s="146">
        <f>AA290</f>
        <v/>
      </c>
      <c r="AB293" s="146">
        <f>AB290</f>
        <v/>
      </c>
      <c r="AC293" s="146">
        <f>AC290</f>
        <v/>
      </c>
      <c r="AD293" s="146">
        <f>AD290</f>
        <v/>
      </c>
      <c r="AE293" s="146">
        <f>AE290</f>
        <v/>
      </c>
      <c r="AF293" s="146">
        <f>AF290</f>
        <v/>
      </c>
      <c r="AG293" s="146">
        <f>AG290</f>
        <v/>
      </c>
      <c r="AH293" s="146">
        <f>AH290</f>
        <v/>
      </c>
      <c r="AI293" s="146">
        <f>AI290</f>
        <v/>
      </c>
      <c r="AJ293" s="146">
        <f>AJ290</f>
        <v/>
      </c>
      <c r="AK293" s="146">
        <f>AK290</f>
        <v/>
      </c>
      <c r="AL293" s="146">
        <f>AL290</f>
        <v/>
      </c>
    </row>
    <row r="305" ht="12.5" customHeight="1" s="213">
      <c r="F305" t="inlineStr">
        <is>
          <t>Below are from test balance running</t>
        </is>
      </c>
    </row>
    <row r="307" ht="15.5" customHeight="1" s="213">
      <c r="E307" s="148" t="n"/>
      <c r="F307" s="148" t="inlineStr">
        <is>
          <t>Africa_North</t>
        </is>
      </c>
      <c r="G307" s="148" t="inlineStr">
        <is>
          <t>Africa_Other</t>
        </is>
      </c>
      <c r="H307" s="148" t="inlineStr">
        <is>
          <t>Australia</t>
        </is>
      </c>
      <c r="I307" s="148" t="inlineStr">
        <is>
          <t>Austria</t>
        </is>
      </c>
      <c r="J307" s="148" t="inlineStr">
        <is>
          <t>Baltics</t>
        </is>
      </c>
      <c r="K307" s="148" t="inlineStr">
        <is>
          <t>BeNeLux</t>
        </is>
      </c>
      <c r="L307" s="148" t="inlineStr">
        <is>
          <t>Brazil</t>
        </is>
      </c>
      <c r="M307" s="148" t="inlineStr">
        <is>
          <t>China</t>
        </is>
      </c>
      <c r="N307" s="148" t="inlineStr">
        <is>
          <t>CroSloven</t>
        </is>
      </c>
      <c r="O307" s="148" t="inlineStr">
        <is>
          <t>CzechSlovak</t>
        </is>
      </c>
      <c r="P307" s="148" t="inlineStr">
        <is>
          <t>France</t>
        </is>
      </c>
      <c r="Q307" s="148" t="inlineStr">
        <is>
          <t>Germany</t>
        </is>
      </c>
      <c r="R307" s="148" t="inlineStr">
        <is>
          <t>GreeceCyp</t>
        </is>
      </c>
      <c r="S307" s="148" t="inlineStr">
        <is>
          <t>HunRomBul</t>
        </is>
      </c>
      <c r="T307" s="148" t="inlineStr">
        <is>
          <t>Iceland</t>
        </is>
      </c>
      <c r="U307" s="148" t="inlineStr">
        <is>
          <t>India</t>
        </is>
      </c>
      <c r="V307" s="148" t="inlineStr">
        <is>
          <t>Ireland</t>
        </is>
      </c>
      <c r="W307" s="148" t="inlineStr">
        <is>
          <t>ItalyMal</t>
        </is>
      </c>
      <c r="X307" s="148" t="inlineStr">
        <is>
          <t>Japan</t>
        </is>
      </c>
      <c r="Y307" s="148" t="inlineStr">
        <is>
          <t>LatAm</t>
        </is>
      </c>
      <c r="Z307" s="148" t="inlineStr">
        <is>
          <t>MidEast</t>
        </is>
      </c>
      <c r="AA307" s="148" t="inlineStr">
        <is>
          <t>NorthAm</t>
        </is>
      </c>
      <c r="AB307" s="148" t="inlineStr">
        <is>
          <t>Norway</t>
        </is>
      </c>
      <c r="AC307" s="148" t="inlineStr">
        <is>
          <t>Poland</t>
        </is>
      </c>
      <c r="AD307" s="148" t="inlineStr">
        <is>
          <t>ROW</t>
        </is>
      </c>
      <c r="AE307" s="148" t="inlineStr">
        <is>
          <t>Russia</t>
        </is>
      </c>
      <c r="AF307" s="148" t="inlineStr">
        <is>
          <t>SaudiArabia</t>
        </is>
      </c>
      <c r="AG307" s="148" t="inlineStr">
        <is>
          <t>SouthAfrica</t>
        </is>
      </c>
      <c r="AH307" s="148" t="inlineStr">
        <is>
          <t>SpainPor</t>
        </is>
      </c>
      <c r="AI307" s="148" t="inlineStr">
        <is>
          <t>SweFinDen</t>
        </is>
      </c>
      <c r="AJ307" s="147" t="inlineStr">
        <is>
          <t>Switzerland</t>
        </is>
      </c>
      <c r="AK307" s="147" t="inlineStr">
        <is>
          <t>Turkey</t>
        </is>
      </c>
      <c r="AL307" s="147" t="inlineStr">
        <is>
          <t>UK</t>
        </is>
      </c>
      <c r="AM307" s="147" t="inlineStr">
        <is>
          <t>Ukraine</t>
        </is>
      </c>
    </row>
    <row r="308" ht="15.5" customHeight="1" s="213">
      <c r="E308" s="148" t="n"/>
      <c r="F308" s="148" t="n"/>
      <c r="G308" s="148" t="n"/>
      <c r="H308" s="148" t="n"/>
      <c r="I308" s="148" t="n"/>
      <c r="J308" s="148" t="n"/>
      <c r="K308" s="148" t="n"/>
      <c r="L308" s="148" t="n"/>
      <c r="M308" s="148" t="n"/>
      <c r="N308" s="148" t="n"/>
      <c r="O308" s="148" t="n"/>
      <c r="P308" s="148" t="n"/>
      <c r="Q308" s="148" t="n"/>
      <c r="R308" s="148" t="n"/>
      <c r="S308" s="148" t="n"/>
      <c r="T308" s="148" t="n"/>
      <c r="U308" s="148" t="n"/>
      <c r="V308" s="148" t="n"/>
      <c r="W308" s="148" t="n"/>
      <c r="X308" s="148" t="n"/>
      <c r="Y308" s="148" t="n"/>
      <c r="Z308" s="148" t="n"/>
      <c r="AA308" s="148" t="n"/>
      <c r="AB308" s="148" t="n"/>
      <c r="AC308" s="148" t="n"/>
      <c r="AD308" s="148" t="n"/>
      <c r="AE308" s="148" t="n"/>
      <c r="AF308" s="148" t="n"/>
      <c r="AG308" s="148" t="n"/>
      <c r="AH308" s="148" t="n"/>
      <c r="AI308" s="148" t="n"/>
    </row>
    <row r="309" ht="15.5" customHeight="1" s="213">
      <c r="E309" s="148" t="n"/>
      <c r="F309" s="148" t="n">
        <v>10.8018862738325</v>
      </c>
      <c r="G309" s="148" t="n">
        <v>0</v>
      </c>
      <c r="H309" s="148" t="n">
        <v>12.1365024480479</v>
      </c>
      <c r="I309" s="148" t="n">
        <v>1.90785095176733</v>
      </c>
      <c r="J309" s="148" t="n">
        <v>0.0163625989694258</v>
      </c>
      <c r="K309" s="148" t="n">
        <v>18.5204540309208</v>
      </c>
      <c r="L309" s="148" t="n">
        <v>7.62653501750928</v>
      </c>
      <c r="M309" s="148" t="n">
        <v>670.209992328637</v>
      </c>
      <c r="N309" s="148" t="n">
        <v>2.31778166149945</v>
      </c>
      <c r="O309" s="148" t="n">
        <v>10.5752834141963</v>
      </c>
      <c r="P309" s="148" t="n">
        <v>45.0155182221715</v>
      </c>
      <c r="Q309" s="148" t="n">
        <v>26.569429009642</v>
      </c>
      <c r="R309" s="148" t="n">
        <v>0.899121240135531</v>
      </c>
      <c r="S309" s="148" t="n">
        <v>12.0702295950892</v>
      </c>
      <c r="T309" s="148" t="n">
        <v>0.336228113357986</v>
      </c>
      <c r="U309" s="148" t="n">
        <v>90.6656697717516</v>
      </c>
      <c r="V309" s="148" t="n">
        <v>0.0986160780474282</v>
      </c>
      <c r="W309" s="148" t="n">
        <v>28.3818420655305</v>
      </c>
      <c r="X309" s="148" t="n">
        <v>88.7179329822972</v>
      </c>
      <c r="Y309" s="148" t="n">
        <v>7.42041410173359</v>
      </c>
      <c r="Z309" s="148" t="n">
        <v>0.5891666911980969</v>
      </c>
      <c r="AA309" s="148" t="n">
        <v>42.9469947287706</v>
      </c>
      <c r="AB309" s="148" t="n">
        <v>9.31627583188582</v>
      </c>
      <c r="AC309" s="148" t="n">
        <v>16.1419848973007</v>
      </c>
      <c r="AD309" s="148" t="n">
        <v>66.5334834099728</v>
      </c>
      <c r="AE309" s="148" t="n">
        <v>264.190647504463</v>
      </c>
      <c r="AF309" s="148" t="n">
        <v>0</v>
      </c>
      <c r="AG309" s="148" t="n">
        <v>12.6942463943883</v>
      </c>
      <c r="AH309" s="148" t="n">
        <v>31.321322949168</v>
      </c>
      <c r="AI309" s="148" t="n">
        <v>21.056568701548</v>
      </c>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U57"/>
  <sheetViews>
    <sheetView topLeftCell="E1" zoomScale="49" zoomScaleNormal="49" workbookViewId="0">
      <selection pane="topLeft" activeCell="L1" sqref="L1:AT1"/>
    </sheetView>
  </sheetViews>
  <sheetFormatPr baseColWidth="8" defaultColWidth="9.004285714285709" defaultRowHeight="12.5"/>
  <cols>
    <col width="11.5714285714286" customWidth="1" style="213" min="3" max="3"/>
    <col width="9" customWidth="1" style="213" min="8" max="11"/>
    <col width="5.28571428571429" customWidth="1" style="213" min="12" max="16"/>
    <col width="5.28571428571429" customWidth="1" style="213" min="17" max="28"/>
  </cols>
  <sheetData>
    <row r="1" ht="12.5" customHeight="1" s="213">
      <c r="A1" t="inlineStr">
        <is>
          <t>scenario</t>
        </is>
      </c>
      <c r="B1" t="inlineStr">
        <is>
          <t>attribute</t>
        </is>
      </c>
      <c r="C1" t="inlineStr">
        <is>
          <t>process</t>
        </is>
      </c>
      <c r="D1" t="inlineStr">
        <is>
          <t>commodity</t>
        </is>
      </c>
      <c r="E1" t="inlineStr">
        <is>
          <t>lim_type</t>
        </is>
      </c>
      <c r="F1" t="inlineStr">
        <is>
          <t>time_slice</t>
        </is>
      </c>
      <c r="G1" t="inlineStr">
        <is>
          <t>year</t>
        </is>
      </c>
      <c r="H1" t="inlineStr">
        <is>
          <t>commodity_group</t>
        </is>
      </c>
      <c r="I1" t="inlineStr">
        <is>
          <t>currency</t>
        </is>
      </c>
      <c r="J1" t="inlineStr">
        <is>
          <t>stage</t>
        </is>
      </c>
      <c r="K1" t="inlineStr">
        <is>
          <t>sow</t>
        </is>
      </c>
      <c r="L1" t="inlineStr">
        <is>
          <t>Africa_North</t>
        </is>
      </c>
      <c r="M1" t="inlineStr">
        <is>
          <t>Africa_Other</t>
        </is>
      </c>
      <c r="N1" t="inlineStr">
        <is>
          <t>Australia</t>
        </is>
      </c>
      <c r="O1" t="inlineStr">
        <is>
          <t>Austria</t>
        </is>
      </c>
      <c r="P1" t="inlineStr">
        <is>
          <t>Baltics</t>
        </is>
      </c>
      <c r="Q1" t="inlineStr">
        <is>
          <t>BeNeLux</t>
        </is>
      </c>
      <c r="R1" t="inlineStr">
        <is>
          <t>Brazil</t>
        </is>
      </c>
      <c r="S1" t="inlineStr">
        <is>
          <t>China</t>
        </is>
      </c>
      <c r="T1" t="inlineStr">
        <is>
          <t>CroSloven</t>
        </is>
      </c>
      <c r="U1" t="inlineStr">
        <is>
          <t>CzechSlovak</t>
        </is>
      </c>
      <c r="V1" t="inlineStr">
        <is>
          <t>France</t>
        </is>
      </c>
      <c r="W1" t="inlineStr">
        <is>
          <t>Germany</t>
        </is>
      </c>
      <c r="X1" t="inlineStr">
        <is>
          <t>GreeceCyp</t>
        </is>
      </c>
      <c r="Y1" t="inlineStr">
        <is>
          <t>HunRomBul</t>
        </is>
      </c>
      <c r="Z1" t="inlineStr">
        <is>
          <t>Iceland</t>
        </is>
      </c>
      <c r="AA1" t="inlineStr">
        <is>
          <t>India</t>
        </is>
      </c>
      <c r="AB1" t="inlineStr">
        <is>
          <t>Ireland</t>
        </is>
      </c>
      <c r="AC1" t="inlineStr">
        <is>
          <t>ItalyMal</t>
        </is>
      </c>
      <c r="AD1" t="inlineStr">
        <is>
          <t>Japan</t>
        </is>
      </c>
      <c r="AE1" t="inlineStr">
        <is>
          <t>LatAm</t>
        </is>
      </c>
      <c r="AF1" t="inlineStr">
        <is>
          <t>MidEast</t>
        </is>
      </c>
      <c r="AG1" t="inlineStr">
        <is>
          <t>NorthAm</t>
        </is>
      </c>
      <c r="AH1" t="inlineStr">
        <is>
          <t>Norway</t>
        </is>
      </c>
      <c r="AI1" t="inlineStr">
        <is>
          <t>Poland</t>
        </is>
      </c>
      <c r="AJ1" t="inlineStr">
        <is>
          <t>ROW</t>
        </is>
      </c>
      <c r="AK1" t="inlineStr">
        <is>
          <t>Russia</t>
        </is>
      </c>
      <c r="AL1" t="inlineStr">
        <is>
          <t>SaudiArabia</t>
        </is>
      </c>
      <c r="AM1" t="inlineStr">
        <is>
          <t>SouthAfrica</t>
        </is>
      </c>
      <c r="AN1" t="inlineStr">
        <is>
          <t>SpainPor</t>
        </is>
      </c>
      <c r="AO1" t="inlineStr">
        <is>
          <t>SweFinDen</t>
        </is>
      </c>
      <c r="AP1" t="inlineStr">
        <is>
          <t>Switzerland</t>
        </is>
      </c>
      <c r="AQ1" t="inlineStr">
        <is>
          <t>Turkey</t>
        </is>
      </c>
      <c r="AR1" t="inlineStr">
        <is>
          <t>UK</t>
        </is>
      </c>
      <c r="AS1" t="inlineStr">
        <is>
          <t>Ukraine</t>
        </is>
      </c>
      <c r="AT1" t="inlineStr">
        <is>
          <t>WestBalkans</t>
        </is>
      </c>
      <c r="AU1" t="inlineStr">
        <is>
          <t>year2</t>
        </is>
      </c>
    </row>
    <row r="2" ht="12.5" customHeight="1" s="213">
      <c r="A2" t="inlineStr">
        <is>
          <t>BASE</t>
        </is>
      </c>
      <c r="B2" t="inlineStr">
        <is>
          <t>AF</t>
        </is>
      </c>
      <c r="C2" t="inlineStr">
        <is>
          <t>Trd_2w_elc</t>
        </is>
      </c>
      <c r="D2" t="inlineStr">
        <is>
          <t>-</t>
        </is>
      </c>
      <c r="E2" t="inlineStr">
        <is>
          <t>UP</t>
        </is>
      </c>
      <c r="F2" t="inlineStr">
        <is>
          <t>ANNUAL</t>
        </is>
      </c>
      <c r="G2" t="inlineStr">
        <is>
          <t>2019</t>
        </is>
      </c>
      <c r="H2" t="inlineStr">
        <is>
          <t>-</t>
        </is>
      </c>
      <c r="I2" t="inlineStr">
        <is>
          <t>-</t>
        </is>
      </c>
      <c r="J2" t="inlineStr">
        <is>
          <t>-</t>
        </is>
      </c>
      <c r="K2" t="inlineStr">
        <is>
          <t>-</t>
        </is>
      </c>
      <c r="L2" t="n">
        <v>7</v>
      </c>
      <c r="M2" t="n">
        <v>7</v>
      </c>
      <c r="N2" t="n">
        <v>7</v>
      </c>
      <c r="O2" t="n">
        <v>7</v>
      </c>
      <c r="P2" t="n">
        <v>7</v>
      </c>
      <c r="Q2" t="n">
        <v>7</v>
      </c>
      <c r="R2" t="n">
        <v>7</v>
      </c>
      <c r="S2" t="n">
        <v>7</v>
      </c>
      <c r="T2" t="n">
        <v>7</v>
      </c>
      <c r="U2" t="n">
        <v>7</v>
      </c>
      <c r="V2" t="n">
        <v>7</v>
      </c>
      <c r="W2" t="n">
        <v>7</v>
      </c>
      <c r="X2" t="n">
        <v>7</v>
      </c>
      <c r="Y2" t="n">
        <v>7</v>
      </c>
      <c r="Z2" t="n">
        <v>7</v>
      </c>
      <c r="AA2" t="n">
        <v>7</v>
      </c>
      <c r="AB2" t="n">
        <v>7</v>
      </c>
      <c r="AC2" t="n">
        <v>7</v>
      </c>
      <c r="AD2" t="n">
        <v>4</v>
      </c>
      <c r="AE2" t="n">
        <v>7</v>
      </c>
      <c r="AF2" t="n">
        <v>5</v>
      </c>
      <c r="AG2" t="n">
        <v>7</v>
      </c>
      <c r="AH2" t="n">
        <v>4</v>
      </c>
      <c r="AI2" t="n">
        <v>7</v>
      </c>
      <c r="AJ2" t="n">
        <v>7</v>
      </c>
      <c r="AK2" t="n">
        <v>3</v>
      </c>
      <c r="AL2" t="n">
        <v>7</v>
      </c>
      <c r="AM2" t="n">
        <v>7</v>
      </c>
      <c r="AN2" t="n">
        <v>6.5</v>
      </c>
      <c r="AO2" t="n">
        <v>7</v>
      </c>
      <c r="AP2" t="n">
        <v>7</v>
      </c>
      <c r="AQ2" t="n">
        <v>7</v>
      </c>
      <c r="AR2" t="n">
        <v>4</v>
      </c>
      <c r="AS2" t="n">
        <v>4</v>
      </c>
      <c r="AT2" t="n">
        <v>4</v>
      </c>
      <c r="AU2" t="inlineStr">
        <is>
          <t>-</t>
        </is>
      </c>
    </row>
    <row r="3" ht="12.5" customHeight="1" s="213">
      <c r="A3" t="inlineStr">
        <is>
          <t>BASE</t>
        </is>
      </c>
      <c r="B3" t="inlineStr">
        <is>
          <t>AF</t>
        </is>
      </c>
      <c r="C3" t="inlineStr">
        <is>
          <t>Trd_2w_gsl</t>
        </is>
      </c>
      <c r="D3" t="inlineStr">
        <is>
          <t>-</t>
        </is>
      </c>
      <c r="E3" t="inlineStr">
        <is>
          <t>UP</t>
        </is>
      </c>
      <c r="F3" t="inlineStr">
        <is>
          <t>ANNUAL</t>
        </is>
      </c>
      <c r="G3" t="inlineStr">
        <is>
          <t>2019</t>
        </is>
      </c>
      <c r="H3" t="inlineStr">
        <is>
          <t>-</t>
        </is>
      </c>
      <c r="I3" t="inlineStr">
        <is>
          <t>-</t>
        </is>
      </c>
      <c r="J3" t="inlineStr">
        <is>
          <t>-</t>
        </is>
      </c>
      <c r="K3" t="inlineStr">
        <is>
          <t>-</t>
        </is>
      </c>
      <c r="L3" t="n">
        <v>7</v>
      </c>
      <c r="M3" t="n">
        <v>7</v>
      </c>
      <c r="N3" t="n">
        <v>7</v>
      </c>
      <c r="O3" t="n">
        <v>7</v>
      </c>
      <c r="P3" t="n">
        <v>7</v>
      </c>
      <c r="Q3" t="n">
        <v>7</v>
      </c>
      <c r="R3" t="n">
        <v>7</v>
      </c>
      <c r="S3" t="n">
        <v>7</v>
      </c>
      <c r="T3" t="n">
        <v>7</v>
      </c>
      <c r="U3" t="n">
        <v>7</v>
      </c>
      <c r="V3" t="n">
        <v>7</v>
      </c>
      <c r="W3" t="n">
        <v>7</v>
      </c>
      <c r="X3" t="n">
        <v>7</v>
      </c>
      <c r="Y3" t="n">
        <v>7</v>
      </c>
      <c r="Z3" t="n">
        <v>7</v>
      </c>
      <c r="AA3" t="n">
        <v>7</v>
      </c>
      <c r="AB3" t="n">
        <v>7</v>
      </c>
      <c r="AC3" t="n">
        <v>7</v>
      </c>
      <c r="AD3" t="n">
        <v>4</v>
      </c>
      <c r="AE3" t="n">
        <v>7</v>
      </c>
      <c r="AF3" t="n">
        <v>5</v>
      </c>
      <c r="AG3" t="n">
        <v>7</v>
      </c>
      <c r="AH3" t="n">
        <v>4</v>
      </c>
      <c r="AI3" t="n">
        <v>7</v>
      </c>
      <c r="AJ3" t="n">
        <v>7</v>
      </c>
      <c r="AK3" t="n">
        <v>3</v>
      </c>
      <c r="AL3" t="n">
        <v>7</v>
      </c>
      <c r="AM3" t="n">
        <v>7</v>
      </c>
      <c r="AN3" t="n">
        <v>6.5</v>
      </c>
      <c r="AO3" t="n">
        <v>7</v>
      </c>
      <c r="AP3" t="n">
        <v>7</v>
      </c>
      <c r="AQ3" t="n">
        <v>7</v>
      </c>
      <c r="AR3" t="n">
        <v>4</v>
      </c>
      <c r="AS3" t="n">
        <v>4</v>
      </c>
      <c r="AT3" t="n">
        <v>4</v>
      </c>
      <c r="AU3" t="inlineStr">
        <is>
          <t>-</t>
        </is>
      </c>
    </row>
    <row r="4" ht="12.5" customHeight="1" s="213">
      <c r="A4" t="inlineStr">
        <is>
          <t>BASE</t>
        </is>
      </c>
      <c r="B4" t="inlineStr">
        <is>
          <t>AF</t>
        </is>
      </c>
      <c r="C4" t="inlineStr">
        <is>
          <t>Trd_3w_bdl</t>
        </is>
      </c>
      <c r="D4" t="inlineStr">
        <is>
          <t>-</t>
        </is>
      </c>
      <c r="E4" t="inlineStr">
        <is>
          <t>UP</t>
        </is>
      </c>
      <c r="F4" t="inlineStr">
        <is>
          <t>ANNUAL</t>
        </is>
      </c>
      <c r="G4" t="inlineStr">
        <is>
          <t>2019</t>
        </is>
      </c>
      <c r="H4" t="inlineStr">
        <is>
          <t>-</t>
        </is>
      </c>
      <c r="I4" t="inlineStr">
        <is>
          <t>-</t>
        </is>
      </c>
      <c r="J4" t="inlineStr">
        <is>
          <t>-</t>
        </is>
      </c>
      <c r="K4" t="inlineStr">
        <is>
          <t>-</t>
        </is>
      </c>
      <c r="L4" t="n">
        <v>15</v>
      </c>
      <c r="M4" t="n">
        <v>15</v>
      </c>
      <c r="N4" t="n">
        <v>15</v>
      </c>
      <c r="O4" t="n">
        <v>15</v>
      </c>
      <c r="P4" t="n">
        <v>15</v>
      </c>
      <c r="Q4" t="n">
        <v>15</v>
      </c>
      <c r="R4" t="n">
        <v>15</v>
      </c>
      <c r="S4" t="n">
        <v>15</v>
      </c>
      <c r="T4" t="n">
        <v>15</v>
      </c>
      <c r="U4" t="n">
        <v>15</v>
      </c>
      <c r="V4" t="n">
        <v>15</v>
      </c>
      <c r="W4" t="n">
        <v>15</v>
      </c>
      <c r="X4" t="n">
        <v>15</v>
      </c>
      <c r="Y4" t="n">
        <v>15</v>
      </c>
      <c r="Z4" t="n">
        <v>15</v>
      </c>
      <c r="AA4" t="n">
        <v>15</v>
      </c>
      <c r="AB4" t="n">
        <v>15</v>
      </c>
      <c r="AC4" t="n">
        <v>15</v>
      </c>
      <c r="AD4" t="n">
        <v>15</v>
      </c>
      <c r="AE4" t="n">
        <v>15</v>
      </c>
      <c r="AF4" t="n">
        <v>15</v>
      </c>
      <c r="AG4" t="n">
        <v>15</v>
      </c>
      <c r="AH4" t="n">
        <v>15</v>
      </c>
      <c r="AI4" t="n">
        <v>15</v>
      </c>
      <c r="AJ4" t="n">
        <v>15</v>
      </c>
      <c r="AK4" t="n">
        <v>15</v>
      </c>
      <c r="AL4" t="n">
        <v>15</v>
      </c>
      <c r="AM4" t="n">
        <v>15</v>
      </c>
      <c r="AN4" t="n">
        <v>20</v>
      </c>
      <c r="AO4" t="n">
        <v>15</v>
      </c>
      <c r="AP4" t="n">
        <v>15</v>
      </c>
      <c r="AQ4" t="n">
        <v>15</v>
      </c>
      <c r="AR4" t="n">
        <v>15</v>
      </c>
      <c r="AS4" t="n">
        <v>15</v>
      </c>
      <c r="AT4" t="n">
        <v>15</v>
      </c>
      <c r="AU4" t="inlineStr">
        <is>
          <t>-</t>
        </is>
      </c>
    </row>
    <row r="5" ht="12.5" customHeight="1" s="213">
      <c r="A5" t="inlineStr">
        <is>
          <t>BASE</t>
        </is>
      </c>
      <c r="B5" t="inlineStr">
        <is>
          <t>AF</t>
        </is>
      </c>
      <c r="C5" t="inlineStr">
        <is>
          <t>Trd_3w_dsl</t>
        </is>
      </c>
      <c r="D5" t="inlineStr">
        <is>
          <t>-</t>
        </is>
      </c>
      <c r="E5" t="inlineStr">
        <is>
          <t>UP</t>
        </is>
      </c>
      <c r="F5" t="inlineStr">
        <is>
          <t>ANNUAL</t>
        </is>
      </c>
      <c r="G5" t="inlineStr">
        <is>
          <t>2019</t>
        </is>
      </c>
      <c r="H5" t="inlineStr">
        <is>
          <t>-</t>
        </is>
      </c>
      <c r="I5" t="inlineStr">
        <is>
          <t>-</t>
        </is>
      </c>
      <c r="J5" t="inlineStr">
        <is>
          <t>-</t>
        </is>
      </c>
      <c r="K5" t="inlineStr">
        <is>
          <t>-</t>
        </is>
      </c>
      <c r="L5" t="n">
        <v>15</v>
      </c>
      <c r="M5" t="n">
        <v>15</v>
      </c>
      <c r="N5" t="n">
        <v>15</v>
      </c>
      <c r="O5" t="n">
        <v>15</v>
      </c>
      <c r="P5" t="n">
        <v>15</v>
      </c>
      <c r="Q5" t="n">
        <v>15</v>
      </c>
      <c r="R5" t="n">
        <v>15</v>
      </c>
      <c r="S5" t="n">
        <v>15</v>
      </c>
      <c r="T5" t="n">
        <v>15</v>
      </c>
      <c r="U5" t="n">
        <v>15</v>
      </c>
      <c r="V5" t="n">
        <v>15</v>
      </c>
      <c r="W5" t="n">
        <v>15</v>
      </c>
      <c r="X5" t="n">
        <v>15</v>
      </c>
      <c r="Y5" t="n">
        <v>15</v>
      </c>
      <c r="Z5" t="n">
        <v>15</v>
      </c>
      <c r="AA5" t="n">
        <v>15</v>
      </c>
      <c r="AB5" t="n">
        <v>15</v>
      </c>
      <c r="AC5" t="n">
        <v>15</v>
      </c>
      <c r="AD5" t="n">
        <v>15</v>
      </c>
      <c r="AE5" t="n">
        <v>15</v>
      </c>
      <c r="AF5" t="n">
        <v>15</v>
      </c>
      <c r="AG5" t="n">
        <v>15</v>
      </c>
      <c r="AH5" t="n">
        <v>15</v>
      </c>
      <c r="AI5" t="n">
        <v>15</v>
      </c>
      <c r="AJ5" t="n">
        <v>15</v>
      </c>
      <c r="AK5" t="n">
        <v>15</v>
      </c>
      <c r="AL5" t="n">
        <v>15</v>
      </c>
      <c r="AM5" t="n">
        <v>15</v>
      </c>
      <c r="AN5" t="n">
        <v>20</v>
      </c>
      <c r="AO5" t="n">
        <v>15</v>
      </c>
      <c r="AP5" t="n">
        <v>15</v>
      </c>
      <c r="AQ5" t="n">
        <v>15</v>
      </c>
      <c r="AR5" t="n">
        <v>15</v>
      </c>
      <c r="AS5" t="n">
        <v>15</v>
      </c>
      <c r="AT5" t="n">
        <v>15</v>
      </c>
      <c r="AU5" t="inlineStr">
        <is>
          <t>-</t>
        </is>
      </c>
    </row>
    <row r="6" ht="12.5" customHeight="1" s="213">
      <c r="A6" t="inlineStr">
        <is>
          <t>BASE</t>
        </is>
      </c>
      <c r="B6" t="inlineStr">
        <is>
          <t>AF</t>
        </is>
      </c>
      <c r="C6" t="inlineStr">
        <is>
          <t>Trd_3w_gsl</t>
        </is>
      </c>
      <c r="D6" t="inlineStr">
        <is>
          <t>-</t>
        </is>
      </c>
      <c r="E6" t="inlineStr">
        <is>
          <t>UP</t>
        </is>
      </c>
      <c r="F6" t="inlineStr">
        <is>
          <t>ANNUAL</t>
        </is>
      </c>
      <c r="G6" t="inlineStr">
        <is>
          <t>2019</t>
        </is>
      </c>
      <c r="H6" t="inlineStr">
        <is>
          <t>-</t>
        </is>
      </c>
      <c r="I6" t="inlineStr">
        <is>
          <t>-</t>
        </is>
      </c>
      <c r="J6" t="inlineStr">
        <is>
          <t>-</t>
        </is>
      </c>
      <c r="K6" t="inlineStr">
        <is>
          <t>-</t>
        </is>
      </c>
      <c r="L6" t="n">
        <v>15</v>
      </c>
      <c r="M6" t="n">
        <v>15</v>
      </c>
      <c r="N6" t="n">
        <v>15</v>
      </c>
      <c r="O6" t="n">
        <v>15</v>
      </c>
      <c r="P6" t="n">
        <v>15</v>
      </c>
      <c r="Q6" t="n">
        <v>15</v>
      </c>
      <c r="R6" t="n">
        <v>15</v>
      </c>
      <c r="S6" t="n">
        <v>15</v>
      </c>
      <c r="T6" t="n">
        <v>15</v>
      </c>
      <c r="U6" t="n">
        <v>15</v>
      </c>
      <c r="V6" t="n">
        <v>15</v>
      </c>
      <c r="W6" t="n">
        <v>15</v>
      </c>
      <c r="X6" t="n">
        <v>15</v>
      </c>
      <c r="Y6" t="n">
        <v>15</v>
      </c>
      <c r="Z6" t="n">
        <v>15</v>
      </c>
      <c r="AA6" t="n">
        <v>15</v>
      </c>
      <c r="AB6" t="n">
        <v>15</v>
      </c>
      <c r="AC6" t="n">
        <v>15</v>
      </c>
      <c r="AD6" t="n">
        <v>15</v>
      </c>
      <c r="AE6" t="n">
        <v>15</v>
      </c>
      <c r="AF6" t="n">
        <v>15</v>
      </c>
      <c r="AG6" t="n">
        <v>15</v>
      </c>
      <c r="AH6" t="n">
        <v>15</v>
      </c>
      <c r="AI6" t="n">
        <v>15</v>
      </c>
      <c r="AJ6" t="n">
        <v>15</v>
      </c>
      <c r="AK6" t="n">
        <v>15</v>
      </c>
      <c r="AL6" t="n">
        <v>15</v>
      </c>
      <c r="AM6" t="n">
        <v>15</v>
      </c>
      <c r="AN6" t="n">
        <v>20</v>
      </c>
      <c r="AO6" t="n">
        <v>15</v>
      </c>
      <c r="AP6" t="n">
        <v>15</v>
      </c>
      <c r="AQ6" t="n">
        <v>15</v>
      </c>
      <c r="AR6" t="n">
        <v>15</v>
      </c>
      <c r="AS6" t="n">
        <v>15</v>
      </c>
      <c r="AT6" t="n">
        <v>15</v>
      </c>
      <c r="AU6" t="inlineStr">
        <is>
          <t>-</t>
        </is>
      </c>
    </row>
    <row r="7" ht="12.5" customHeight="1" s="213">
      <c r="A7" t="inlineStr">
        <is>
          <t>BASE</t>
        </is>
      </c>
      <c r="B7" t="inlineStr">
        <is>
          <t>AF</t>
        </is>
      </c>
      <c r="C7" t="inlineStr">
        <is>
          <t>Trd_bus_bdl</t>
        </is>
      </c>
      <c r="D7" t="inlineStr">
        <is>
          <t>-</t>
        </is>
      </c>
      <c r="E7" t="inlineStr">
        <is>
          <t>UP</t>
        </is>
      </c>
      <c r="F7" t="inlineStr">
        <is>
          <t>ANNUAL</t>
        </is>
      </c>
      <c r="G7" t="inlineStr">
        <is>
          <t>2019</t>
        </is>
      </c>
      <c r="H7" t="inlineStr">
        <is>
          <t>-</t>
        </is>
      </c>
      <c r="I7" t="inlineStr">
        <is>
          <t>-</t>
        </is>
      </c>
      <c r="J7" t="inlineStr">
        <is>
          <t>-</t>
        </is>
      </c>
      <c r="K7" t="inlineStr">
        <is>
          <t>-</t>
        </is>
      </c>
      <c r="L7" t="n">
        <v>35</v>
      </c>
      <c r="M7" t="n">
        <v>35</v>
      </c>
      <c r="N7" t="n">
        <v>35</v>
      </c>
      <c r="O7" t="n">
        <v>35</v>
      </c>
      <c r="P7" t="n">
        <v>35</v>
      </c>
      <c r="Q7" t="n">
        <v>35</v>
      </c>
      <c r="R7" t="n">
        <v>35</v>
      </c>
      <c r="S7" t="n">
        <v>35</v>
      </c>
      <c r="T7" t="n">
        <v>35</v>
      </c>
      <c r="U7" t="n">
        <v>35</v>
      </c>
      <c r="V7" t="n">
        <v>35</v>
      </c>
      <c r="W7" t="n">
        <v>35</v>
      </c>
      <c r="X7" t="n">
        <v>35</v>
      </c>
      <c r="Y7" t="n">
        <v>35</v>
      </c>
      <c r="Z7" t="n">
        <v>35</v>
      </c>
      <c r="AA7" t="n">
        <v>35</v>
      </c>
      <c r="AB7" t="n">
        <v>35</v>
      </c>
      <c r="AC7" t="n">
        <v>35</v>
      </c>
      <c r="AD7" t="n">
        <v>35</v>
      </c>
      <c r="AE7" t="n">
        <v>35</v>
      </c>
      <c r="AF7" t="n">
        <v>35</v>
      </c>
      <c r="AG7" t="n">
        <v>35</v>
      </c>
      <c r="AH7" t="n">
        <v>35</v>
      </c>
      <c r="AI7" t="n">
        <v>35</v>
      </c>
      <c r="AJ7" t="n">
        <v>35</v>
      </c>
      <c r="AK7" t="n">
        <v>35</v>
      </c>
      <c r="AL7" t="n">
        <v>35</v>
      </c>
      <c r="AM7" t="n">
        <v>35</v>
      </c>
      <c r="AN7" t="n">
        <v>35</v>
      </c>
      <c r="AO7" t="n">
        <v>35</v>
      </c>
      <c r="AP7" t="n">
        <v>35</v>
      </c>
      <c r="AQ7" t="n">
        <v>35</v>
      </c>
      <c r="AR7" t="n">
        <v>35</v>
      </c>
      <c r="AS7" t="n">
        <v>35</v>
      </c>
      <c r="AT7" t="n">
        <v>20</v>
      </c>
      <c r="AU7" t="inlineStr">
        <is>
          <t>-</t>
        </is>
      </c>
    </row>
    <row r="8" ht="12.5" customHeight="1" s="213">
      <c r="A8" t="inlineStr">
        <is>
          <t>BASE</t>
        </is>
      </c>
      <c r="B8" t="inlineStr">
        <is>
          <t>AF</t>
        </is>
      </c>
      <c r="C8" t="inlineStr">
        <is>
          <t>Trd_bus_dsl</t>
        </is>
      </c>
      <c r="D8" t="inlineStr">
        <is>
          <t>-</t>
        </is>
      </c>
      <c r="E8" t="inlineStr">
        <is>
          <t>UP</t>
        </is>
      </c>
      <c r="F8" t="inlineStr">
        <is>
          <t>ANNUAL</t>
        </is>
      </c>
      <c r="G8" t="inlineStr">
        <is>
          <t>2019</t>
        </is>
      </c>
      <c r="H8" t="inlineStr">
        <is>
          <t>-</t>
        </is>
      </c>
      <c r="I8" t="inlineStr">
        <is>
          <t>-</t>
        </is>
      </c>
      <c r="J8" t="inlineStr">
        <is>
          <t>-</t>
        </is>
      </c>
      <c r="K8" t="inlineStr">
        <is>
          <t>-</t>
        </is>
      </c>
      <c r="L8" t="n">
        <v>35</v>
      </c>
      <c r="M8" t="n">
        <v>35</v>
      </c>
      <c r="N8" t="n">
        <v>35</v>
      </c>
      <c r="O8" t="n">
        <v>35</v>
      </c>
      <c r="P8" t="n">
        <v>35</v>
      </c>
      <c r="Q8" t="n">
        <v>35</v>
      </c>
      <c r="R8" t="n">
        <v>35</v>
      </c>
      <c r="S8" t="n">
        <v>35</v>
      </c>
      <c r="T8" t="n">
        <v>35</v>
      </c>
      <c r="U8" t="n">
        <v>35</v>
      </c>
      <c r="V8" t="n">
        <v>35</v>
      </c>
      <c r="W8" t="n">
        <v>35</v>
      </c>
      <c r="X8" t="n">
        <v>35</v>
      </c>
      <c r="Y8" t="n">
        <v>35</v>
      </c>
      <c r="Z8" t="n">
        <v>35</v>
      </c>
      <c r="AA8" t="n">
        <v>35</v>
      </c>
      <c r="AB8" t="n">
        <v>35</v>
      </c>
      <c r="AC8" t="n">
        <v>35</v>
      </c>
      <c r="AD8" t="n">
        <v>35</v>
      </c>
      <c r="AE8" t="n">
        <v>35</v>
      </c>
      <c r="AF8" t="n">
        <v>35</v>
      </c>
      <c r="AG8" t="n">
        <v>35</v>
      </c>
      <c r="AH8" t="n">
        <v>35</v>
      </c>
      <c r="AI8" t="n">
        <v>35</v>
      </c>
      <c r="AJ8" t="n">
        <v>35</v>
      </c>
      <c r="AK8" t="n">
        <v>35</v>
      </c>
      <c r="AL8" t="n">
        <v>35</v>
      </c>
      <c r="AM8" t="n">
        <v>35</v>
      </c>
      <c r="AN8" t="n">
        <v>35</v>
      </c>
      <c r="AO8" t="n">
        <v>35</v>
      </c>
      <c r="AP8" t="n">
        <v>35</v>
      </c>
      <c r="AQ8" t="n">
        <v>35</v>
      </c>
      <c r="AR8" t="n">
        <v>35</v>
      </c>
      <c r="AS8" t="n">
        <v>35</v>
      </c>
      <c r="AT8" t="n">
        <v>20</v>
      </c>
      <c r="AU8" t="inlineStr">
        <is>
          <t>-</t>
        </is>
      </c>
    </row>
    <row r="9" ht="12.5" customHeight="1" s="213">
      <c r="A9" t="inlineStr">
        <is>
          <t>BASE</t>
        </is>
      </c>
      <c r="B9" t="inlineStr">
        <is>
          <t>AF</t>
        </is>
      </c>
      <c r="C9" t="inlineStr">
        <is>
          <t>Trd_bus_elc</t>
        </is>
      </c>
      <c r="D9" t="inlineStr">
        <is>
          <t>-</t>
        </is>
      </c>
      <c r="E9" t="inlineStr">
        <is>
          <t>UP</t>
        </is>
      </c>
      <c r="F9" t="inlineStr">
        <is>
          <t>ANNUAL</t>
        </is>
      </c>
      <c r="G9" t="inlineStr">
        <is>
          <t>2019</t>
        </is>
      </c>
      <c r="H9" t="inlineStr">
        <is>
          <t>-</t>
        </is>
      </c>
      <c r="I9" t="inlineStr">
        <is>
          <t>-</t>
        </is>
      </c>
      <c r="J9" t="inlineStr">
        <is>
          <t>-</t>
        </is>
      </c>
      <c r="K9" t="inlineStr">
        <is>
          <t>-</t>
        </is>
      </c>
      <c r="L9" t="n">
        <v>35</v>
      </c>
      <c r="M9" t="n">
        <v>35</v>
      </c>
      <c r="N9" t="n">
        <v>35</v>
      </c>
      <c r="O9" t="n">
        <v>35</v>
      </c>
      <c r="P9" t="n">
        <v>35</v>
      </c>
      <c r="Q9" t="n">
        <v>35</v>
      </c>
      <c r="R9" t="n">
        <v>35</v>
      </c>
      <c r="S9" t="n">
        <v>35</v>
      </c>
      <c r="T9" t="n">
        <v>35</v>
      </c>
      <c r="U9" t="n">
        <v>35</v>
      </c>
      <c r="V9" t="n">
        <v>35</v>
      </c>
      <c r="W9" t="n">
        <v>35</v>
      </c>
      <c r="X9" t="n">
        <v>35</v>
      </c>
      <c r="Y9" t="n">
        <v>35</v>
      </c>
      <c r="Z9" t="n">
        <v>35</v>
      </c>
      <c r="AA9" t="n">
        <v>35</v>
      </c>
      <c r="AB9" t="n">
        <v>35</v>
      </c>
      <c r="AC9" t="n">
        <v>35</v>
      </c>
      <c r="AD9" t="n">
        <v>35</v>
      </c>
      <c r="AE9" t="n">
        <v>35</v>
      </c>
      <c r="AF9" t="n">
        <v>35</v>
      </c>
      <c r="AG9" t="n">
        <v>35</v>
      </c>
      <c r="AH9" t="n">
        <v>35</v>
      </c>
      <c r="AI9" t="n">
        <v>35</v>
      </c>
      <c r="AJ9" t="n">
        <v>35</v>
      </c>
      <c r="AK9" t="n">
        <v>35</v>
      </c>
      <c r="AL9" t="n">
        <v>35</v>
      </c>
      <c r="AM9" t="n">
        <v>35</v>
      </c>
      <c r="AN9" t="n">
        <v>35</v>
      </c>
      <c r="AO9" t="n">
        <v>35</v>
      </c>
      <c r="AP9" t="n">
        <v>35</v>
      </c>
      <c r="AQ9" t="n">
        <v>35</v>
      </c>
      <c r="AR9" t="n">
        <v>35</v>
      </c>
      <c r="AS9" t="n">
        <v>35</v>
      </c>
      <c r="AT9" t="n">
        <v>20</v>
      </c>
      <c r="AU9" t="inlineStr">
        <is>
          <t>-</t>
        </is>
      </c>
    </row>
    <row r="10" ht="12.5" customHeight="1" s="213">
      <c r="A10" t="inlineStr">
        <is>
          <t>BASE</t>
        </is>
      </c>
      <c r="B10" t="inlineStr">
        <is>
          <t>AF</t>
        </is>
      </c>
      <c r="C10" t="inlineStr">
        <is>
          <t>Trd_bus_eth</t>
        </is>
      </c>
      <c r="D10" t="inlineStr">
        <is>
          <t>-</t>
        </is>
      </c>
      <c r="E10" t="inlineStr">
        <is>
          <t>UP</t>
        </is>
      </c>
      <c r="F10" t="inlineStr">
        <is>
          <t>ANNUAL</t>
        </is>
      </c>
      <c r="G10" t="inlineStr">
        <is>
          <t>2019</t>
        </is>
      </c>
      <c r="H10" t="inlineStr">
        <is>
          <t>-</t>
        </is>
      </c>
      <c r="I10" t="inlineStr">
        <is>
          <t>-</t>
        </is>
      </c>
      <c r="J10" t="inlineStr">
        <is>
          <t>-</t>
        </is>
      </c>
      <c r="K10" t="inlineStr">
        <is>
          <t>-</t>
        </is>
      </c>
      <c r="L10" t="n">
        <v>35</v>
      </c>
      <c r="M10" t="n">
        <v>35</v>
      </c>
      <c r="N10" t="n">
        <v>35</v>
      </c>
      <c r="O10" t="n">
        <v>35</v>
      </c>
      <c r="P10" t="n">
        <v>35</v>
      </c>
      <c r="Q10" t="n">
        <v>35</v>
      </c>
      <c r="R10" t="n">
        <v>35</v>
      </c>
      <c r="S10" t="n">
        <v>35</v>
      </c>
      <c r="T10" t="n">
        <v>35</v>
      </c>
      <c r="U10" t="n">
        <v>35</v>
      </c>
      <c r="V10" t="n">
        <v>35</v>
      </c>
      <c r="W10" t="n">
        <v>35</v>
      </c>
      <c r="X10" t="n">
        <v>35</v>
      </c>
      <c r="Y10" t="n">
        <v>35</v>
      </c>
      <c r="Z10" t="n">
        <v>35</v>
      </c>
      <c r="AA10" t="n">
        <v>35</v>
      </c>
      <c r="AB10" t="n">
        <v>35</v>
      </c>
      <c r="AC10" t="n">
        <v>35</v>
      </c>
      <c r="AD10" t="n">
        <v>35</v>
      </c>
      <c r="AE10" t="n">
        <v>35</v>
      </c>
      <c r="AF10" t="n">
        <v>35</v>
      </c>
      <c r="AG10" t="n">
        <v>35</v>
      </c>
      <c r="AH10" t="n">
        <v>35</v>
      </c>
      <c r="AI10" t="n">
        <v>35</v>
      </c>
      <c r="AJ10" t="n">
        <v>35</v>
      </c>
      <c r="AK10" t="n">
        <v>35</v>
      </c>
      <c r="AL10" t="n">
        <v>35</v>
      </c>
      <c r="AM10" t="n">
        <v>35</v>
      </c>
      <c r="AN10" t="n">
        <v>35</v>
      </c>
      <c r="AO10" t="n">
        <v>35</v>
      </c>
      <c r="AP10" t="n">
        <v>35</v>
      </c>
      <c r="AQ10" t="n">
        <v>35</v>
      </c>
      <c r="AR10" t="n">
        <v>35</v>
      </c>
      <c r="AS10" t="n">
        <v>35</v>
      </c>
      <c r="AT10" t="n">
        <v>20</v>
      </c>
      <c r="AU10" t="inlineStr">
        <is>
          <t>-</t>
        </is>
      </c>
    </row>
    <row r="11" ht="12.5" customHeight="1" s="213">
      <c r="A11" t="inlineStr">
        <is>
          <t>BASE</t>
        </is>
      </c>
      <c r="B11" t="inlineStr">
        <is>
          <t>AF</t>
        </is>
      </c>
      <c r="C11" t="inlineStr">
        <is>
          <t>Trd_bus_gsl</t>
        </is>
      </c>
      <c r="D11" t="inlineStr">
        <is>
          <t>-</t>
        </is>
      </c>
      <c r="E11" t="inlineStr">
        <is>
          <t>UP</t>
        </is>
      </c>
      <c r="F11" t="inlineStr">
        <is>
          <t>ANNUAL</t>
        </is>
      </c>
      <c r="G11" t="inlineStr">
        <is>
          <t>2019</t>
        </is>
      </c>
      <c r="H11" t="inlineStr">
        <is>
          <t>-</t>
        </is>
      </c>
      <c r="I11" t="inlineStr">
        <is>
          <t>-</t>
        </is>
      </c>
      <c r="J11" t="inlineStr">
        <is>
          <t>-</t>
        </is>
      </c>
      <c r="K11" t="inlineStr">
        <is>
          <t>-</t>
        </is>
      </c>
      <c r="L11" t="n">
        <v>35</v>
      </c>
      <c r="M11" t="n">
        <v>35</v>
      </c>
      <c r="N11" t="n">
        <v>35</v>
      </c>
      <c r="O11" t="n">
        <v>35</v>
      </c>
      <c r="P11" t="n">
        <v>35</v>
      </c>
      <c r="Q11" t="n">
        <v>35</v>
      </c>
      <c r="R11" t="n">
        <v>35</v>
      </c>
      <c r="S11" t="n">
        <v>35</v>
      </c>
      <c r="T11" t="n">
        <v>35</v>
      </c>
      <c r="U11" t="n">
        <v>35</v>
      </c>
      <c r="V11" t="n">
        <v>35</v>
      </c>
      <c r="W11" t="n">
        <v>35</v>
      </c>
      <c r="X11" t="n">
        <v>35</v>
      </c>
      <c r="Y11" t="n">
        <v>35</v>
      </c>
      <c r="Z11" t="n">
        <v>35</v>
      </c>
      <c r="AA11" t="n">
        <v>35</v>
      </c>
      <c r="AB11" t="n">
        <v>35</v>
      </c>
      <c r="AC11" t="n">
        <v>35</v>
      </c>
      <c r="AD11" t="n">
        <v>35</v>
      </c>
      <c r="AE11" t="n">
        <v>35</v>
      </c>
      <c r="AF11" t="n">
        <v>35</v>
      </c>
      <c r="AG11" t="n">
        <v>35</v>
      </c>
      <c r="AH11" t="n">
        <v>35</v>
      </c>
      <c r="AI11" t="n">
        <v>35</v>
      </c>
      <c r="AJ11" t="n">
        <v>35</v>
      </c>
      <c r="AK11" t="n">
        <v>35</v>
      </c>
      <c r="AL11" t="n">
        <v>35</v>
      </c>
      <c r="AM11" t="n">
        <v>35</v>
      </c>
      <c r="AN11" t="n">
        <v>35</v>
      </c>
      <c r="AO11" t="n">
        <v>35</v>
      </c>
      <c r="AP11" t="n">
        <v>35</v>
      </c>
      <c r="AQ11" t="n">
        <v>35</v>
      </c>
      <c r="AR11" t="n">
        <v>35</v>
      </c>
      <c r="AS11" t="n">
        <v>35</v>
      </c>
      <c r="AT11" t="n">
        <v>20</v>
      </c>
      <c r="AU11" t="inlineStr">
        <is>
          <t>-</t>
        </is>
      </c>
    </row>
    <row r="12" ht="12.5" customHeight="1" s="213">
      <c r="A12" t="inlineStr">
        <is>
          <t>BASE</t>
        </is>
      </c>
      <c r="B12" t="inlineStr">
        <is>
          <t>AF</t>
        </is>
      </c>
      <c r="C12" t="inlineStr">
        <is>
          <t>Trd_bus_lpg</t>
        </is>
      </c>
      <c r="D12" t="inlineStr">
        <is>
          <t>-</t>
        </is>
      </c>
      <c r="E12" t="inlineStr">
        <is>
          <t>UP</t>
        </is>
      </c>
      <c r="F12" t="inlineStr">
        <is>
          <t>ANNUAL</t>
        </is>
      </c>
      <c r="G12" t="inlineStr">
        <is>
          <t>2019</t>
        </is>
      </c>
      <c r="H12" t="inlineStr">
        <is>
          <t>-</t>
        </is>
      </c>
      <c r="I12" t="inlineStr">
        <is>
          <t>-</t>
        </is>
      </c>
      <c r="J12" t="inlineStr">
        <is>
          <t>-</t>
        </is>
      </c>
      <c r="K12" t="inlineStr">
        <is>
          <t>-</t>
        </is>
      </c>
      <c r="L12" t="n">
        <v>35</v>
      </c>
      <c r="M12" t="n">
        <v>35</v>
      </c>
      <c r="N12" t="n">
        <v>35</v>
      </c>
      <c r="O12" t="n">
        <v>35</v>
      </c>
      <c r="P12" t="n">
        <v>35</v>
      </c>
      <c r="Q12" t="n">
        <v>35</v>
      </c>
      <c r="R12" t="n">
        <v>35</v>
      </c>
      <c r="S12" t="n">
        <v>35</v>
      </c>
      <c r="T12" t="n">
        <v>35</v>
      </c>
      <c r="U12" t="n">
        <v>35</v>
      </c>
      <c r="V12" t="n">
        <v>35</v>
      </c>
      <c r="W12" t="n">
        <v>35</v>
      </c>
      <c r="X12" t="n">
        <v>35</v>
      </c>
      <c r="Y12" t="n">
        <v>35</v>
      </c>
      <c r="Z12" t="n">
        <v>35</v>
      </c>
      <c r="AA12" t="n">
        <v>35</v>
      </c>
      <c r="AB12" t="n">
        <v>35</v>
      </c>
      <c r="AC12" t="n">
        <v>35</v>
      </c>
      <c r="AD12" t="n">
        <v>35</v>
      </c>
      <c r="AE12" t="n">
        <v>35</v>
      </c>
      <c r="AF12" t="n">
        <v>35</v>
      </c>
      <c r="AG12" t="n">
        <v>35</v>
      </c>
      <c r="AH12" t="n">
        <v>35</v>
      </c>
      <c r="AI12" t="n">
        <v>35</v>
      </c>
      <c r="AJ12" t="n">
        <v>35</v>
      </c>
      <c r="AK12" t="n">
        <v>35</v>
      </c>
      <c r="AL12" t="n">
        <v>35</v>
      </c>
      <c r="AM12" t="n">
        <v>35</v>
      </c>
      <c r="AN12" t="n">
        <v>35</v>
      </c>
      <c r="AO12" t="n">
        <v>35</v>
      </c>
      <c r="AP12" t="n">
        <v>35</v>
      </c>
      <c r="AQ12" t="n">
        <v>35</v>
      </c>
      <c r="AR12" t="n">
        <v>35</v>
      </c>
      <c r="AS12" t="n">
        <v>35</v>
      </c>
      <c r="AT12" t="n">
        <v>20</v>
      </c>
      <c r="AU12" t="inlineStr">
        <is>
          <t>-</t>
        </is>
      </c>
    </row>
    <row r="13" ht="12.5" customHeight="1" s="213">
      <c r="A13" t="inlineStr">
        <is>
          <t>BASE</t>
        </is>
      </c>
      <c r="B13" t="inlineStr">
        <is>
          <t>AF</t>
        </is>
      </c>
      <c r="C13" t="inlineStr">
        <is>
          <t>Trd_bus_nga</t>
        </is>
      </c>
      <c r="D13" t="inlineStr">
        <is>
          <t>-</t>
        </is>
      </c>
      <c r="E13" t="inlineStr">
        <is>
          <t>UP</t>
        </is>
      </c>
      <c r="F13" t="inlineStr">
        <is>
          <t>ANNUAL</t>
        </is>
      </c>
      <c r="G13" t="inlineStr">
        <is>
          <t>2019</t>
        </is>
      </c>
      <c r="H13" t="inlineStr">
        <is>
          <t>-</t>
        </is>
      </c>
      <c r="I13" t="inlineStr">
        <is>
          <t>-</t>
        </is>
      </c>
      <c r="J13" t="inlineStr">
        <is>
          <t>-</t>
        </is>
      </c>
      <c r="K13" t="inlineStr">
        <is>
          <t>-</t>
        </is>
      </c>
      <c r="L13" t="n">
        <v>35</v>
      </c>
      <c r="M13" t="n">
        <v>35</v>
      </c>
      <c r="N13" t="n">
        <v>35</v>
      </c>
      <c r="O13" t="n">
        <v>35</v>
      </c>
      <c r="P13" t="n">
        <v>35</v>
      </c>
      <c r="Q13" t="n">
        <v>35</v>
      </c>
      <c r="R13" t="n">
        <v>35</v>
      </c>
      <c r="S13" t="n">
        <v>35</v>
      </c>
      <c r="T13" t="n">
        <v>35</v>
      </c>
      <c r="U13" t="n">
        <v>35</v>
      </c>
      <c r="V13" t="n">
        <v>35</v>
      </c>
      <c r="W13" t="n">
        <v>35</v>
      </c>
      <c r="X13" t="n">
        <v>35</v>
      </c>
      <c r="Y13" t="n">
        <v>35</v>
      </c>
      <c r="Z13" t="n">
        <v>35</v>
      </c>
      <c r="AA13" t="n">
        <v>35</v>
      </c>
      <c r="AB13" t="n">
        <v>35</v>
      </c>
      <c r="AC13" t="n">
        <v>35</v>
      </c>
      <c r="AD13" t="n">
        <v>35</v>
      </c>
      <c r="AE13" t="n">
        <v>35</v>
      </c>
      <c r="AF13" t="n">
        <v>35</v>
      </c>
      <c r="AG13" t="n">
        <v>35</v>
      </c>
      <c r="AH13" t="n">
        <v>35</v>
      </c>
      <c r="AI13" t="n">
        <v>35</v>
      </c>
      <c r="AJ13" t="n">
        <v>35</v>
      </c>
      <c r="AK13" t="n">
        <v>35</v>
      </c>
      <c r="AL13" t="n">
        <v>35</v>
      </c>
      <c r="AM13" t="n">
        <v>35</v>
      </c>
      <c r="AN13" t="n">
        <v>35</v>
      </c>
      <c r="AO13" t="n">
        <v>35</v>
      </c>
      <c r="AP13" t="n">
        <v>35</v>
      </c>
      <c r="AQ13" t="n">
        <v>35</v>
      </c>
      <c r="AR13" t="n">
        <v>35</v>
      </c>
      <c r="AS13" t="n">
        <v>35</v>
      </c>
      <c r="AT13" t="n">
        <v>20</v>
      </c>
      <c r="AU13" t="inlineStr">
        <is>
          <t>-</t>
        </is>
      </c>
    </row>
    <row r="14" ht="12.5" customHeight="1" s="213">
      <c r="A14" t="inlineStr">
        <is>
          <t>BASE</t>
        </is>
      </c>
      <c r="B14" t="inlineStr">
        <is>
          <t>AF</t>
        </is>
      </c>
      <c r="C14" t="inlineStr">
        <is>
          <t>Trd_car_bdl</t>
        </is>
      </c>
      <c r="D14" t="inlineStr">
        <is>
          <t>-</t>
        </is>
      </c>
      <c r="E14" t="inlineStr">
        <is>
          <t>UP</t>
        </is>
      </c>
      <c r="F14" t="inlineStr">
        <is>
          <t>ANNUAL</t>
        </is>
      </c>
      <c r="G14" t="inlineStr">
        <is>
          <t>2019</t>
        </is>
      </c>
      <c r="H14" t="inlineStr">
        <is>
          <t>-</t>
        </is>
      </c>
      <c r="I14" t="inlineStr">
        <is>
          <t>-</t>
        </is>
      </c>
      <c r="J14" t="inlineStr">
        <is>
          <t>-</t>
        </is>
      </c>
      <c r="K14" t="inlineStr">
        <is>
          <t>-</t>
        </is>
      </c>
      <c r="L14" t="n">
        <v>12</v>
      </c>
      <c r="M14" t="n">
        <v>12</v>
      </c>
      <c r="N14" t="n">
        <v>12</v>
      </c>
      <c r="O14" t="n">
        <v>12</v>
      </c>
      <c r="P14" t="n">
        <v>12</v>
      </c>
      <c r="Q14" t="n">
        <v>12</v>
      </c>
      <c r="R14" t="n">
        <v>12</v>
      </c>
      <c r="S14" t="n">
        <v>8</v>
      </c>
      <c r="T14" t="n">
        <v>12</v>
      </c>
      <c r="U14" t="n">
        <v>12</v>
      </c>
      <c r="V14" t="n">
        <v>12</v>
      </c>
      <c r="W14" t="n">
        <v>12</v>
      </c>
      <c r="X14" t="n">
        <v>12</v>
      </c>
      <c r="Y14" t="n">
        <v>12</v>
      </c>
      <c r="Z14" t="n">
        <v>12</v>
      </c>
      <c r="AA14" t="n">
        <v>12</v>
      </c>
      <c r="AB14" t="n">
        <v>12</v>
      </c>
      <c r="AC14" t="n">
        <v>12</v>
      </c>
      <c r="AD14" t="n">
        <v>12</v>
      </c>
      <c r="AE14" t="n">
        <v>12</v>
      </c>
      <c r="AF14" t="n">
        <v>12</v>
      </c>
      <c r="AG14" t="n">
        <v>18</v>
      </c>
      <c r="AH14" t="n">
        <v>12</v>
      </c>
      <c r="AI14" t="n">
        <v>12</v>
      </c>
      <c r="AJ14" t="n">
        <v>12</v>
      </c>
      <c r="AK14" t="n">
        <v>12</v>
      </c>
      <c r="AL14" t="n">
        <v>12</v>
      </c>
      <c r="AM14" t="n">
        <v>12</v>
      </c>
      <c r="AN14" t="n">
        <v>12</v>
      </c>
      <c r="AO14" t="n">
        <v>12</v>
      </c>
      <c r="AP14" t="n">
        <v>12</v>
      </c>
      <c r="AQ14" t="n">
        <v>12</v>
      </c>
      <c r="AR14" t="n">
        <v>12</v>
      </c>
      <c r="AS14" t="n">
        <v>12</v>
      </c>
      <c r="AT14" t="n">
        <v>12</v>
      </c>
      <c r="AU14" t="inlineStr">
        <is>
          <t>-</t>
        </is>
      </c>
    </row>
    <row r="15" ht="12.5" customHeight="1" s="213">
      <c r="A15" t="inlineStr">
        <is>
          <t>BASE</t>
        </is>
      </c>
      <c r="B15" t="inlineStr">
        <is>
          <t>AF</t>
        </is>
      </c>
      <c r="C15" t="inlineStr">
        <is>
          <t>Trd_car_dsl</t>
        </is>
      </c>
      <c r="D15" t="inlineStr">
        <is>
          <t>-</t>
        </is>
      </c>
      <c r="E15" t="inlineStr">
        <is>
          <t>UP</t>
        </is>
      </c>
      <c r="F15" t="inlineStr">
        <is>
          <t>ANNUAL</t>
        </is>
      </c>
      <c r="G15" t="inlineStr">
        <is>
          <t>2019</t>
        </is>
      </c>
      <c r="H15" t="inlineStr">
        <is>
          <t>-</t>
        </is>
      </c>
      <c r="I15" t="inlineStr">
        <is>
          <t>-</t>
        </is>
      </c>
      <c r="J15" t="inlineStr">
        <is>
          <t>-</t>
        </is>
      </c>
      <c r="K15" t="inlineStr">
        <is>
          <t>-</t>
        </is>
      </c>
      <c r="L15" t="n">
        <v>12</v>
      </c>
      <c r="M15" t="n">
        <v>12</v>
      </c>
      <c r="N15" t="n">
        <v>12</v>
      </c>
      <c r="O15" t="n">
        <v>12</v>
      </c>
      <c r="P15" t="n">
        <v>12</v>
      </c>
      <c r="Q15" t="n">
        <v>12</v>
      </c>
      <c r="R15" t="n">
        <v>12</v>
      </c>
      <c r="S15" t="n">
        <v>8</v>
      </c>
      <c r="T15" t="n">
        <v>12</v>
      </c>
      <c r="U15" t="n">
        <v>12</v>
      </c>
      <c r="V15" t="n">
        <v>12</v>
      </c>
      <c r="W15" t="n">
        <v>12</v>
      </c>
      <c r="X15" t="n">
        <v>12</v>
      </c>
      <c r="Y15" t="n">
        <v>12</v>
      </c>
      <c r="Z15" t="n">
        <v>12</v>
      </c>
      <c r="AA15" t="n">
        <v>12</v>
      </c>
      <c r="AB15" t="n">
        <v>12</v>
      </c>
      <c r="AC15" t="n">
        <v>12</v>
      </c>
      <c r="AD15" t="n">
        <v>12</v>
      </c>
      <c r="AE15" t="n">
        <v>12</v>
      </c>
      <c r="AF15" t="n">
        <v>12</v>
      </c>
      <c r="AG15" t="n">
        <v>18</v>
      </c>
      <c r="AH15" t="n">
        <v>12</v>
      </c>
      <c r="AI15" t="n">
        <v>12</v>
      </c>
      <c r="AJ15" t="n">
        <v>12</v>
      </c>
      <c r="AK15" t="n">
        <v>12</v>
      </c>
      <c r="AL15" t="n">
        <v>12</v>
      </c>
      <c r="AM15" t="n">
        <v>12</v>
      </c>
      <c r="AN15" t="n">
        <v>12</v>
      </c>
      <c r="AO15" t="n">
        <v>12</v>
      </c>
      <c r="AP15" t="n">
        <v>12</v>
      </c>
      <c r="AQ15" t="n">
        <v>12</v>
      </c>
      <c r="AR15" t="n">
        <v>12</v>
      </c>
      <c r="AS15" t="n">
        <v>12</v>
      </c>
      <c r="AT15" t="n">
        <v>12</v>
      </c>
      <c r="AU15" t="inlineStr">
        <is>
          <t>-</t>
        </is>
      </c>
    </row>
    <row r="16" ht="12.5" customHeight="1" s="213">
      <c r="A16" t="inlineStr">
        <is>
          <t>BASE</t>
        </is>
      </c>
      <c r="B16" t="inlineStr">
        <is>
          <t>AF</t>
        </is>
      </c>
      <c r="C16" t="inlineStr">
        <is>
          <t>Trd_car_elc</t>
        </is>
      </c>
      <c r="D16" t="inlineStr">
        <is>
          <t>-</t>
        </is>
      </c>
      <c r="E16" t="inlineStr">
        <is>
          <t>UP</t>
        </is>
      </c>
      <c r="F16" t="inlineStr">
        <is>
          <t>ANNUAL</t>
        </is>
      </c>
      <c r="G16" t="inlineStr">
        <is>
          <t>2019</t>
        </is>
      </c>
      <c r="H16" t="inlineStr">
        <is>
          <t>-</t>
        </is>
      </c>
      <c r="I16" t="inlineStr">
        <is>
          <t>-</t>
        </is>
      </c>
      <c r="J16" t="inlineStr">
        <is>
          <t>-</t>
        </is>
      </c>
      <c r="K16" t="inlineStr">
        <is>
          <t>-</t>
        </is>
      </c>
      <c r="L16" t="n">
        <v>12</v>
      </c>
      <c r="M16" t="n">
        <v>12</v>
      </c>
      <c r="N16" t="n">
        <v>12</v>
      </c>
      <c r="O16" t="n">
        <v>12</v>
      </c>
      <c r="P16" t="n">
        <v>12</v>
      </c>
      <c r="Q16" t="n">
        <v>12</v>
      </c>
      <c r="R16" t="n">
        <v>12</v>
      </c>
      <c r="S16" t="n">
        <v>8</v>
      </c>
      <c r="T16" t="n">
        <v>12</v>
      </c>
      <c r="U16" t="n">
        <v>12</v>
      </c>
      <c r="V16" t="n">
        <v>12</v>
      </c>
      <c r="W16" t="n">
        <v>12</v>
      </c>
      <c r="X16" t="n">
        <v>12</v>
      </c>
      <c r="Y16" t="n">
        <v>12</v>
      </c>
      <c r="Z16" t="n">
        <v>12</v>
      </c>
      <c r="AA16" t="n">
        <v>12</v>
      </c>
      <c r="AB16" t="n">
        <v>12</v>
      </c>
      <c r="AC16" t="n">
        <v>12</v>
      </c>
      <c r="AD16" t="n">
        <v>12</v>
      </c>
      <c r="AE16" t="n">
        <v>12</v>
      </c>
      <c r="AF16" t="n">
        <v>12</v>
      </c>
      <c r="AG16" t="n">
        <v>18</v>
      </c>
      <c r="AH16" t="n">
        <v>12</v>
      </c>
      <c r="AI16" t="n">
        <v>12</v>
      </c>
      <c r="AJ16" t="n">
        <v>12</v>
      </c>
      <c r="AK16" t="n">
        <v>12</v>
      </c>
      <c r="AL16" t="n">
        <v>12</v>
      </c>
      <c r="AM16" t="n">
        <v>12</v>
      </c>
      <c r="AN16" t="n">
        <v>12</v>
      </c>
      <c r="AO16" t="n">
        <v>12</v>
      </c>
      <c r="AP16" t="n">
        <v>12</v>
      </c>
      <c r="AQ16" t="n">
        <v>12</v>
      </c>
      <c r="AR16" t="n">
        <v>12</v>
      </c>
      <c r="AS16" t="n">
        <v>12</v>
      </c>
      <c r="AT16" t="n">
        <v>12</v>
      </c>
      <c r="AU16" t="inlineStr">
        <is>
          <t>-</t>
        </is>
      </c>
    </row>
    <row r="17" ht="12.5" customHeight="1" s="213">
      <c r="A17" t="inlineStr">
        <is>
          <t>BASE</t>
        </is>
      </c>
      <c r="B17" t="inlineStr">
        <is>
          <t>AF</t>
        </is>
      </c>
      <c r="C17" t="inlineStr">
        <is>
          <t>Trd_car_eth</t>
        </is>
      </c>
      <c r="D17" t="inlineStr">
        <is>
          <t>-</t>
        </is>
      </c>
      <c r="E17" t="inlineStr">
        <is>
          <t>UP</t>
        </is>
      </c>
      <c r="F17" t="inlineStr">
        <is>
          <t>ANNUAL</t>
        </is>
      </c>
      <c r="G17" t="inlineStr">
        <is>
          <t>2019</t>
        </is>
      </c>
      <c r="H17" t="inlineStr">
        <is>
          <t>-</t>
        </is>
      </c>
      <c r="I17" t="inlineStr">
        <is>
          <t>-</t>
        </is>
      </c>
      <c r="J17" t="inlineStr">
        <is>
          <t>-</t>
        </is>
      </c>
      <c r="K17" t="inlineStr">
        <is>
          <t>-</t>
        </is>
      </c>
      <c r="L17" t="n">
        <v>12</v>
      </c>
      <c r="M17" t="n">
        <v>12</v>
      </c>
      <c r="N17" t="n">
        <v>12</v>
      </c>
      <c r="O17" t="n">
        <v>12</v>
      </c>
      <c r="P17" t="n">
        <v>12</v>
      </c>
      <c r="Q17" t="n">
        <v>12</v>
      </c>
      <c r="R17" t="n">
        <v>12</v>
      </c>
      <c r="S17" t="n">
        <v>8</v>
      </c>
      <c r="T17" t="n">
        <v>12</v>
      </c>
      <c r="U17" t="n">
        <v>12</v>
      </c>
      <c r="V17" t="n">
        <v>12</v>
      </c>
      <c r="W17" t="n">
        <v>12</v>
      </c>
      <c r="X17" t="n">
        <v>12</v>
      </c>
      <c r="Y17" t="n">
        <v>12</v>
      </c>
      <c r="Z17" t="n">
        <v>12</v>
      </c>
      <c r="AA17" t="n">
        <v>12</v>
      </c>
      <c r="AB17" t="n">
        <v>12</v>
      </c>
      <c r="AC17" t="n">
        <v>12</v>
      </c>
      <c r="AD17" t="n">
        <v>12</v>
      </c>
      <c r="AE17" t="n">
        <v>12</v>
      </c>
      <c r="AF17" t="n">
        <v>12</v>
      </c>
      <c r="AG17" t="n">
        <v>18</v>
      </c>
      <c r="AH17" t="n">
        <v>12</v>
      </c>
      <c r="AI17" t="n">
        <v>12</v>
      </c>
      <c r="AJ17" t="n">
        <v>12</v>
      </c>
      <c r="AK17" t="n">
        <v>12</v>
      </c>
      <c r="AL17" t="n">
        <v>12</v>
      </c>
      <c r="AM17" t="n">
        <v>12</v>
      </c>
      <c r="AN17" t="n">
        <v>12</v>
      </c>
      <c r="AO17" t="n">
        <v>12</v>
      </c>
      <c r="AP17" t="n">
        <v>12</v>
      </c>
      <c r="AQ17" t="n">
        <v>12</v>
      </c>
      <c r="AR17" t="n">
        <v>12</v>
      </c>
      <c r="AS17" t="n">
        <v>12</v>
      </c>
      <c r="AT17" t="n">
        <v>12</v>
      </c>
      <c r="AU17" t="inlineStr">
        <is>
          <t>-</t>
        </is>
      </c>
    </row>
    <row r="18" ht="12.5" customHeight="1" s="213">
      <c r="A18" t="inlineStr">
        <is>
          <t>BASE</t>
        </is>
      </c>
      <c r="B18" t="inlineStr">
        <is>
          <t>AF</t>
        </is>
      </c>
      <c r="C18" t="inlineStr">
        <is>
          <t>Trd_car_gsl</t>
        </is>
      </c>
      <c r="D18" t="inlineStr">
        <is>
          <t>-</t>
        </is>
      </c>
      <c r="E18" t="inlineStr">
        <is>
          <t>UP</t>
        </is>
      </c>
      <c r="F18" t="inlineStr">
        <is>
          <t>ANNUAL</t>
        </is>
      </c>
      <c r="G18" t="inlineStr">
        <is>
          <t>2019</t>
        </is>
      </c>
      <c r="H18" t="inlineStr">
        <is>
          <t>-</t>
        </is>
      </c>
      <c r="I18" t="inlineStr">
        <is>
          <t>-</t>
        </is>
      </c>
      <c r="J18" t="inlineStr">
        <is>
          <t>-</t>
        </is>
      </c>
      <c r="K18" t="inlineStr">
        <is>
          <t>-</t>
        </is>
      </c>
      <c r="L18" t="n">
        <v>12</v>
      </c>
      <c r="M18" t="n">
        <v>12</v>
      </c>
      <c r="N18" t="n">
        <v>12</v>
      </c>
      <c r="O18" t="n">
        <v>12</v>
      </c>
      <c r="P18" t="n">
        <v>12</v>
      </c>
      <c r="Q18" t="n">
        <v>12</v>
      </c>
      <c r="R18" t="n">
        <v>12</v>
      </c>
      <c r="S18" t="n">
        <v>8</v>
      </c>
      <c r="T18" t="n">
        <v>12</v>
      </c>
      <c r="U18" t="n">
        <v>12</v>
      </c>
      <c r="V18" t="n">
        <v>12</v>
      </c>
      <c r="W18" t="n">
        <v>12</v>
      </c>
      <c r="X18" t="n">
        <v>12</v>
      </c>
      <c r="Y18" t="n">
        <v>12</v>
      </c>
      <c r="Z18" t="n">
        <v>12</v>
      </c>
      <c r="AA18" t="n">
        <v>12</v>
      </c>
      <c r="AB18" t="n">
        <v>12</v>
      </c>
      <c r="AC18" t="n">
        <v>12</v>
      </c>
      <c r="AD18" t="n">
        <v>12</v>
      </c>
      <c r="AE18" t="n">
        <v>12</v>
      </c>
      <c r="AF18" t="n">
        <v>12</v>
      </c>
      <c r="AG18" t="n">
        <v>18</v>
      </c>
      <c r="AH18" t="n">
        <v>12</v>
      </c>
      <c r="AI18" t="n">
        <v>12</v>
      </c>
      <c r="AJ18" t="n">
        <v>12</v>
      </c>
      <c r="AK18" t="n">
        <v>12</v>
      </c>
      <c r="AL18" t="n">
        <v>12</v>
      </c>
      <c r="AM18" t="n">
        <v>12</v>
      </c>
      <c r="AN18" t="n">
        <v>12</v>
      </c>
      <c r="AO18" t="n">
        <v>12</v>
      </c>
      <c r="AP18" t="n">
        <v>12</v>
      </c>
      <c r="AQ18" t="n">
        <v>12</v>
      </c>
      <c r="AR18" t="n">
        <v>12</v>
      </c>
      <c r="AS18" t="n">
        <v>12</v>
      </c>
      <c r="AT18" t="n">
        <v>12</v>
      </c>
      <c r="AU18" t="inlineStr">
        <is>
          <t>-</t>
        </is>
      </c>
    </row>
    <row r="19" ht="12.5" customHeight="1" s="213">
      <c r="A19" t="inlineStr">
        <is>
          <t>BASE</t>
        </is>
      </c>
      <c r="B19" t="inlineStr">
        <is>
          <t>AF</t>
        </is>
      </c>
      <c r="C19" t="inlineStr">
        <is>
          <t>Trd_car_lpg</t>
        </is>
      </c>
      <c r="D19" t="inlineStr">
        <is>
          <t>-</t>
        </is>
      </c>
      <c r="E19" t="inlineStr">
        <is>
          <t>UP</t>
        </is>
      </c>
      <c r="F19" t="inlineStr">
        <is>
          <t>ANNUAL</t>
        </is>
      </c>
      <c r="G19" t="inlineStr">
        <is>
          <t>2019</t>
        </is>
      </c>
      <c r="H19" t="inlineStr">
        <is>
          <t>-</t>
        </is>
      </c>
      <c r="I19" t="inlineStr">
        <is>
          <t>-</t>
        </is>
      </c>
      <c r="J19" t="inlineStr">
        <is>
          <t>-</t>
        </is>
      </c>
      <c r="K19" t="inlineStr">
        <is>
          <t>-</t>
        </is>
      </c>
      <c r="L19" t="n">
        <v>12</v>
      </c>
      <c r="M19" t="n">
        <v>12</v>
      </c>
      <c r="N19" t="n">
        <v>12</v>
      </c>
      <c r="O19" t="n">
        <v>12</v>
      </c>
      <c r="P19" t="n">
        <v>12</v>
      </c>
      <c r="Q19" t="n">
        <v>12</v>
      </c>
      <c r="R19" t="n">
        <v>12</v>
      </c>
      <c r="S19" t="n">
        <v>8</v>
      </c>
      <c r="T19" t="n">
        <v>12</v>
      </c>
      <c r="U19" t="n">
        <v>12</v>
      </c>
      <c r="V19" t="n">
        <v>12</v>
      </c>
      <c r="W19" t="n">
        <v>12</v>
      </c>
      <c r="X19" t="n">
        <v>12</v>
      </c>
      <c r="Y19" t="n">
        <v>12</v>
      </c>
      <c r="Z19" t="n">
        <v>12</v>
      </c>
      <c r="AA19" t="n">
        <v>12</v>
      </c>
      <c r="AB19" t="n">
        <v>12</v>
      </c>
      <c r="AC19" t="n">
        <v>12</v>
      </c>
      <c r="AD19" t="n">
        <v>12</v>
      </c>
      <c r="AE19" t="n">
        <v>12</v>
      </c>
      <c r="AF19" t="n">
        <v>12</v>
      </c>
      <c r="AG19" t="n">
        <v>18</v>
      </c>
      <c r="AH19" t="n">
        <v>12</v>
      </c>
      <c r="AI19" t="n">
        <v>12</v>
      </c>
      <c r="AJ19" t="n">
        <v>12</v>
      </c>
      <c r="AK19" t="n">
        <v>12</v>
      </c>
      <c r="AL19" t="n">
        <v>12</v>
      </c>
      <c r="AM19" t="n">
        <v>12</v>
      </c>
      <c r="AN19" t="n">
        <v>12</v>
      </c>
      <c r="AO19" t="n">
        <v>12</v>
      </c>
      <c r="AP19" t="n">
        <v>12</v>
      </c>
      <c r="AQ19" t="n">
        <v>12</v>
      </c>
      <c r="AR19" t="n">
        <v>12</v>
      </c>
      <c r="AS19" t="n">
        <v>12</v>
      </c>
      <c r="AT19" t="n">
        <v>12</v>
      </c>
      <c r="AU19" t="inlineStr">
        <is>
          <t>-</t>
        </is>
      </c>
    </row>
    <row r="20" ht="12.5" customHeight="1" s="213">
      <c r="A20" t="inlineStr">
        <is>
          <t>BASE</t>
        </is>
      </c>
      <c r="B20" t="inlineStr">
        <is>
          <t>AF</t>
        </is>
      </c>
      <c r="C20" t="inlineStr">
        <is>
          <t>Trd_car_nga</t>
        </is>
      </c>
      <c r="D20" t="inlineStr">
        <is>
          <t>-</t>
        </is>
      </c>
      <c r="E20" t="inlineStr">
        <is>
          <t>UP</t>
        </is>
      </c>
      <c r="F20" t="inlineStr">
        <is>
          <t>ANNUAL</t>
        </is>
      </c>
      <c r="G20" t="inlineStr">
        <is>
          <t>2019</t>
        </is>
      </c>
      <c r="H20" t="inlineStr">
        <is>
          <t>-</t>
        </is>
      </c>
      <c r="I20" t="inlineStr">
        <is>
          <t>-</t>
        </is>
      </c>
      <c r="J20" t="inlineStr">
        <is>
          <t>-</t>
        </is>
      </c>
      <c r="K20" t="inlineStr">
        <is>
          <t>-</t>
        </is>
      </c>
      <c r="L20" t="n">
        <v>12</v>
      </c>
      <c r="M20" t="n">
        <v>12</v>
      </c>
      <c r="N20" t="n">
        <v>12</v>
      </c>
      <c r="O20" t="n">
        <v>12</v>
      </c>
      <c r="P20" t="n">
        <v>12</v>
      </c>
      <c r="Q20" t="n">
        <v>12</v>
      </c>
      <c r="R20" t="n">
        <v>12</v>
      </c>
      <c r="S20" t="n">
        <v>8</v>
      </c>
      <c r="T20" t="n">
        <v>12</v>
      </c>
      <c r="U20" t="n">
        <v>12</v>
      </c>
      <c r="V20" t="n">
        <v>12</v>
      </c>
      <c r="W20" t="n">
        <v>12</v>
      </c>
      <c r="X20" t="n">
        <v>12</v>
      </c>
      <c r="Y20" t="n">
        <v>12</v>
      </c>
      <c r="Z20" t="n">
        <v>12</v>
      </c>
      <c r="AA20" t="n">
        <v>12</v>
      </c>
      <c r="AB20" t="n">
        <v>12</v>
      </c>
      <c r="AC20" t="n">
        <v>12</v>
      </c>
      <c r="AD20" t="n">
        <v>12</v>
      </c>
      <c r="AE20" t="n">
        <v>12</v>
      </c>
      <c r="AF20" t="n">
        <v>12</v>
      </c>
      <c r="AG20" t="n">
        <v>18</v>
      </c>
      <c r="AH20" t="n">
        <v>12</v>
      </c>
      <c r="AI20" t="n">
        <v>12</v>
      </c>
      <c r="AJ20" t="n">
        <v>12</v>
      </c>
      <c r="AK20" t="n">
        <v>12</v>
      </c>
      <c r="AL20" t="n">
        <v>12</v>
      </c>
      <c r="AM20" t="n">
        <v>12</v>
      </c>
      <c r="AN20" t="n">
        <v>12</v>
      </c>
      <c r="AO20" t="n">
        <v>12</v>
      </c>
      <c r="AP20" t="n">
        <v>12</v>
      </c>
      <c r="AQ20" t="n">
        <v>12</v>
      </c>
      <c r="AR20" t="n">
        <v>12</v>
      </c>
      <c r="AS20" t="n">
        <v>12</v>
      </c>
      <c r="AT20" t="n">
        <v>12</v>
      </c>
      <c r="AU20" t="inlineStr">
        <is>
          <t>-</t>
        </is>
      </c>
    </row>
    <row r="21" ht="12.5" customHeight="1" s="213">
      <c r="A21" t="inlineStr">
        <is>
          <t>BASE</t>
        </is>
      </c>
      <c r="B21" t="inlineStr">
        <is>
          <t>AF</t>
        </is>
      </c>
      <c r="C21" t="inlineStr">
        <is>
          <t>Trd_hdt_bdl</t>
        </is>
      </c>
      <c r="D21" t="inlineStr">
        <is>
          <t>-</t>
        </is>
      </c>
      <c r="E21" t="inlineStr">
        <is>
          <t>UP</t>
        </is>
      </c>
      <c r="F21" t="inlineStr">
        <is>
          <t>ANNUAL</t>
        </is>
      </c>
      <c r="G21" t="inlineStr">
        <is>
          <t>2019</t>
        </is>
      </c>
      <c r="H21" t="inlineStr">
        <is>
          <t>-</t>
        </is>
      </c>
      <c r="I21" t="inlineStr">
        <is>
          <t>-</t>
        </is>
      </c>
      <c r="J21" t="inlineStr">
        <is>
          <t>-</t>
        </is>
      </c>
      <c r="K21" t="inlineStr">
        <is>
          <t>-</t>
        </is>
      </c>
      <c r="L21" t="n">
        <v>100</v>
      </c>
      <c r="M21" t="n">
        <v>100</v>
      </c>
      <c r="N21" t="n">
        <v>100</v>
      </c>
      <c r="O21" t="n">
        <v>100</v>
      </c>
      <c r="P21" t="n">
        <v>100</v>
      </c>
      <c r="Q21" t="n">
        <v>100</v>
      </c>
      <c r="R21" t="n">
        <v>100</v>
      </c>
      <c r="S21" t="n">
        <v>100</v>
      </c>
      <c r="T21" t="n">
        <v>100</v>
      </c>
      <c r="U21" t="n">
        <v>100</v>
      </c>
      <c r="V21" t="n">
        <v>100</v>
      </c>
      <c r="W21" t="n">
        <v>100</v>
      </c>
      <c r="X21" t="n">
        <v>100</v>
      </c>
      <c r="Y21" t="n">
        <v>100</v>
      </c>
      <c r="Z21" t="n">
        <v>100</v>
      </c>
      <c r="AA21" t="n">
        <v>100</v>
      </c>
      <c r="AB21" t="n">
        <v>100</v>
      </c>
      <c r="AC21" t="n">
        <v>100</v>
      </c>
      <c r="AD21" t="n">
        <v>100</v>
      </c>
      <c r="AE21" t="n">
        <v>100</v>
      </c>
      <c r="AF21" t="n">
        <v>100</v>
      </c>
      <c r="AG21" t="n">
        <v>100</v>
      </c>
      <c r="AH21" t="n">
        <v>100</v>
      </c>
      <c r="AI21" t="n">
        <v>100</v>
      </c>
      <c r="AJ21" t="n">
        <v>100</v>
      </c>
      <c r="AK21" t="n">
        <v>100</v>
      </c>
      <c r="AL21" t="n">
        <v>100</v>
      </c>
      <c r="AM21" t="n">
        <v>100</v>
      </c>
      <c r="AN21" t="n">
        <v>35</v>
      </c>
      <c r="AO21" t="n">
        <v>100</v>
      </c>
      <c r="AP21" t="n">
        <v>100</v>
      </c>
      <c r="AQ21" t="n">
        <v>100</v>
      </c>
      <c r="AR21" t="n">
        <v>100</v>
      </c>
      <c r="AS21" t="n">
        <v>100</v>
      </c>
      <c r="AT21" t="n">
        <v>35</v>
      </c>
      <c r="AU21" t="inlineStr">
        <is>
          <t>-</t>
        </is>
      </c>
    </row>
    <row r="22" ht="12.5" customHeight="1" s="213">
      <c r="A22" t="inlineStr">
        <is>
          <t>BASE</t>
        </is>
      </c>
      <c r="B22" t="inlineStr">
        <is>
          <t>AF</t>
        </is>
      </c>
      <c r="C22" t="inlineStr">
        <is>
          <t>Trd_hdt_dsl</t>
        </is>
      </c>
      <c r="D22" t="inlineStr">
        <is>
          <t>-</t>
        </is>
      </c>
      <c r="E22" t="inlineStr">
        <is>
          <t>UP</t>
        </is>
      </c>
      <c r="F22" t="inlineStr">
        <is>
          <t>ANNUAL</t>
        </is>
      </c>
      <c r="G22" t="inlineStr">
        <is>
          <t>2019</t>
        </is>
      </c>
      <c r="H22" t="inlineStr">
        <is>
          <t>-</t>
        </is>
      </c>
      <c r="I22" t="inlineStr">
        <is>
          <t>-</t>
        </is>
      </c>
      <c r="J22" t="inlineStr">
        <is>
          <t>-</t>
        </is>
      </c>
      <c r="K22" t="inlineStr">
        <is>
          <t>-</t>
        </is>
      </c>
      <c r="L22" t="n">
        <v>100</v>
      </c>
      <c r="M22" t="n">
        <v>100</v>
      </c>
      <c r="N22" t="n">
        <v>100</v>
      </c>
      <c r="O22" t="n">
        <v>100</v>
      </c>
      <c r="P22" t="n">
        <v>100</v>
      </c>
      <c r="Q22" t="n">
        <v>100</v>
      </c>
      <c r="R22" t="n">
        <v>100</v>
      </c>
      <c r="S22" t="n">
        <v>100</v>
      </c>
      <c r="T22" t="n">
        <v>100</v>
      </c>
      <c r="U22" t="n">
        <v>100</v>
      </c>
      <c r="V22" t="n">
        <v>100</v>
      </c>
      <c r="W22" t="n">
        <v>100</v>
      </c>
      <c r="X22" t="n">
        <v>100</v>
      </c>
      <c r="Y22" t="n">
        <v>100</v>
      </c>
      <c r="Z22" t="n">
        <v>100</v>
      </c>
      <c r="AA22" t="n">
        <v>100</v>
      </c>
      <c r="AB22" t="n">
        <v>100</v>
      </c>
      <c r="AC22" t="n">
        <v>100</v>
      </c>
      <c r="AD22" t="n">
        <v>100</v>
      </c>
      <c r="AE22" t="n">
        <v>100</v>
      </c>
      <c r="AF22" t="n">
        <v>100</v>
      </c>
      <c r="AG22" t="n">
        <v>100</v>
      </c>
      <c r="AH22" t="n">
        <v>100</v>
      </c>
      <c r="AI22" t="n">
        <v>100</v>
      </c>
      <c r="AJ22" t="n">
        <v>100</v>
      </c>
      <c r="AK22" t="n">
        <v>100</v>
      </c>
      <c r="AL22" t="n">
        <v>100</v>
      </c>
      <c r="AM22" t="n">
        <v>100</v>
      </c>
      <c r="AN22" t="n">
        <v>35</v>
      </c>
      <c r="AO22" t="n">
        <v>100</v>
      </c>
      <c r="AP22" t="n">
        <v>100</v>
      </c>
      <c r="AQ22" t="n">
        <v>100</v>
      </c>
      <c r="AR22" t="n">
        <v>100</v>
      </c>
      <c r="AS22" t="n">
        <v>100</v>
      </c>
      <c r="AT22" t="n">
        <v>35</v>
      </c>
      <c r="AU22" t="inlineStr">
        <is>
          <t>-</t>
        </is>
      </c>
    </row>
    <row r="23" ht="12.5" customHeight="1" s="213">
      <c r="A23" t="inlineStr">
        <is>
          <t>BASE</t>
        </is>
      </c>
      <c r="B23" t="inlineStr">
        <is>
          <t>AF</t>
        </is>
      </c>
      <c r="C23" t="inlineStr">
        <is>
          <t>Trd_hdt_gsl</t>
        </is>
      </c>
      <c r="D23" t="inlineStr">
        <is>
          <t>-</t>
        </is>
      </c>
      <c r="E23" t="inlineStr">
        <is>
          <t>UP</t>
        </is>
      </c>
      <c r="F23" t="inlineStr">
        <is>
          <t>ANNUAL</t>
        </is>
      </c>
      <c r="G23" t="inlineStr">
        <is>
          <t>2019</t>
        </is>
      </c>
      <c r="H23" t="inlineStr">
        <is>
          <t>-</t>
        </is>
      </c>
      <c r="I23" t="inlineStr">
        <is>
          <t>-</t>
        </is>
      </c>
      <c r="J23" t="inlineStr">
        <is>
          <t>-</t>
        </is>
      </c>
      <c r="K23" t="inlineStr">
        <is>
          <t>-</t>
        </is>
      </c>
      <c r="L23" t="n">
        <v>100</v>
      </c>
      <c r="M23" t="n">
        <v>100</v>
      </c>
      <c r="N23" t="n">
        <v>100</v>
      </c>
      <c r="O23" t="n">
        <v>100</v>
      </c>
      <c r="P23" t="n">
        <v>100</v>
      </c>
      <c r="Q23" t="n">
        <v>100</v>
      </c>
      <c r="R23" t="n">
        <v>100</v>
      </c>
      <c r="S23" t="n">
        <v>100</v>
      </c>
      <c r="T23" t="n">
        <v>100</v>
      </c>
      <c r="U23" t="n">
        <v>100</v>
      </c>
      <c r="V23" t="n">
        <v>100</v>
      </c>
      <c r="W23" t="n">
        <v>100</v>
      </c>
      <c r="X23" t="n">
        <v>100</v>
      </c>
      <c r="Y23" t="n">
        <v>100</v>
      </c>
      <c r="Z23" t="n">
        <v>100</v>
      </c>
      <c r="AA23" t="n">
        <v>100</v>
      </c>
      <c r="AB23" t="n">
        <v>100</v>
      </c>
      <c r="AC23" t="n">
        <v>100</v>
      </c>
      <c r="AD23" t="n">
        <v>100</v>
      </c>
      <c r="AE23" t="n">
        <v>100</v>
      </c>
      <c r="AF23" t="n">
        <v>100</v>
      </c>
      <c r="AG23" t="n">
        <v>100</v>
      </c>
      <c r="AH23" t="n">
        <v>100</v>
      </c>
      <c r="AI23" t="n">
        <v>100</v>
      </c>
      <c r="AJ23" t="n">
        <v>100</v>
      </c>
      <c r="AK23" t="n">
        <v>100</v>
      </c>
      <c r="AL23" t="n">
        <v>100</v>
      </c>
      <c r="AM23" t="n">
        <v>100</v>
      </c>
      <c r="AN23" t="n">
        <v>35</v>
      </c>
      <c r="AO23" t="n">
        <v>100</v>
      </c>
      <c r="AP23" t="n">
        <v>100</v>
      </c>
      <c r="AQ23" t="n">
        <v>100</v>
      </c>
      <c r="AR23" t="n">
        <v>100</v>
      </c>
      <c r="AS23" t="n">
        <v>100</v>
      </c>
      <c r="AT23" t="n">
        <v>35</v>
      </c>
      <c r="AU23" t="inlineStr">
        <is>
          <t>-</t>
        </is>
      </c>
    </row>
    <row r="24" ht="12.5" customHeight="1" s="213">
      <c r="A24" t="inlineStr">
        <is>
          <t>BASE</t>
        </is>
      </c>
      <c r="B24" t="inlineStr">
        <is>
          <t>AF</t>
        </is>
      </c>
      <c r="C24" t="inlineStr">
        <is>
          <t>Trd_lcv_bdl</t>
        </is>
      </c>
      <c r="D24" t="inlineStr">
        <is>
          <t>-</t>
        </is>
      </c>
      <c r="E24" t="inlineStr">
        <is>
          <t>UP</t>
        </is>
      </c>
      <c r="F24" t="inlineStr">
        <is>
          <t>ANNUAL</t>
        </is>
      </c>
      <c r="G24" t="inlineStr">
        <is>
          <t>2019</t>
        </is>
      </c>
      <c r="H24" t="inlineStr">
        <is>
          <t>-</t>
        </is>
      </c>
      <c r="I24" t="inlineStr">
        <is>
          <t>-</t>
        </is>
      </c>
      <c r="J24" t="inlineStr">
        <is>
          <t>-</t>
        </is>
      </c>
      <c r="K24" t="inlineStr">
        <is>
          <t>-</t>
        </is>
      </c>
      <c r="L24" t="n">
        <v>40</v>
      </c>
      <c r="M24" t="n">
        <v>40</v>
      </c>
      <c r="N24" t="n">
        <v>40</v>
      </c>
      <c r="O24" t="n">
        <v>40</v>
      </c>
      <c r="P24" t="n">
        <v>40</v>
      </c>
      <c r="Q24" t="n">
        <v>40</v>
      </c>
      <c r="R24" t="n">
        <v>40</v>
      </c>
      <c r="S24" t="n">
        <v>40</v>
      </c>
      <c r="T24" t="n">
        <v>40</v>
      </c>
      <c r="U24" t="n">
        <v>40</v>
      </c>
      <c r="V24" t="n">
        <v>40</v>
      </c>
      <c r="W24" t="n">
        <v>40</v>
      </c>
      <c r="X24" t="n">
        <v>40</v>
      </c>
      <c r="Y24" t="n">
        <v>40</v>
      </c>
      <c r="Z24" t="n">
        <v>40</v>
      </c>
      <c r="AA24" t="n">
        <v>40</v>
      </c>
      <c r="AB24" t="n">
        <v>40</v>
      </c>
      <c r="AC24" t="n">
        <v>40</v>
      </c>
      <c r="AD24" t="n">
        <v>40</v>
      </c>
      <c r="AE24" t="n">
        <v>40</v>
      </c>
      <c r="AF24" t="n">
        <v>40</v>
      </c>
      <c r="AG24" t="n">
        <v>40</v>
      </c>
      <c r="AH24" t="n">
        <v>40</v>
      </c>
      <c r="AI24" t="n">
        <v>40</v>
      </c>
      <c r="AJ24" t="n">
        <v>40</v>
      </c>
      <c r="AK24" t="n">
        <v>40</v>
      </c>
      <c r="AL24" t="n">
        <v>40</v>
      </c>
      <c r="AM24" t="n">
        <v>40</v>
      </c>
      <c r="AN24" t="n">
        <v>25</v>
      </c>
      <c r="AO24" t="n">
        <v>40</v>
      </c>
      <c r="AP24" t="n">
        <v>40</v>
      </c>
      <c r="AQ24" t="n">
        <v>40</v>
      </c>
      <c r="AR24" t="n">
        <v>40</v>
      </c>
      <c r="AS24" t="n">
        <v>40</v>
      </c>
      <c r="AT24" t="n">
        <v>15</v>
      </c>
      <c r="AU24" t="inlineStr">
        <is>
          <t>-</t>
        </is>
      </c>
    </row>
    <row r="25" ht="12.5" customHeight="1" s="213">
      <c r="A25" t="inlineStr">
        <is>
          <t>BASE</t>
        </is>
      </c>
      <c r="B25" t="inlineStr">
        <is>
          <t>AF</t>
        </is>
      </c>
      <c r="C25" t="inlineStr">
        <is>
          <t>Trd_lcv_dsl</t>
        </is>
      </c>
      <c r="D25" t="inlineStr">
        <is>
          <t>-</t>
        </is>
      </c>
      <c r="E25" t="inlineStr">
        <is>
          <t>UP</t>
        </is>
      </c>
      <c r="F25" t="inlineStr">
        <is>
          <t>ANNUAL</t>
        </is>
      </c>
      <c r="G25" t="inlineStr">
        <is>
          <t>2019</t>
        </is>
      </c>
      <c r="H25" t="inlineStr">
        <is>
          <t>-</t>
        </is>
      </c>
      <c r="I25" t="inlineStr">
        <is>
          <t>-</t>
        </is>
      </c>
      <c r="J25" t="inlineStr">
        <is>
          <t>-</t>
        </is>
      </c>
      <c r="K25" t="inlineStr">
        <is>
          <t>-</t>
        </is>
      </c>
      <c r="L25" t="n">
        <v>40</v>
      </c>
      <c r="M25" t="n">
        <v>40</v>
      </c>
      <c r="N25" t="n">
        <v>40</v>
      </c>
      <c r="O25" t="n">
        <v>40</v>
      </c>
      <c r="P25" t="n">
        <v>40</v>
      </c>
      <c r="Q25" t="n">
        <v>40</v>
      </c>
      <c r="R25" t="n">
        <v>40</v>
      </c>
      <c r="S25" t="n">
        <v>40</v>
      </c>
      <c r="T25" t="n">
        <v>40</v>
      </c>
      <c r="U25" t="n">
        <v>40</v>
      </c>
      <c r="V25" t="n">
        <v>40</v>
      </c>
      <c r="W25" t="n">
        <v>40</v>
      </c>
      <c r="X25" t="n">
        <v>40</v>
      </c>
      <c r="Y25" t="n">
        <v>40</v>
      </c>
      <c r="Z25" t="n">
        <v>40</v>
      </c>
      <c r="AA25" t="n">
        <v>40</v>
      </c>
      <c r="AB25" t="n">
        <v>40</v>
      </c>
      <c r="AC25" t="n">
        <v>40</v>
      </c>
      <c r="AD25" t="n">
        <v>40</v>
      </c>
      <c r="AE25" t="n">
        <v>40</v>
      </c>
      <c r="AF25" t="n">
        <v>40</v>
      </c>
      <c r="AG25" t="n">
        <v>40</v>
      </c>
      <c r="AH25" t="n">
        <v>40</v>
      </c>
      <c r="AI25" t="n">
        <v>40</v>
      </c>
      <c r="AJ25" t="n">
        <v>40</v>
      </c>
      <c r="AK25" t="n">
        <v>40</v>
      </c>
      <c r="AL25" t="n">
        <v>40</v>
      </c>
      <c r="AM25" t="n">
        <v>40</v>
      </c>
      <c r="AN25" t="n">
        <v>25</v>
      </c>
      <c r="AO25" t="n">
        <v>40</v>
      </c>
      <c r="AP25" t="n">
        <v>40</v>
      </c>
      <c r="AQ25" t="n">
        <v>40</v>
      </c>
      <c r="AR25" t="n">
        <v>40</v>
      </c>
      <c r="AS25" t="n">
        <v>40</v>
      </c>
      <c r="AT25" t="n">
        <v>15</v>
      </c>
      <c r="AU25" t="inlineStr">
        <is>
          <t>-</t>
        </is>
      </c>
    </row>
    <row r="26" ht="12.5" customHeight="1" s="213">
      <c r="A26" t="inlineStr">
        <is>
          <t>BASE</t>
        </is>
      </c>
      <c r="B26" t="inlineStr">
        <is>
          <t>AF</t>
        </is>
      </c>
      <c r="C26" t="inlineStr">
        <is>
          <t>Trd_lcv_elc</t>
        </is>
      </c>
      <c r="D26" t="inlineStr">
        <is>
          <t>-</t>
        </is>
      </c>
      <c r="E26" t="inlineStr">
        <is>
          <t>UP</t>
        </is>
      </c>
      <c r="F26" t="inlineStr">
        <is>
          <t>ANNUAL</t>
        </is>
      </c>
      <c r="G26" t="inlineStr">
        <is>
          <t>2019</t>
        </is>
      </c>
      <c r="H26" t="inlineStr">
        <is>
          <t>-</t>
        </is>
      </c>
      <c r="I26" t="inlineStr">
        <is>
          <t>-</t>
        </is>
      </c>
      <c r="J26" t="inlineStr">
        <is>
          <t>-</t>
        </is>
      </c>
      <c r="K26" t="inlineStr">
        <is>
          <t>-</t>
        </is>
      </c>
      <c r="L26" t="n">
        <v>40</v>
      </c>
      <c r="M26" t="n">
        <v>40</v>
      </c>
      <c r="N26" t="n">
        <v>40</v>
      </c>
      <c r="O26" t="n">
        <v>40</v>
      </c>
      <c r="P26" t="n">
        <v>40</v>
      </c>
      <c r="Q26" t="n">
        <v>40</v>
      </c>
      <c r="R26" t="n">
        <v>40</v>
      </c>
      <c r="S26" t="n">
        <v>40</v>
      </c>
      <c r="T26" t="n">
        <v>40</v>
      </c>
      <c r="U26" t="n">
        <v>40</v>
      </c>
      <c r="V26" t="n">
        <v>40</v>
      </c>
      <c r="W26" t="n">
        <v>40</v>
      </c>
      <c r="X26" t="n">
        <v>40</v>
      </c>
      <c r="Y26" t="n">
        <v>40</v>
      </c>
      <c r="Z26" t="n">
        <v>40</v>
      </c>
      <c r="AA26" t="n">
        <v>40</v>
      </c>
      <c r="AB26" t="n">
        <v>40</v>
      </c>
      <c r="AC26" t="n">
        <v>40</v>
      </c>
      <c r="AD26" t="n">
        <v>40</v>
      </c>
      <c r="AE26" t="n">
        <v>40</v>
      </c>
      <c r="AF26" t="n">
        <v>40</v>
      </c>
      <c r="AG26" t="n">
        <v>40</v>
      </c>
      <c r="AH26" t="n">
        <v>40</v>
      </c>
      <c r="AI26" t="n">
        <v>40</v>
      </c>
      <c r="AJ26" t="n">
        <v>40</v>
      </c>
      <c r="AK26" t="n">
        <v>40</v>
      </c>
      <c r="AL26" t="n">
        <v>40</v>
      </c>
      <c r="AM26" t="n">
        <v>40</v>
      </c>
      <c r="AN26" t="n">
        <v>25</v>
      </c>
      <c r="AO26" t="n">
        <v>40</v>
      </c>
      <c r="AP26" t="n">
        <v>40</v>
      </c>
      <c r="AQ26" t="n">
        <v>40</v>
      </c>
      <c r="AR26" t="n">
        <v>40</v>
      </c>
      <c r="AS26" t="n">
        <v>40</v>
      </c>
      <c r="AT26" t="n">
        <v>15</v>
      </c>
      <c r="AU26" t="inlineStr">
        <is>
          <t>-</t>
        </is>
      </c>
    </row>
    <row r="27" ht="12.5" customHeight="1" s="213">
      <c r="A27" t="inlineStr">
        <is>
          <t>BASE</t>
        </is>
      </c>
      <c r="B27" t="inlineStr">
        <is>
          <t>AF</t>
        </is>
      </c>
      <c r="C27" t="inlineStr">
        <is>
          <t>Trd_lcv_gsl</t>
        </is>
      </c>
      <c r="D27" t="inlineStr">
        <is>
          <t>-</t>
        </is>
      </c>
      <c r="E27" t="inlineStr">
        <is>
          <t>UP</t>
        </is>
      </c>
      <c r="F27" t="inlineStr">
        <is>
          <t>ANNUAL</t>
        </is>
      </c>
      <c r="G27" t="inlineStr">
        <is>
          <t>2019</t>
        </is>
      </c>
      <c r="H27" t="inlineStr">
        <is>
          <t>-</t>
        </is>
      </c>
      <c r="I27" t="inlineStr">
        <is>
          <t>-</t>
        </is>
      </c>
      <c r="J27" t="inlineStr">
        <is>
          <t>-</t>
        </is>
      </c>
      <c r="K27" t="inlineStr">
        <is>
          <t>-</t>
        </is>
      </c>
      <c r="L27" t="n">
        <v>40</v>
      </c>
      <c r="M27" t="n">
        <v>40</v>
      </c>
      <c r="N27" t="n">
        <v>40</v>
      </c>
      <c r="O27" t="n">
        <v>40</v>
      </c>
      <c r="P27" t="n">
        <v>40</v>
      </c>
      <c r="Q27" t="n">
        <v>40</v>
      </c>
      <c r="R27" t="n">
        <v>40</v>
      </c>
      <c r="S27" t="n">
        <v>40</v>
      </c>
      <c r="T27" t="n">
        <v>40</v>
      </c>
      <c r="U27" t="n">
        <v>40</v>
      </c>
      <c r="V27" t="n">
        <v>40</v>
      </c>
      <c r="W27" t="n">
        <v>40</v>
      </c>
      <c r="X27" t="n">
        <v>40</v>
      </c>
      <c r="Y27" t="n">
        <v>40</v>
      </c>
      <c r="Z27" t="n">
        <v>40</v>
      </c>
      <c r="AA27" t="n">
        <v>40</v>
      </c>
      <c r="AB27" t="n">
        <v>40</v>
      </c>
      <c r="AC27" t="n">
        <v>40</v>
      </c>
      <c r="AD27" t="n">
        <v>40</v>
      </c>
      <c r="AE27" t="n">
        <v>40</v>
      </c>
      <c r="AF27" t="n">
        <v>40</v>
      </c>
      <c r="AG27" t="n">
        <v>40</v>
      </c>
      <c r="AH27" t="n">
        <v>40</v>
      </c>
      <c r="AI27" t="n">
        <v>40</v>
      </c>
      <c r="AJ27" t="n">
        <v>40</v>
      </c>
      <c r="AK27" t="n">
        <v>40</v>
      </c>
      <c r="AL27" t="n">
        <v>40</v>
      </c>
      <c r="AM27" t="n">
        <v>40</v>
      </c>
      <c r="AN27" t="n">
        <v>25</v>
      </c>
      <c r="AO27" t="n">
        <v>40</v>
      </c>
      <c r="AP27" t="n">
        <v>40</v>
      </c>
      <c r="AQ27" t="n">
        <v>40</v>
      </c>
      <c r="AR27" t="n">
        <v>40</v>
      </c>
      <c r="AS27" t="n">
        <v>40</v>
      </c>
      <c r="AT27" t="n">
        <v>15</v>
      </c>
      <c r="AU27" t="inlineStr">
        <is>
          <t>-</t>
        </is>
      </c>
    </row>
    <row r="28" ht="12.5" customHeight="1" s="213">
      <c r="A28" t="inlineStr">
        <is>
          <t>BASE</t>
        </is>
      </c>
      <c r="B28" t="inlineStr">
        <is>
          <t>AF</t>
        </is>
      </c>
      <c r="C28" t="inlineStr">
        <is>
          <t>Trd_lcv_lpg</t>
        </is>
      </c>
      <c r="D28" t="inlineStr">
        <is>
          <t>-</t>
        </is>
      </c>
      <c r="E28" t="inlineStr">
        <is>
          <t>UP</t>
        </is>
      </c>
      <c r="F28" t="inlineStr">
        <is>
          <t>ANNUAL</t>
        </is>
      </c>
      <c r="G28" t="inlineStr">
        <is>
          <t>2019</t>
        </is>
      </c>
      <c r="H28" t="inlineStr">
        <is>
          <t>-</t>
        </is>
      </c>
      <c r="I28" t="inlineStr">
        <is>
          <t>-</t>
        </is>
      </c>
      <c r="J28" t="inlineStr">
        <is>
          <t>-</t>
        </is>
      </c>
      <c r="K28" t="inlineStr">
        <is>
          <t>-</t>
        </is>
      </c>
      <c r="L28" t="n">
        <v>40</v>
      </c>
      <c r="M28" t="n">
        <v>40</v>
      </c>
      <c r="N28" t="n">
        <v>40</v>
      </c>
      <c r="O28" t="n">
        <v>40</v>
      </c>
      <c r="P28" t="n">
        <v>40</v>
      </c>
      <c r="Q28" t="n">
        <v>40</v>
      </c>
      <c r="R28" t="n">
        <v>40</v>
      </c>
      <c r="S28" t="n">
        <v>40</v>
      </c>
      <c r="T28" t="n">
        <v>40</v>
      </c>
      <c r="U28" t="n">
        <v>40</v>
      </c>
      <c r="V28" t="n">
        <v>40</v>
      </c>
      <c r="W28" t="n">
        <v>40</v>
      </c>
      <c r="X28" t="n">
        <v>40</v>
      </c>
      <c r="Y28" t="n">
        <v>40</v>
      </c>
      <c r="Z28" t="n">
        <v>40</v>
      </c>
      <c r="AA28" t="n">
        <v>40</v>
      </c>
      <c r="AB28" t="n">
        <v>40</v>
      </c>
      <c r="AC28" t="n">
        <v>40</v>
      </c>
      <c r="AD28" t="n">
        <v>40</v>
      </c>
      <c r="AE28" t="n">
        <v>40</v>
      </c>
      <c r="AF28" t="n">
        <v>40</v>
      </c>
      <c r="AG28" t="n">
        <v>40</v>
      </c>
      <c r="AH28" t="n">
        <v>40</v>
      </c>
      <c r="AI28" t="n">
        <v>40</v>
      </c>
      <c r="AJ28" t="n">
        <v>40</v>
      </c>
      <c r="AK28" t="n">
        <v>40</v>
      </c>
      <c r="AL28" t="n">
        <v>40</v>
      </c>
      <c r="AM28" t="n">
        <v>40</v>
      </c>
      <c r="AN28" t="n">
        <v>25</v>
      </c>
      <c r="AO28" t="n">
        <v>40</v>
      </c>
      <c r="AP28" t="n">
        <v>40</v>
      </c>
      <c r="AQ28" t="n">
        <v>40</v>
      </c>
      <c r="AR28" t="n">
        <v>40</v>
      </c>
      <c r="AS28" t="n">
        <v>40</v>
      </c>
      <c r="AT28" t="n">
        <v>15</v>
      </c>
      <c r="AU28" t="inlineStr">
        <is>
          <t>-</t>
        </is>
      </c>
    </row>
    <row r="29" ht="12.5" customHeight="1" s="213">
      <c r="A29" t="inlineStr">
        <is>
          <t>BASE</t>
        </is>
      </c>
      <c r="B29" t="inlineStr">
        <is>
          <t>AF</t>
        </is>
      </c>
      <c r="C29" t="inlineStr">
        <is>
          <t>Trd_lcv_nga</t>
        </is>
      </c>
      <c r="D29" t="inlineStr">
        <is>
          <t>-</t>
        </is>
      </c>
      <c r="E29" t="inlineStr">
        <is>
          <t>UP</t>
        </is>
      </c>
      <c r="F29" t="inlineStr">
        <is>
          <t>ANNUAL</t>
        </is>
      </c>
      <c r="G29" t="inlineStr">
        <is>
          <t>2019</t>
        </is>
      </c>
      <c r="H29" t="inlineStr">
        <is>
          <t>-</t>
        </is>
      </c>
      <c r="I29" t="inlineStr">
        <is>
          <t>-</t>
        </is>
      </c>
      <c r="J29" t="inlineStr">
        <is>
          <t>-</t>
        </is>
      </c>
      <c r="K29" t="inlineStr">
        <is>
          <t>-</t>
        </is>
      </c>
      <c r="L29" t="n">
        <v>40</v>
      </c>
      <c r="M29" t="n">
        <v>40</v>
      </c>
      <c r="N29" t="n">
        <v>40</v>
      </c>
      <c r="O29" t="n">
        <v>40</v>
      </c>
      <c r="P29" t="n">
        <v>40</v>
      </c>
      <c r="Q29" t="n">
        <v>40</v>
      </c>
      <c r="R29" t="n">
        <v>40</v>
      </c>
      <c r="S29" t="n">
        <v>40</v>
      </c>
      <c r="T29" t="n">
        <v>40</v>
      </c>
      <c r="U29" t="n">
        <v>40</v>
      </c>
      <c r="V29" t="n">
        <v>40</v>
      </c>
      <c r="W29" t="n">
        <v>40</v>
      </c>
      <c r="X29" t="n">
        <v>40</v>
      </c>
      <c r="Y29" t="n">
        <v>40</v>
      </c>
      <c r="Z29" t="n">
        <v>40</v>
      </c>
      <c r="AA29" t="n">
        <v>40</v>
      </c>
      <c r="AB29" t="n">
        <v>40</v>
      </c>
      <c r="AC29" t="n">
        <v>40</v>
      </c>
      <c r="AD29" t="n">
        <v>40</v>
      </c>
      <c r="AE29" t="n">
        <v>40</v>
      </c>
      <c r="AF29" t="n">
        <v>40</v>
      </c>
      <c r="AG29" t="n">
        <v>40</v>
      </c>
      <c r="AH29" t="n">
        <v>40</v>
      </c>
      <c r="AI29" t="n">
        <v>40</v>
      </c>
      <c r="AJ29" t="n">
        <v>40</v>
      </c>
      <c r="AK29" t="n">
        <v>40</v>
      </c>
      <c r="AL29" t="n">
        <v>40</v>
      </c>
      <c r="AM29" t="n">
        <v>40</v>
      </c>
      <c r="AN29" t="n">
        <v>25</v>
      </c>
      <c r="AO29" t="n">
        <v>40</v>
      </c>
      <c r="AP29" t="n">
        <v>40</v>
      </c>
      <c r="AQ29" t="n">
        <v>40</v>
      </c>
      <c r="AR29" t="n">
        <v>40</v>
      </c>
      <c r="AS29" t="n">
        <v>40</v>
      </c>
      <c r="AT29" t="n">
        <v>15</v>
      </c>
      <c r="AU29" t="inlineStr">
        <is>
          <t>-</t>
        </is>
      </c>
    </row>
    <row r="30" ht="12.5" customHeight="1" s="213">
      <c r="A30" t="inlineStr">
        <is>
          <t>BASE</t>
        </is>
      </c>
      <c r="B30" t="inlineStr">
        <is>
          <t>EFF</t>
        </is>
      </c>
      <c r="C30" t="inlineStr">
        <is>
          <t>Trd_2w_elc</t>
        </is>
      </c>
      <c r="D30" t="inlineStr">
        <is>
          <t>-</t>
        </is>
      </c>
      <c r="E30" t="inlineStr">
        <is>
          <t>-</t>
        </is>
      </c>
      <c r="F30" t="inlineStr">
        <is>
          <t>ANNUAL</t>
        </is>
      </c>
      <c r="G30" t="inlineStr">
        <is>
          <t>2019</t>
        </is>
      </c>
      <c r="H30" t="inlineStr">
        <is>
          <t>-</t>
        </is>
      </c>
      <c r="I30" t="inlineStr">
        <is>
          <t>-</t>
        </is>
      </c>
      <c r="J30" t="inlineStr">
        <is>
          <t>-</t>
        </is>
      </c>
      <c r="K30" t="inlineStr">
        <is>
          <t>-</t>
        </is>
      </c>
      <c r="L30" t="n">
        <v>3</v>
      </c>
      <c r="M30" t="n">
        <v>3</v>
      </c>
      <c r="N30" t="n">
        <v>3</v>
      </c>
      <c r="O30" t="n">
        <v>3</v>
      </c>
      <c r="P30" t="n">
        <v>3</v>
      </c>
      <c r="Q30" t="n">
        <v>3</v>
      </c>
      <c r="R30" t="n">
        <v>3</v>
      </c>
      <c r="S30" t="n">
        <v>3</v>
      </c>
      <c r="T30" t="n">
        <v>3</v>
      </c>
      <c r="U30" t="n">
        <v>3</v>
      </c>
      <c r="V30" t="n">
        <v>3</v>
      </c>
      <c r="W30" t="n">
        <v>3</v>
      </c>
      <c r="X30" t="n">
        <v>3</v>
      </c>
      <c r="Y30" t="n">
        <v>3</v>
      </c>
      <c r="Z30" t="n">
        <v>3</v>
      </c>
      <c r="AA30" t="n">
        <v>3</v>
      </c>
      <c r="AB30" t="n">
        <v>3</v>
      </c>
      <c r="AC30" t="n">
        <v>3</v>
      </c>
      <c r="AD30" t="n">
        <v>3</v>
      </c>
      <c r="AE30" t="n">
        <v>3</v>
      </c>
      <c r="AF30" t="n">
        <v>3</v>
      </c>
      <c r="AG30" t="n">
        <v>3</v>
      </c>
      <c r="AH30" t="n">
        <v>3</v>
      </c>
      <c r="AI30" t="n">
        <v>3</v>
      </c>
      <c r="AJ30" t="n">
        <v>3</v>
      </c>
      <c r="AK30" t="n">
        <v>3</v>
      </c>
      <c r="AL30" t="n">
        <v>3</v>
      </c>
      <c r="AM30" t="n">
        <v>3</v>
      </c>
      <c r="AN30" t="n">
        <v>3</v>
      </c>
      <c r="AO30" t="n">
        <v>3</v>
      </c>
      <c r="AP30" t="n">
        <v>3</v>
      </c>
      <c r="AQ30" t="n">
        <v>3</v>
      </c>
      <c r="AR30" t="n">
        <v>3</v>
      </c>
      <c r="AS30" t="n">
        <v>3</v>
      </c>
      <c r="AT30" t="n">
        <v>3</v>
      </c>
      <c r="AU30" t="inlineStr">
        <is>
          <t>-</t>
        </is>
      </c>
    </row>
    <row r="31" ht="12.5" customHeight="1" s="213">
      <c r="A31" t="inlineStr">
        <is>
          <t>BASE</t>
        </is>
      </c>
      <c r="B31" t="inlineStr">
        <is>
          <t>EFF</t>
        </is>
      </c>
      <c r="C31" t="inlineStr">
        <is>
          <t>Trd_2w_gsl</t>
        </is>
      </c>
      <c r="D31" t="inlineStr">
        <is>
          <t>-</t>
        </is>
      </c>
      <c r="E31" t="inlineStr">
        <is>
          <t>-</t>
        </is>
      </c>
      <c r="F31" t="inlineStr">
        <is>
          <t>ANNUAL</t>
        </is>
      </c>
      <c r="G31" t="inlineStr">
        <is>
          <t>2019</t>
        </is>
      </c>
      <c r="H31" t="inlineStr">
        <is>
          <t>-</t>
        </is>
      </c>
      <c r="I31" t="inlineStr">
        <is>
          <t>-</t>
        </is>
      </c>
      <c r="J31" t="inlineStr">
        <is>
          <t>-</t>
        </is>
      </c>
      <c r="K31" t="inlineStr">
        <is>
          <t>-</t>
        </is>
      </c>
      <c r="L31" t="n">
        <v>0.99</v>
      </c>
      <c r="M31" t="n">
        <v>0.99</v>
      </c>
      <c r="N31" t="n">
        <v>0.99</v>
      </c>
      <c r="O31" t="n">
        <v>0.99</v>
      </c>
      <c r="P31" t="n">
        <v>0.99</v>
      </c>
      <c r="Q31" t="n">
        <v>0.99</v>
      </c>
      <c r="R31" t="n">
        <v>0.99</v>
      </c>
      <c r="S31" t="n">
        <v>0.99</v>
      </c>
      <c r="T31" t="n">
        <v>0.99</v>
      </c>
      <c r="U31" t="n">
        <v>0.99</v>
      </c>
      <c r="V31" t="n">
        <v>0.99</v>
      </c>
      <c r="W31" t="n">
        <v>0.99</v>
      </c>
      <c r="X31" t="n">
        <v>0.99</v>
      </c>
      <c r="Y31" t="n">
        <v>0.99</v>
      </c>
      <c r="Z31" t="n">
        <v>0.99</v>
      </c>
      <c r="AA31" t="n">
        <v>0.99</v>
      </c>
      <c r="AB31" t="n">
        <v>0.99</v>
      </c>
      <c r="AC31" t="n">
        <v>0.99</v>
      </c>
      <c r="AD31" t="n">
        <v>0.99</v>
      </c>
      <c r="AE31" t="n">
        <v>0.99</v>
      </c>
      <c r="AF31" t="n">
        <v>0.99</v>
      </c>
      <c r="AG31" t="n">
        <v>0.99</v>
      </c>
      <c r="AH31" t="n">
        <v>0.99</v>
      </c>
      <c r="AI31" t="n">
        <v>0.99</v>
      </c>
      <c r="AJ31" t="n">
        <v>0.99</v>
      </c>
      <c r="AK31" t="n">
        <v>0.99</v>
      </c>
      <c r="AL31" t="n">
        <v>0.99</v>
      </c>
      <c r="AM31" t="n">
        <v>0.99</v>
      </c>
      <c r="AN31" t="n">
        <v>0.99</v>
      </c>
      <c r="AO31" t="n">
        <v>0.99</v>
      </c>
      <c r="AP31" t="n">
        <v>0.99</v>
      </c>
      <c r="AQ31" t="n">
        <v>0.99</v>
      </c>
      <c r="AR31" t="n">
        <v>0.99</v>
      </c>
      <c r="AS31" t="n">
        <v>0.99</v>
      </c>
      <c r="AT31" t="n">
        <v>0.99</v>
      </c>
      <c r="AU31" t="inlineStr">
        <is>
          <t>-</t>
        </is>
      </c>
    </row>
    <row r="32" ht="12.5" customHeight="1" s="213">
      <c r="A32" t="inlineStr">
        <is>
          <t>BASE</t>
        </is>
      </c>
      <c r="B32" t="inlineStr">
        <is>
          <t>EFF</t>
        </is>
      </c>
      <c r="C32" t="inlineStr">
        <is>
          <t>Trd_3w_bdl</t>
        </is>
      </c>
      <c r="D32" t="inlineStr">
        <is>
          <t>-</t>
        </is>
      </c>
      <c r="E32" t="inlineStr">
        <is>
          <t>-</t>
        </is>
      </c>
      <c r="F32" t="inlineStr">
        <is>
          <t>ANNUAL</t>
        </is>
      </c>
      <c r="G32" t="inlineStr">
        <is>
          <t>2019</t>
        </is>
      </c>
      <c r="H32" t="inlineStr">
        <is>
          <t>-</t>
        </is>
      </c>
      <c r="I32" t="inlineStr">
        <is>
          <t>-</t>
        </is>
      </c>
      <c r="J32" t="inlineStr">
        <is>
          <t>-</t>
        </is>
      </c>
      <c r="K32" t="inlineStr">
        <is>
          <t>-</t>
        </is>
      </c>
      <c r="L32" t="n">
        <v>0.58697</v>
      </c>
      <c r="M32" t="n">
        <v>0.58697</v>
      </c>
      <c r="N32" t="n">
        <v>0.58697</v>
      </c>
      <c r="O32" t="n">
        <v>0.58697</v>
      </c>
      <c r="P32" t="n">
        <v>0.58697</v>
      </c>
      <c r="Q32" t="n">
        <v>0.58697</v>
      </c>
      <c r="R32" t="n">
        <v>0.58697</v>
      </c>
      <c r="S32" t="n">
        <v>0.58697</v>
      </c>
      <c r="T32" t="n">
        <v>0.58697</v>
      </c>
      <c r="U32" t="n">
        <v>0.58697</v>
      </c>
      <c r="V32" t="n">
        <v>0.58697</v>
      </c>
      <c r="W32" t="n">
        <v>0.58697</v>
      </c>
      <c r="X32" t="n">
        <v>0.58697</v>
      </c>
      <c r="Y32" t="n">
        <v>0.58697</v>
      </c>
      <c r="Z32" t="n">
        <v>0.58697</v>
      </c>
      <c r="AA32" t="n">
        <v>0.58697</v>
      </c>
      <c r="AB32" t="n">
        <v>0.58697</v>
      </c>
      <c r="AC32" t="n">
        <v>0.58697</v>
      </c>
      <c r="AD32" t="n">
        <v>0.58697</v>
      </c>
      <c r="AE32" t="n">
        <v>0.58697</v>
      </c>
      <c r="AF32" t="n">
        <v>0.58697</v>
      </c>
      <c r="AG32" t="n">
        <v>0.58697</v>
      </c>
      <c r="AH32" t="n">
        <v>0.58697</v>
      </c>
      <c r="AI32" t="n">
        <v>0.58697</v>
      </c>
      <c r="AJ32" t="n">
        <v>0.58697</v>
      </c>
      <c r="AK32" t="n">
        <v>0.58697</v>
      </c>
      <c r="AL32" t="n">
        <v>0.58697</v>
      </c>
      <c r="AM32" t="n">
        <v>0.58697</v>
      </c>
      <c r="AN32" t="n">
        <v>0.58697</v>
      </c>
      <c r="AO32" t="n">
        <v>0.58697</v>
      </c>
      <c r="AP32" t="n">
        <v>0.58697</v>
      </c>
      <c r="AQ32" t="n">
        <v>0.58697</v>
      </c>
      <c r="AR32" t="n">
        <v>0.58697</v>
      </c>
      <c r="AS32" t="n">
        <v>0.58697</v>
      </c>
      <c r="AT32" t="n">
        <v>0.58697</v>
      </c>
      <c r="AU32" t="inlineStr">
        <is>
          <t>-</t>
        </is>
      </c>
    </row>
    <row r="33" ht="12.5" customHeight="1" s="213">
      <c r="A33" t="inlineStr">
        <is>
          <t>BASE</t>
        </is>
      </c>
      <c r="B33" t="inlineStr">
        <is>
          <t>EFF</t>
        </is>
      </c>
      <c r="C33" t="inlineStr">
        <is>
          <t>Trd_3w_dsl</t>
        </is>
      </c>
      <c r="D33" t="inlineStr">
        <is>
          <t>-</t>
        </is>
      </c>
      <c r="E33" t="inlineStr">
        <is>
          <t>-</t>
        </is>
      </c>
      <c r="F33" t="inlineStr">
        <is>
          <t>ANNUAL</t>
        </is>
      </c>
      <c r="G33" t="inlineStr">
        <is>
          <t>2019</t>
        </is>
      </c>
      <c r="H33" t="inlineStr">
        <is>
          <t>-</t>
        </is>
      </c>
      <c r="I33" t="inlineStr">
        <is>
          <t>-</t>
        </is>
      </c>
      <c r="J33" t="inlineStr">
        <is>
          <t>-</t>
        </is>
      </c>
      <c r="K33" t="inlineStr">
        <is>
          <t>-</t>
        </is>
      </c>
      <c r="L33" t="n">
        <v>0.58697</v>
      </c>
      <c r="M33" t="n">
        <v>0.58697</v>
      </c>
      <c r="N33" t="n">
        <v>0.58697</v>
      </c>
      <c r="O33" t="n">
        <v>0.58697</v>
      </c>
      <c r="P33" t="n">
        <v>0.58697</v>
      </c>
      <c r="Q33" t="n">
        <v>0.58697</v>
      </c>
      <c r="R33" t="n">
        <v>0.58697</v>
      </c>
      <c r="S33" t="n">
        <v>0.58697</v>
      </c>
      <c r="T33" t="n">
        <v>0.58697</v>
      </c>
      <c r="U33" t="n">
        <v>0.58697</v>
      </c>
      <c r="V33" t="n">
        <v>0.58697</v>
      </c>
      <c r="W33" t="n">
        <v>0.58697</v>
      </c>
      <c r="X33" t="n">
        <v>0.58697</v>
      </c>
      <c r="Y33" t="n">
        <v>0.58697</v>
      </c>
      <c r="Z33" t="n">
        <v>0.58697</v>
      </c>
      <c r="AA33" t="n">
        <v>0.58697</v>
      </c>
      <c r="AB33" t="n">
        <v>0.58697</v>
      </c>
      <c r="AC33" t="n">
        <v>0.58697</v>
      </c>
      <c r="AD33" t="n">
        <v>0.58697</v>
      </c>
      <c r="AE33" t="n">
        <v>0.58697</v>
      </c>
      <c r="AF33" t="n">
        <v>0.58697</v>
      </c>
      <c r="AG33" t="n">
        <v>0.58697</v>
      </c>
      <c r="AH33" t="n">
        <v>0.58697</v>
      </c>
      <c r="AI33" t="n">
        <v>0.58697</v>
      </c>
      <c r="AJ33" t="n">
        <v>0.58697</v>
      </c>
      <c r="AK33" t="n">
        <v>0.58697</v>
      </c>
      <c r="AL33" t="n">
        <v>0.58697</v>
      </c>
      <c r="AM33" t="n">
        <v>0.58697</v>
      </c>
      <c r="AN33" t="n">
        <v>0.58697</v>
      </c>
      <c r="AO33" t="n">
        <v>0.58697</v>
      </c>
      <c r="AP33" t="n">
        <v>0.58697</v>
      </c>
      <c r="AQ33" t="n">
        <v>0.58697</v>
      </c>
      <c r="AR33" t="n">
        <v>0.58697</v>
      </c>
      <c r="AS33" t="n">
        <v>0.58697</v>
      </c>
      <c r="AT33" t="n">
        <v>0.58697</v>
      </c>
      <c r="AU33" t="inlineStr">
        <is>
          <t>-</t>
        </is>
      </c>
    </row>
    <row r="34" ht="12.5" customHeight="1" s="213">
      <c r="A34" t="inlineStr">
        <is>
          <t>BASE</t>
        </is>
      </c>
      <c r="B34" t="inlineStr">
        <is>
          <t>EFF</t>
        </is>
      </c>
      <c r="C34" t="inlineStr">
        <is>
          <t>Trd_3w_gsl</t>
        </is>
      </c>
      <c r="D34" t="inlineStr">
        <is>
          <t>-</t>
        </is>
      </c>
      <c r="E34" t="inlineStr">
        <is>
          <t>-</t>
        </is>
      </c>
      <c r="F34" t="inlineStr">
        <is>
          <t>ANNUAL</t>
        </is>
      </c>
      <c r="G34" t="inlineStr">
        <is>
          <t>2019</t>
        </is>
      </c>
      <c r="H34" t="inlineStr">
        <is>
          <t>-</t>
        </is>
      </c>
      <c r="I34" t="inlineStr">
        <is>
          <t>-</t>
        </is>
      </c>
      <c r="J34" t="inlineStr">
        <is>
          <t>-</t>
        </is>
      </c>
      <c r="K34" t="inlineStr">
        <is>
          <t>-</t>
        </is>
      </c>
      <c r="L34" t="n">
        <v>0.58697</v>
      </c>
      <c r="M34" t="n">
        <v>0.58697</v>
      </c>
      <c r="N34" t="n">
        <v>0.58697</v>
      </c>
      <c r="O34" t="n">
        <v>0.58697</v>
      </c>
      <c r="P34" t="n">
        <v>0.58697</v>
      </c>
      <c r="Q34" t="n">
        <v>0.58697</v>
      </c>
      <c r="R34" t="n">
        <v>0.58697</v>
      </c>
      <c r="S34" t="n">
        <v>0.58697</v>
      </c>
      <c r="T34" t="n">
        <v>0.58697</v>
      </c>
      <c r="U34" t="n">
        <v>0.58697</v>
      </c>
      <c r="V34" t="n">
        <v>0.58697</v>
      </c>
      <c r="W34" t="n">
        <v>0.58697</v>
      </c>
      <c r="X34" t="n">
        <v>0.58697</v>
      </c>
      <c r="Y34" t="n">
        <v>0.58697</v>
      </c>
      <c r="Z34" t="n">
        <v>0.58697</v>
      </c>
      <c r="AA34" t="n">
        <v>0.58697</v>
      </c>
      <c r="AB34" t="n">
        <v>0.58697</v>
      </c>
      <c r="AC34" t="n">
        <v>0.58697</v>
      </c>
      <c r="AD34" t="n">
        <v>0.58697</v>
      </c>
      <c r="AE34" t="n">
        <v>0.58697</v>
      </c>
      <c r="AF34" t="n">
        <v>0.58697</v>
      </c>
      <c r="AG34" t="n">
        <v>0.58697</v>
      </c>
      <c r="AH34" t="n">
        <v>0.58697</v>
      </c>
      <c r="AI34" t="n">
        <v>0.58697</v>
      </c>
      <c r="AJ34" t="n">
        <v>0.58697</v>
      </c>
      <c r="AK34" t="n">
        <v>0.58697</v>
      </c>
      <c r="AL34" t="n">
        <v>0.58697</v>
      </c>
      <c r="AM34" t="n">
        <v>0.58697</v>
      </c>
      <c r="AN34" t="n">
        <v>0.58697</v>
      </c>
      <c r="AO34" t="n">
        <v>0.58697</v>
      </c>
      <c r="AP34" t="n">
        <v>0.58697</v>
      </c>
      <c r="AQ34" t="n">
        <v>0.58697</v>
      </c>
      <c r="AR34" t="n">
        <v>0.58697</v>
      </c>
      <c r="AS34" t="n">
        <v>0.58697</v>
      </c>
      <c r="AT34" t="n">
        <v>0.58697</v>
      </c>
      <c r="AU34" t="inlineStr">
        <is>
          <t>-</t>
        </is>
      </c>
    </row>
    <row r="35" ht="12.5" customHeight="1" s="213">
      <c r="A35" t="inlineStr">
        <is>
          <t>BASE</t>
        </is>
      </c>
      <c r="B35" t="inlineStr">
        <is>
          <t>EFF</t>
        </is>
      </c>
      <c r="C35" t="inlineStr">
        <is>
          <t>Trd_bus_bdl</t>
        </is>
      </c>
      <c r="D35" t="inlineStr">
        <is>
          <t>-</t>
        </is>
      </c>
      <c r="E35" t="inlineStr">
        <is>
          <t>-</t>
        </is>
      </c>
      <c r="F35" t="inlineStr">
        <is>
          <t>ANNUAL</t>
        </is>
      </c>
      <c r="G35" t="inlineStr">
        <is>
          <t>2019</t>
        </is>
      </c>
      <c r="H35" t="inlineStr">
        <is>
          <t>-</t>
        </is>
      </c>
      <c r="I35" t="inlineStr">
        <is>
          <t>-</t>
        </is>
      </c>
      <c r="J35" t="inlineStr">
        <is>
          <t>-</t>
        </is>
      </c>
      <c r="K35" t="inlineStr">
        <is>
          <t>-</t>
        </is>
      </c>
      <c r="L35" t="n">
        <v>0.07207</v>
      </c>
      <c r="M35" t="n">
        <v>0.07207</v>
      </c>
      <c r="N35" t="n">
        <v>0.07207</v>
      </c>
      <c r="O35" t="n">
        <v>0.07207</v>
      </c>
      <c r="P35" t="n">
        <v>0.07207</v>
      </c>
      <c r="Q35" t="n">
        <v>0.07207</v>
      </c>
      <c r="R35" t="n">
        <v>0.07207</v>
      </c>
      <c r="S35" t="n">
        <v>0.07207</v>
      </c>
      <c r="T35" t="n">
        <v>0.07207</v>
      </c>
      <c r="U35" t="n">
        <v>0.07207</v>
      </c>
      <c r="V35" t="n">
        <v>0.07207</v>
      </c>
      <c r="W35" t="n">
        <v>0.07207</v>
      </c>
      <c r="X35" t="n">
        <v>0.07207</v>
      </c>
      <c r="Y35" t="n">
        <v>0.07207</v>
      </c>
      <c r="Z35" t="n">
        <v>0.07207</v>
      </c>
      <c r="AA35" t="n">
        <v>0.07207</v>
      </c>
      <c r="AB35" t="n">
        <v>0.07207</v>
      </c>
      <c r="AC35" t="n">
        <v>0.07207</v>
      </c>
      <c r="AD35" t="n">
        <v>0.07207</v>
      </c>
      <c r="AE35" t="n">
        <v>0.07207</v>
      </c>
      <c r="AF35" t="n">
        <v>0.07207</v>
      </c>
      <c r="AG35" t="n">
        <v>0.07207</v>
      </c>
      <c r="AH35" t="n">
        <v>0.07207</v>
      </c>
      <c r="AI35" t="n">
        <v>0.07207</v>
      </c>
      <c r="AJ35" t="n">
        <v>0.07207</v>
      </c>
      <c r="AK35" t="n">
        <v>0.07207</v>
      </c>
      <c r="AL35" t="n">
        <v>0.07207</v>
      </c>
      <c r="AM35" t="n">
        <v>0.07207</v>
      </c>
      <c r="AN35" t="n">
        <v>0.07207</v>
      </c>
      <c r="AO35" t="n">
        <v>0.07207</v>
      </c>
      <c r="AP35" t="n">
        <v>0.07207</v>
      </c>
      <c r="AQ35" t="n">
        <v>0.07207</v>
      </c>
      <c r="AR35" t="n">
        <v>0.07207</v>
      </c>
      <c r="AS35" t="n">
        <v>0.07207</v>
      </c>
      <c r="AT35" t="n">
        <v>0.07207</v>
      </c>
      <c r="AU35" t="inlineStr">
        <is>
          <t>-</t>
        </is>
      </c>
    </row>
    <row r="36" ht="12.5" customHeight="1" s="213">
      <c r="A36" t="inlineStr">
        <is>
          <t>BASE</t>
        </is>
      </c>
      <c r="B36" t="inlineStr">
        <is>
          <t>EFF</t>
        </is>
      </c>
      <c r="C36" t="inlineStr">
        <is>
          <t>Trd_bus_dsl</t>
        </is>
      </c>
      <c r="D36" t="inlineStr">
        <is>
          <t>-</t>
        </is>
      </c>
      <c r="E36" t="inlineStr">
        <is>
          <t>-</t>
        </is>
      </c>
      <c r="F36" t="inlineStr">
        <is>
          <t>ANNUAL</t>
        </is>
      </c>
      <c r="G36" t="inlineStr">
        <is>
          <t>2019</t>
        </is>
      </c>
      <c r="H36" t="inlineStr">
        <is>
          <t>-</t>
        </is>
      </c>
      <c r="I36" t="inlineStr">
        <is>
          <t>-</t>
        </is>
      </c>
      <c r="J36" t="inlineStr">
        <is>
          <t>-</t>
        </is>
      </c>
      <c r="K36" t="inlineStr">
        <is>
          <t>-</t>
        </is>
      </c>
      <c r="L36" t="n">
        <v>0.07207</v>
      </c>
      <c r="M36" t="n">
        <v>0.07207</v>
      </c>
      <c r="N36" t="n">
        <v>0.07207</v>
      </c>
      <c r="O36" t="n">
        <v>0.07207</v>
      </c>
      <c r="P36" t="n">
        <v>0.07207</v>
      </c>
      <c r="Q36" t="n">
        <v>0.07207</v>
      </c>
      <c r="R36" t="n">
        <v>0.07207</v>
      </c>
      <c r="S36" t="n">
        <v>0.07207</v>
      </c>
      <c r="T36" t="n">
        <v>0.07207</v>
      </c>
      <c r="U36" t="n">
        <v>0.07207</v>
      </c>
      <c r="V36" t="n">
        <v>0.07207</v>
      </c>
      <c r="W36" t="n">
        <v>0.07207</v>
      </c>
      <c r="X36" t="n">
        <v>0.07207</v>
      </c>
      <c r="Y36" t="n">
        <v>0.07207</v>
      </c>
      <c r="Z36" t="n">
        <v>0.07207</v>
      </c>
      <c r="AA36" t="n">
        <v>0.07207</v>
      </c>
      <c r="AB36" t="n">
        <v>0.07207</v>
      </c>
      <c r="AC36" t="n">
        <v>0.07207</v>
      </c>
      <c r="AD36" t="n">
        <v>0.07207</v>
      </c>
      <c r="AE36" t="n">
        <v>0.07207</v>
      </c>
      <c r="AF36" t="n">
        <v>0.07207</v>
      </c>
      <c r="AG36" t="n">
        <v>0.07207</v>
      </c>
      <c r="AH36" t="n">
        <v>0.07207</v>
      </c>
      <c r="AI36" t="n">
        <v>0.07207</v>
      </c>
      <c r="AJ36" t="n">
        <v>0.07207</v>
      </c>
      <c r="AK36" t="n">
        <v>0.07207</v>
      </c>
      <c r="AL36" t="n">
        <v>0.07207</v>
      </c>
      <c r="AM36" t="n">
        <v>0.07207</v>
      </c>
      <c r="AN36" t="n">
        <v>0.07207</v>
      </c>
      <c r="AO36" t="n">
        <v>0.07207</v>
      </c>
      <c r="AP36" t="n">
        <v>0.07207</v>
      </c>
      <c r="AQ36" t="n">
        <v>0.07207</v>
      </c>
      <c r="AR36" t="n">
        <v>0.07207</v>
      </c>
      <c r="AS36" t="n">
        <v>0.07207</v>
      </c>
      <c r="AT36" t="n">
        <v>0.07207</v>
      </c>
      <c r="AU36" t="inlineStr">
        <is>
          <t>-</t>
        </is>
      </c>
    </row>
    <row r="37" ht="12.5" customHeight="1" s="213">
      <c r="A37" t="inlineStr">
        <is>
          <t>BASE</t>
        </is>
      </c>
      <c r="B37" t="inlineStr">
        <is>
          <t>EFF</t>
        </is>
      </c>
      <c r="C37" t="inlineStr">
        <is>
          <t>Trd_bus_elc</t>
        </is>
      </c>
      <c r="D37" t="inlineStr">
        <is>
          <t>-</t>
        </is>
      </c>
      <c r="E37" t="inlineStr">
        <is>
          <t>-</t>
        </is>
      </c>
      <c r="F37" t="inlineStr">
        <is>
          <t>ANNUAL</t>
        </is>
      </c>
      <c r="G37" t="inlineStr">
        <is>
          <t>2019</t>
        </is>
      </c>
      <c r="H37" t="inlineStr">
        <is>
          <t>-</t>
        </is>
      </c>
      <c r="I37" t="inlineStr">
        <is>
          <t>-</t>
        </is>
      </c>
      <c r="J37" t="inlineStr">
        <is>
          <t>-</t>
        </is>
      </c>
      <c r="K37" t="inlineStr">
        <is>
          <t>-</t>
        </is>
      </c>
      <c r="L37" t="n">
        <v>0.313</v>
      </c>
      <c r="M37" t="n">
        <v>0.313</v>
      </c>
      <c r="N37" t="n">
        <v>0.313</v>
      </c>
      <c r="O37" t="n">
        <v>0.313</v>
      </c>
      <c r="P37" t="n">
        <v>0.313</v>
      </c>
      <c r="Q37" t="n">
        <v>0.313</v>
      </c>
      <c r="R37" t="n">
        <v>0.313</v>
      </c>
      <c r="S37" t="n">
        <v>0.313</v>
      </c>
      <c r="T37" t="n">
        <v>0.313</v>
      </c>
      <c r="U37" t="n">
        <v>0.313</v>
      </c>
      <c r="V37" t="n">
        <v>0.313</v>
      </c>
      <c r="W37" t="n">
        <v>0.313</v>
      </c>
      <c r="X37" t="n">
        <v>0.313</v>
      </c>
      <c r="Y37" t="n">
        <v>0.313</v>
      </c>
      <c r="Z37" t="n">
        <v>0.313</v>
      </c>
      <c r="AA37" t="n">
        <v>0.313</v>
      </c>
      <c r="AB37" t="n">
        <v>0.313</v>
      </c>
      <c r="AC37" t="n">
        <v>0.313</v>
      </c>
      <c r="AD37" t="n">
        <v>0.313</v>
      </c>
      <c r="AE37" t="n">
        <v>0.313</v>
      </c>
      <c r="AF37" t="n">
        <v>0.313</v>
      </c>
      <c r="AG37" t="n">
        <v>0.313</v>
      </c>
      <c r="AH37" t="n">
        <v>0.313</v>
      </c>
      <c r="AI37" t="n">
        <v>0.313</v>
      </c>
      <c r="AJ37" t="n">
        <v>0.313</v>
      </c>
      <c r="AK37" t="n">
        <v>0.313</v>
      </c>
      <c r="AL37" t="n">
        <v>0.313</v>
      </c>
      <c r="AM37" t="n">
        <v>0.313</v>
      </c>
      <c r="AN37" t="n">
        <v>0.313</v>
      </c>
      <c r="AO37" t="n">
        <v>0.313</v>
      </c>
      <c r="AP37" t="n">
        <v>0.313</v>
      </c>
      <c r="AQ37" t="n">
        <v>0.313</v>
      </c>
      <c r="AR37" t="n">
        <v>0.313</v>
      </c>
      <c r="AS37" t="n">
        <v>0.313</v>
      </c>
      <c r="AT37" t="n">
        <v>0.313</v>
      </c>
      <c r="AU37" t="inlineStr">
        <is>
          <t>-</t>
        </is>
      </c>
    </row>
    <row r="38" ht="12.5" customHeight="1" s="213">
      <c r="A38" t="inlineStr">
        <is>
          <t>BASE</t>
        </is>
      </c>
      <c r="B38" t="inlineStr">
        <is>
          <t>EFF</t>
        </is>
      </c>
      <c r="C38" t="inlineStr">
        <is>
          <t>Trd_bus_eth</t>
        </is>
      </c>
      <c r="D38" t="inlineStr">
        <is>
          <t>-</t>
        </is>
      </c>
      <c r="E38" t="inlineStr">
        <is>
          <t>-</t>
        </is>
      </c>
      <c r="F38" t="inlineStr">
        <is>
          <t>ANNUAL</t>
        </is>
      </c>
      <c r="G38" t="inlineStr">
        <is>
          <t>2019</t>
        </is>
      </c>
      <c r="H38" t="inlineStr">
        <is>
          <t>-</t>
        </is>
      </c>
      <c r="I38" t="inlineStr">
        <is>
          <t>-</t>
        </is>
      </c>
      <c r="J38" t="inlineStr">
        <is>
          <t>-</t>
        </is>
      </c>
      <c r="K38" t="inlineStr">
        <is>
          <t>-</t>
        </is>
      </c>
      <c r="L38" t="n">
        <v>0.08</v>
      </c>
      <c r="M38" t="n">
        <v>0.08</v>
      </c>
      <c r="N38" t="n">
        <v>0.08</v>
      </c>
      <c r="O38" t="n">
        <v>0.08</v>
      </c>
      <c r="P38" t="n">
        <v>0.08</v>
      </c>
      <c r="Q38" t="n">
        <v>0.08</v>
      </c>
      <c r="R38" t="n">
        <v>0.08</v>
      </c>
      <c r="S38" t="n">
        <v>0.08</v>
      </c>
      <c r="T38" t="n">
        <v>0.08</v>
      </c>
      <c r="U38" t="n">
        <v>0.08</v>
      </c>
      <c r="V38" t="n">
        <v>0.08</v>
      </c>
      <c r="W38" t="n">
        <v>0.08</v>
      </c>
      <c r="X38" t="n">
        <v>0.08</v>
      </c>
      <c r="Y38" t="n">
        <v>0.08</v>
      </c>
      <c r="Z38" t="n">
        <v>0.08</v>
      </c>
      <c r="AA38" t="n">
        <v>0.08</v>
      </c>
      <c r="AB38" t="n">
        <v>0.08</v>
      </c>
      <c r="AC38" t="n">
        <v>0.08</v>
      </c>
      <c r="AD38" t="n">
        <v>0.08</v>
      </c>
      <c r="AE38" t="n">
        <v>0.08</v>
      </c>
      <c r="AF38" t="n">
        <v>0.08</v>
      </c>
      <c r="AG38" t="n">
        <v>0.08</v>
      </c>
      <c r="AH38" t="n">
        <v>0.08</v>
      </c>
      <c r="AI38" t="n">
        <v>0.08</v>
      </c>
      <c r="AJ38" t="n">
        <v>0.08</v>
      </c>
      <c r="AK38" t="n">
        <v>0.08</v>
      </c>
      <c r="AL38" t="n">
        <v>0.08</v>
      </c>
      <c r="AM38" t="n">
        <v>0.08</v>
      </c>
      <c r="AN38" t="n">
        <v>0.08</v>
      </c>
      <c r="AO38" t="n">
        <v>0.08</v>
      </c>
      <c r="AP38" t="n">
        <v>0.08</v>
      </c>
      <c r="AQ38" t="n">
        <v>0.08</v>
      </c>
      <c r="AR38" t="n">
        <v>0.08</v>
      </c>
      <c r="AS38" t="n">
        <v>0.08</v>
      </c>
      <c r="AT38" t="n">
        <v>0.08</v>
      </c>
      <c r="AU38" t="inlineStr">
        <is>
          <t>-</t>
        </is>
      </c>
    </row>
    <row r="39" ht="12.5" customHeight="1" s="213">
      <c r="A39" t="inlineStr">
        <is>
          <t>BASE</t>
        </is>
      </c>
      <c r="B39" t="inlineStr">
        <is>
          <t>EFF</t>
        </is>
      </c>
      <c r="C39" t="inlineStr">
        <is>
          <t>Trd_bus_gsl</t>
        </is>
      </c>
      <c r="D39" t="inlineStr">
        <is>
          <t>-</t>
        </is>
      </c>
      <c r="E39" t="inlineStr">
        <is>
          <t>-</t>
        </is>
      </c>
      <c r="F39" t="inlineStr">
        <is>
          <t>ANNUAL</t>
        </is>
      </c>
      <c r="G39" t="inlineStr">
        <is>
          <t>2019</t>
        </is>
      </c>
      <c r="H39" t="inlineStr">
        <is>
          <t>-</t>
        </is>
      </c>
      <c r="I39" t="inlineStr">
        <is>
          <t>-</t>
        </is>
      </c>
      <c r="J39" t="inlineStr">
        <is>
          <t>-</t>
        </is>
      </c>
      <c r="K39" t="inlineStr">
        <is>
          <t>-</t>
        </is>
      </c>
      <c r="L39" t="n">
        <v>0.08</v>
      </c>
      <c r="M39" t="n">
        <v>0.08</v>
      </c>
      <c r="N39" t="n">
        <v>0.08</v>
      </c>
      <c r="O39" t="n">
        <v>0.08</v>
      </c>
      <c r="P39" t="n">
        <v>0.08</v>
      </c>
      <c r="Q39" t="n">
        <v>0.08</v>
      </c>
      <c r="R39" t="n">
        <v>0.08</v>
      </c>
      <c r="S39" t="n">
        <v>0.08</v>
      </c>
      <c r="T39" t="n">
        <v>0.08</v>
      </c>
      <c r="U39" t="n">
        <v>0.08</v>
      </c>
      <c r="V39" t="n">
        <v>0.08</v>
      </c>
      <c r="W39" t="n">
        <v>0.08</v>
      </c>
      <c r="X39" t="n">
        <v>0.08</v>
      </c>
      <c r="Y39" t="n">
        <v>0.08</v>
      </c>
      <c r="Z39" t="n">
        <v>0.08</v>
      </c>
      <c r="AA39" t="n">
        <v>0.08</v>
      </c>
      <c r="AB39" t="n">
        <v>0.08</v>
      </c>
      <c r="AC39" t="n">
        <v>0.08</v>
      </c>
      <c r="AD39" t="n">
        <v>0.08</v>
      </c>
      <c r="AE39" t="n">
        <v>0.08</v>
      </c>
      <c r="AF39" t="n">
        <v>0.08</v>
      </c>
      <c r="AG39" t="n">
        <v>0.08</v>
      </c>
      <c r="AH39" t="n">
        <v>0.08</v>
      </c>
      <c r="AI39" t="n">
        <v>0.08</v>
      </c>
      <c r="AJ39" t="n">
        <v>0.08</v>
      </c>
      <c r="AK39" t="n">
        <v>0.08</v>
      </c>
      <c r="AL39" t="n">
        <v>0.08</v>
      </c>
      <c r="AM39" t="n">
        <v>0.08</v>
      </c>
      <c r="AN39" t="n">
        <v>0.08</v>
      </c>
      <c r="AO39" t="n">
        <v>0.08</v>
      </c>
      <c r="AP39" t="n">
        <v>0.08</v>
      </c>
      <c r="AQ39" t="n">
        <v>0.08</v>
      </c>
      <c r="AR39" t="n">
        <v>0.08</v>
      </c>
      <c r="AS39" t="n">
        <v>0.08</v>
      </c>
      <c r="AT39" t="n">
        <v>0.08</v>
      </c>
      <c r="AU39" t="inlineStr">
        <is>
          <t>-</t>
        </is>
      </c>
    </row>
    <row r="40" ht="12.5" customHeight="1" s="213">
      <c r="A40" t="inlineStr">
        <is>
          <t>BASE</t>
        </is>
      </c>
      <c r="B40" t="inlineStr">
        <is>
          <t>EFF</t>
        </is>
      </c>
      <c r="C40" t="inlineStr">
        <is>
          <t>Trd_bus_lpg</t>
        </is>
      </c>
      <c r="D40" t="inlineStr">
        <is>
          <t>-</t>
        </is>
      </c>
      <c r="E40" t="inlineStr">
        <is>
          <t>-</t>
        </is>
      </c>
      <c r="F40" t="inlineStr">
        <is>
          <t>ANNUAL</t>
        </is>
      </c>
      <c r="G40" t="inlineStr">
        <is>
          <t>2019</t>
        </is>
      </c>
      <c r="H40" t="inlineStr">
        <is>
          <t>-</t>
        </is>
      </c>
      <c r="I40" t="inlineStr">
        <is>
          <t>-</t>
        </is>
      </c>
      <c r="J40" t="inlineStr">
        <is>
          <t>-</t>
        </is>
      </c>
      <c r="K40" t="inlineStr">
        <is>
          <t>-</t>
        </is>
      </c>
      <c r="L40" t="n">
        <v>0.076</v>
      </c>
      <c r="M40" t="n">
        <v>0.076</v>
      </c>
      <c r="N40" t="n">
        <v>0.076</v>
      </c>
      <c r="O40" t="n">
        <v>0.076</v>
      </c>
      <c r="P40" t="n">
        <v>0.076</v>
      </c>
      <c r="Q40" t="n">
        <v>0.076</v>
      </c>
      <c r="R40" t="n">
        <v>0.076</v>
      </c>
      <c r="S40" t="n">
        <v>0.076</v>
      </c>
      <c r="T40" t="n">
        <v>0.076</v>
      </c>
      <c r="U40" t="n">
        <v>0.076</v>
      </c>
      <c r="V40" t="n">
        <v>0.076</v>
      </c>
      <c r="W40" t="n">
        <v>0.076</v>
      </c>
      <c r="X40" t="n">
        <v>0.076</v>
      </c>
      <c r="Y40" t="n">
        <v>0.076</v>
      </c>
      <c r="Z40" t="n">
        <v>0.076</v>
      </c>
      <c r="AA40" t="n">
        <v>0.076</v>
      </c>
      <c r="AB40" t="n">
        <v>0.076</v>
      </c>
      <c r="AC40" t="n">
        <v>0.076</v>
      </c>
      <c r="AD40" t="n">
        <v>0.076</v>
      </c>
      <c r="AE40" t="n">
        <v>0.076</v>
      </c>
      <c r="AF40" t="n">
        <v>0.076</v>
      </c>
      <c r="AG40" t="n">
        <v>0.076</v>
      </c>
      <c r="AH40" t="n">
        <v>0.076</v>
      </c>
      <c r="AI40" t="n">
        <v>0.076</v>
      </c>
      <c r="AJ40" t="n">
        <v>0.076</v>
      </c>
      <c r="AK40" t="n">
        <v>0.076</v>
      </c>
      <c r="AL40" t="n">
        <v>0.076</v>
      </c>
      <c r="AM40" t="n">
        <v>0.076</v>
      </c>
      <c r="AN40" t="n">
        <v>0.076</v>
      </c>
      <c r="AO40" t="n">
        <v>0.076</v>
      </c>
      <c r="AP40" t="n">
        <v>0.076</v>
      </c>
      <c r="AQ40" t="n">
        <v>0.076</v>
      </c>
      <c r="AR40" t="n">
        <v>0.076</v>
      </c>
      <c r="AS40" t="n">
        <v>0.076</v>
      </c>
      <c r="AT40" t="n">
        <v>0.076</v>
      </c>
      <c r="AU40" t="inlineStr">
        <is>
          <t>-</t>
        </is>
      </c>
    </row>
    <row r="41" ht="12.5" customHeight="1" s="213">
      <c r="A41" t="inlineStr">
        <is>
          <t>BASE</t>
        </is>
      </c>
      <c r="B41" t="inlineStr">
        <is>
          <t>EFF</t>
        </is>
      </c>
      <c r="C41" t="inlineStr">
        <is>
          <t>Trd_bus_nga</t>
        </is>
      </c>
      <c r="D41" t="inlineStr">
        <is>
          <t>-</t>
        </is>
      </c>
      <c r="E41" t="inlineStr">
        <is>
          <t>-</t>
        </is>
      </c>
      <c r="F41" t="inlineStr">
        <is>
          <t>ANNUAL</t>
        </is>
      </c>
      <c r="G41" t="inlineStr">
        <is>
          <t>2019</t>
        </is>
      </c>
      <c r="H41" t="inlineStr">
        <is>
          <t>-</t>
        </is>
      </c>
      <c r="I41" t="inlineStr">
        <is>
          <t>-</t>
        </is>
      </c>
      <c r="J41" t="inlineStr">
        <is>
          <t>-</t>
        </is>
      </c>
      <c r="K41" t="inlineStr">
        <is>
          <t>-</t>
        </is>
      </c>
      <c r="L41" t="n">
        <v>0.0612</v>
      </c>
      <c r="M41" t="n">
        <v>0.0612</v>
      </c>
      <c r="N41" t="n">
        <v>0.0612</v>
      </c>
      <c r="O41" t="n">
        <v>0.0612</v>
      </c>
      <c r="P41" t="n">
        <v>0.0612</v>
      </c>
      <c r="Q41" t="n">
        <v>0.0612</v>
      </c>
      <c r="R41" t="n">
        <v>0.0612</v>
      </c>
      <c r="S41" t="n">
        <v>0.0612</v>
      </c>
      <c r="T41" t="n">
        <v>0.0612</v>
      </c>
      <c r="U41" t="n">
        <v>0.0612</v>
      </c>
      <c r="V41" t="n">
        <v>0.0612</v>
      </c>
      <c r="W41" t="n">
        <v>0.0612</v>
      </c>
      <c r="X41" t="n">
        <v>0.0612</v>
      </c>
      <c r="Y41" t="n">
        <v>0.0612</v>
      </c>
      <c r="Z41" t="n">
        <v>0.0612</v>
      </c>
      <c r="AA41" t="n">
        <v>0.0612</v>
      </c>
      <c r="AB41" t="n">
        <v>0.0612</v>
      </c>
      <c r="AC41" t="n">
        <v>0.0612</v>
      </c>
      <c r="AD41" t="n">
        <v>0.0612</v>
      </c>
      <c r="AE41" t="n">
        <v>0.0612</v>
      </c>
      <c r="AF41" t="n">
        <v>0.0612</v>
      </c>
      <c r="AG41" t="n">
        <v>0.0612</v>
      </c>
      <c r="AH41" t="n">
        <v>0.0612</v>
      </c>
      <c r="AI41" t="n">
        <v>0.0612</v>
      </c>
      <c r="AJ41" t="n">
        <v>0.0612</v>
      </c>
      <c r="AK41" t="n">
        <v>0.0612</v>
      </c>
      <c r="AL41" t="n">
        <v>0.0612</v>
      </c>
      <c r="AM41" t="n">
        <v>0.0612</v>
      </c>
      <c r="AN41" t="n">
        <v>0.0612</v>
      </c>
      <c r="AO41" t="n">
        <v>0.0612</v>
      </c>
      <c r="AP41" t="n">
        <v>0.0612</v>
      </c>
      <c r="AQ41" t="n">
        <v>0.0612</v>
      </c>
      <c r="AR41" t="n">
        <v>0.0612</v>
      </c>
      <c r="AS41" t="n">
        <v>0.0612</v>
      </c>
      <c r="AT41" t="n">
        <v>0.0612</v>
      </c>
      <c r="AU41" t="inlineStr">
        <is>
          <t>-</t>
        </is>
      </c>
    </row>
    <row r="42" ht="12.5" customHeight="1" s="213">
      <c r="A42" t="inlineStr">
        <is>
          <t>BASE</t>
        </is>
      </c>
      <c r="B42" t="inlineStr">
        <is>
          <t>EFF</t>
        </is>
      </c>
      <c r="C42" t="inlineStr">
        <is>
          <t>Trd_car_bdl</t>
        </is>
      </c>
      <c r="D42" t="inlineStr">
        <is>
          <t>-</t>
        </is>
      </c>
      <c r="E42" t="inlineStr">
        <is>
          <t>-</t>
        </is>
      </c>
      <c r="F42" t="inlineStr">
        <is>
          <t>ANNUAL</t>
        </is>
      </c>
      <c r="G42" t="inlineStr">
        <is>
          <t>2019</t>
        </is>
      </c>
      <c r="H42" t="inlineStr">
        <is>
          <t>-</t>
        </is>
      </c>
      <c r="I42" t="inlineStr">
        <is>
          <t>-</t>
        </is>
      </c>
      <c r="J42" t="inlineStr">
        <is>
          <t>-</t>
        </is>
      </c>
      <c r="K42" t="inlineStr">
        <is>
          <t>-</t>
        </is>
      </c>
      <c r="L42" t="n">
        <v>0.527722806887128</v>
      </c>
      <c r="M42" t="n">
        <v>0.527722806887128</v>
      </c>
      <c r="N42" t="n">
        <v>0.527722806887128</v>
      </c>
      <c r="O42" t="n">
        <v>0.527722806887128</v>
      </c>
      <c r="P42" t="n">
        <v>0.527722806887128</v>
      </c>
      <c r="Q42" t="n">
        <v>0.527722806887128</v>
      </c>
      <c r="R42" t="n">
        <v>0.527722806887128</v>
      </c>
      <c r="S42" t="n">
        <v>0.527722806887128</v>
      </c>
      <c r="T42" t="n">
        <v>0.527722806887128</v>
      </c>
      <c r="U42" t="n">
        <v>0.527722806887128</v>
      </c>
      <c r="V42" t="n">
        <v>0.527722806887128</v>
      </c>
      <c r="W42" t="n">
        <v>0.527722806887128</v>
      </c>
      <c r="X42" t="n">
        <v>0.527722806887128</v>
      </c>
      <c r="Y42" t="n">
        <v>0.527722806887128</v>
      </c>
      <c r="Z42" t="n">
        <v>0.527722806887128</v>
      </c>
      <c r="AA42" t="n">
        <v>0.527722806887128</v>
      </c>
      <c r="AB42" t="n">
        <v>0.527722806887128</v>
      </c>
      <c r="AC42" t="n">
        <v>0.527722806887128</v>
      </c>
      <c r="AD42" t="n">
        <v>0.527722806887128</v>
      </c>
      <c r="AE42" t="n">
        <v>0.527722806887128</v>
      </c>
      <c r="AF42" t="n">
        <v>0.527722806887128</v>
      </c>
      <c r="AG42" t="n">
        <v>0.316633684132277</v>
      </c>
      <c r="AH42" t="n">
        <v>0.527722806887128</v>
      </c>
      <c r="AI42" t="n">
        <v>0.527722806887128</v>
      </c>
      <c r="AJ42" t="n">
        <v>0.527722806887128</v>
      </c>
      <c r="AK42" t="n">
        <v>0.527722806887128</v>
      </c>
      <c r="AL42" t="n">
        <v>0.527722806887128</v>
      </c>
      <c r="AM42" t="n">
        <v>0.527722806887128</v>
      </c>
      <c r="AN42" t="n">
        <v>0.527722806887128</v>
      </c>
      <c r="AO42" t="n">
        <v>0.527722806887128</v>
      </c>
      <c r="AP42" t="n">
        <v>0.527722806887128</v>
      </c>
      <c r="AQ42" t="n">
        <v>0.527722806887128</v>
      </c>
      <c r="AR42" t="n">
        <v>0.527722806887128</v>
      </c>
      <c r="AS42" t="n">
        <v>0.527722806887128</v>
      </c>
      <c r="AT42" t="n">
        <v>0.527722806887128</v>
      </c>
      <c r="AU42" t="inlineStr">
        <is>
          <t>-</t>
        </is>
      </c>
    </row>
    <row r="43" ht="12.5" customHeight="1" s="213">
      <c r="A43" t="inlineStr">
        <is>
          <t>BASE</t>
        </is>
      </c>
      <c r="B43" t="inlineStr">
        <is>
          <t>EFF</t>
        </is>
      </c>
      <c r="C43" t="inlineStr">
        <is>
          <t>Trd_car_dsl</t>
        </is>
      </c>
      <c r="D43" t="inlineStr">
        <is>
          <t>-</t>
        </is>
      </c>
      <c r="E43" t="inlineStr">
        <is>
          <t>-</t>
        </is>
      </c>
      <c r="F43" t="inlineStr">
        <is>
          <t>ANNUAL</t>
        </is>
      </c>
      <c r="G43" t="inlineStr">
        <is>
          <t>2019</t>
        </is>
      </c>
      <c r="H43" t="inlineStr">
        <is>
          <t>-</t>
        </is>
      </c>
      <c r="I43" t="inlineStr">
        <is>
          <t>-</t>
        </is>
      </c>
      <c r="J43" t="inlineStr">
        <is>
          <t>-</t>
        </is>
      </c>
      <c r="K43" t="inlineStr">
        <is>
          <t>-</t>
        </is>
      </c>
      <c r="L43" t="n">
        <v>0.527722806887128</v>
      </c>
      <c r="M43" t="n">
        <v>0.527722806887128</v>
      </c>
      <c r="N43" t="n">
        <v>0.527722806887128</v>
      </c>
      <c r="O43" t="n">
        <v>0.527722806887128</v>
      </c>
      <c r="P43" t="n">
        <v>0.527722806887128</v>
      </c>
      <c r="Q43" t="n">
        <v>0.527722806887128</v>
      </c>
      <c r="R43" t="n">
        <v>0.527722806887128</v>
      </c>
      <c r="S43" t="n">
        <v>0.527722806887128</v>
      </c>
      <c r="T43" t="n">
        <v>0.527722806887128</v>
      </c>
      <c r="U43" t="n">
        <v>0.527722806887128</v>
      </c>
      <c r="V43" t="n">
        <v>0.527722806887128</v>
      </c>
      <c r="W43" t="n">
        <v>0.527722806887128</v>
      </c>
      <c r="X43" t="n">
        <v>0.527722806887128</v>
      </c>
      <c r="Y43" t="n">
        <v>0.527722806887128</v>
      </c>
      <c r="Z43" t="n">
        <v>0.527722806887128</v>
      </c>
      <c r="AA43" t="n">
        <v>0.527722806887128</v>
      </c>
      <c r="AB43" t="n">
        <v>0.527722806887128</v>
      </c>
      <c r="AC43" t="n">
        <v>0.527722806887128</v>
      </c>
      <c r="AD43" t="n">
        <v>0.527722806887128</v>
      </c>
      <c r="AE43" t="n">
        <v>0.527722806887128</v>
      </c>
      <c r="AF43" t="n">
        <v>0.527722806887128</v>
      </c>
      <c r="AG43" t="n">
        <v>0.316633684132277</v>
      </c>
      <c r="AH43" t="n">
        <v>0.527722806887128</v>
      </c>
      <c r="AI43" t="n">
        <v>0.527722806887128</v>
      </c>
      <c r="AJ43" t="n">
        <v>0.527722806887128</v>
      </c>
      <c r="AK43" t="n">
        <v>0.527722806887128</v>
      </c>
      <c r="AL43" t="n">
        <v>0.527722806887128</v>
      </c>
      <c r="AM43" t="n">
        <v>0.527722806887128</v>
      </c>
      <c r="AN43" t="n">
        <v>0.527722806887128</v>
      </c>
      <c r="AO43" t="n">
        <v>0.527722806887128</v>
      </c>
      <c r="AP43" t="n">
        <v>0.527722806887128</v>
      </c>
      <c r="AQ43" t="n">
        <v>0.527722806887128</v>
      </c>
      <c r="AR43" t="n">
        <v>0.527722806887128</v>
      </c>
      <c r="AS43" t="n">
        <v>0.527722806887128</v>
      </c>
      <c r="AT43" t="n">
        <v>0.527722806887128</v>
      </c>
      <c r="AU43" t="inlineStr">
        <is>
          <t>-</t>
        </is>
      </c>
    </row>
    <row r="44" ht="12.5" customHeight="1" s="213">
      <c r="A44" t="inlineStr">
        <is>
          <t>BASE</t>
        </is>
      </c>
      <c r="B44" t="inlineStr">
        <is>
          <t>EFF</t>
        </is>
      </c>
      <c r="C44" t="inlineStr">
        <is>
          <t>Trd_car_elc</t>
        </is>
      </c>
      <c r="D44" t="inlineStr">
        <is>
          <t>-</t>
        </is>
      </c>
      <c r="E44" t="inlineStr">
        <is>
          <t>-</t>
        </is>
      </c>
      <c r="F44" t="inlineStr">
        <is>
          <t>ANNUAL</t>
        </is>
      </c>
      <c r="G44" t="inlineStr">
        <is>
          <t>2019</t>
        </is>
      </c>
      <c r="H44" t="inlineStr">
        <is>
          <t>-</t>
        </is>
      </c>
      <c r="I44" t="inlineStr">
        <is>
          <t>-</t>
        </is>
      </c>
      <c r="J44" t="inlineStr">
        <is>
          <t>-</t>
        </is>
      </c>
      <c r="K44" t="inlineStr">
        <is>
          <t>-</t>
        </is>
      </c>
      <c r="L44" t="n">
        <v>0.932105736023111</v>
      </c>
      <c r="M44" t="n">
        <v>0.932105736023111</v>
      </c>
      <c r="N44" t="n">
        <v>0.932105736023111</v>
      </c>
      <c r="O44" t="n">
        <v>0.932105736023111</v>
      </c>
      <c r="P44" t="n">
        <v>0.932105736023111</v>
      </c>
      <c r="Q44" t="n">
        <v>0.932105736023111</v>
      </c>
      <c r="R44" t="n">
        <v>0.932105736023111</v>
      </c>
      <c r="S44" t="n">
        <v>0.932105736023111</v>
      </c>
      <c r="T44" t="n">
        <v>0.932105736023111</v>
      </c>
      <c r="U44" t="n">
        <v>0.932105736023111</v>
      </c>
      <c r="V44" t="n">
        <v>0.932105736023111</v>
      </c>
      <c r="W44" t="n">
        <v>0.932105736023111</v>
      </c>
      <c r="X44" t="n">
        <v>0.932105736023111</v>
      </c>
      <c r="Y44" t="n">
        <v>0.932105736023111</v>
      </c>
      <c r="Z44" t="n">
        <v>0.932105736023111</v>
      </c>
      <c r="AA44" t="n">
        <v>0.932105736023111</v>
      </c>
      <c r="AB44" t="n">
        <v>0.932105736023111</v>
      </c>
      <c r="AC44" t="n">
        <v>0.932105736023111</v>
      </c>
      <c r="AD44" t="n">
        <v>0.932105736023111</v>
      </c>
      <c r="AE44" t="n">
        <v>0.932105736023111</v>
      </c>
      <c r="AF44" t="n">
        <v>0.932105736023111</v>
      </c>
      <c r="AG44" t="n">
        <v>0.559263441613867</v>
      </c>
      <c r="AH44" t="n">
        <v>0.932105736023111</v>
      </c>
      <c r="AI44" t="n">
        <v>0.932105736023111</v>
      </c>
      <c r="AJ44" t="n">
        <v>0.932105736023111</v>
      </c>
      <c r="AK44" t="n">
        <v>0.932105736023111</v>
      </c>
      <c r="AL44" t="n">
        <v>0.932105736023111</v>
      </c>
      <c r="AM44" t="n">
        <v>0.932105736023111</v>
      </c>
      <c r="AN44" t="n">
        <v>0.932105736023111</v>
      </c>
      <c r="AO44" t="n">
        <v>0.932105736023111</v>
      </c>
      <c r="AP44" t="n">
        <v>0.932105736023111</v>
      </c>
      <c r="AQ44" t="n">
        <v>0.932105736023111</v>
      </c>
      <c r="AR44" t="n">
        <v>0.932105736023111</v>
      </c>
      <c r="AS44" t="n">
        <v>0.932105736023111</v>
      </c>
      <c r="AT44" t="n">
        <v>0.932105736023111</v>
      </c>
      <c r="AU44" t="inlineStr">
        <is>
          <t>-</t>
        </is>
      </c>
    </row>
    <row r="45" ht="12.5" customHeight="1" s="213">
      <c r="A45" t="inlineStr">
        <is>
          <t>BASE</t>
        </is>
      </c>
      <c r="B45" t="inlineStr">
        <is>
          <t>EFF</t>
        </is>
      </c>
      <c r="C45" t="inlineStr">
        <is>
          <t>Trd_car_eth</t>
        </is>
      </c>
      <c r="D45" t="inlineStr">
        <is>
          <t>-</t>
        </is>
      </c>
      <c r="E45" t="inlineStr">
        <is>
          <t>-</t>
        </is>
      </c>
      <c r="F45" t="inlineStr">
        <is>
          <t>ANNUAL</t>
        </is>
      </c>
      <c r="G45" t="inlineStr">
        <is>
          <t>2019</t>
        </is>
      </c>
      <c r="H45" t="inlineStr">
        <is>
          <t>-</t>
        </is>
      </c>
      <c r="I45" t="inlineStr">
        <is>
          <t>-</t>
        </is>
      </c>
      <c r="J45" t="inlineStr">
        <is>
          <t>-</t>
        </is>
      </c>
      <c r="K45" t="inlineStr">
        <is>
          <t>-</t>
        </is>
      </c>
      <c r="L45" t="n">
        <v>0.466052868011556</v>
      </c>
      <c r="M45" t="n">
        <v>0.466052868011556</v>
      </c>
      <c r="N45" t="n">
        <v>0.466052868011556</v>
      </c>
      <c r="O45" t="n">
        <v>0.466052868011556</v>
      </c>
      <c r="P45" t="n">
        <v>0.466052868011556</v>
      </c>
      <c r="Q45" t="n">
        <v>0.466052868011556</v>
      </c>
      <c r="R45" t="n">
        <v>0.466052868011556</v>
      </c>
      <c r="S45" t="n">
        <v>0.466052868011556</v>
      </c>
      <c r="T45" t="n">
        <v>0.466052868011556</v>
      </c>
      <c r="U45" t="n">
        <v>0.466052868011556</v>
      </c>
      <c r="V45" t="n">
        <v>0.466052868011556</v>
      </c>
      <c r="W45" t="n">
        <v>0.466052868011556</v>
      </c>
      <c r="X45" t="n">
        <v>0.466052868011556</v>
      </c>
      <c r="Y45" t="n">
        <v>0.466052868011556</v>
      </c>
      <c r="Z45" t="n">
        <v>0.466052868011556</v>
      </c>
      <c r="AA45" t="n">
        <v>0.466052868011556</v>
      </c>
      <c r="AB45" t="n">
        <v>0.466052868011556</v>
      </c>
      <c r="AC45" t="n">
        <v>0.466052868011556</v>
      </c>
      <c r="AD45" t="n">
        <v>0.466052868011556</v>
      </c>
      <c r="AE45" t="n">
        <v>0.466052868011556</v>
      </c>
      <c r="AF45" t="n">
        <v>0.466052868011556</v>
      </c>
      <c r="AG45" t="n">
        <v>0.279631720806933</v>
      </c>
      <c r="AH45" t="n">
        <v>0.466052868011556</v>
      </c>
      <c r="AI45" t="n">
        <v>0.466052868011556</v>
      </c>
      <c r="AJ45" t="n">
        <v>0.466052868011556</v>
      </c>
      <c r="AK45" t="n">
        <v>0.466052868011556</v>
      </c>
      <c r="AL45" t="n">
        <v>0.466052868011556</v>
      </c>
      <c r="AM45" t="n">
        <v>0.466052868011556</v>
      </c>
      <c r="AN45" t="n">
        <v>0.466052868011556</v>
      </c>
      <c r="AO45" t="n">
        <v>0.466052868011556</v>
      </c>
      <c r="AP45" t="n">
        <v>0.466052868011556</v>
      </c>
      <c r="AQ45" t="n">
        <v>0.466052868011556</v>
      </c>
      <c r="AR45" t="n">
        <v>0.466052868011556</v>
      </c>
      <c r="AS45" t="n">
        <v>0.466052868011556</v>
      </c>
      <c r="AT45" t="n">
        <v>0.466052868011556</v>
      </c>
      <c r="AU45" t="inlineStr">
        <is>
          <t>-</t>
        </is>
      </c>
    </row>
    <row r="46" ht="12.5" customHeight="1" s="213">
      <c r="A46" t="inlineStr">
        <is>
          <t>BASE</t>
        </is>
      </c>
      <c r="B46" t="inlineStr">
        <is>
          <t>EFF</t>
        </is>
      </c>
      <c r="C46" t="inlineStr">
        <is>
          <t>Trd_car_gsl</t>
        </is>
      </c>
      <c r="D46" t="inlineStr">
        <is>
          <t>-</t>
        </is>
      </c>
      <c r="E46" t="inlineStr">
        <is>
          <t>-</t>
        </is>
      </c>
      <c r="F46" t="inlineStr">
        <is>
          <t>ANNUAL</t>
        </is>
      </c>
      <c r="G46" t="inlineStr">
        <is>
          <t>2019</t>
        </is>
      </c>
      <c r="H46" t="inlineStr">
        <is>
          <t>-</t>
        </is>
      </c>
      <c r="I46" t="inlineStr">
        <is>
          <t>-</t>
        </is>
      </c>
      <c r="J46" t="inlineStr">
        <is>
          <t>-</t>
        </is>
      </c>
      <c r="K46" t="inlineStr">
        <is>
          <t>-</t>
        </is>
      </c>
      <c r="L46" t="n">
        <v>0.466052868011556</v>
      </c>
      <c r="M46" t="n">
        <v>0.466052868011556</v>
      </c>
      <c r="N46" t="n">
        <v>0.466052868011556</v>
      </c>
      <c r="O46" t="n">
        <v>0.466052868011556</v>
      </c>
      <c r="P46" t="n">
        <v>0.466052868011556</v>
      </c>
      <c r="Q46" t="n">
        <v>0.466052868011556</v>
      </c>
      <c r="R46" t="n">
        <v>0.466052868011556</v>
      </c>
      <c r="S46" t="n">
        <v>0.466052868011556</v>
      </c>
      <c r="T46" t="n">
        <v>0.466052868011556</v>
      </c>
      <c r="U46" t="n">
        <v>0.466052868011556</v>
      </c>
      <c r="V46" t="n">
        <v>0.466052868011556</v>
      </c>
      <c r="W46" t="n">
        <v>0.466052868011556</v>
      </c>
      <c r="X46" t="n">
        <v>0.466052868011556</v>
      </c>
      <c r="Y46" t="n">
        <v>0.466052868011556</v>
      </c>
      <c r="Z46" t="n">
        <v>0.466052868011556</v>
      </c>
      <c r="AA46" t="n">
        <v>0.466052868011556</v>
      </c>
      <c r="AB46" t="n">
        <v>0.466052868011556</v>
      </c>
      <c r="AC46" t="n">
        <v>0.466052868011556</v>
      </c>
      <c r="AD46" t="n">
        <v>0.466052868011556</v>
      </c>
      <c r="AE46" t="n">
        <v>0.466052868011556</v>
      </c>
      <c r="AF46" t="n">
        <v>0.466052868011556</v>
      </c>
      <c r="AG46" t="n">
        <v>0.279631720806933</v>
      </c>
      <c r="AH46" t="n">
        <v>0.466052868011556</v>
      </c>
      <c r="AI46" t="n">
        <v>0.466052868011556</v>
      </c>
      <c r="AJ46" t="n">
        <v>0.466052868011556</v>
      </c>
      <c r="AK46" t="n">
        <v>0.466052868011556</v>
      </c>
      <c r="AL46" t="n">
        <v>0.466052868011556</v>
      </c>
      <c r="AM46" t="n">
        <v>0.466052868011556</v>
      </c>
      <c r="AN46" t="n">
        <v>0.466052868011556</v>
      </c>
      <c r="AO46" t="n">
        <v>0.466052868011556</v>
      </c>
      <c r="AP46" t="n">
        <v>0.466052868011556</v>
      </c>
      <c r="AQ46" t="n">
        <v>0.466052868011556</v>
      </c>
      <c r="AR46" t="n">
        <v>0.466052868011556</v>
      </c>
      <c r="AS46" t="n">
        <v>0.466052868011556</v>
      </c>
      <c r="AT46" t="n">
        <v>0.466052868011556</v>
      </c>
      <c r="AU46" t="inlineStr">
        <is>
          <t>-</t>
        </is>
      </c>
    </row>
    <row r="47" ht="12.5" customHeight="1" s="213">
      <c r="A47" t="inlineStr">
        <is>
          <t>BASE</t>
        </is>
      </c>
      <c r="B47" t="inlineStr">
        <is>
          <t>EFF</t>
        </is>
      </c>
      <c r="C47" t="inlineStr">
        <is>
          <t>Trd_car_lpg</t>
        </is>
      </c>
      <c r="D47" t="inlineStr">
        <is>
          <t>-</t>
        </is>
      </c>
      <c r="E47" t="inlineStr">
        <is>
          <t>-</t>
        </is>
      </c>
      <c r="F47" t="inlineStr">
        <is>
          <t>ANNUAL</t>
        </is>
      </c>
      <c r="G47" t="inlineStr">
        <is>
          <t>2019</t>
        </is>
      </c>
      <c r="H47" t="inlineStr">
        <is>
          <t>-</t>
        </is>
      </c>
      <c r="I47" t="inlineStr">
        <is>
          <t>-</t>
        </is>
      </c>
      <c r="J47" t="inlineStr">
        <is>
          <t>-</t>
        </is>
      </c>
      <c r="K47" t="inlineStr">
        <is>
          <t>-</t>
        </is>
      </c>
      <c r="L47" t="n">
        <v>0.475531491178995</v>
      </c>
      <c r="M47" t="n">
        <v>0.475531491178995</v>
      </c>
      <c r="N47" t="n">
        <v>0.475531491178995</v>
      </c>
      <c r="O47" t="n">
        <v>0.475531491178995</v>
      </c>
      <c r="P47" t="n">
        <v>0.475531491178995</v>
      </c>
      <c r="Q47" t="n">
        <v>0.475531491178995</v>
      </c>
      <c r="R47" t="n">
        <v>0.475531491178995</v>
      </c>
      <c r="S47" t="n">
        <v>0.475531491178995</v>
      </c>
      <c r="T47" t="n">
        <v>0.475531491178995</v>
      </c>
      <c r="U47" t="n">
        <v>0.475531491178995</v>
      </c>
      <c r="V47" t="n">
        <v>0.475531491178995</v>
      </c>
      <c r="W47" t="n">
        <v>0.475531491178995</v>
      </c>
      <c r="X47" t="n">
        <v>0.475531491178995</v>
      </c>
      <c r="Y47" t="n">
        <v>0.475531491178995</v>
      </c>
      <c r="Z47" t="n">
        <v>0.475531491178995</v>
      </c>
      <c r="AA47" t="n">
        <v>0.475531491178995</v>
      </c>
      <c r="AB47" t="n">
        <v>0.475531491178995</v>
      </c>
      <c r="AC47" t="n">
        <v>0.475531491178995</v>
      </c>
      <c r="AD47" t="n">
        <v>0.475531491178995</v>
      </c>
      <c r="AE47" t="n">
        <v>0.475531491178995</v>
      </c>
      <c r="AF47" t="n">
        <v>0.475531491178995</v>
      </c>
      <c r="AG47" t="n">
        <v>0.285318894707397</v>
      </c>
      <c r="AH47" t="n">
        <v>0.475531491178995</v>
      </c>
      <c r="AI47" t="n">
        <v>0.475531491178995</v>
      </c>
      <c r="AJ47" t="n">
        <v>0.475531491178995</v>
      </c>
      <c r="AK47" t="n">
        <v>0.475531491178995</v>
      </c>
      <c r="AL47" t="n">
        <v>0.475531491178995</v>
      </c>
      <c r="AM47" t="n">
        <v>0.475531491178995</v>
      </c>
      <c r="AN47" t="n">
        <v>0.475531491178995</v>
      </c>
      <c r="AO47" t="n">
        <v>0.475531491178995</v>
      </c>
      <c r="AP47" t="n">
        <v>0.475531491178995</v>
      </c>
      <c r="AQ47" t="n">
        <v>0.475531491178995</v>
      </c>
      <c r="AR47" t="n">
        <v>0.475531491178995</v>
      </c>
      <c r="AS47" t="n">
        <v>0.475531491178995</v>
      </c>
      <c r="AT47" t="n">
        <v>0.475531491178995</v>
      </c>
      <c r="AU47" t="inlineStr">
        <is>
          <t>-</t>
        </is>
      </c>
    </row>
    <row r="48" ht="12.5" customHeight="1" s="213">
      <c r="A48" t="inlineStr">
        <is>
          <t>BASE</t>
        </is>
      </c>
      <c r="B48" t="inlineStr">
        <is>
          <t>EFF</t>
        </is>
      </c>
      <c r="C48" t="inlineStr">
        <is>
          <t>Trd_car_nga</t>
        </is>
      </c>
      <c r="D48" t="inlineStr">
        <is>
          <t>-</t>
        </is>
      </c>
      <c r="E48" t="inlineStr">
        <is>
          <t>-</t>
        </is>
      </c>
      <c r="F48" t="inlineStr">
        <is>
          <t>ANNUAL</t>
        </is>
      </c>
      <c r="G48" t="inlineStr">
        <is>
          <t>2019</t>
        </is>
      </c>
      <c r="H48" t="inlineStr">
        <is>
          <t>-</t>
        </is>
      </c>
      <c r="I48" t="inlineStr">
        <is>
          <t>-</t>
        </is>
      </c>
      <c r="J48" t="inlineStr">
        <is>
          <t>-</t>
        </is>
      </c>
      <c r="K48" t="inlineStr">
        <is>
          <t>-</t>
        </is>
      </c>
      <c r="L48" t="n">
        <v>0.429345439465179</v>
      </c>
      <c r="M48" t="n">
        <v>0.429345439465179</v>
      </c>
      <c r="N48" t="n">
        <v>0.429345439465179</v>
      </c>
      <c r="O48" t="n">
        <v>0.429345439465179</v>
      </c>
      <c r="P48" t="n">
        <v>0.429345439465179</v>
      </c>
      <c r="Q48" t="n">
        <v>0.429345439465179</v>
      </c>
      <c r="R48" t="n">
        <v>0.429345439465179</v>
      </c>
      <c r="S48" t="n">
        <v>0.429345439465179</v>
      </c>
      <c r="T48" t="n">
        <v>0.429345439465179</v>
      </c>
      <c r="U48" t="n">
        <v>0.429345439465179</v>
      </c>
      <c r="V48" t="n">
        <v>0.429345439465179</v>
      </c>
      <c r="W48" t="n">
        <v>0.429345439465179</v>
      </c>
      <c r="X48" t="n">
        <v>0.429345439465179</v>
      </c>
      <c r="Y48" t="n">
        <v>0.429345439465179</v>
      </c>
      <c r="Z48" t="n">
        <v>0.429345439465179</v>
      </c>
      <c r="AA48" t="n">
        <v>0.429345439465179</v>
      </c>
      <c r="AB48" t="n">
        <v>0.429345439465179</v>
      </c>
      <c r="AC48" t="n">
        <v>0.429345439465179</v>
      </c>
      <c r="AD48" t="n">
        <v>0.429345439465179</v>
      </c>
      <c r="AE48" t="n">
        <v>0.429345439465179</v>
      </c>
      <c r="AF48" t="n">
        <v>0.429345439465179</v>
      </c>
      <c r="AG48" t="n">
        <v>0.257607263679107</v>
      </c>
      <c r="AH48" t="n">
        <v>0.429345439465179</v>
      </c>
      <c r="AI48" t="n">
        <v>0.429345439465179</v>
      </c>
      <c r="AJ48" t="n">
        <v>0.429345439465179</v>
      </c>
      <c r="AK48" t="n">
        <v>0.429345439465179</v>
      </c>
      <c r="AL48" t="n">
        <v>0.429345439465179</v>
      </c>
      <c r="AM48" t="n">
        <v>0.429345439465179</v>
      </c>
      <c r="AN48" t="n">
        <v>0.429345439465179</v>
      </c>
      <c r="AO48" t="n">
        <v>0.429345439465179</v>
      </c>
      <c r="AP48" t="n">
        <v>0.429345439465179</v>
      </c>
      <c r="AQ48" t="n">
        <v>0.429345439465179</v>
      </c>
      <c r="AR48" t="n">
        <v>0.429345439465179</v>
      </c>
      <c r="AS48" t="n">
        <v>0.429345439465179</v>
      </c>
      <c r="AT48" t="n">
        <v>0.429345439465179</v>
      </c>
      <c r="AU48" t="inlineStr">
        <is>
          <t>-</t>
        </is>
      </c>
    </row>
    <row r="49" ht="12.5" customHeight="1" s="213">
      <c r="A49" t="inlineStr">
        <is>
          <t>BASE</t>
        </is>
      </c>
      <c r="B49" t="inlineStr">
        <is>
          <t>EFF</t>
        </is>
      </c>
      <c r="C49" t="inlineStr">
        <is>
          <t>Trd_hdt_bdl</t>
        </is>
      </c>
      <c r="D49" t="inlineStr">
        <is>
          <t>-</t>
        </is>
      </c>
      <c r="E49" t="inlineStr">
        <is>
          <t>-</t>
        </is>
      </c>
      <c r="F49" t="inlineStr">
        <is>
          <t>ANNUAL</t>
        </is>
      </c>
      <c r="G49" t="inlineStr">
        <is>
          <t>2019</t>
        </is>
      </c>
      <c r="H49" t="inlineStr">
        <is>
          <t>-</t>
        </is>
      </c>
      <c r="I49" t="inlineStr">
        <is>
          <t>-</t>
        </is>
      </c>
      <c r="J49" t="inlineStr">
        <is>
          <t>-</t>
        </is>
      </c>
      <c r="K49" t="inlineStr">
        <is>
          <t>-</t>
        </is>
      </c>
      <c r="L49" t="n">
        <v>0.139365903767697</v>
      </c>
      <c r="M49" t="n">
        <v>0.139365903767697</v>
      </c>
      <c r="N49" t="n">
        <v>0.139365903767697</v>
      </c>
      <c r="O49" t="n">
        <v>0.139365903767697</v>
      </c>
      <c r="P49" t="n">
        <v>0.139365903767697</v>
      </c>
      <c r="Q49" t="n">
        <v>0.139365903767697</v>
      </c>
      <c r="R49" t="n">
        <v>0.139365903767697</v>
      </c>
      <c r="S49" t="n">
        <v>0.139365903767697</v>
      </c>
      <c r="T49" t="n">
        <v>0.139365903767697</v>
      </c>
      <c r="U49" t="n">
        <v>0.139365903767697</v>
      </c>
      <c r="V49" t="n">
        <v>0.139365903767697</v>
      </c>
      <c r="W49" t="n">
        <v>0.139365903767697</v>
      </c>
      <c r="X49" t="n">
        <v>0.139365903767697</v>
      </c>
      <c r="Y49" t="n">
        <v>0.139365903767697</v>
      </c>
      <c r="Z49" t="n">
        <v>0.139365903767697</v>
      </c>
      <c r="AA49" t="n">
        <v>0.139365903767697</v>
      </c>
      <c r="AB49" t="n">
        <v>0.139365903767697</v>
      </c>
      <c r="AC49" t="n">
        <v>0.139365903767697</v>
      </c>
      <c r="AD49" t="n">
        <v>0.139365903767697</v>
      </c>
      <c r="AE49" t="n">
        <v>0.139365903767697</v>
      </c>
      <c r="AF49" t="n">
        <v>0.139365903767697</v>
      </c>
      <c r="AG49" t="n">
        <v>0.139365903767697</v>
      </c>
      <c r="AH49" t="n">
        <v>0.139365903767697</v>
      </c>
      <c r="AI49" t="n">
        <v>0.139365903767697</v>
      </c>
      <c r="AJ49" t="n">
        <v>0.139365903767697</v>
      </c>
      <c r="AK49" t="n">
        <v>0.139365903767697</v>
      </c>
      <c r="AL49" t="n">
        <v>0.139365903767697</v>
      </c>
      <c r="AM49" t="n">
        <v>0.139365903767697</v>
      </c>
      <c r="AN49" t="n">
        <v>0.139365903767697</v>
      </c>
      <c r="AO49" t="n">
        <v>0.139365903767697</v>
      </c>
      <c r="AP49" t="n">
        <v>0.139365903767697</v>
      </c>
      <c r="AQ49" t="n">
        <v>0.139365903767697</v>
      </c>
      <c r="AR49" t="n">
        <v>0.139365903767697</v>
      </c>
      <c r="AS49" t="n">
        <v>0.139365903767697</v>
      </c>
      <c r="AT49" t="n">
        <v>0.139365903767697</v>
      </c>
      <c r="AU49" t="inlineStr">
        <is>
          <t>-</t>
        </is>
      </c>
    </row>
    <row r="50" ht="12.5" customHeight="1" s="213">
      <c r="A50" t="inlineStr">
        <is>
          <t>BASE</t>
        </is>
      </c>
      <c r="B50" t="inlineStr">
        <is>
          <t>EFF</t>
        </is>
      </c>
      <c r="C50" t="inlineStr">
        <is>
          <t>Trd_hdt_dsl</t>
        </is>
      </c>
      <c r="D50" t="inlineStr">
        <is>
          <t>-</t>
        </is>
      </c>
      <c r="E50" t="inlineStr">
        <is>
          <t>-</t>
        </is>
      </c>
      <c r="F50" t="inlineStr">
        <is>
          <t>ANNUAL</t>
        </is>
      </c>
      <c r="G50" t="inlineStr">
        <is>
          <t>2019</t>
        </is>
      </c>
      <c r="H50" t="inlineStr">
        <is>
          <t>-</t>
        </is>
      </c>
      <c r="I50" t="inlineStr">
        <is>
          <t>-</t>
        </is>
      </c>
      <c r="J50" t="inlineStr">
        <is>
          <t>-</t>
        </is>
      </c>
      <c r="K50" t="inlineStr">
        <is>
          <t>-</t>
        </is>
      </c>
      <c r="L50" t="n">
        <v>0.139365903767697</v>
      </c>
      <c r="M50" t="n">
        <v>0.139365903767697</v>
      </c>
      <c r="N50" t="n">
        <v>0.139365903767697</v>
      </c>
      <c r="O50" t="n">
        <v>0.139365903767697</v>
      </c>
      <c r="P50" t="n">
        <v>0.139365903767697</v>
      </c>
      <c r="Q50" t="n">
        <v>0.139365903767697</v>
      </c>
      <c r="R50" t="n">
        <v>0.139365903767697</v>
      </c>
      <c r="S50" t="n">
        <v>0.139365903767697</v>
      </c>
      <c r="T50" t="n">
        <v>0.139365903767697</v>
      </c>
      <c r="U50" t="n">
        <v>0.139365903767697</v>
      </c>
      <c r="V50" t="n">
        <v>0.139365903767697</v>
      </c>
      <c r="W50" t="n">
        <v>0.139365903767697</v>
      </c>
      <c r="X50" t="n">
        <v>0.139365903767697</v>
      </c>
      <c r="Y50" t="n">
        <v>0.139365903767697</v>
      </c>
      <c r="Z50" t="n">
        <v>0.139365903767697</v>
      </c>
      <c r="AA50" t="n">
        <v>0.139365903767697</v>
      </c>
      <c r="AB50" t="n">
        <v>0.139365903767697</v>
      </c>
      <c r="AC50" t="n">
        <v>0.139365903767697</v>
      </c>
      <c r="AD50" t="n">
        <v>0.139365903767697</v>
      </c>
      <c r="AE50" t="n">
        <v>0.139365903767697</v>
      </c>
      <c r="AF50" t="n">
        <v>0.139365903767697</v>
      </c>
      <c r="AG50" t="n">
        <v>0.139365903767697</v>
      </c>
      <c r="AH50" t="n">
        <v>0.139365903767697</v>
      </c>
      <c r="AI50" t="n">
        <v>0.139365903767697</v>
      </c>
      <c r="AJ50" t="n">
        <v>0.139365903767697</v>
      </c>
      <c r="AK50" t="n">
        <v>0.139365903767697</v>
      </c>
      <c r="AL50" t="n">
        <v>0.139365903767697</v>
      </c>
      <c r="AM50" t="n">
        <v>0.139365903767697</v>
      </c>
      <c r="AN50" t="n">
        <v>0.139365903767697</v>
      </c>
      <c r="AO50" t="n">
        <v>0.139365903767697</v>
      </c>
      <c r="AP50" t="n">
        <v>0.139365903767697</v>
      </c>
      <c r="AQ50" t="n">
        <v>0.139365903767697</v>
      </c>
      <c r="AR50" t="n">
        <v>0.139365903767697</v>
      </c>
      <c r="AS50" t="n">
        <v>0.139365903767697</v>
      </c>
      <c r="AT50" t="n">
        <v>0.139365903767697</v>
      </c>
      <c r="AU50" t="inlineStr">
        <is>
          <t>-</t>
        </is>
      </c>
    </row>
    <row r="51" ht="12.5" customHeight="1" s="213">
      <c r="A51" t="inlineStr">
        <is>
          <t>BASE</t>
        </is>
      </c>
      <c r="B51" t="inlineStr">
        <is>
          <t>EFF</t>
        </is>
      </c>
      <c r="C51" t="inlineStr">
        <is>
          <t>Trd_hdt_gsl</t>
        </is>
      </c>
      <c r="D51" t="inlineStr">
        <is>
          <t>-</t>
        </is>
      </c>
      <c r="E51" t="inlineStr">
        <is>
          <t>-</t>
        </is>
      </c>
      <c r="F51" t="inlineStr">
        <is>
          <t>ANNUAL</t>
        </is>
      </c>
      <c r="G51" t="inlineStr">
        <is>
          <t>2019</t>
        </is>
      </c>
      <c r="H51" t="inlineStr">
        <is>
          <t>-</t>
        </is>
      </c>
      <c r="I51" t="inlineStr">
        <is>
          <t>-</t>
        </is>
      </c>
      <c r="J51" t="inlineStr">
        <is>
          <t>-</t>
        </is>
      </c>
      <c r="K51" t="inlineStr">
        <is>
          <t>-</t>
        </is>
      </c>
      <c r="L51" t="n">
        <v>0.139365903767697</v>
      </c>
      <c r="M51" t="n">
        <v>0.139365903767697</v>
      </c>
      <c r="N51" t="n">
        <v>0.139365903767697</v>
      </c>
      <c r="O51" t="n">
        <v>0.139365903767697</v>
      </c>
      <c r="P51" t="n">
        <v>0.139365903767697</v>
      </c>
      <c r="Q51" t="n">
        <v>0.139365903767697</v>
      </c>
      <c r="R51" t="n">
        <v>0.139365903767697</v>
      </c>
      <c r="S51" t="n">
        <v>0.139365903767697</v>
      </c>
      <c r="T51" t="n">
        <v>0.139365903767697</v>
      </c>
      <c r="U51" t="n">
        <v>0.139365903767697</v>
      </c>
      <c r="V51" t="n">
        <v>0.139365903767697</v>
      </c>
      <c r="W51" t="n">
        <v>0.139365903767697</v>
      </c>
      <c r="X51" t="n">
        <v>0.139365903767697</v>
      </c>
      <c r="Y51" t="n">
        <v>0.139365903767697</v>
      </c>
      <c r="Z51" t="n">
        <v>0.139365903767697</v>
      </c>
      <c r="AA51" t="n">
        <v>0.139365903767697</v>
      </c>
      <c r="AB51" t="n">
        <v>0.139365903767697</v>
      </c>
      <c r="AC51" t="n">
        <v>0.139365903767697</v>
      </c>
      <c r="AD51" t="n">
        <v>0.139365903767697</v>
      </c>
      <c r="AE51" t="n">
        <v>0.139365903767697</v>
      </c>
      <c r="AF51" t="n">
        <v>0.139365903767697</v>
      </c>
      <c r="AG51" t="n">
        <v>0.139365903767697</v>
      </c>
      <c r="AH51" t="n">
        <v>0.139365903767697</v>
      </c>
      <c r="AI51" t="n">
        <v>0.139365903767697</v>
      </c>
      <c r="AJ51" t="n">
        <v>0.139365903767697</v>
      </c>
      <c r="AK51" t="n">
        <v>0.139365903767697</v>
      </c>
      <c r="AL51" t="n">
        <v>0.139365903767697</v>
      </c>
      <c r="AM51" t="n">
        <v>0.139365903767697</v>
      </c>
      <c r="AN51" t="n">
        <v>0.139365903767697</v>
      </c>
      <c r="AO51" t="n">
        <v>0.139365903767697</v>
      </c>
      <c r="AP51" t="n">
        <v>0.139365903767697</v>
      </c>
      <c r="AQ51" t="n">
        <v>0.139365903767697</v>
      </c>
      <c r="AR51" t="n">
        <v>0.139365903767697</v>
      </c>
      <c r="AS51" t="n">
        <v>0.139365903767697</v>
      </c>
      <c r="AT51" t="n">
        <v>0.139365903767697</v>
      </c>
      <c r="AU51" t="inlineStr">
        <is>
          <t>-</t>
        </is>
      </c>
    </row>
    <row r="52" ht="12.5" customHeight="1" s="213">
      <c r="A52" t="inlineStr">
        <is>
          <t>BASE</t>
        </is>
      </c>
      <c r="B52" t="inlineStr">
        <is>
          <t>EFF</t>
        </is>
      </c>
      <c r="C52" t="inlineStr">
        <is>
          <t>Trd_lcv_bdl</t>
        </is>
      </c>
      <c r="D52" t="inlineStr">
        <is>
          <t>-</t>
        </is>
      </c>
      <c r="E52" t="inlineStr">
        <is>
          <t>-</t>
        </is>
      </c>
      <c r="F52" t="inlineStr">
        <is>
          <t>ANNUAL</t>
        </is>
      </c>
      <c r="G52" t="inlineStr">
        <is>
          <t>2019</t>
        </is>
      </c>
      <c r="H52" t="inlineStr">
        <is>
          <t>-</t>
        </is>
      </c>
      <c r="I52" t="inlineStr">
        <is>
          <t>-</t>
        </is>
      </c>
      <c r="J52" t="inlineStr">
        <is>
          <t>-</t>
        </is>
      </c>
      <c r="K52" t="inlineStr">
        <is>
          <t>-</t>
        </is>
      </c>
      <c r="L52" t="n">
        <v>0.379626024625345</v>
      </c>
      <c r="M52" t="n">
        <v>0.379626024625345</v>
      </c>
      <c r="N52" t="n">
        <v>0.379626024625345</v>
      </c>
      <c r="O52" t="n">
        <v>0.379626024625345</v>
      </c>
      <c r="P52" t="n">
        <v>0.379626024625345</v>
      </c>
      <c r="Q52" t="n">
        <v>0.379626024625345</v>
      </c>
      <c r="R52" t="n">
        <v>0.379626024625345</v>
      </c>
      <c r="S52" t="n">
        <v>0.379626024625345</v>
      </c>
      <c r="T52" t="n">
        <v>0.379626024625345</v>
      </c>
      <c r="U52" t="n">
        <v>0.379626024625345</v>
      </c>
      <c r="V52" t="n">
        <v>0.379626024625345</v>
      </c>
      <c r="W52" t="n">
        <v>0.379626024625345</v>
      </c>
      <c r="X52" t="n">
        <v>0.379626024625345</v>
      </c>
      <c r="Y52" t="n">
        <v>0.379626024625345</v>
      </c>
      <c r="Z52" t="n">
        <v>0.379626024625345</v>
      </c>
      <c r="AA52" t="n">
        <v>0.379626024625345</v>
      </c>
      <c r="AB52" t="n">
        <v>0.379626024625345</v>
      </c>
      <c r="AC52" t="n">
        <v>0.379626024625345</v>
      </c>
      <c r="AD52" t="n">
        <v>0.379626024625345</v>
      </c>
      <c r="AE52" t="n">
        <v>0.379626024625345</v>
      </c>
      <c r="AF52" t="n">
        <v>0.379626024625345</v>
      </c>
      <c r="AG52" t="n">
        <v>0.379626024625345</v>
      </c>
      <c r="AH52" t="n">
        <v>0.379626024625345</v>
      </c>
      <c r="AI52" t="n">
        <v>0.379626024625345</v>
      </c>
      <c r="AJ52" t="n">
        <v>0.379626024625345</v>
      </c>
      <c r="AK52" t="n">
        <v>0.379626024625345</v>
      </c>
      <c r="AL52" t="n">
        <v>0.379626024625345</v>
      </c>
      <c r="AM52" t="n">
        <v>0.379626024625345</v>
      </c>
      <c r="AN52" t="n">
        <v>0.379626024625345</v>
      </c>
      <c r="AO52" t="n">
        <v>0.379626024625345</v>
      </c>
      <c r="AP52" t="n">
        <v>0.379626024625345</v>
      </c>
      <c r="AQ52" t="n">
        <v>0.379626024625345</v>
      </c>
      <c r="AR52" t="n">
        <v>0.379626024625345</v>
      </c>
      <c r="AS52" t="n">
        <v>0.379626024625345</v>
      </c>
      <c r="AT52" t="n">
        <v>0.379626024625345</v>
      </c>
      <c r="AU52" t="inlineStr">
        <is>
          <t>-</t>
        </is>
      </c>
    </row>
    <row r="53" ht="12.5" customHeight="1" s="213">
      <c r="A53" t="inlineStr">
        <is>
          <t>BASE</t>
        </is>
      </c>
      <c r="B53" t="inlineStr">
        <is>
          <t>EFF</t>
        </is>
      </c>
      <c r="C53" t="inlineStr">
        <is>
          <t>Trd_lcv_dsl</t>
        </is>
      </c>
      <c r="D53" t="inlineStr">
        <is>
          <t>-</t>
        </is>
      </c>
      <c r="E53" t="inlineStr">
        <is>
          <t>-</t>
        </is>
      </c>
      <c r="F53" t="inlineStr">
        <is>
          <t>ANNUAL</t>
        </is>
      </c>
      <c r="G53" t="inlineStr">
        <is>
          <t>2019</t>
        </is>
      </c>
      <c r="H53" t="inlineStr">
        <is>
          <t>-</t>
        </is>
      </c>
      <c r="I53" t="inlineStr">
        <is>
          <t>-</t>
        </is>
      </c>
      <c r="J53" t="inlineStr">
        <is>
          <t>-</t>
        </is>
      </c>
      <c r="K53" t="inlineStr">
        <is>
          <t>-</t>
        </is>
      </c>
      <c r="L53" t="n">
        <v>0.379626024625345</v>
      </c>
      <c r="M53" t="n">
        <v>0.379626024625345</v>
      </c>
      <c r="N53" t="n">
        <v>0.379626024625345</v>
      </c>
      <c r="O53" t="n">
        <v>0.379626024625345</v>
      </c>
      <c r="P53" t="n">
        <v>0.379626024625345</v>
      </c>
      <c r="Q53" t="n">
        <v>0.379626024625345</v>
      </c>
      <c r="R53" t="n">
        <v>0.379626024625345</v>
      </c>
      <c r="S53" t="n">
        <v>0.379626024625345</v>
      </c>
      <c r="T53" t="n">
        <v>0.379626024625345</v>
      </c>
      <c r="U53" t="n">
        <v>0.379626024625345</v>
      </c>
      <c r="V53" t="n">
        <v>0.379626024625345</v>
      </c>
      <c r="W53" t="n">
        <v>0.379626024625345</v>
      </c>
      <c r="X53" t="n">
        <v>0.379626024625345</v>
      </c>
      <c r="Y53" t="n">
        <v>0.379626024625345</v>
      </c>
      <c r="Z53" t="n">
        <v>0.379626024625345</v>
      </c>
      <c r="AA53" t="n">
        <v>0.379626024625345</v>
      </c>
      <c r="AB53" t="n">
        <v>0.379626024625345</v>
      </c>
      <c r="AC53" t="n">
        <v>0.379626024625345</v>
      </c>
      <c r="AD53" t="n">
        <v>0.379626024625345</v>
      </c>
      <c r="AE53" t="n">
        <v>0.379626024625345</v>
      </c>
      <c r="AF53" t="n">
        <v>0.379626024625345</v>
      </c>
      <c r="AG53" t="n">
        <v>0.379626024625345</v>
      </c>
      <c r="AH53" t="n">
        <v>0.379626024625345</v>
      </c>
      <c r="AI53" t="n">
        <v>0.379626024625345</v>
      </c>
      <c r="AJ53" t="n">
        <v>0.379626024625345</v>
      </c>
      <c r="AK53" t="n">
        <v>0.379626024625345</v>
      </c>
      <c r="AL53" t="n">
        <v>0.379626024625345</v>
      </c>
      <c r="AM53" t="n">
        <v>0.379626024625345</v>
      </c>
      <c r="AN53" t="n">
        <v>0.379626024625345</v>
      </c>
      <c r="AO53" t="n">
        <v>0.379626024625345</v>
      </c>
      <c r="AP53" t="n">
        <v>0.379626024625345</v>
      </c>
      <c r="AQ53" t="n">
        <v>0.379626024625345</v>
      </c>
      <c r="AR53" t="n">
        <v>0.379626024625345</v>
      </c>
      <c r="AS53" t="n">
        <v>0.379626024625345</v>
      </c>
      <c r="AT53" t="n">
        <v>0.379626024625345</v>
      </c>
      <c r="AU53" t="inlineStr">
        <is>
          <t>-</t>
        </is>
      </c>
    </row>
    <row r="54" ht="12.5" customHeight="1" s="213">
      <c r="A54" t="inlineStr">
        <is>
          <t>BASE</t>
        </is>
      </c>
      <c r="B54" t="inlineStr">
        <is>
          <t>EFF</t>
        </is>
      </c>
      <c r="C54" t="inlineStr">
        <is>
          <t>Trd_lcv_elc</t>
        </is>
      </c>
      <c r="D54" t="inlineStr">
        <is>
          <t>-</t>
        </is>
      </c>
      <c r="E54" t="inlineStr">
        <is>
          <t>-</t>
        </is>
      </c>
      <c r="F54" t="inlineStr">
        <is>
          <t>ANNUAL</t>
        </is>
      </c>
      <c r="G54" t="inlineStr">
        <is>
          <t>2019</t>
        </is>
      </c>
      <c r="H54" t="inlineStr">
        <is>
          <t>-</t>
        </is>
      </c>
      <c r="I54" t="inlineStr">
        <is>
          <t>-</t>
        </is>
      </c>
      <c r="J54" t="inlineStr">
        <is>
          <t>-</t>
        </is>
      </c>
      <c r="K54" t="inlineStr">
        <is>
          <t>-</t>
        </is>
      </c>
      <c r="L54" t="n">
        <v>0.745426473864409</v>
      </c>
      <c r="M54" t="n">
        <v>0.745426473864409</v>
      </c>
      <c r="N54" t="n">
        <v>0.745426473864409</v>
      </c>
      <c r="O54" t="n">
        <v>0.745426473864409</v>
      </c>
      <c r="P54" t="n">
        <v>0.745426473864409</v>
      </c>
      <c r="Q54" t="n">
        <v>0.745426473864409</v>
      </c>
      <c r="R54" t="n">
        <v>0.745426473864409</v>
      </c>
      <c r="S54" t="n">
        <v>0.745426473864409</v>
      </c>
      <c r="T54" t="n">
        <v>0.745426473864409</v>
      </c>
      <c r="U54" t="n">
        <v>0.745426473864409</v>
      </c>
      <c r="V54" t="n">
        <v>0.745426473864409</v>
      </c>
      <c r="W54" t="n">
        <v>0.745426473864409</v>
      </c>
      <c r="X54" t="n">
        <v>0.745426473864409</v>
      </c>
      <c r="Y54" t="n">
        <v>0.745426473864409</v>
      </c>
      <c r="Z54" t="n">
        <v>0.745426473864409</v>
      </c>
      <c r="AA54" t="n">
        <v>0.745426473864409</v>
      </c>
      <c r="AB54" t="n">
        <v>0.745426473864409</v>
      </c>
      <c r="AC54" t="n">
        <v>0.745426473864409</v>
      </c>
      <c r="AD54" t="n">
        <v>0.745426473864409</v>
      </c>
      <c r="AE54" t="n">
        <v>0.745426473864409</v>
      </c>
      <c r="AF54" t="n">
        <v>0.745426473864409</v>
      </c>
      <c r="AG54" t="n">
        <v>0.745426473864409</v>
      </c>
      <c r="AH54" t="n">
        <v>0.745426473864409</v>
      </c>
      <c r="AI54" t="n">
        <v>0.745426473864409</v>
      </c>
      <c r="AJ54" t="n">
        <v>0.745426473864409</v>
      </c>
      <c r="AK54" t="n">
        <v>0.745426473864409</v>
      </c>
      <c r="AL54" t="n">
        <v>0.745426473864409</v>
      </c>
      <c r="AM54" t="n">
        <v>0.745426473864409</v>
      </c>
      <c r="AN54" t="n">
        <v>0.745426473864409</v>
      </c>
      <c r="AO54" t="n">
        <v>0.745426473864409</v>
      </c>
      <c r="AP54" t="n">
        <v>0.745426473864409</v>
      </c>
      <c r="AQ54" t="n">
        <v>0.745426473864409</v>
      </c>
      <c r="AR54" t="n">
        <v>0.745426473864409</v>
      </c>
      <c r="AS54" t="n">
        <v>0.745426473864409</v>
      </c>
      <c r="AT54" t="n">
        <v>0.745426473864409</v>
      </c>
      <c r="AU54" t="inlineStr">
        <is>
          <t>-</t>
        </is>
      </c>
    </row>
    <row r="55" ht="12.5" customHeight="1" s="213">
      <c r="A55" t="inlineStr">
        <is>
          <t>BASE</t>
        </is>
      </c>
      <c r="B55" t="inlineStr">
        <is>
          <t>EFF</t>
        </is>
      </c>
      <c r="C55" t="inlineStr">
        <is>
          <t>Trd_lcv_gsl</t>
        </is>
      </c>
      <c r="D55" t="inlineStr">
        <is>
          <t>-</t>
        </is>
      </c>
      <c r="E55" t="inlineStr">
        <is>
          <t>-</t>
        </is>
      </c>
      <c r="F55" t="inlineStr">
        <is>
          <t>ANNUAL</t>
        </is>
      </c>
      <c r="G55" t="inlineStr">
        <is>
          <t>2019</t>
        </is>
      </c>
      <c r="H55" t="inlineStr">
        <is>
          <t>-</t>
        </is>
      </c>
      <c r="I55" t="inlineStr">
        <is>
          <t>-</t>
        </is>
      </c>
      <c r="J55" t="inlineStr">
        <is>
          <t>-</t>
        </is>
      </c>
      <c r="K55" t="inlineStr">
        <is>
          <t>-</t>
        </is>
      </c>
      <c r="L55" t="n">
        <v>0.372713236932204</v>
      </c>
      <c r="M55" t="n">
        <v>0.372713236932204</v>
      </c>
      <c r="N55" t="n">
        <v>0.372713236932204</v>
      </c>
      <c r="O55" t="n">
        <v>0.372713236932204</v>
      </c>
      <c r="P55" t="n">
        <v>0.372713236932204</v>
      </c>
      <c r="Q55" t="n">
        <v>0.372713236932204</v>
      </c>
      <c r="R55" t="n">
        <v>0.372713236932204</v>
      </c>
      <c r="S55" t="n">
        <v>0.372713236932204</v>
      </c>
      <c r="T55" t="n">
        <v>0.372713236932204</v>
      </c>
      <c r="U55" t="n">
        <v>0.372713236932204</v>
      </c>
      <c r="V55" t="n">
        <v>0.372713236932204</v>
      </c>
      <c r="W55" t="n">
        <v>0.372713236932204</v>
      </c>
      <c r="X55" t="n">
        <v>0.372713236932204</v>
      </c>
      <c r="Y55" t="n">
        <v>0.372713236932204</v>
      </c>
      <c r="Z55" t="n">
        <v>0.372713236932204</v>
      </c>
      <c r="AA55" t="n">
        <v>0.372713236932204</v>
      </c>
      <c r="AB55" t="n">
        <v>0.372713236932204</v>
      </c>
      <c r="AC55" t="n">
        <v>0.372713236932204</v>
      </c>
      <c r="AD55" t="n">
        <v>0.372713236932204</v>
      </c>
      <c r="AE55" t="n">
        <v>0.372713236932204</v>
      </c>
      <c r="AF55" t="n">
        <v>0.372713236932204</v>
      </c>
      <c r="AG55" t="n">
        <v>0.372713236932204</v>
      </c>
      <c r="AH55" t="n">
        <v>0.372713236932204</v>
      </c>
      <c r="AI55" t="n">
        <v>0.372713236932204</v>
      </c>
      <c r="AJ55" t="n">
        <v>0.372713236932204</v>
      </c>
      <c r="AK55" t="n">
        <v>0.372713236932204</v>
      </c>
      <c r="AL55" t="n">
        <v>0.372713236932204</v>
      </c>
      <c r="AM55" t="n">
        <v>0.372713236932204</v>
      </c>
      <c r="AN55" t="n">
        <v>0.372713236932204</v>
      </c>
      <c r="AO55" t="n">
        <v>0.372713236932204</v>
      </c>
      <c r="AP55" t="n">
        <v>0.372713236932204</v>
      </c>
      <c r="AQ55" t="n">
        <v>0.372713236932204</v>
      </c>
      <c r="AR55" t="n">
        <v>0.372713236932204</v>
      </c>
      <c r="AS55" t="n">
        <v>0.372713236932204</v>
      </c>
      <c r="AT55" t="n">
        <v>0.372713236932204</v>
      </c>
      <c r="AU55" t="inlineStr">
        <is>
          <t>-</t>
        </is>
      </c>
    </row>
    <row r="56" ht="12.5" customHeight="1" s="213">
      <c r="A56" t="inlineStr">
        <is>
          <t>BASE</t>
        </is>
      </c>
      <c r="B56" t="inlineStr">
        <is>
          <t>EFF</t>
        </is>
      </c>
      <c r="C56" t="inlineStr">
        <is>
          <t>Trd_lcv_lpg</t>
        </is>
      </c>
      <c r="D56" t="inlineStr">
        <is>
          <t>-</t>
        </is>
      </c>
      <c r="E56" t="inlineStr">
        <is>
          <t>-</t>
        </is>
      </c>
      <c r="F56" t="inlineStr">
        <is>
          <t>ANNUAL</t>
        </is>
      </c>
      <c r="G56" t="inlineStr">
        <is>
          <t>2019</t>
        </is>
      </c>
      <c r="H56" t="inlineStr">
        <is>
          <t>-</t>
        </is>
      </c>
      <c r="I56" t="inlineStr">
        <is>
          <t>-</t>
        </is>
      </c>
      <c r="J56" t="inlineStr">
        <is>
          <t>-</t>
        </is>
      </c>
      <c r="K56" t="inlineStr">
        <is>
          <t>-</t>
        </is>
      </c>
      <c r="L56" t="n">
        <v>0.440757335287194</v>
      </c>
      <c r="M56" t="n">
        <v>0.440757335287194</v>
      </c>
      <c r="N56" t="n">
        <v>0.440757335287194</v>
      </c>
      <c r="O56" t="n">
        <v>0.440757335287194</v>
      </c>
      <c r="P56" t="n">
        <v>0.440757335287194</v>
      </c>
      <c r="Q56" t="n">
        <v>0.440757335287194</v>
      </c>
      <c r="R56" t="n">
        <v>0.440757335287194</v>
      </c>
      <c r="S56" t="n">
        <v>0.440757335287194</v>
      </c>
      <c r="T56" t="n">
        <v>0.440757335287194</v>
      </c>
      <c r="U56" t="n">
        <v>0.440757335287194</v>
      </c>
      <c r="V56" t="n">
        <v>0.440757335287194</v>
      </c>
      <c r="W56" t="n">
        <v>0.440757335287194</v>
      </c>
      <c r="X56" t="n">
        <v>0.440757335287194</v>
      </c>
      <c r="Y56" t="n">
        <v>0.440757335287194</v>
      </c>
      <c r="Z56" t="n">
        <v>0.440757335287194</v>
      </c>
      <c r="AA56" t="n">
        <v>0.440757335287194</v>
      </c>
      <c r="AB56" t="n">
        <v>0.440757335287194</v>
      </c>
      <c r="AC56" t="n">
        <v>0.440757335287194</v>
      </c>
      <c r="AD56" t="n">
        <v>0.440757335287194</v>
      </c>
      <c r="AE56" t="n">
        <v>0.440757335287194</v>
      </c>
      <c r="AF56" t="n">
        <v>0.440757335287194</v>
      </c>
      <c r="AG56" t="n">
        <v>0.440757335287194</v>
      </c>
      <c r="AH56" t="n">
        <v>0.440757335287194</v>
      </c>
      <c r="AI56" t="n">
        <v>0.440757335287194</v>
      </c>
      <c r="AJ56" t="n">
        <v>0.440757335287194</v>
      </c>
      <c r="AK56" t="n">
        <v>0.440757335287194</v>
      </c>
      <c r="AL56" t="n">
        <v>0.440757335287194</v>
      </c>
      <c r="AM56" t="n">
        <v>0.440757335287194</v>
      </c>
      <c r="AN56" t="n">
        <v>0.440757335287194</v>
      </c>
      <c r="AO56" t="n">
        <v>0.440757335287194</v>
      </c>
      <c r="AP56" t="n">
        <v>0.440757335287194</v>
      </c>
      <c r="AQ56" t="n">
        <v>0.440757335287194</v>
      </c>
      <c r="AR56" t="n">
        <v>0.440757335287194</v>
      </c>
      <c r="AS56" t="n">
        <v>0.440757335287194</v>
      </c>
      <c r="AT56" t="n">
        <v>0.440757335287194</v>
      </c>
      <c r="AU56" t="inlineStr">
        <is>
          <t>-</t>
        </is>
      </c>
    </row>
    <row r="57" ht="12.5" customHeight="1" s="213">
      <c r="A57" t="inlineStr">
        <is>
          <t>BASE</t>
        </is>
      </c>
      <c r="B57" t="inlineStr">
        <is>
          <t>EFF</t>
        </is>
      </c>
      <c r="C57" t="inlineStr">
        <is>
          <t>Trd_lcv_nga</t>
        </is>
      </c>
      <c r="D57" t="inlineStr">
        <is>
          <t>-</t>
        </is>
      </c>
      <c r="E57" t="inlineStr">
        <is>
          <t>-</t>
        </is>
      </c>
      <c r="F57" t="inlineStr">
        <is>
          <t>ANNUAL</t>
        </is>
      </c>
      <c r="G57" t="inlineStr">
        <is>
          <t>2019</t>
        </is>
      </c>
      <c r="H57" t="inlineStr">
        <is>
          <t>-</t>
        </is>
      </c>
      <c r="I57" t="inlineStr">
        <is>
          <t>-</t>
        </is>
      </c>
      <c r="J57" t="inlineStr">
        <is>
          <t>-</t>
        </is>
      </c>
      <c r="K57" t="inlineStr">
        <is>
          <t>-</t>
        </is>
      </c>
      <c r="L57" t="n">
        <v>0.329484430322726</v>
      </c>
      <c r="M57" t="n">
        <v>0.329484430322726</v>
      </c>
      <c r="N57" t="n">
        <v>0.329484430322726</v>
      </c>
      <c r="O57" t="n">
        <v>0.329484430322726</v>
      </c>
      <c r="P57" t="n">
        <v>0.329484430322726</v>
      </c>
      <c r="Q57" t="n">
        <v>0.329484430322726</v>
      </c>
      <c r="R57" t="n">
        <v>0.329484430322726</v>
      </c>
      <c r="S57" t="n">
        <v>0.329484430322726</v>
      </c>
      <c r="T57" t="n">
        <v>0.329484430322726</v>
      </c>
      <c r="U57" t="n">
        <v>0.329484430322726</v>
      </c>
      <c r="V57" t="n">
        <v>0.329484430322726</v>
      </c>
      <c r="W57" t="n">
        <v>0.329484430322726</v>
      </c>
      <c r="X57" t="n">
        <v>0.329484430322726</v>
      </c>
      <c r="Y57" t="n">
        <v>0.329484430322726</v>
      </c>
      <c r="Z57" t="n">
        <v>0.329484430322726</v>
      </c>
      <c r="AA57" t="n">
        <v>0.329484430322726</v>
      </c>
      <c r="AB57" t="n">
        <v>0.329484430322726</v>
      </c>
      <c r="AC57" t="n">
        <v>0.329484430322726</v>
      </c>
      <c r="AD57" t="n">
        <v>0.329484430322726</v>
      </c>
      <c r="AE57" t="n">
        <v>0.329484430322726</v>
      </c>
      <c r="AF57" t="n">
        <v>0.329484430322726</v>
      </c>
      <c r="AG57" t="n">
        <v>0.329484430322726</v>
      </c>
      <c r="AH57" t="n">
        <v>0.329484430322726</v>
      </c>
      <c r="AI57" t="n">
        <v>0.329484430322726</v>
      </c>
      <c r="AJ57" t="n">
        <v>0.329484430322726</v>
      </c>
      <c r="AK57" t="n">
        <v>0.329484430322726</v>
      </c>
      <c r="AL57" t="n">
        <v>0.329484430322726</v>
      </c>
      <c r="AM57" t="n">
        <v>0.329484430322726</v>
      </c>
      <c r="AN57" t="n">
        <v>0.329484430322726</v>
      </c>
      <c r="AO57" t="n">
        <v>0.329484430322726</v>
      </c>
      <c r="AP57" t="n">
        <v>0.329484430322726</v>
      </c>
      <c r="AQ57" t="n">
        <v>0.329484430322726</v>
      </c>
      <c r="AR57" t="n">
        <v>0.329484430322726</v>
      </c>
      <c r="AS57" t="n">
        <v>0.329484430322726</v>
      </c>
      <c r="AT57" t="n">
        <v>0.329484430322726</v>
      </c>
      <c r="AU57" t="inlineStr">
        <is>
          <t>-</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D4:AY125"/>
  <sheetViews>
    <sheetView topLeftCell="R13" zoomScale="54" zoomScaleNormal="54" workbookViewId="0">
      <selection pane="topLeft" activeCell="AD25" sqref="AD25"/>
    </sheetView>
  </sheetViews>
  <sheetFormatPr baseColWidth="8" defaultColWidth="8.72428571428571" defaultRowHeight="12.5"/>
  <cols>
    <col width="8.71428571428571" customWidth="1" style="213" min="1" max="9"/>
    <col width="11.4285714285714" customWidth="1" style="213" min="10" max="10"/>
    <col width="26" customWidth="1" style="213" min="11" max="11"/>
    <col width="11.1428571428571" customWidth="1" style="213" min="12" max="12"/>
    <col width="9.142857142857141" customWidth="1" style="213" min="13" max="13"/>
    <col width="8.71428571428571" customWidth="1" style="213" min="14" max="16"/>
    <col width="40.4285714285714" customWidth="1" style="213" min="17" max="17"/>
    <col width="44.7142857142857" customWidth="1" style="213" min="18" max="18"/>
    <col width="12.8571428571429" customWidth="1" style="213" min="19" max="22"/>
    <col width="26" customWidth="1" style="213" min="23" max="23"/>
    <col width="12.8571428571429" customWidth="1" style="213" min="24" max="26"/>
    <col width="8.71428571428571" customWidth="1" style="213" min="27" max="28"/>
    <col width="26" customWidth="1" style="213" min="29" max="29"/>
    <col width="27.4285714285714" customWidth="1" style="213" min="30" max="30"/>
    <col width="8.71428571428571" customWidth="1" style="213" min="31" max="34"/>
    <col width="21.5714285714286" customWidth="1" style="213" min="35" max="35"/>
    <col width="8.71428571428571" customWidth="1" style="213" min="36" max="40"/>
    <col width="21.8571428571429" customWidth="1" style="213" min="41" max="41"/>
    <col width="8.71428571428571" customWidth="1" style="213" min="42" max="46"/>
    <col width="20.5714285714286" customWidth="1" style="213" min="47" max="47"/>
    <col width="33.5714285714286" customWidth="1" style="213" min="48" max="48"/>
    <col width="8.71428571428571" customWidth="1" style="213" min="49" max="52"/>
    <col width="20.5714285714286" customWidth="1" style="213" min="53" max="53"/>
    <col width="8.71428571428571" customWidth="1" style="213" min="54" max="16384"/>
  </cols>
  <sheetData>
    <row r="4" ht="14.5" customFormat="1" customHeight="1" s="56">
      <c r="D4" s="58" t="n"/>
      <c r="E4" s="58" t="n"/>
      <c r="F4" s="58" t="n"/>
      <c r="G4" s="58" t="n"/>
      <c r="H4" s="59" t="n"/>
      <c r="I4" s="59" t="n"/>
      <c r="J4" s="58" t="n"/>
      <c r="K4" s="58" t="n"/>
      <c r="L4" s="79" t="inlineStr">
        <is>
          <t>~TFM_UPD: attribute= INPUT</t>
        </is>
      </c>
      <c r="M4" s="58" t="n"/>
      <c r="N4" s="59" t="n"/>
      <c r="O4" s="59" t="n"/>
      <c r="P4" s="59" t="n"/>
      <c r="Q4" s="59" t="n"/>
      <c r="R4" s="79" t="inlineStr">
        <is>
          <t>~TFM_UPD: attribute= INPUT</t>
        </is>
      </c>
      <c r="S4" s="59" t="n"/>
      <c r="T4" s="59" t="n"/>
      <c r="U4" s="59" t="n"/>
      <c r="V4" s="59" t="n"/>
      <c r="W4" s="59" t="n"/>
      <c r="X4" s="79" t="inlineStr">
        <is>
          <t>~TFM_UPD: attribute= INPUT</t>
        </is>
      </c>
      <c r="Y4" s="59" t="n"/>
      <c r="Z4" s="59" t="n"/>
      <c r="AA4" s="59" t="n"/>
      <c r="AB4" s="59" t="n"/>
      <c r="AC4" s="59" t="n"/>
      <c r="AD4" s="79" t="inlineStr">
        <is>
          <t>~TFM_UPD: attribute= INPUT</t>
        </is>
      </c>
      <c r="AE4" s="59" t="n"/>
      <c r="AF4" s="59" t="n"/>
      <c r="AG4" s="59" t="n"/>
      <c r="AH4" s="59" t="n"/>
      <c r="AI4" s="59" t="n"/>
      <c r="AJ4" s="79" t="inlineStr">
        <is>
          <t>~TFM_UPD: attribute= INPUT</t>
        </is>
      </c>
      <c r="AK4" s="59" t="n"/>
      <c r="AL4" s="59" t="n"/>
      <c r="AM4" s="59" t="n"/>
      <c r="AN4" s="59" t="n"/>
      <c r="AO4" s="59" t="n"/>
      <c r="AP4" s="79" t="inlineStr">
        <is>
          <t>~TFM_UPD: attribute= INPUT</t>
        </is>
      </c>
      <c r="AQ4" s="59" t="n"/>
      <c r="AT4" s="59" t="n"/>
      <c r="AU4" s="59" t="n"/>
      <c r="AV4" s="79" t="inlineStr">
        <is>
          <t>~TFM_UPD: attribute= INPUT</t>
        </is>
      </c>
      <c r="AW4" s="59" t="n"/>
    </row>
    <row r="5" ht="14.5" customFormat="1" customHeight="1" s="56">
      <c r="D5" s="58" t="n"/>
      <c r="E5" s="58" t="n"/>
      <c r="F5" s="60" t="n"/>
      <c r="G5" s="58" t="n"/>
      <c r="H5" s="59" t="n"/>
      <c r="I5" s="59" t="n"/>
      <c r="J5" s="79" t="inlineStr">
        <is>
          <t>limtype</t>
        </is>
      </c>
      <c r="K5" s="79" t="inlineStr">
        <is>
          <t>process</t>
        </is>
      </c>
      <c r="L5" s="79" t="inlineStr">
        <is>
          <t>cset_cn</t>
        </is>
      </c>
      <c r="M5" s="79" t="inlineStr">
        <is>
          <t>NorthAm</t>
        </is>
      </c>
      <c r="N5" s="59" t="inlineStr">
        <is>
          <t>year</t>
        </is>
      </c>
      <c r="O5" s="59" t="n"/>
      <c r="P5" s="79" t="inlineStr">
        <is>
          <t>limtype</t>
        </is>
      </c>
      <c r="Q5" s="79" t="inlineStr">
        <is>
          <t>process</t>
        </is>
      </c>
      <c r="R5" s="79" t="inlineStr">
        <is>
          <t>cset_cn</t>
        </is>
      </c>
      <c r="S5" s="79" t="inlineStr">
        <is>
          <t>NorthAm</t>
        </is>
      </c>
      <c r="T5" s="59" t="inlineStr">
        <is>
          <t>year</t>
        </is>
      </c>
      <c r="U5" s="59" t="n"/>
      <c r="V5" s="79" t="inlineStr">
        <is>
          <t>limtype</t>
        </is>
      </c>
      <c r="W5" s="79" t="inlineStr">
        <is>
          <t>process</t>
        </is>
      </c>
      <c r="X5" s="79" t="inlineStr">
        <is>
          <t>cset_cn</t>
        </is>
      </c>
      <c r="Y5" s="79" t="inlineStr">
        <is>
          <t>NorthAm</t>
        </is>
      </c>
      <c r="Z5" s="59" t="inlineStr">
        <is>
          <t>year</t>
        </is>
      </c>
      <c r="AA5" s="59" t="n"/>
      <c r="AB5" s="79" t="inlineStr">
        <is>
          <t>limtype</t>
        </is>
      </c>
      <c r="AC5" s="79" t="inlineStr">
        <is>
          <t>process</t>
        </is>
      </c>
      <c r="AD5" s="79" t="inlineStr">
        <is>
          <t>cset_cn</t>
        </is>
      </c>
      <c r="AE5" s="79" t="inlineStr">
        <is>
          <t>NorthAm</t>
        </is>
      </c>
      <c r="AF5" s="59" t="inlineStr">
        <is>
          <t>year</t>
        </is>
      </c>
      <c r="AG5" s="59" t="n"/>
      <c r="AH5" s="79" t="inlineStr">
        <is>
          <t>limtype</t>
        </is>
      </c>
      <c r="AI5" s="79" t="inlineStr">
        <is>
          <t>process</t>
        </is>
      </c>
      <c r="AJ5" s="79" t="inlineStr">
        <is>
          <t>cset_cn</t>
        </is>
      </c>
      <c r="AK5" s="79" t="inlineStr">
        <is>
          <t>NorthAm</t>
        </is>
      </c>
      <c r="AL5" s="59" t="inlineStr">
        <is>
          <t>year</t>
        </is>
      </c>
      <c r="AM5" s="59" t="n"/>
      <c r="AN5" s="79" t="inlineStr">
        <is>
          <t>limtype</t>
        </is>
      </c>
      <c r="AO5" s="79" t="inlineStr">
        <is>
          <t>process</t>
        </is>
      </c>
      <c r="AP5" s="79" t="inlineStr">
        <is>
          <t>cset_cn</t>
        </is>
      </c>
      <c r="AQ5" s="79" t="inlineStr">
        <is>
          <t>NorthAm</t>
        </is>
      </c>
      <c r="AR5" s="59" t="inlineStr">
        <is>
          <t>year</t>
        </is>
      </c>
      <c r="AT5" s="79" t="inlineStr">
        <is>
          <t>limtype</t>
        </is>
      </c>
      <c r="AU5" s="79" t="inlineStr">
        <is>
          <t>process</t>
        </is>
      </c>
      <c r="AV5" s="79" t="inlineStr">
        <is>
          <t>cset_cn</t>
        </is>
      </c>
      <c r="AW5" s="79" t="inlineStr">
        <is>
          <t>NorthAm</t>
        </is>
      </c>
      <c r="AX5" s="59" t="inlineStr">
        <is>
          <t>year</t>
        </is>
      </c>
    </row>
    <row r="6" ht="16" customFormat="1" customHeight="1" s="56">
      <c r="D6" s="58" t="n"/>
      <c r="E6" s="61" t="n"/>
      <c r="F6" s="60" t="n"/>
      <c r="G6" s="242" t="n"/>
      <c r="H6" s="59" t="n"/>
      <c r="I6" s="59" t="n"/>
      <c r="J6" s="58" t="inlineStr">
        <is>
          <t>FX</t>
        </is>
      </c>
      <c r="K6" s="61" t="inlineStr">
        <is>
          <t>Tra_EV_Batt-NMC111_virgin</t>
        </is>
      </c>
      <c r="L6" s="53" t="inlineStr">
        <is>
          <t>INDELC</t>
        </is>
      </c>
      <c r="M6" s="243">
        <f>M16/1000</f>
        <v/>
      </c>
      <c r="N6" s="59" t="n">
        <v>2019</v>
      </c>
      <c r="O6" s="59" t="n"/>
      <c r="P6" s="58" t="inlineStr">
        <is>
          <t>FX</t>
        </is>
      </c>
      <c r="Q6" s="61" t="inlineStr">
        <is>
          <t>Tra_EV_Batt-NMC532_virgin</t>
        </is>
      </c>
      <c r="R6" s="53" t="inlineStr">
        <is>
          <t>INDELC</t>
        </is>
      </c>
      <c r="S6" s="243">
        <f>S16/1000</f>
        <v/>
      </c>
      <c r="T6" s="59" t="n">
        <v>2019</v>
      </c>
      <c r="U6" s="59" t="n"/>
      <c r="V6" s="58" t="inlineStr">
        <is>
          <t>FX</t>
        </is>
      </c>
      <c r="W6" s="61" t="inlineStr">
        <is>
          <t>Tra_EV_Batt-NMC622_virgin</t>
        </is>
      </c>
      <c r="X6" s="53" t="inlineStr">
        <is>
          <t>INDELC</t>
        </is>
      </c>
      <c r="Y6" s="243">
        <f>Y16/1000</f>
        <v/>
      </c>
      <c r="Z6" s="59" t="n">
        <v>2019</v>
      </c>
      <c r="AA6" s="59" t="n"/>
      <c r="AB6" s="58" t="inlineStr">
        <is>
          <t>FX</t>
        </is>
      </c>
      <c r="AC6" s="61" t="inlineStr">
        <is>
          <t>Tra_EV_Batt-NMC811_virgin</t>
        </is>
      </c>
      <c r="AD6" s="53" t="inlineStr">
        <is>
          <t>INDELC</t>
        </is>
      </c>
      <c r="AE6" s="243">
        <f>AE16/1000</f>
        <v/>
      </c>
      <c r="AF6" s="59" t="n">
        <v>2019</v>
      </c>
      <c r="AG6" s="59" t="n"/>
      <c r="AH6" s="58" t="inlineStr">
        <is>
          <t>FX</t>
        </is>
      </c>
      <c r="AI6" s="61" t="inlineStr">
        <is>
          <t>Tra_EV_Batt-NCA_virgin</t>
        </is>
      </c>
      <c r="AJ6" s="53" t="inlineStr">
        <is>
          <t>INDELC</t>
        </is>
      </c>
      <c r="AK6" s="243">
        <f>AK16/1000</f>
        <v/>
      </c>
      <c r="AL6" s="59" t="n">
        <v>2019</v>
      </c>
      <c r="AM6" s="59" t="n"/>
      <c r="AN6" s="58" t="inlineStr">
        <is>
          <t>FX</t>
        </is>
      </c>
      <c r="AO6" s="61" t="inlineStr">
        <is>
          <t>Tra_EV_Batt-LMO_virgin</t>
        </is>
      </c>
      <c r="AP6" s="53" t="inlineStr">
        <is>
          <t>INDELC</t>
        </is>
      </c>
      <c r="AQ6" s="243">
        <f>AQ16/1000</f>
        <v/>
      </c>
      <c r="AR6" s="59" t="n">
        <v>2019</v>
      </c>
      <c r="AT6" s="58" t="inlineStr">
        <is>
          <t>FX</t>
        </is>
      </c>
      <c r="AU6" s="61" t="inlineStr">
        <is>
          <t>Tra_EV_Batt-LFP_virgin</t>
        </is>
      </c>
      <c r="AV6" s="53" t="inlineStr">
        <is>
          <t>INDELC</t>
        </is>
      </c>
      <c r="AW6" s="243">
        <f>AW16/1000</f>
        <v/>
      </c>
      <c r="AX6" s="59" t="n">
        <v>2019</v>
      </c>
    </row>
    <row r="7" ht="16" customFormat="1" customHeight="1" s="56">
      <c r="D7" s="58" t="n"/>
      <c r="E7" s="61" t="n"/>
      <c r="F7" s="60" t="n"/>
      <c r="G7" s="242" t="n"/>
      <c r="H7" s="59" t="n"/>
      <c r="I7" s="59" t="n"/>
      <c r="J7" s="58" t="inlineStr">
        <is>
          <t>FX</t>
        </is>
      </c>
      <c r="K7" s="61" t="inlineStr">
        <is>
          <t>Tra_EV_Batt-NMC111_virgin</t>
        </is>
      </c>
      <c r="L7" s="53" t="inlineStr">
        <is>
          <t>INDCOA</t>
        </is>
      </c>
      <c r="M7" s="243">
        <f>M17/1000</f>
        <v/>
      </c>
      <c r="N7" s="59" t="n">
        <v>2019</v>
      </c>
      <c r="O7" s="59" t="n"/>
      <c r="P7" s="58" t="inlineStr">
        <is>
          <t>FX</t>
        </is>
      </c>
      <c r="Q7" s="61" t="inlineStr">
        <is>
          <t>Tra_EV_Batt-NMC532_virgin</t>
        </is>
      </c>
      <c r="R7" s="53" t="inlineStr">
        <is>
          <t>INDCOA</t>
        </is>
      </c>
      <c r="S7" s="243">
        <f>S17/1000</f>
        <v/>
      </c>
      <c r="T7" s="59" t="n">
        <v>2019</v>
      </c>
      <c r="U7" s="59" t="n"/>
      <c r="V7" s="58" t="inlineStr">
        <is>
          <t>FX</t>
        </is>
      </c>
      <c r="W7" s="61" t="inlineStr">
        <is>
          <t>Tra_EV_Batt-NMC622_virgin</t>
        </is>
      </c>
      <c r="X7" s="53" t="inlineStr">
        <is>
          <t>INDCOA</t>
        </is>
      </c>
      <c r="Y7" s="243">
        <f>Y17/1000</f>
        <v/>
      </c>
      <c r="Z7" s="59" t="n">
        <v>2019</v>
      </c>
      <c r="AA7" s="59" t="n"/>
      <c r="AB7" s="58" t="inlineStr">
        <is>
          <t>FX</t>
        </is>
      </c>
      <c r="AC7" s="61" t="inlineStr">
        <is>
          <t>Tra_EV_Batt-NMC811_virgin</t>
        </is>
      </c>
      <c r="AD7" s="53" t="inlineStr">
        <is>
          <t>INDCOA</t>
        </is>
      </c>
      <c r="AE7" s="243">
        <f>AE17/1000</f>
        <v/>
      </c>
      <c r="AF7" s="59" t="n">
        <v>2019</v>
      </c>
      <c r="AG7" s="59" t="n"/>
      <c r="AH7" s="58" t="inlineStr">
        <is>
          <t>FX</t>
        </is>
      </c>
      <c r="AI7" s="61" t="inlineStr">
        <is>
          <t>Tra_EV_Batt-NCA_virgin</t>
        </is>
      </c>
      <c r="AJ7" s="53" t="inlineStr">
        <is>
          <t>INDCOA</t>
        </is>
      </c>
      <c r="AK7" s="243">
        <f>AK17/1000</f>
        <v/>
      </c>
      <c r="AL7" s="59" t="n">
        <v>2019</v>
      </c>
      <c r="AM7" s="59" t="n"/>
      <c r="AN7" s="58" t="inlineStr">
        <is>
          <t>FX</t>
        </is>
      </c>
      <c r="AO7" s="61" t="inlineStr">
        <is>
          <t>Tra_EV_Batt-LMO_virgin</t>
        </is>
      </c>
      <c r="AP7" s="53" t="inlineStr">
        <is>
          <t>INDCOA</t>
        </is>
      </c>
      <c r="AQ7" s="243">
        <f>AQ17/1000</f>
        <v/>
      </c>
      <c r="AR7" s="59" t="n">
        <v>2019</v>
      </c>
      <c r="AT7" s="58" t="inlineStr">
        <is>
          <t>FX</t>
        </is>
      </c>
      <c r="AU7" s="61" t="inlineStr">
        <is>
          <t>Tra_EV_Batt-LFP_virgin</t>
        </is>
      </c>
      <c r="AV7" s="53" t="inlineStr">
        <is>
          <t>INDCOA</t>
        </is>
      </c>
      <c r="AW7" s="243">
        <f>AW17/1000</f>
        <v/>
      </c>
      <c r="AX7" s="59" t="n">
        <v>2019</v>
      </c>
    </row>
    <row r="8" ht="14.5" customFormat="1" customHeight="1" s="56">
      <c r="D8" s="58" t="n"/>
      <c r="E8" s="61" t="n"/>
      <c r="F8" s="60" t="n"/>
      <c r="G8" s="242" t="n"/>
      <c r="H8" s="59" t="n"/>
      <c r="I8" s="59" t="n"/>
      <c r="J8" s="58" t="inlineStr">
        <is>
          <t>FX</t>
        </is>
      </c>
      <c r="K8" s="61" t="inlineStr">
        <is>
          <t>Tra_EV_Batt-NMC111_virgin</t>
        </is>
      </c>
      <c r="L8" s="53" t="inlineStr">
        <is>
          <t>INDNGA</t>
        </is>
      </c>
      <c r="M8" s="243">
        <f>M18/1000</f>
        <v/>
      </c>
      <c r="N8" s="59" t="n">
        <v>2019</v>
      </c>
      <c r="O8" s="59" t="n"/>
      <c r="P8" s="58" t="inlineStr">
        <is>
          <t>FX</t>
        </is>
      </c>
      <c r="Q8" s="61" t="inlineStr">
        <is>
          <t>Tra_EV_Batt-NMC532_virgin</t>
        </is>
      </c>
      <c r="R8" s="53" t="inlineStr">
        <is>
          <t>INDNGA</t>
        </is>
      </c>
      <c r="S8" s="243">
        <f>S18/1000</f>
        <v/>
      </c>
      <c r="T8" s="59" t="n">
        <v>2019</v>
      </c>
      <c r="U8" s="59" t="n"/>
      <c r="V8" s="58" t="inlineStr">
        <is>
          <t>FX</t>
        </is>
      </c>
      <c r="W8" s="61" t="inlineStr">
        <is>
          <t>Tra_EV_Batt-NMC622_virgin</t>
        </is>
      </c>
      <c r="X8" s="53" t="inlineStr">
        <is>
          <t>INDNGA</t>
        </is>
      </c>
      <c r="Y8" s="243">
        <f>Y18/1000</f>
        <v/>
      </c>
      <c r="Z8" s="59" t="n">
        <v>2019</v>
      </c>
      <c r="AA8" s="59" t="n"/>
      <c r="AB8" s="58" t="inlineStr">
        <is>
          <t>FX</t>
        </is>
      </c>
      <c r="AC8" s="61" t="inlineStr">
        <is>
          <t>Tra_EV_Batt-NMC811_virgin</t>
        </is>
      </c>
      <c r="AD8" s="53" t="inlineStr">
        <is>
          <t>INDNGA</t>
        </is>
      </c>
      <c r="AE8" s="243">
        <f>AE18/1000</f>
        <v/>
      </c>
      <c r="AF8" s="59" t="n">
        <v>2019</v>
      </c>
      <c r="AG8" s="59" t="n"/>
      <c r="AH8" s="58" t="inlineStr">
        <is>
          <t>FX</t>
        </is>
      </c>
      <c r="AI8" s="61" t="inlineStr">
        <is>
          <t>Tra_EV_Batt-NCA_virgin</t>
        </is>
      </c>
      <c r="AJ8" s="53" t="inlineStr">
        <is>
          <t>INDNGA</t>
        </is>
      </c>
      <c r="AK8" s="243">
        <f>AK18/1000</f>
        <v/>
      </c>
      <c r="AL8" s="59" t="n">
        <v>2019</v>
      </c>
      <c r="AM8" s="59" t="n"/>
      <c r="AN8" s="58" t="inlineStr">
        <is>
          <t>FX</t>
        </is>
      </c>
      <c r="AO8" s="61" t="inlineStr">
        <is>
          <t>Tra_EV_Batt-LMO_virgin</t>
        </is>
      </c>
      <c r="AP8" s="53" t="inlineStr">
        <is>
          <t>INDNGA</t>
        </is>
      </c>
      <c r="AQ8" s="243">
        <f>AQ18/1000</f>
        <v/>
      </c>
      <c r="AR8" s="59" t="n">
        <v>2019</v>
      </c>
      <c r="AT8" s="58" t="inlineStr">
        <is>
          <t>FX</t>
        </is>
      </c>
      <c r="AU8" s="61" t="inlineStr">
        <is>
          <t>Tra_EV_Batt-LFP_virgin</t>
        </is>
      </c>
      <c r="AV8" s="53" t="inlineStr">
        <is>
          <t>INDNGA</t>
        </is>
      </c>
      <c r="AW8" s="243">
        <f>AW18/1000</f>
        <v/>
      </c>
      <c r="AX8" s="59" t="n">
        <v>2019</v>
      </c>
    </row>
    <row r="9" ht="16" customFormat="1" customHeight="1" s="56">
      <c r="D9" s="58" t="n"/>
      <c r="E9" s="61" t="n"/>
      <c r="F9" s="60" t="n"/>
      <c r="G9" s="242" t="n"/>
      <c r="H9" s="59" t="n"/>
      <c r="I9" s="59" t="n"/>
      <c r="J9" s="58" t="inlineStr">
        <is>
          <t>FX</t>
        </is>
      </c>
      <c r="K9" s="61" t="inlineStr">
        <is>
          <t>Tra_EV_Batt-NMC111_virgin</t>
        </is>
      </c>
      <c r="L9" s="53" t="inlineStr">
        <is>
          <t>INDOIL</t>
        </is>
      </c>
      <c r="M9" s="243">
        <f>M19/1000</f>
        <v/>
      </c>
      <c r="N9" s="59" t="n">
        <v>2019</v>
      </c>
      <c r="O9" s="59" t="n"/>
      <c r="P9" s="58" t="inlineStr">
        <is>
          <t>FX</t>
        </is>
      </c>
      <c r="Q9" s="61" t="inlineStr">
        <is>
          <t>Tra_EV_Batt-NMC532_virgin</t>
        </is>
      </c>
      <c r="R9" s="53" t="inlineStr">
        <is>
          <t>INDOIL</t>
        </is>
      </c>
      <c r="S9" s="243">
        <f>S19/1000</f>
        <v/>
      </c>
      <c r="T9" s="59" t="n">
        <v>2019</v>
      </c>
      <c r="U9" s="59" t="n"/>
      <c r="V9" s="58" t="inlineStr">
        <is>
          <t>FX</t>
        </is>
      </c>
      <c r="W9" s="61" t="inlineStr">
        <is>
          <t>Tra_EV_Batt-NMC622_virgin</t>
        </is>
      </c>
      <c r="X9" s="53" t="inlineStr">
        <is>
          <t>INDOIL</t>
        </is>
      </c>
      <c r="Y9" s="243">
        <f>Y19/1000</f>
        <v/>
      </c>
      <c r="Z9" s="59" t="n">
        <v>2019</v>
      </c>
      <c r="AA9" s="59" t="n"/>
      <c r="AB9" s="58" t="inlineStr">
        <is>
          <t>FX</t>
        </is>
      </c>
      <c r="AC9" s="61" t="inlineStr">
        <is>
          <t>Tra_EV_Batt-NMC811_virgin</t>
        </is>
      </c>
      <c r="AD9" s="53" t="inlineStr">
        <is>
          <t>INDOIL</t>
        </is>
      </c>
      <c r="AE9" s="243">
        <f>AE19/1000</f>
        <v/>
      </c>
      <c r="AF9" s="59" t="n">
        <v>2019</v>
      </c>
      <c r="AG9" s="59" t="n"/>
      <c r="AH9" s="58" t="inlineStr">
        <is>
          <t>FX</t>
        </is>
      </c>
      <c r="AI9" s="61" t="inlineStr">
        <is>
          <t>Tra_EV_Batt-NCA_virgin</t>
        </is>
      </c>
      <c r="AJ9" s="53" t="inlineStr">
        <is>
          <t>INDOIL</t>
        </is>
      </c>
      <c r="AK9" s="243">
        <f>AK19/1000</f>
        <v/>
      </c>
      <c r="AL9" s="59" t="n">
        <v>2019</v>
      </c>
      <c r="AM9" s="59" t="n"/>
      <c r="AN9" s="58" t="inlineStr">
        <is>
          <t>FX</t>
        </is>
      </c>
      <c r="AO9" s="61" t="inlineStr">
        <is>
          <t>Tra_EV_Batt-LMO_virgin</t>
        </is>
      </c>
      <c r="AP9" s="53" t="inlineStr">
        <is>
          <t>INDOIL</t>
        </is>
      </c>
      <c r="AQ9" s="243">
        <f>AQ19/1000</f>
        <v/>
      </c>
      <c r="AR9" s="59" t="n">
        <v>2019</v>
      </c>
      <c r="AT9" s="58" t="inlineStr">
        <is>
          <t>FX</t>
        </is>
      </c>
      <c r="AU9" s="61" t="inlineStr">
        <is>
          <t>Tra_EV_Batt-LFP_virgin</t>
        </is>
      </c>
      <c r="AV9" s="53" t="inlineStr">
        <is>
          <t>INDOIL</t>
        </is>
      </c>
      <c r="AW9" s="243">
        <f>AW19/1000</f>
        <v/>
      </c>
      <c r="AX9" s="59" t="n">
        <v>2019</v>
      </c>
    </row>
    <row r="10" ht="16" customFormat="1" customHeight="1" s="56">
      <c r="D10" s="59" t="n"/>
      <c r="E10" s="61" t="n"/>
      <c r="G10" s="242" t="n"/>
      <c r="H10" s="59" t="n"/>
      <c r="I10" s="59" t="n"/>
    </row>
    <row r="13" ht="12.5" customHeight="1" s="213"/>
    <row r="14" ht="14.5" customFormat="1" customHeight="1" s="208">
      <c r="D14" s="64" t="n"/>
      <c r="E14" s="64" t="n"/>
      <c r="F14" s="64" t="n"/>
      <c r="G14" s="64" t="n"/>
      <c r="H14" s="65" t="n"/>
      <c r="I14" s="65" t="n"/>
      <c r="J14" s="64" t="n"/>
      <c r="K14" s="64" t="n"/>
      <c r="M14" s="64" t="n"/>
      <c r="N14" s="65" t="n"/>
      <c r="O14" s="65" t="n"/>
      <c r="P14" s="65" t="n"/>
      <c r="Q14" s="65" t="n"/>
      <c r="S14" s="65" t="n"/>
      <c r="T14" s="65" t="n"/>
      <c r="U14" s="65" t="n"/>
      <c r="V14" s="65" t="n"/>
      <c r="W14" s="65" t="n"/>
      <c r="Y14" s="65" t="n"/>
      <c r="Z14" s="65" t="n"/>
      <c r="AA14" s="65" t="n"/>
      <c r="AB14" s="65" t="n"/>
      <c r="AC14" s="65" t="n"/>
      <c r="AE14" s="65" t="n"/>
      <c r="AF14" s="65" t="n"/>
      <c r="AG14" s="65" t="n"/>
      <c r="AH14" s="65" t="n"/>
      <c r="AI14" s="65" t="n"/>
      <c r="AK14" s="65" t="n"/>
      <c r="AL14" s="65" t="n"/>
      <c r="AM14" s="65" t="n"/>
      <c r="AN14" s="65" t="n"/>
      <c r="AO14" s="65" t="n"/>
      <c r="AQ14" s="65" t="n"/>
      <c r="AT14" s="65" t="n"/>
      <c r="AU14" s="65" t="n"/>
      <c r="AW14" s="65" t="n"/>
    </row>
    <row r="15" ht="14.5" customFormat="1" customHeight="1" s="208">
      <c r="D15" s="64" t="n"/>
      <c r="E15" s="64" t="n"/>
      <c r="F15" s="49" t="n"/>
      <c r="G15" s="64" t="n"/>
      <c r="H15" s="65" t="n"/>
      <c r="I15" s="65" t="n"/>
      <c r="N15" s="65" t="n"/>
      <c r="O15" s="65" t="n"/>
      <c r="T15" s="65" t="n"/>
      <c r="U15" s="65" t="n"/>
      <c r="Z15" s="65" t="n"/>
      <c r="AA15" s="65" t="n"/>
      <c r="AF15" s="65" t="n"/>
      <c r="AG15" s="65" t="n"/>
      <c r="AL15" s="65" t="n"/>
      <c r="AM15" s="65" t="n"/>
    </row>
    <row r="16" ht="16" customHeight="1" s="213">
      <c r="J16" s="64" t="n"/>
      <c r="K16" s="66" t="n"/>
      <c r="L16" s="49" t="n"/>
      <c r="M16" s="242">
        <f>T65</f>
        <v/>
      </c>
      <c r="N16" s="65" t="n"/>
      <c r="O16" s="65" t="n"/>
      <c r="P16" s="64" t="n"/>
      <c r="Q16" s="66" t="n"/>
      <c r="R16" s="49" t="n"/>
      <c r="S16" s="244">
        <f>U65</f>
        <v/>
      </c>
      <c r="T16" s="65" t="n"/>
      <c r="U16" s="65" t="n"/>
      <c r="V16" s="64" t="n"/>
      <c r="W16" s="66" t="n"/>
      <c r="X16" s="49" t="n"/>
      <c r="Y16" s="244">
        <f>V65</f>
        <v/>
      </c>
      <c r="Z16" s="65" t="n"/>
      <c r="AA16" s="65" t="n"/>
      <c r="AB16" s="64" t="n"/>
      <c r="AC16" s="66" t="n"/>
      <c r="AD16" s="49" t="n"/>
      <c r="AE16" s="244">
        <f>W65</f>
        <v/>
      </c>
      <c r="AF16" s="65" t="n"/>
      <c r="AG16" s="65" t="n"/>
      <c r="AH16" s="64" t="n"/>
      <c r="AI16" s="66" t="n"/>
      <c r="AJ16" s="49" t="n"/>
      <c r="AK16" s="244">
        <f>X65</f>
        <v/>
      </c>
      <c r="AL16" s="65" t="n"/>
      <c r="AM16" s="65" t="n"/>
      <c r="AN16" s="64" t="n"/>
      <c r="AO16" s="66" t="n"/>
      <c r="AP16" s="49" t="n"/>
      <c r="AQ16" s="244">
        <f>Y65</f>
        <v/>
      </c>
      <c r="AR16" s="208" t="n"/>
      <c r="AS16" s="208" t="n"/>
      <c r="AT16" s="64" t="n"/>
      <c r="AU16" s="66" t="n"/>
      <c r="AV16" s="49" t="n"/>
      <c r="AW16" s="244">
        <f>Z65</f>
        <v/>
      </c>
    </row>
    <row r="17" ht="16" customHeight="1" s="213">
      <c r="J17" s="64" t="n"/>
      <c r="K17" s="66" t="n"/>
      <c r="L17" s="49" t="n"/>
      <c r="M17" s="242">
        <f>T66</f>
        <v/>
      </c>
      <c r="N17" s="65" t="n"/>
      <c r="O17" s="65" t="n"/>
      <c r="P17" s="64" t="n"/>
      <c r="Q17" s="66" t="n"/>
      <c r="R17" s="49" t="n"/>
      <c r="S17" s="244">
        <f>U66</f>
        <v/>
      </c>
      <c r="T17" s="65" t="n"/>
      <c r="U17" s="65" t="n"/>
      <c r="V17" s="64" t="n"/>
      <c r="W17" s="66" t="n"/>
      <c r="X17" s="49" t="n"/>
      <c r="Y17" s="244">
        <f>V66</f>
        <v/>
      </c>
      <c r="Z17" s="65" t="n"/>
      <c r="AA17" s="65" t="n"/>
      <c r="AB17" s="64" t="n"/>
      <c r="AC17" s="66" t="n"/>
      <c r="AD17" s="49" t="n"/>
      <c r="AE17" s="244">
        <f>W66</f>
        <v/>
      </c>
      <c r="AF17" s="65" t="n"/>
      <c r="AG17" s="65" t="n"/>
      <c r="AH17" s="64" t="n"/>
      <c r="AI17" s="66" t="n"/>
      <c r="AJ17" s="49" t="n"/>
      <c r="AK17" s="244">
        <f>X66</f>
        <v/>
      </c>
      <c r="AL17" s="65" t="n"/>
      <c r="AM17" s="65" t="n"/>
      <c r="AN17" s="64" t="n"/>
      <c r="AO17" s="66" t="n"/>
      <c r="AP17" s="49" t="n"/>
      <c r="AQ17" s="244">
        <f>Y66</f>
        <v/>
      </c>
      <c r="AR17" s="208" t="n"/>
      <c r="AS17" s="208" t="n"/>
      <c r="AT17" s="64" t="n"/>
      <c r="AU17" s="66" t="n"/>
      <c r="AV17" s="49" t="n"/>
      <c r="AW17" s="244">
        <f>Z66</f>
        <v/>
      </c>
    </row>
    <row r="18" ht="16" customHeight="1" s="213">
      <c r="J18" s="64" t="n"/>
      <c r="K18" s="66" t="n"/>
      <c r="L18" s="49" t="n"/>
      <c r="M18" s="242">
        <f>T67</f>
        <v/>
      </c>
      <c r="N18" s="65" t="n"/>
      <c r="O18" s="65" t="n"/>
      <c r="P18" s="64" t="n"/>
      <c r="Q18" s="66" t="n"/>
      <c r="R18" s="49" t="n"/>
      <c r="S18" s="244">
        <f>U67</f>
        <v/>
      </c>
      <c r="T18" s="65" t="n"/>
      <c r="U18" s="65" t="n"/>
      <c r="V18" s="64" t="n"/>
      <c r="W18" s="66" t="n"/>
      <c r="X18" s="49" t="n"/>
      <c r="Y18" s="244">
        <f>V67</f>
        <v/>
      </c>
      <c r="Z18" s="65" t="n"/>
      <c r="AA18" s="65" t="n"/>
      <c r="AB18" s="64" t="n"/>
      <c r="AC18" s="66" t="n"/>
      <c r="AD18" s="49" t="n"/>
      <c r="AE18" s="244">
        <f>W67</f>
        <v/>
      </c>
      <c r="AF18" s="65" t="n"/>
      <c r="AG18" s="65" t="n"/>
      <c r="AH18" s="64" t="n"/>
      <c r="AI18" s="66" t="n"/>
      <c r="AJ18" s="49" t="n"/>
      <c r="AK18" s="244">
        <f>X67</f>
        <v/>
      </c>
      <c r="AL18" s="65" t="n"/>
      <c r="AM18" s="65" t="n"/>
      <c r="AN18" s="64" t="n"/>
      <c r="AO18" s="66" t="n"/>
      <c r="AP18" s="49" t="n"/>
      <c r="AQ18" s="244">
        <f>Y67</f>
        <v/>
      </c>
      <c r="AR18" s="208" t="n"/>
      <c r="AS18" s="208" t="n"/>
      <c r="AT18" s="64" t="n"/>
      <c r="AU18" s="66" t="n"/>
      <c r="AV18" s="49" t="n"/>
      <c r="AW18" s="244">
        <f>Z67</f>
        <v/>
      </c>
    </row>
    <row r="19" ht="16" customHeight="1" s="213">
      <c r="J19" s="64" t="n"/>
      <c r="K19" s="66" t="n"/>
      <c r="L19" s="49" t="n"/>
      <c r="M19" s="242">
        <f>T68</f>
        <v/>
      </c>
      <c r="N19" s="65" t="n"/>
      <c r="O19" s="65" t="n"/>
      <c r="P19" s="64" t="n"/>
      <c r="Q19" s="66" t="n"/>
      <c r="R19" s="49" t="n"/>
      <c r="S19" s="244">
        <f>U68</f>
        <v/>
      </c>
      <c r="T19" s="65" t="n"/>
      <c r="U19" s="65" t="n"/>
      <c r="V19" s="64" t="n"/>
      <c r="W19" s="66" t="n"/>
      <c r="X19" s="49" t="n"/>
      <c r="Y19" s="244">
        <f>V68</f>
        <v/>
      </c>
      <c r="Z19" s="65" t="n"/>
      <c r="AA19" s="65" t="n"/>
      <c r="AB19" s="64" t="n"/>
      <c r="AC19" s="66" t="n"/>
      <c r="AD19" s="49" t="n"/>
      <c r="AE19" s="244">
        <f>W68</f>
        <v/>
      </c>
      <c r="AF19" s="65" t="n"/>
      <c r="AG19" s="65" t="n"/>
      <c r="AH19" s="64" t="n"/>
      <c r="AI19" s="66" t="n"/>
      <c r="AJ19" s="49" t="n"/>
      <c r="AK19" s="244">
        <f>X68</f>
        <v/>
      </c>
      <c r="AL19" s="65" t="n"/>
      <c r="AM19" s="65" t="n"/>
      <c r="AN19" s="64" t="n"/>
      <c r="AO19" s="66" t="n"/>
      <c r="AP19" s="49" t="n"/>
      <c r="AQ19" s="244">
        <f>Y68</f>
        <v/>
      </c>
      <c r="AR19" s="208" t="n"/>
      <c r="AS19" s="208" t="n"/>
      <c r="AT19" s="64" t="n"/>
      <c r="AU19" s="66" t="n"/>
      <c r="AV19" s="49" t="n"/>
      <c r="AW19" s="244">
        <f>Z68</f>
        <v/>
      </c>
    </row>
    <row r="20" ht="12.5" customHeight="1" s="213"/>
    <row r="21" ht="12.5" customHeight="1" s="213"/>
    <row r="24" ht="14.5" customFormat="1" customHeight="1" s="56">
      <c r="D24" s="58" t="n"/>
      <c r="E24" s="58" t="n"/>
      <c r="F24" s="58" t="n"/>
      <c r="G24" s="58" t="n"/>
      <c r="H24" s="59" t="n"/>
      <c r="I24" s="59" t="n"/>
      <c r="J24" s="58" t="n"/>
      <c r="K24" s="58" t="n"/>
      <c r="L24" s="79" t="inlineStr">
        <is>
          <t>~TFM_UPD: attribute= INPUT</t>
        </is>
      </c>
      <c r="M24" s="58" t="n"/>
      <c r="N24" s="59" t="n"/>
      <c r="O24" s="59" t="n"/>
      <c r="P24" s="59" t="n"/>
      <c r="Q24" s="59" t="n"/>
      <c r="R24" s="79" t="inlineStr">
        <is>
          <t>~TFM_UPD: attribute= INPUT</t>
        </is>
      </c>
      <c r="S24" s="59" t="n"/>
      <c r="T24" s="59" t="n"/>
      <c r="U24" s="59" t="n"/>
      <c r="V24" s="59" t="n"/>
      <c r="W24" s="59" t="n"/>
      <c r="X24" s="79" t="inlineStr">
        <is>
          <t>~TFM_UPD: attribute= INPUT</t>
        </is>
      </c>
      <c r="Y24" s="59" t="n"/>
      <c r="Z24" s="59" t="n"/>
      <c r="AA24" s="59" t="n"/>
      <c r="AB24" s="59" t="n"/>
      <c r="AC24" s="59" t="n"/>
      <c r="AD24" s="79" t="inlineStr">
        <is>
          <t>~TFM_UPD: attribute= INPUT</t>
        </is>
      </c>
      <c r="AE24" s="59" t="n"/>
      <c r="AF24" s="59" t="n"/>
      <c r="AG24" s="59" t="n"/>
      <c r="AH24" s="59" t="n"/>
      <c r="AI24" s="59" t="n"/>
      <c r="AJ24" s="79" t="inlineStr">
        <is>
          <t>~TFM_UPD: attribute= INPUT</t>
        </is>
      </c>
      <c r="AK24" s="59" t="n"/>
      <c r="AL24" s="59" t="n"/>
      <c r="AM24" s="59" t="n"/>
      <c r="AN24" s="59" t="n"/>
      <c r="AO24" s="59" t="n"/>
      <c r="AP24" s="79" t="inlineStr">
        <is>
          <t>~TFM_UPD: attribute= INPUT</t>
        </is>
      </c>
      <c r="AQ24" s="59" t="n"/>
      <c r="AT24" s="59" t="n"/>
      <c r="AU24" s="59" t="n"/>
      <c r="AV24" s="79" t="inlineStr">
        <is>
          <t>~TFM_UPD: attribute= INPUT</t>
        </is>
      </c>
      <c r="AW24" s="59" t="n"/>
    </row>
    <row r="25" ht="14.5" customFormat="1" customHeight="1" s="56">
      <c r="D25" s="58" t="n"/>
      <c r="E25" s="58" t="n"/>
      <c r="F25" s="60" t="n"/>
      <c r="G25" s="58" t="n"/>
      <c r="H25" s="59" t="n"/>
      <c r="I25" s="59" t="n"/>
      <c r="J25" s="79" t="inlineStr">
        <is>
          <t>limtype</t>
        </is>
      </c>
      <c r="K25" s="79" t="inlineStr">
        <is>
          <t>process</t>
        </is>
      </c>
      <c r="L25" s="79" t="inlineStr">
        <is>
          <t>cset_cn</t>
        </is>
      </c>
      <c r="M25" s="79" t="inlineStr">
        <is>
          <t>China</t>
        </is>
      </c>
      <c r="N25" s="59" t="inlineStr">
        <is>
          <t>year</t>
        </is>
      </c>
      <c r="O25" s="59" t="n"/>
      <c r="P25" s="79" t="inlineStr">
        <is>
          <t>limtype</t>
        </is>
      </c>
      <c r="Q25" s="79" t="inlineStr">
        <is>
          <t>process</t>
        </is>
      </c>
      <c r="R25" s="79" t="inlineStr">
        <is>
          <t>cset_cn</t>
        </is>
      </c>
      <c r="S25" s="79" t="inlineStr">
        <is>
          <t>China</t>
        </is>
      </c>
      <c r="T25" s="59" t="inlineStr">
        <is>
          <t>year</t>
        </is>
      </c>
      <c r="U25" s="59" t="n"/>
      <c r="V25" s="79" t="inlineStr">
        <is>
          <t>limtype</t>
        </is>
      </c>
      <c r="W25" s="79" t="inlineStr">
        <is>
          <t>process</t>
        </is>
      </c>
      <c r="X25" s="79" t="inlineStr">
        <is>
          <t>cset_cn</t>
        </is>
      </c>
      <c r="Y25" s="79" t="inlineStr">
        <is>
          <t>China</t>
        </is>
      </c>
      <c r="Z25" s="59" t="inlineStr">
        <is>
          <t>year</t>
        </is>
      </c>
      <c r="AA25" s="59" t="n"/>
      <c r="AB25" s="79" t="inlineStr">
        <is>
          <t>limtype</t>
        </is>
      </c>
      <c r="AC25" s="79" t="inlineStr">
        <is>
          <t>process</t>
        </is>
      </c>
      <c r="AD25" s="79" t="inlineStr">
        <is>
          <t>cset_cn</t>
        </is>
      </c>
      <c r="AE25" s="79" t="inlineStr">
        <is>
          <t>China</t>
        </is>
      </c>
      <c r="AF25" s="59" t="inlineStr">
        <is>
          <t>year</t>
        </is>
      </c>
      <c r="AG25" s="59" t="n"/>
      <c r="AH25" s="79" t="inlineStr">
        <is>
          <t>limtype</t>
        </is>
      </c>
      <c r="AI25" s="79" t="inlineStr">
        <is>
          <t>process</t>
        </is>
      </c>
      <c r="AJ25" s="79" t="inlineStr">
        <is>
          <t>cset_cn</t>
        </is>
      </c>
      <c r="AK25" s="79" t="inlineStr">
        <is>
          <t>China</t>
        </is>
      </c>
      <c r="AL25" s="59" t="inlineStr">
        <is>
          <t>year</t>
        </is>
      </c>
      <c r="AM25" s="59" t="n"/>
      <c r="AN25" s="79" t="inlineStr">
        <is>
          <t>limtype</t>
        </is>
      </c>
      <c r="AO25" s="79" t="inlineStr">
        <is>
          <t>process</t>
        </is>
      </c>
      <c r="AP25" s="79" t="inlineStr">
        <is>
          <t>cset_cn</t>
        </is>
      </c>
      <c r="AQ25" s="79" t="inlineStr">
        <is>
          <t>China</t>
        </is>
      </c>
      <c r="AR25" s="59" t="inlineStr">
        <is>
          <t>year</t>
        </is>
      </c>
      <c r="AT25" s="79" t="inlineStr">
        <is>
          <t>limtype</t>
        </is>
      </c>
      <c r="AU25" s="79" t="inlineStr">
        <is>
          <t>process</t>
        </is>
      </c>
      <c r="AV25" s="79" t="inlineStr">
        <is>
          <t>cset_cn</t>
        </is>
      </c>
      <c r="AW25" s="79" t="inlineStr">
        <is>
          <t>China</t>
        </is>
      </c>
      <c r="AX25" s="59" t="inlineStr">
        <is>
          <t>year</t>
        </is>
      </c>
    </row>
    <row r="26" ht="16" customHeight="1" s="213">
      <c r="J26" s="58" t="inlineStr">
        <is>
          <t>FX</t>
        </is>
      </c>
      <c r="K26" s="61">
        <f>K6</f>
        <v/>
      </c>
      <c r="L26" s="53" t="inlineStr">
        <is>
          <t>INDELC</t>
        </is>
      </c>
      <c r="M26" s="242">
        <f>T73/1000</f>
        <v/>
      </c>
      <c r="N26" s="59" t="n">
        <v>2019</v>
      </c>
      <c r="O26" s="59" t="n"/>
      <c r="P26" s="58" t="inlineStr">
        <is>
          <t>FX</t>
        </is>
      </c>
      <c r="Q26" s="61">
        <f>Q6</f>
        <v/>
      </c>
      <c r="R26" s="53" t="inlineStr">
        <is>
          <t>INDELC</t>
        </is>
      </c>
      <c r="S26" s="245">
        <f>S32/1000</f>
        <v/>
      </c>
      <c r="T26" s="59" t="n">
        <v>2019</v>
      </c>
      <c r="U26" s="59" t="n"/>
      <c r="V26" s="58" t="inlineStr">
        <is>
          <t>FX</t>
        </is>
      </c>
      <c r="W26" s="61">
        <f>W6</f>
        <v/>
      </c>
      <c r="X26" s="53" t="inlineStr">
        <is>
          <t>INDELC</t>
        </is>
      </c>
      <c r="Y26" s="245">
        <f>Y32/1000</f>
        <v/>
      </c>
      <c r="Z26" s="59" t="n">
        <v>2019</v>
      </c>
      <c r="AA26" s="59" t="n"/>
      <c r="AB26" s="58" t="inlineStr">
        <is>
          <t>FX</t>
        </is>
      </c>
      <c r="AC26" s="61">
        <f>AC6</f>
        <v/>
      </c>
      <c r="AD26" s="53" t="inlineStr">
        <is>
          <t>INDELC</t>
        </is>
      </c>
      <c r="AE26" s="245">
        <f>AE32/1000</f>
        <v/>
      </c>
      <c r="AF26" s="59" t="n">
        <v>2019</v>
      </c>
      <c r="AG26" s="59" t="n"/>
      <c r="AH26" s="58" t="inlineStr">
        <is>
          <t>FX</t>
        </is>
      </c>
      <c r="AI26" s="61">
        <f>AI6</f>
        <v/>
      </c>
      <c r="AJ26" s="53" t="inlineStr">
        <is>
          <t>INDELC</t>
        </is>
      </c>
      <c r="AK26" s="245">
        <f>AK32/1000</f>
        <v/>
      </c>
      <c r="AL26" s="59" t="n">
        <v>2019</v>
      </c>
      <c r="AM26" s="59" t="n"/>
      <c r="AN26" s="58" t="inlineStr">
        <is>
          <t>FX</t>
        </is>
      </c>
      <c r="AO26" s="61">
        <f>AO6</f>
        <v/>
      </c>
      <c r="AP26" s="53" t="inlineStr">
        <is>
          <t>INDELC</t>
        </is>
      </c>
      <c r="AQ26" s="245">
        <f>AQ32/1000</f>
        <v/>
      </c>
      <c r="AR26" s="59" t="n">
        <v>2019</v>
      </c>
      <c r="AS26" s="56" t="n"/>
      <c r="AT26" s="58" t="inlineStr">
        <is>
          <t>FX</t>
        </is>
      </c>
      <c r="AU26" s="61">
        <f>AU6</f>
        <v/>
      </c>
      <c r="AV26" s="53" t="inlineStr">
        <is>
          <t>INDELC</t>
        </is>
      </c>
      <c r="AW26" s="245">
        <f>AW32/1000</f>
        <v/>
      </c>
      <c r="AX26" s="59" t="n">
        <v>2019</v>
      </c>
    </row>
    <row r="27" ht="16" customHeight="1" s="213">
      <c r="J27" s="58" t="inlineStr">
        <is>
          <t>FX</t>
        </is>
      </c>
      <c r="K27" s="61">
        <f>K7</f>
        <v/>
      </c>
      <c r="L27" s="53" t="inlineStr">
        <is>
          <t>INDCOA</t>
        </is>
      </c>
      <c r="M27" s="242">
        <f>T74/1000</f>
        <v/>
      </c>
      <c r="N27" s="59" t="n">
        <v>2019</v>
      </c>
      <c r="O27" s="59" t="n"/>
      <c r="P27" s="58" t="inlineStr">
        <is>
          <t>FX</t>
        </is>
      </c>
      <c r="Q27" s="61">
        <f>Q7</f>
        <v/>
      </c>
      <c r="R27" s="53" t="inlineStr">
        <is>
          <t>INDCOA</t>
        </is>
      </c>
      <c r="S27" s="245">
        <f>S33/1000</f>
        <v/>
      </c>
      <c r="T27" s="59" t="n">
        <v>2019</v>
      </c>
      <c r="U27" s="59" t="n"/>
      <c r="V27" s="58" t="inlineStr">
        <is>
          <t>FX</t>
        </is>
      </c>
      <c r="W27" s="61">
        <f>W7</f>
        <v/>
      </c>
      <c r="X27" s="53" t="inlineStr">
        <is>
          <t>INDCOA</t>
        </is>
      </c>
      <c r="Y27" s="245">
        <f>Y33/1000</f>
        <v/>
      </c>
      <c r="Z27" s="59" t="n">
        <v>2019</v>
      </c>
      <c r="AA27" s="59" t="n"/>
      <c r="AB27" s="58" t="inlineStr">
        <is>
          <t>FX</t>
        </is>
      </c>
      <c r="AC27" s="61">
        <f>AC7</f>
        <v/>
      </c>
      <c r="AD27" s="53" t="inlineStr">
        <is>
          <t>INDCOA</t>
        </is>
      </c>
      <c r="AE27" s="245">
        <f>AE33/1000</f>
        <v/>
      </c>
      <c r="AF27" s="59" t="n">
        <v>2019</v>
      </c>
      <c r="AG27" s="59" t="n"/>
      <c r="AH27" s="58" t="inlineStr">
        <is>
          <t>FX</t>
        </is>
      </c>
      <c r="AI27" s="61">
        <f>AI7</f>
        <v/>
      </c>
      <c r="AJ27" s="53" t="inlineStr">
        <is>
          <t>INDCOA</t>
        </is>
      </c>
      <c r="AK27" s="245">
        <f>AK33/1000</f>
        <v/>
      </c>
      <c r="AL27" s="59" t="n">
        <v>2019</v>
      </c>
      <c r="AM27" s="59" t="n"/>
      <c r="AN27" s="58" t="inlineStr">
        <is>
          <t>FX</t>
        </is>
      </c>
      <c r="AO27" s="61">
        <f>AO7</f>
        <v/>
      </c>
      <c r="AP27" s="53" t="inlineStr">
        <is>
          <t>INDCOA</t>
        </is>
      </c>
      <c r="AQ27" s="245">
        <f>AQ33/1000</f>
        <v/>
      </c>
      <c r="AR27" s="59" t="n">
        <v>2019</v>
      </c>
      <c r="AS27" s="56" t="n"/>
      <c r="AT27" s="58" t="inlineStr">
        <is>
          <t>FX</t>
        </is>
      </c>
      <c r="AU27" s="61">
        <f>AU7</f>
        <v/>
      </c>
      <c r="AV27" s="53" t="inlineStr">
        <is>
          <t>INDCOA</t>
        </is>
      </c>
      <c r="AW27" s="245">
        <f>AW33/1000</f>
        <v/>
      </c>
      <c r="AX27" s="59" t="n">
        <v>2019</v>
      </c>
    </row>
    <row r="28" ht="16" customHeight="1" s="213">
      <c r="J28" s="58" t="inlineStr">
        <is>
          <t>FX</t>
        </is>
      </c>
      <c r="K28" s="61">
        <f>K8</f>
        <v/>
      </c>
      <c r="L28" s="53" t="inlineStr">
        <is>
          <t>INDNGA</t>
        </is>
      </c>
      <c r="M28" s="242">
        <f>T75/1000</f>
        <v/>
      </c>
      <c r="N28" s="59" t="n">
        <v>2019</v>
      </c>
      <c r="O28" s="59" t="n"/>
      <c r="P28" s="58" t="inlineStr">
        <is>
          <t>FX</t>
        </is>
      </c>
      <c r="Q28" s="61">
        <f>Q8</f>
        <v/>
      </c>
      <c r="R28" s="53" t="inlineStr">
        <is>
          <t>INDNGA</t>
        </is>
      </c>
      <c r="S28" s="245">
        <f>S34/1000</f>
        <v/>
      </c>
      <c r="T28" s="59" t="n">
        <v>2019</v>
      </c>
      <c r="U28" s="59" t="n"/>
      <c r="V28" s="58" t="inlineStr">
        <is>
          <t>FX</t>
        </is>
      </c>
      <c r="W28" s="61">
        <f>W8</f>
        <v/>
      </c>
      <c r="X28" s="53" t="inlineStr">
        <is>
          <t>INDNGA</t>
        </is>
      </c>
      <c r="Y28" s="245">
        <f>Y34/1000</f>
        <v/>
      </c>
      <c r="Z28" s="59" t="n">
        <v>2019</v>
      </c>
      <c r="AA28" s="59" t="n"/>
      <c r="AB28" s="58" t="inlineStr">
        <is>
          <t>FX</t>
        </is>
      </c>
      <c r="AC28" s="61">
        <f>AC8</f>
        <v/>
      </c>
      <c r="AD28" s="53" t="inlineStr">
        <is>
          <t>INDNGA</t>
        </is>
      </c>
      <c r="AE28" s="245">
        <f>AE34/1000</f>
        <v/>
      </c>
      <c r="AF28" s="59" t="n">
        <v>2019</v>
      </c>
      <c r="AG28" s="59" t="n"/>
      <c r="AH28" s="58" t="inlineStr">
        <is>
          <t>FX</t>
        </is>
      </c>
      <c r="AI28" s="61">
        <f>AI8</f>
        <v/>
      </c>
      <c r="AJ28" s="53" t="inlineStr">
        <is>
          <t>INDNGA</t>
        </is>
      </c>
      <c r="AK28" s="245">
        <f>AK34/1000</f>
        <v/>
      </c>
      <c r="AL28" s="59" t="n">
        <v>2019</v>
      </c>
      <c r="AM28" s="59" t="n"/>
      <c r="AN28" s="58" t="inlineStr">
        <is>
          <t>FX</t>
        </is>
      </c>
      <c r="AO28" s="61">
        <f>AO8</f>
        <v/>
      </c>
      <c r="AP28" s="53" t="inlineStr">
        <is>
          <t>INDNGA</t>
        </is>
      </c>
      <c r="AQ28" s="245">
        <f>AQ34/1000</f>
        <v/>
      </c>
      <c r="AR28" s="59" t="n">
        <v>2019</v>
      </c>
      <c r="AS28" s="56" t="n"/>
      <c r="AT28" s="58" t="inlineStr">
        <is>
          <t>FX</t>
        </is>
      </c>
      <c r="AU28" s="61">
        <f>AU8</f>
        <v/>
      </c>
      <c r="AV28" s="53" t="inlineStr">
        <is>
          <t>INDNGA</t>
        </is>
      </c>
      <c r="AW28" s="245">
        <f>AW34/1000</f>
        <v/>
      </c>
      <c r="AX28" s="59" t="n">
        <v>2019</v>
      </c>
    </row>
    <row r="29" ht="16" customHeight="1" s="213">
      <c r="J29" s="58" t="inlineStr">
        <is>
          <t>FX</t>
        </is>
      </c>
      <c r="K29" s="61">
        <f>K9</f>
        <v/>
      </c>
      <c r="L29" s="53" t="inlineStr">
        <is>
          <t>INDOIL</t>
        </is>
      </c>
      <c r="M29" s="242">
        <f>T76/1000</f>
        <v/>
      </c>
      <c r="N29" s="59" t="n">
        <v>2019</v>
      </c>
      <c r="O29" s="59" t="n"/>
      <c r="P29" s="58" t="inlineStr">
        <is>
          <t>FX</t>
        </is>
      </c>
      <c r="Q29" s="61">
        <f>Q9</f>
        <v/>
      </c>
      <c r="R29" s="53" t="inlineStr">
        <is>
          <t>INDOIL</t>
        </is>
      </c>
      <c r="S29" s="245">
        <f>S35/1000</f>
        <v/>
      </c>
      <c r="T29" s="59" t="n">
        <v>2019</v>
      </c>
      <c r="U29" s="59" t="n"/>
      <c r="V29" s="58" t="inlineStr">
        <is>
          <t>FX</t>
        </is>
      </c>
      <c r="W29" s="61">
        <f>W9</f>
        <v/>
      </c>
      <c r="X29" s="53" t="inlineStr">
        <is>
          <t>INDOIL</t>
        </is>
      </c>
      <c r="Y29" s="245">
        <f>Y35/1000</f>
        <v/>
      </c>
      <c r="Z29" s="59" t="n">
        <v>2019</v>
      </c>
      <c r="AA29" s="59" t="n"/>
      <c r="AB29" s="58" t="inlineStr">
        <is>
          <t>FX</t>
        </is>
      </c>
      <c r="AC29" s="61">
        <f>AC9</f>
        <v/>
      </c>
      <c r="AD29" s="53" t="inlineStr">
        <is>
          <t>INDOIL</t>
        </is>
      </c>
      <c r="AE29" s="245">
        <f>AE35/1000</f>
        <v/>
      </c>
      <c r="AF29" s="59" t="n">
        <v>2019</v>
      </c>
      <c r="AG29" s="59" t="n"/>
      <c r="AH29" s="58" t="inlineStr">
        <is>
          <t>FX</t>
        </is>
      </c>
      <c r="AI29" s="61">
        <f>AI9</f>
        <v/>
      </c>
      <c r="AJ29" s="53" t="inlineStr">
        <is>
          <t>INDOIL</t>
        </is>
      </c>
      <c r="AK29" s="245">
        <f>AK35/1000</f>
        <v/>
      </c>
      <c r="AL29" s="59" t="n">
        <v>2019</v>
      </c>
      <c r="AM29" s="59" t="n"/>
      <c r="AN29" s="58" t="inlineStr">
        <is>
          <t>FX</t>
        </is>
      </c>
      <c r="AO29" s="61">
        <f>AO9</f>
        <v/>
      </c>
      <c r="AP29" s="53" t="inlineStr">
        <is>
          <t>INDOIL</t>
        </is>
      </c>
      <c r="AQ29" s="245">
        <f>AQ35/1000</f>
        <v/>
      </c>
      <c r="AR29" s="59" t="n">
        <v>2019</v>
      </c>
      <c r="AS29" s="56" t="n"/>
      <c r="AT29" s="58" t="inlineStr">
        <is>
          <t>FX</t>
        </is>
      </c>
      <c r="AU29" s="61">
        <f>AU9</f>
        <v/>
      </c>
      <c r="AV29" s="53" t="inlineStr">
        <is>
          <t>INDOIL</t>
        </is>
      </c>
      <c r="AW29" s="245">
        <f>AW35/1000</f>
        <v/>
      </c>
      <c r="AX29" s="59" t="n">
        <v>2019</v>
      </c>
    </row>
    <row r="32" ht="14.5" customHeight="1" s="213">
      <c r="S32" s="244">
        <f>U73</f>
        <v/>
      </c>
      <c r="Y32" s="244">
        <f>V73</f>
        <v/>
      </c>
      <c r="AE32" s="244">
        <f>W73</f>
        <v/>
      </c>
      <c r="AK32" s="244">
        <f>X73</f>
        <v/>
      </c>
      <c r="AQ32" s="244">
        <f>Y73</f>
        <v/>
      </c>
      <c r="AW32" s="244">
        <f>Z73</f>
        <v/>
      </c>
    </row>
    <row r="33" ht="14.5" customHeight="1" s="213">
      <c r="S33" s="244">
        <f>U74</f>
        <v/>
      </c>
      <c r="Y33" s="244">
        <f>V74</f>
        <v/>
      </c>
      <c r="AE33" s="244">
        <f>W74</f>
        <v/>
      </c>
      <c r="AK33" s="244">
        <f>X74</f>
        <v/>
      </c>
      <c r="AQ33" s="244">
        <f>Y74</f>
        <v/>
      </c>
      <c r="AW33" s="244">
        <f>Z74</f>
        <v/>
      </c>
    </row>
    <row r="34" ht="14.5" customHeight="1" s="213">
      <c r="S34" s="244">
        <f>U75</f>
        <v/>
      </c>
      <c r="Y34" s="244">
        <f>V75</f>
        <v/>
      </c>
      <c r="AE34" s="244">
        <f>W75</f>
        <v/>
      </c>
      <c r="AK34" s="244">
        <f>X75</f>
        <v/>
      </c>
      <c r="AQ34" s="244">
        <f>Y75</f>
        <v/>
      </c>
      <c r="AW34" s="244">
        <f>Z75</f>
        <v/>
      </c>
    </row>
    <row r="35" ht="14.5" customHeight="1" s="213">
      <c r="S35" s="244">
        <f>U76</f>
        <v/>
      </c>
      <c r="Y35" s="244">
        <f>V76</f>
        <v/>
      </c>
      <c r="AE35" s="244">
        <f>W76</f>
        <v/>
      </c>
      <c r="AK35" s="244">
        <f>X76</f>
        <v/>
      </c>
      <c r="AQ35" s="244">
        <f>Y76</f>
        <v/>
      </c>
      <c r="AW35" s="244">
        <f>Z76</f>
        <v/>
      </c>
    </row>
    <row r="42" ht="14.5" customHeight="1" s="213">
      <c r="Q42" s="208" t="inlineStr">
        <is>
          <t>Original data_provided by Anna</t>
        </is>
      </c>
      <c r="R42" s="208" t="n"/>
      <c r="S42" s="208" t="n"/>
      <c r="T42" s="208" t="n"/>
      <c r="U42" s="208" t="n"/>
      <c r="V42" s="208" t="n"/>
      <c r="W42" s="208" t="n"/>
      <c r="X42" s="208" t="n"/>
      <c r="Y42" s="208" t="n"/>
      <c r="Z42" s="208" t="n"/>
    </row>
    <row r="43" ht="15.5" customHeight="1" s="213">
      <c r="Q43" s="69" t="inlineStr">
        <is>
          <t>Location</t>
        </is>
      </c>
      <c r="R43" s="69" t="inlineStr">
        <is>
          <t xml:space="preserve">Energy use (MJ/kWh battery produced) </t>
        </is>
      </c>
      <c r="S43" s="70" t="inlineStr">
        <is>
          <t xml:space="preserve">Chemistry </t>
        </is>
      </c>
      <c r="T43" s="70" t="n"/>
      <c r="U43" s="70" t="n"/>
      <c r="V43" s="70" t="n"/>
      <c r="W43" s="70" t="n"/>
      <c r="X43" s="70" t="n"/>
      <c r="Y43" s="70" t="n"/>
      <c r="Z43" s="70" t="n"/>
    </row>
    <row r="44" ht="15.5" customHeight="1" s="213">
      <c r="S44" s="70" t="inlineStr">
        <is>
          <t xml:space="preserve">LCO </t>
        </is>
      </c>
      <c r="T44" s="70" t="inlineStr">
        <is>
          <t>NMC111</t>
        </is>
      </c>
      <c r="U44" s="70" t="inlineStr">
        <is>
          <t>NMC532</t>
        </is>
      </c>
      <c r="V44" s="70" t="inlineStr">
        <is>
          <t>NMC622</t>
        </is>
      </c>
      <c r="W44" s="70" t="inlineStr">
        <is>
          <t>NMC811</t>
        </is>
      </c>
      <c r="X44" s="70" t="inlineStr">
        <is>
          <t>NCA</t>
        </is>
      </c>
      <c r="Y44" s="70" t="inlineStr">
        <is>
          <t xml:space="preserve">LMO </t>
        </is>
      </c>
      <c r="Z44" s="70" t="inlineStr">
        <is>
          <t xml:space="preserve">LFP </t>
        </is>
      </c>
    </row>
    <row r="45" ht="15.5" customHeight="1" s="213">
      <c r="Q45" s="69" t="inlineStr">
        <is>
          <t>US</t>
        </is>
      </c>
      <c r="R45" s="71" t="inlineStr">
        <is>
          <t xml:space="preserve">     Total Energy</t>
        </is>
      </c>
      <c r="S45" s="246" t="n">
        <v>1211.3</v>
      </c>
      <c r="T45" s="246" t="n">
        <v>990.7</v>
      </c>
      <c r="U45" s="246" t="n">
        <v>952.4</v>
      </c>
      <c r="V45" s="246" t="n">
        <v>961</v>
      </c>
      <c r="W45" s="246" t="n">
        <v>958.7</v>
      </c>
      <c r="X45" s="246" t="n">
        <v>1030.2</v>
      </c>
      <c r="Y45" s="246" t="n">
        <v>586.1</v>
      </c>
      <c r="Z45" s="246" t="n">
        <v>775</v>
      </c>
    </row>
    <row r="46" ht="15.5" customHeight="1" s="213">
      <c r="R46" s="71" t="inlineStr">
        <is>
          <t xml:space="preserve">     Fossil fuels</t>
        </is>
      </c>
      <c r="S46" s="246" t="n">
        <v>1103.7</v>
      </c>
      <c r="T46" s="246" t="n">
        <v>913.9</v>
      </c>
      <c r="U46" s="246" t="n">
        <v>881.1</v>
      </c>
      <c r="V46" s="246" t="n">
        <v>889.8</v>
      </c>
      <c r="W46" s="246" t="n">
        <v>886.2</v>
      </c>
      <c r="X46" s="246" t="n">
        <v>953.2</v>
      </c>
      <c r="Y46" s="246" t="n">
        <v>543.7</v>
      </c>
      <c r="Z46" s="246" t="n">
        <v>727.8</v>
      </c>
    </row>
    <row r="47" ht="15.5" customHeight="1" s="213">
      <c r="R47" s="71" t="inlineStr">
        <is>
          <t xml:space="preserve">     Coal</t>
        </is>
      </c>
      <c r="S47" s="246" t="n">
        <v>267.3</v>
      </c>
      <c r="T47" s="246" t="n">
        <v>202.6</v>
      </c>
      <c r="U47" s="246" t="n">
        <v>191.3</v>
      </c>
      <c r="V47" s="246" t="n">
        <v>191.5</v>
      </c>
      <c r="W47" s="246" t="n">
        <v>185.9</v>
      </c>
      <c r="X47" s="246" t="n">
        <v>198.2</v>
      </c>
      <c r="Y47" s="246" t="n">
        <v>76.8</v>
      </c>
      <c r="Z47" s="246" t="n">
        <v>155.5</v>
      </c>
    </row>
    <row r="48" ht="15.5" customHeight="1" s="213">
      <c r="R48" s="71" t="inlineStr">
        <is>
          <t xml:space="preserve">     Natural gas</t>
        </is>
      </c>
      <c r="S48" s="246" t="n">
        <v>692.5</v>
      </c>
      <c r="T48" s="246" t="n">
        <v>583.8</v>
      </c>
      <c r="U48" s="246" t="n">
        <v>556.1</v>
      </c>
      <c r="V48" s="246" t="n">
        <v>557.9</v>
      </c>
      <c r="W48" s="246" t="n">
        <v>550.5</v>
      </c>
      <c r="X48" s="246" t="n">
        <v>594.2</v>
      </c>
      <c r="Y48" s="246" t="n">
        <v>409.9</v>
      </c>
      <c r="Z48" s="246" t="n">
        <v>477</v>
      </c>
    </row>
    <row r="49" ht="15.5" customHeight="1" s="213">
      <c r="R49" s="71" t="inlineStr">
        <is>
          <t xml:space="preserve">     Petroleum</t>
        </is>
      </c>
      <c r="S49" s="246" t="n">
        <v>144</v>
      </c>
      <c r="T49" s="246" t="n">
        <v>127.5</v>
      </c>
      <c r="U49" s="246" t="n">
        <v>133.7</v>
      </c>
      <c r="V49" s="246" t="n">
        <v>140.3</v>
      </c>
      <c r="W49" s="246" t="n">
        <v>149.9</v>
      </c>
      <c r="X49" s="246" t="n">
        <v>160.8</v>
      </c>
      <c r="Y49" s="246" t="n">
        <v>57</v>
      </c>
      <c r="Z49" s="246" t="n">
        <v>95.2</v>
      </c>
    </row>
    <row r="50" ht="15.5" customHeight="1" s="213">
      <c r="Q50" s="69" t="inlineStr">
        <is>
          <t>Korea</t>
        </is>
      </c>
      <c r="R50" s="71" t="inlineStr">
        <is>
          <t xml:space="preserve">     Total Energy</t>
        </is>
      </c>
      <c r="S50" s="246" t="n">
        <v>1217.1</v>
      </c>
      <c r="T50" s="246" t="n">
        <v>996.4</v>
      </c>
      <c r="U50" s="246" t="n">
        <v>958.2</v>
      </c>
      <c r="V50" s="246" t="n">
        <v>966.8</v>
      </c>
      <c r="W50" s="246" t="n">
        <v>964.4</v>
      </c>
      <c r="X50" s="246" t="n">
        <v>1036</v>
      </c>
      <c r="Y50" s="246" t="n">
        <v>591.9</v>
      </c>
      <c r="Z50" s="246" t="n">
        <v>780.8</v>
      </c>
    </row>
    <row r="51" ht="15.5" customHeight="1" s="213">
      <c r="R51" s="71" t="inlineStr">
        <is>
          <t xml:space="preserve">     Fossil fuels</t>
        </is>
      </c>
      <c r="S51" s="246" t="n">
        <v>1109.8</v>
      </c>
      <c r="T51" s="246" t="n">
        <v>920</v>
      </c>
      <c r="U51" s="246" t="n">
        <v>887.2</v>
      </c>
      <c r="V51" s="246" t="n">
        <v>895.9</v>
      </c>
      <c r="W51" s="246" t="n">
        <v>892.3</v>
      </c>
      <c r="X51" s="246" t="n">
        <v>959.3</v>
      </c>
      <c r="Y51" s="246" t="n">
        <v>549.8</v>
      </c>
      <c r="Z51" s="246" t="n">
        <v>733.9</v>
      </c>
    </row>
    <row r="52" ht="15.5" customHeight="1" s="213">
      <c r="R52" s="71" t="inlineStr">
        <is>
          <t xml:space="preserve">     Coal</t>
        </is>
      </c>
      <c r="S52" s="246" t="n">
        <v>280.2</v>
      </c>
      <c r="T52" s="246" t="n">
        <v>215.6</v>
      </c>
      <c r="U52" s="246" t="n">
        <v>204.2</v>
      </c>
      <c r="V52" s="246" t="n">
        <v>204.5</v>
      </c>
      <c r="W52" s="246" t="n">
        <v>198.8</v>
      </c>
      <c r="X52" s="246" t="n">
        <v>211.1</v>
      </c>
      <c r="Y52" s="246" t="n">
        <v>89.8</v>
      </c>
      <c r="Z52" s="246" t="n">
        <v>168.5</v>
      </c>
    </row>
    <row r="53" ht="15.5" customHeight="1" s="213">
      <c r="R53" s="71" t="inlineStr">
        <is>
          <t xml:space="preserve">     Natural gas</t>
        </is>
      </c>
      <c r="S53" s="246" t="n">
        <v>684.6</v>
      </c>
      <c r="T53" s="246" t="n">
        <v>575.9</v>
      </c>
      <c r="U53" s="246" t="n">
        <v>548.2</v>
      </c>
      <c r="V53" s="246" t="n">
        <v>550</v>
      </c>
      <c r="W53" s="246" t="n">
        <v>542.6</v>
      </c>
      <c r="X53" s="246" t="n">
        <v>586.3</v>
      </c>
      <c r="Y53" s="246" t="n">
        <v>402</v>
      </c>
      <c r="Z53" s="246" t="n">
        <v>469.1</v>
      </c>
    </row>
    <row r="54" ht="15.5" customHeight="1" s="213">
      <c r="R54" s="71" t="inlineStr">
        <is>
          <t xml:space="preserve">     Petroleum</t>
        </is>
      </c>
      <c r="S54" s="246" t="n">
        <v>145</v>
      </c>
      <c r="T54" s="246" t="n">
        <v>128.5</v>
      </c>
      <c r="U54" s="246" t="n">
        <v>134.7</v>
      </c>
      <c r="V54" s="246" t="n">
        <v>141.3</v>
      </c>
      <c r="W54" s="246" t="n">
        <v>150.9</v>
      </c>
      <c r="X54" s="246" t="n">
        <v>161.9</v>
      </c>
      <c r="Y54" s="246" t="n">
        <v>58</v>
      </c>
      <c r="Z54" s="246" t="n">
        <v>96.3</v>
      </c>
    </row>
    <row r="55" ht="15.5" customHeight="1" s="213">
      <c r="Q55" s="69" t="inlineStr">
        <is>
          <t>China</t>
        </is>
      </c>
      <c r="R55" s="71" t="inlineStr">
        <is>
          <t xml:space="preserve">     Total Energy</t>
        </is>
      </c>
      <c r="S55" s="246" t="n">
        <v>1222.2</v>
      </c>
      <c r="T55" s="246" t="n">
        <v>1001.5</v>
      </c>
      <c r="U55" s="246" t="n">
        <v>963.3</v>
      </c>
      <c r="V55" s="246" t="n">
        <v>971.9</v>
      </c>
      <c r="W55" s="246" t="n">
        <v>969.5</v>
      </c>
      <c r="X55" s="246" t="n">
        <v>1041.1</v>
      </c>
      <c r="Y55" s="246" t="n">
        <v>597</v>
      </c>
      <c r="Z55" s="246" t="n">
        <v>785.8</v>
      </c>
    </row>
    <row r="56" ht="15.5" customHeight="1" s="213">
      <c r="R56" s="71" t="inlineStr">
        <is>
          <t xml:space="preserve">     Fossil fuels</t>
        </is>
      </c>
      <c r="S56" s="246" t="n">
        <v>1113.9</v>
      </c>
      <c r="T56" s="246" t="n">
        <v>924.1</v>
      </c>
      <c r="U56" s="246" t="n">
        <v>891.3</v>
      </c>
      <c r="V56" s="246" t="n">
        <v>900</v>
      </c>
      <c r="W56" s="246" t="n">
        <v>896.4</v>
      </c>
      <c r="X56" s="246" t="n">
        <v>963.4</v>
      </c>
      <c r="Y56" s="246" t="n">
        <v>553.9</v>
      </c>
      <c r="Z56" s="246" t="n">
        <v>738</v>
      </c>
    </row>
    <row r="57" ht="15.5" customHeight="1" s="213">
      <c r="R57" s="71" t="inlineStr">
        <is>
          <t xml:space="preserve">     Coal</t>
        </is>
      </c>
      <c r="S57" s="246" t="n">
        <v>301.2</v>
      </c>
      <c r="T57" s="246" t="n">
        <v>236.6</v>
      </c>
      <c r="U57" s="246" t="n">
        <v>225.2</v>
      </c>
      <c r="V57" s="246" t="n">
        <v>225.5</v>
      </c>
      <c r="W57" s="246" t="n">
        <v>219.8</v>
      </c>
      <c r="X57" s="246" t="n">
        <v>232.2</v>
      </c>
      <c r="Y57" s="246" t="n">
        <v>110.8</v>
      </c>
      <c r="Z57" s="246" t="n">
        <v>189.5</v>
      </c>
    </row>
    <row r="58" ht="15.5" customHeight="1" s="213">
      <c r="R58" s="71" t="inlineStr">
        <is>
          <t xml:space="preserve">     Natural gas</t>
        </is>
      </c>
      <c r="S58" s="246" t="n">
        <v>668.4</v>
      </c>
      <c r="T58" s="246" t="n">
        <v>559.8</v>
      </c>
      <c r="U58" s="246" t="n">
        <v>532.1</v>
      </c>
      <c r="V58" s="246" t="n">
        <v>533.9</v>
      </c>
      <c r="W58" s="246" t="n">
        <v>526.4</v>
      </c>
      <c r="X58" s="246" t="n">
        <v>570.2</v>
      </c>
      <c r="Y58" s="246" t="n">
        <v>385.8</v>
      </c>
      <c r="Z58" s="246" t="n">
        <v>453</v>
      </c>
    </row>
    <row r="59" ht="15.5" customHeight="1" s="213">
      <c r="R59" s="71" t="inlineStr">
        <is>
          <t xml:space="preserve">     Petroleum</t>
        </is>
      </c>
      <c r="S59" s="246" t="n">
        <v>144.2</v>
      </c>
      <c r="T59" s="246" t="n">
        <v>127.7</v>
      </c>
      <c r="U59" s="246" t="n">
        <v>134</v>
      </c>
      <c r="V59" s="246" t="n">
        <v>140.6</v>
      </c>
      <c r="W59" s="246" t="n">
        <v>150.2</v>
      </c>
      <c r="X59" s="246" t="n">
        <v>161.1</v>
      </c>
      <c r="Y59" s="246" t="n">
        <v>57.2</v>
      </c>
      <c r="Z59" s="246" t="n">
        <v>95.5</v>
      </c>
    </row>
    <row r="60" ht="15.5" customHeight="1" s="213">
      <c r="Q60" s="70" t="n"/>
      <c r="R60" s="70" t="n"/>
      <c r="S60" s="246" t="n"/>
      <c r="T60" s="246" t="n"/>
      <c r="U60" s="246" t="n"/>
      <c r="V60" s="246" t="n"/>
      <c r="W60" s="246" t="n"/>
      <c r="X60" s="246" t="n"/>
      <c r="Y60" s="246" t="n"/>
      <c r="Z60" s="246" t="n"/>
    </row>
    <row r="61" ht="15.5" customHeight="1" s="213">
      <c r="Q61" s="70" t="inlineStr">
        <is>
          <t xml:space="preserve">** Assumed to be cell manufacturing </t>
        </is>
      </c>
      <c r="R61" s="70" t="n"/>
      <c r="S61" s="70" t="n"/>
      <c r="T61" s="70" t="n"/>
      <c r="U61" s="70" t="n"/>
      <c r="V61" s="70" t="n"/>
      <c r="W61" s="70" t="n"/>
      <c r="X61" s="70" t="n"/>
      <c r="Y61" s="70" t="n"/>
      <c r="Z61" s="70" t="n"/>
    </row>
    <row r="62" ht="14.5" customHeight="1" s="213">
      <c r="Q62" s="208" t="n"/>
      <c r="R62" s="208" t="n"/>
      <c r="S62" s="208" t="n"/>
      <c r="T62" s="208" t="n"/>
      <c r="U62" s="208" t="n"/>
      <c r="V62" s="208" t="n"/>
      <c r="W62" s="208" t="n"/>
      <c r="X62" s="208" t="n"/>
      <c r="Y62" s="208" t="n"/>
      <c r="Z62" s="208" t="n"/>
    </row>
    <row r="63" ht="14.5" customHeight="1" s="213">
      <c r="Q63" s="208" t="n"/>
      <c r="R63" s="208" t="n"/>
      <c r="S63" s="208" t="n"/>
      <c r="T63" s="208" t="n"/>
      <c r="U63" s="208" t="n"/>
      <c r="V63" s="208" t="n"/>
      <c r="W63" s="208" t="n"/>
      <c r="X63" s="208" t="n"/>
      <c r="Y63" s="208" t="n"/>
      <c r="Z63" s="208" t="n"/>
    </row>
    <row r="64" ht="15.5" customHeight="1" s="213">
      <c r="Q64" s="208" t="n"/>
      <c r="R64" s="208" t="n"/>
      <c r="S64" s="70" t="inlineStr">
        <is>
          <t xml:space="preserve">LCO </t>
        </is>
      </c>
      <c r="T64" s="70" t="inlineStr">
        <is>
          <t>NMC111</t>
        </is>
      </c>
      <c r="U64" s="70" t="inlineStr">
        <is>
          <t>NMC532</t>
        </is>
      </c>
      <c r="V64" s="70" t="inlineStr">
        <is>
          <t>NMC622</t>
        </is>
      </c>
      <c r="W64" s="70" t="inlineStr">
        <is>
          <t>NMC811</t>
        </is>
      </c>
      <c r="X64" s="70" t="inlineStr">
        <is>
          <t>NCA</t>
        </is>
      </c>
      <c r="Y64" s="70" t="inlineStr">
        <is>
          <t xml:space="preserve">LMO </t>
        </is>
      </c>
      <c r="Z64" s="70" t="inlineStr">
        <is>
          <t xml:space="preserve">LFP </t>
        </is>
      </c>
    </row>
    <row r="65" ht="14.5" customHeight="1" s="213">
      <c r="Q65" s="73" t="inlineStr">
        <is>
          <t>US</t>
        </is>
      </c>
      <c r="R65" s="73" t="inlineStr">
        <is>
          <t>ELC</t>
        </is>
      </c>
      <c r="S65" s="247">
        <f>S45-S46</f>
        <v/>
      </c>
      <c r="T65" s="248">
        <f>T45-T46</f>
        <v/>
      </c>
      <c r="U65" s="248">
        <f>U45-U46</f>
        <v/>
      </c>
      <c r="V65" s="248">
        <f>V45-V46</f>
        <v/>
      </c>
      <c r="W65" s="248">
        <f>W45-W46</f>
        <v/>
      </c>
      <c r="X65" s="248">
        <f>X45-X46</f>
        <v/>
      </c>
      <c r="Y65" s="248">
        <f>Y45-Y46</f>
        <v/>
      </c>
      <c r="Z65" s="248">
        <f>Z45-Z46</f>
        <v/>
      </c>
    </row>
    <row r="66" ht="15.5" customHeight="1" s="213">
      <c r="R66" s="76" t="inlineStr">
        <is>
          <t xml:space="preserve">     Coal</t>
        </is>
      </c>
      <c r="S66" s="247">
        <f>S47</f>
        <v/>
      </c>
      <c r="T66" s="248">
        <f>T47</f>
        <v/>
      </c>
      <c r="U66" s="248">
        <f>U47</f>
        <v/>
      </c>
      <c r="V66" s="248">
        <f>V47</f>
        <v/>
      </c>
      <c r="W66" s="248">
        <f>W47</f>
        <v/>
      </c>
      <c r="X66" s="248">
        <f>X47</f>
        <v/>
      </c>
      <c r="Y66" s="248">
        <f>Y47</f>
        <v/>
      </c>
      <c r="Z66" s="248">
        <f>Z47</f>
        <v/>
      </c>
    </row>
    <row r="67" ht="15.5" customHeight="1" s="213">
      <c r="R67" s="76" t="inlineStr">
        <is>
          <t xml:space="preserve">     Natural gas</t>
        </is>
      </c>
      <c r="S67" s="247">
        <f>S48</f>
        <v/>
      </c>
      <c r="T67" s="248">
        <f>T48</f>
        <v/>
      </c>
      <c r="U67" s="248">
        <f>U48</f>
        <v/>
      </c>
      <c r="V67" s="248">
        <f>V48</f>
        <v/>
      </c>
      <c r="W67" s="248">
        <f>W48</f>
        <v/>
      </c>
      <c r="X67" s="248">
        <f>X48</f>
        <v/>
      </c>
      <c r="Y67" s="248">
        <f>Y48</f>
        <v/>
      </c>
      <c r="Z67" s="248">
        <f>Z48</f>
        <v/>
      </c>
    </row>
    <row r="68" ht="15.5" customHeight="1" s="213">
      <c r="R68" s="76" t="inlineStr">
        <is>
          <t xml:space="preserve">     Petroleum</t>
        </is>
      </c>
      <c r="S68" s="247">
        <f>S49</f>
        <v/>
      </c>
      <c r="T68" s="248">
        <f>T49</f>
        <v/>
      </c>
      <c r="U68" s="248">
        <f>U49</f>
        <v/>
      </c>
      <c r="V68" s="248">
        <f>V49</f>
        <v/>
      </c>
      <c r="W68" s="248">
        <f>W49</f>
        <v/>
      </c>
      <c r="X68" s="248">
        <f>X49</f>
        <v/>
      </c>
      <c r="Y68" s="248">
        <f>Y49</f>
        <v/>
      </c>
      <c r="Z68" s="248">
        <f>Z49</f>
        <v/>
      </c>
    </row>
    <row r="69" ht="14.5" customHeight="1" s="213">
      <c r="Q69" s="73" t="inlineStr">
        <is>
          <t>Korea</t>
        </is>
      </c>
      <c r="R69" s="73" t="inlineStr">
        <is>
          <t>ELC</t>
        </is>
      </c>
      <c r="S69" s="247">
        <f>S50-S51</f>
        <v/>
      </c>
      <c r="T69" s="248">
        <f>T50-T51</f>
        <v/>
      </c>
      <c r="U69" s="248">
        <f>U50-U51</f>
        <v/>
      </c>
      <c r="V69" s="248">
        <f>V50-V51</f>
        <v/>
      </c>
      <c r="W69" s="248">
        <f>W50-W51</f>
        <v/>
      </c>
      <c r="X69" s="248">
        <f>X50-X51</f>
        <v/>
      </c>
      <c r="Y69" s="248">
        <f>Y50-Y51</f>
        <v/>
      </c>
      <c r="Z69" s="248">
        <f>Z50-Z51</f>
        <v/>
      </c>
    </row>
    <row r="70" ht="15.5" customHeight="1" s="213">
      <c r="R70" s="76" t="inlineStr">
        <is>
          <t xml:space="preserve">     Coal</t>
        </is>
      </c>
      <c r="S70" s="247">
        <f>S52</f>
        <v/>
      </c>
      <c r="T70" s="248">
        <f>T52</f>
        <v/>
      </c>
      <c r="U70" s="248">
        <f>U52</f>
        <v/>
      </c>
      <c r="V70" s="248">
        <f>V52</f>
        <v/>
      </c>
      <c r="W70" s="248">
        <f>W52</f>
        <v/>
      </c>
      <c r="X70" s="248">
        <f>X52</f>
        <v/>
      </c>
      <c r="Y70" s="248">
        <f>Y52</f>
        <v/>
      </c>
      <c r="Z70" s="248">
        <f>Z52</f>
        <v/>
      </c>
    </row>
    <row r="71" ht="15.5" customHeight="1" s="213">
      <c r="R71" s="76" t="inlineStr">
        <is>
          <t xml:space="preserve">     Natural gas</t>
        </is>
      </c>
      <c r="S71" s="247">
        <f>S53</f>
        <v/>
      </c>
      <c r="T71" s="248">
        <f>T53</f>
        <v/>
      </c>
      <c r="U71" s="248">
        <f>U53</f>
        <v/>
      </c>
      <c r="V71" s="248">
        <f>V53</f>
        <v/>
      </c>
      <c r="W71" s="248">
        <f>W53</f>
        <v/>
      </c>
      <c r="X71" s="248">
        <f>X53</f>
        <v/>
      </c>
      <c r="Y71" s="248">
        <f>Y53</f>
        <v/>
      </c>
      <c r="Z71" s="248">
        <f>Z53</f>
        <v/>
      </c>
    </row>
    <row r="72" ht="15.5" customHeight="1" s="213">
      <c r="R72" s="76" t="inlineStr">
        <is>
          <t xml:space="preserve">     Petroleum</t>
        </is>
      </c>
      <c r="S72" s="247">
        <f>S54</f>
        <v/>
      </c>
      <c r="T72" s="248">
        <f>T54</f>
        <v/>
      </c>
      <c r="U72" s="248">
        <f>U54</f>
        <v/>
      </c>
      <c r="V72" s="248">
        <f>V54</f>
        <v/>
      </c>
      <c r="W72" s="248">
        <f>W54</f>
        <v/>
      </c>
      <c r="X72" s="248">
        <f>X54</f>
        <v/>
      </c>
      <c r="Y72" s="248">
        <f>Y54</f>
        <v/>
      </c>
      <c r="Z72" s="248">
        <f>Z54</f>
        <v/>
      </c>
    </row>
    <row r="73" ht="14.5" customHeight="1" s="213">
      <c r="Q73" s="73" t="inlineStr">
        <is>
          <t>China</t>
        </is>
      </c>
      <c r="R73" s="73" t="inlineStr">
        <is>
          <t>ELC</t>
        </is>
      </c>
      <c r="S73" s="247">
        <f>S55-S56</f>
        <v/>
      </c>
      <c r="T73" s="248">
        <f>T55-T56</f>
        <v/>
      </c>
      <c r="U73" s="248">
        <f>U55-U56</f>
        <v/>
      </c>
      <c r="V73" s="248">
        <f>V55-V56</f>
        <v/>
      </c>
      <c r="W73" s="248">
        <f>W55-W56</f>
        <v/>
      </c>
      <c r="X73" s="248">
        <f>X55-X56</f>
        <v/>
      </c>
      <c r="Y73" s="248">
        <f>Y55-Y56</f>
        <v/>
      </c>
      <c r="Z73" s="248">
        <f>Z55-Z56</f>
        <v/>
      </c>
    </row>
    <row r="74" ht="15.5" customHeight="1" s="213">
      <c r="R74" s="76" t="inlineStr">
        <is>
          <t xml:space="preserve">     Coal</t>
        </is>
      </c>
      <c r="S74" s="247">
        <f>S57</f>
        <v/>
      </c>
      <c r="T74" s="248">
        <f>T57</f>
        <v/>
      </c>
      <c r="U74" s="248">
        <f>U57</f>
        <v/>
      </c>
      <c r="V74" s="248">
        <f>V57</f>
        <v/>
      </c>
      <c r="W74" s="248">
        <f>W57</f>
        <v/>
      </c>
      <c r="X74" s="248">
        <f>X57</f>
        <v/>
      </c>
      <c r="Y74" s="248">
        <f>Y57</f>
        <v/>
      </c>
      <c r="Z74" s="248">
        <f>Z57</f>
        <v/>
      </c>
    </row>
    <row r="75" ht="15.5" customHeight="1" s="213">
      <c r="R75" s="76" t="inlineStr">
        <is>
          <t xml:space="preserve">     Natural gas</t>
        </is>
      </c>
      <c r="S75" s="247">
        <f>S58</f>
        <v/>
      </c>
      <c r="T75" s="248">
        <f>T58</f>
        <v/>
      </c>
      <c r="U75" s="248">
        <f>U58</f>
        <v/>
      </c>
      <c r="V75" s="248">
        <f>V58</f>
        <v/>
      </c>
      <c r="W75" s="248">
        <f>W58</f>
        <v/>
      </c>
      <c r="X75" s="248">
        <f>X58</f>
        <v/>
      </c>
      <c r="Y75" s="248">
        <f>Y58</f>
        <v/>
      </c>
      <c r="Z75" s="248">
        <f>Z58</f>
        <v/>
      </c>
    </row>
    <row r="76" ht="15.5" customHeight="1" s="213">
      <c r="R76" s="76" t="inlineStr">
        <is>
          <t xml:space="preserve">     Petroleum</t>
        </is>
      </c>
      <c r="S76" s="247">
        <f>S59</f>
        <v/>
      </c>
      <c r="T76" s="248">
        <f>T59</f>
        <v/>
      </c>
      <c r="U76" s="248">
        <f>U59</f>
        <v/>
      </c>
      <c r="V76" s="248">
        <f>V59</f>
        <v/>
      </c>
      <c r="W76" s="248">
        <f>W59</f>
        <v/>
      </c>
      <c r="X76" s="248">
        <f>X59</f>
        <v/>
      </c>
      <c r="Y76" s="248">
        <f>Y59</f>
        <v/>
      </c>
      <c r="Z76" s="248">
        <f>Z59</f>
        <v/>
      </c>
    </row>
    <row r="77" ht="14.5" customHeight="1" s="213">
      <c r="Q77" s="208" t="n"/>
      <c r="R77" s="208" t="n"/>
      <c r="S77" s="208" t="n"/>
      <c r="T77" s="208" t="n"/>
      <c r="U77" s="208" t="n"/>
      <c r="V77" s="208" t="n"/>
      <c r="W77" s="208" t="n"/>
      <c r="X77" s="208" t="n"/>
      <c r="Y77" s="208" t="n"/>
      <c r="Z77" s="208" t="n"/>
    </row>
    <row r="78" ht="14.5" customHeight="1" s="213">
      <c r="Q78" s="208" t="n"/>
      <c r="R78" s="208" t="n"/>
      <c r="S78" s="208" t="n"/>
      <c r="T78" s="208" t="n"/>
      <c r="U78" s="208" t="n"/>
      <c r="V78" s="208" t="n"/>
      <c r="W78" s="208" t="n"/>
      <c r="X78" s="208" t="n"/>
      <c r="Y78" s="208" t="n"/>
      <c r="Z78" s="208" t="n"/>
    </row>
    <row r="79" ht="14.5" customHeight="1" s="213">
      <c r="Q79" s="73" t="inlineStr">
        <is>
          <t>Other countries</t>
        </is>
      </c>
      <c r="R79" s="73" t="inlineStr">
        <is>
          <t>ELC</t>
        </is>
      </c>
      <c r="S79" s="77">
        <f>AVERAGE(S65,S69,S73)</f>
        <v/>
      </c>
      <c r="T79" s="208">
        <f>AVERAGE(T65,T69,T73)</f>
        <v/>
      </c>
      <c r="U79" s="208">
        <f>AVERAGE(U65,U69,U73)</f>
        <v/>
      </c>
      <c r="V79" s="208">
        <f>AVERAGE(V65,V69,V73)</f>
        <v/>
      </c>
      <c r="W79" s="208">
        <f>AVERAGE(W65,W69,W73)</f>
        <v/>
      </c>
      <c r="X79" s="208">
        <f>AVERAGE(X65,X69,X73)</f>
        <v/>
      </c>
      <c r="Y79" s="208">
        <f>AVERAGE(Y65,Y69,Y73)</f>
        <v/>
      </c>
      <c r="Z79" s="208">
        <f>AVERAGE(Z65,Z69,Z73)</f>
        <v/>
      </c>
    </row>
    <row r="80" ht="15.5" customHeight="1" s="213">
      <c r="R80" s="76" t="inlineStr">
        <is>
          <t xml:space="preserve">     Coal</t>
        </is>
      </c>
      <c r="S80" s="77">
        <f>AVERAGE(S66,S70,S74)</f>
        <v/>
      </c>
      <c r="T80" s="208">
        <f>AVERAGE(T66,T70,T74)</f>
        <v/>
      </c>
      <c r="U80" s="208">
        <f>AVERAGE(U66,U70,U74)</f>
        <v/>
      </c>
      <c r="V80" s="208">
        <f>AVERAGE(V66,V70,V74)</f>
        <v/>
      </c>
      <c r="W80" s="208">
        <f>AVERAGE(W66,W70,W74)</f>
        <v/>
      </c>
      <c r="X80" s="208">
        <f>AVERAGE(X66,X70,X74)</f>
        <v/>
      </c>
      <c r="Y80" s="208">
        <f>AVERAGE(Y66,Y70,Y74)</f>
        <v/>
      </c>
      <c r="Z80" s="208">
        <f>AVERAGE(Z66,Z70,Z74)</f>
        <v/>
      </c>
    </row>
    <row r="81" ht="15.5" customHeight="1" s="213">
      <c r="R81" s="76" t="inlineStr">
        <is>
          <t xml:space="preserve">     Natural gas</t>
        </is>
      </c>
      <c r="S81" s="77">
        <f>AVERAGE(S67,S71,S75)</f>
        <v/>
      </c>
      <c r="T81" s="208">
        <f>AVERAGE(T67,T71,T75)</f>
        <v/>
      </c>
      <c r="U81" s="208">
        <f>AVERAGE(U67,U71,U75)</f>
        <v/>
      </c>
      <c r="V81" s="208">
        <f>AVERAGE(V67,V71,V75)</f>
        <v/>
      </c>
      <c r="W81" s="208">
        <f>AVERAGE(W67,W71,W75)</f>
        <v/>
      </c>
      <c r="X81" s="208">
        <f>AVERAGE(X67,X71,X75)</f>
        <v/>
      </c>
      <c r="Y81" s="208">
        <f>AVERAGE(Y67,Y71,Y75)</f>
        <v/>
      </c>
      <c r="Z81" s="208">
        <f>AVERAGE(Z67,Z71,Z75)</f>
        <v/>
      </c>
    </row>
    <row r="82" ht="15.5" customHeight="1" s="213">
      <c r="R82" s="76" t="inlineStr">
        <is>
          <t xml:space="preserve">     Petroleum</t>
        </is>
      </c>
      <c r="S82" s="77">
        <f>AVERAGE(S68,S72,S76)</f>
        <v/>
      </c>
      <c r="T82" s="208">
        <f>AVERAGE(T68,T72,T76)</f>
        <v/>
      </c>
      <c r="U82" s="208">
        <f>AVERAGE(U68,U72,U76)</f>
        <v/>
      </c>
      <c r="V82" s="208">
        <f>AVERAGE(V68,V72,V76)</f>
        <v/>
      </c>
      <c r="W82" s="208">
        <f>AVERAGE(W68,W72,W76)</f>
        <v/>
      </c>
      <c r="X82" s="208">
        <f>AVERAGE(X68,X72,X76)</f>
        <v/>
      </c>
      <c r="Y82" s="208">
        <f>AVERAGE(Y68,Y72,Y76)</f>
        <v/>
      </c>
      <c r="Z82" s="208">
        <f>AVERAGE(Z68,Z72,Z76)</f>
        <v/>
      </c>
    </row>
    <row r="94" ht="12.5" customHeight="1" s="213">
      <c r="M94" t="inlineStr">
        <is>
          <t>~TFM_UPD: attribute= INPUT</t>
        </is>
      </c>
      <c r="S94" t="inlineStr">
        <is>
          <t>~TFM_UPD: attribute= INPUT</t>
        </is>
      </c>
      <c r="Y94" t="inlineStr">
        <is>
          <t>~TFM_UPD: attribute= INPUT</t>
        </is>
      </c>
      <c r="AE94" t="inlineStr">
        <is>
          <t>~TFM_UPD: attribute= INPUT</t>
        </is>
      </c>
      <c r="AK94" t="inlineStr">
        <is>
          <t>~TFM_UPD: attribute= INPUT</t>
        </is>
      </c>
      <c r="AQ94" t="inlineStr">
        <is>
          <t>~TFM_UPD: attribute= INPUT</t>
        </is>
      </c>
      <c r="AW94" t="inlineStr">
        <is>
          <t>~TFM_UPD: attribute= INPUT</t>
        </is>
      </c>
    </row>
    <row r="95" ht="12.5" customHeight="1" s="213">
      <c r="K95" t="inlineStr">
        <is>
          <t>limtype</t>
        </is>
      </c>
      <c r="L95" t="inlineStr">
        <is>
          <t>process</t>
        </is>
      </c>
      <c r="M95" t="inlineStr">
        <is>
          <t>cset_cn</t>
        </is>
      </c>
      <c r="N95" t="inlineStr">
        <is>
          <t>NorthAm</t>
        </is>
      </c>
      <c r="O95" t="inlineStr">
        <is>
          <t>year</t>
        </is>
      </c>
      <c r="Q95" t="inlineStr">
        <is>
          <t>limtype</t>
        </is>
      </c>
      <c r="R95" t="inlineStr">
        <is>
          <t>process</t>
        </is>
      </c>
      <c r="S95" t="inlineStr">
        <is>
          <t>cset_cn</t>
        </is>
      </c>
      <c r="T95" t="inlineStr">
        <is>
          <t>NorthAm</t>
        </is>
      </c>
      <c r="U95" t="inlineStr">
        <is>
          <t>year</t>
        </is>
      </c>
      <c r="W95" t="inlineStr">
        <is>
          <t>limtype</t>
        </is>
      </c>
      <c r="X95" t="inlineStr">
        <is>
          <t>process</t>
        </is>
      </c>
      <c r="Y95" t="inlineStr">
        <is>
          <t>cset_cn</t>
        </is>
      </c>
      <c r="Z95" t="inlineStr">
        <is>
          <t>NorthAm</t>
        </is>
      </c>
      <c r="AA95" t="inlineStr">
        <is>
          <t>year</t>
        </is>
      </c>
      <c r="AC95" t="inlineStr">
        <is>
          <t>limtype</t>
        </is>
      </c>
      <c r="AD95" t="inlineStr">
        <is>
          <t>process</t>
        </is>
      </c>
      <c r="AE95" t="inlineStr">
        <is>
          <t>cset_cn</t>
        </is>
      </c>
      <c r="AF95" t="inlineStr">
        <is>
          <t>NorthAm</t>
        </is>
      </c>
      <c r="AG95" t="inlineStr">
        <is>
          <t>year</t>
        </is>
      </c>
      <c r="AI95" t="inlineStr">
        <is>
          <t>limtype</t>
        </is>
      </c>
      <c r="AJ95" t="inlineStr">
        <is>
          <t>process</t>
        </is>
      </c>
      <c r="AK95" t="inlineStr">
        <is>
          <t>cset_cn</t>
        </is>
      </c>
      <c r="AL95" t="inlineStr">
        <is>
          <t>NorthAm</t>
        </is>
      </c>
      <c r="AM95" t="inlineStr">
        <is>
          <t>year</t>
        </is>
      </c>
      <c r="AO95" t="inlineStr">
        <is>
          <t>limtype</t>
        </is>
      </c>
      <c r="AP95" t="inlineStr">
        <is>
          <t>process</t>
        </is>
      </c>
      <c r="AQ95" t="inlineStr">
        <is>
          <t>cset_cn</t>
        </is>
      </c>
      <c r="AR95" t="inlineStr">
        <is>
          <t>NorthAm</t>
        </is>
      </c>
      <c r="AS95" t="inlineStr">
        <is>
          <t>year</t>
        </is>
      </c>
      <c r="AU95" t="inlineStr">
        <is>
          <t>limtype</t>
        </is>
      </c>
      <c r="AV95" t="inlineStr">
        <is>
          <t>process</t>
        </is>
      </c>
      <c r="AW95" t="inlineStr">
        <is>
          <t>cset_cn</t>
        </is>
      </c>
      <c r="AX95" t="inlineStr">
        <is>
          <t>NorthAm</t>
        </is>
      </c>
      <c r="AY95" t="inlineStr">
        <is>
          <t>year</t>
        </is>
      </c>
    </row>
    <row r="96" ht="12.5" customHeight="1" s="213">
      <c r="K96" t="inlineStr">
        <is>
          <t>FX</t>
        </is>
      </c>
      <c r="L96" t="inlineStr">
        <is>
          <t>Tra_EV_Batt-NMC111_virgin</t>
        </is>
      </c>
      <c r="M96" t="inlineStr">
        <is>
          <t>INDELC</t>
        </is>
      </c>
      <c r="N96">
        <f>SUM(M6:M9)</f>
        <v/>
      </c>
      <c r="O96" t="inlineStr">
        <is>
          <t>2050, 2100</t>
        </is>
      </c>
      <c r="Q96" t="inlineStr">
        <is>
          <t>FX</t>
        </is>
      </c>
      <c r="R96" t="inlineStr">
        <is>
          <t>Tra_EV_Batt-NMC532_virgin</t>
        </is>
      </c>
      <c r="S96" t="inlineStr">
        <is>
          <t>INDELC</t>
        </is>
      </c>
      <c r="T96">
        <f>SUM(S6:S9)</f>
        <v/>
      </c>
      <c r="U96" t="inlineStr">
        <is>
          <t>2050, 2100</t>
        </is>
      </c>
      <c r="W96" t="inlineStr">
        <is>
          <t>FX</t>
        </is>
      </c>
      <c r="X96" t="inlineStr">
        <is>
          <t>Tra_EV_Batt-NMC622_virgin</t>
        </is>
      </c>
      <c r="Y96" t="inlineStr">
        <is>
          <t>INDELC</t>
        </is>
      </c>
      <c r="Z96">
        <f>SUM(Y6:Y9)</f>
        <v/>
      </c>
      <c r="AA96" t="inlineStr">
        <is>
          <t>2050, 2100</t>
        </is>
      </c>
      <c r="AC96" t="inlineStr">
        <is>
          <t>FX</t>
        </is>
      </c>
      <c r="AD96" t="inlineStr">
        <is>
          <t>Tra_EV_Batt-NMC811_virgin</t>
        </is>
      </c>
      <c r="AE96" t="inlineStr">
        <is>
          <t>INDELC</t>
        </is>
      </c>
      <c r="AF96">
        <f>SUM(AE6:AE9)</f>
        <v/>
      </c>
      <c r="AG96" t="inlineStr">
        <is>
          <t>2050, 2100</t>
        </is>
      </c>
      <c r="AI96" t="inlineStr">
        <is>
          <t>FX</t>
        </is>
      </c>
      <c r="AJ96" t="inlineStr">
        <is>
          <t>Tra_EV_Batt-NCA_virgin</t>
        </is>
      </c>
      <c r="AK96" t="inlineStr">
        <is>
          <t>INDELC</t>
        </is>
      </c>
      <c r="AL96">
        <f>SUM(AK6:AK9)</f>
        <v/>
      </c>
      <c r="AM96" t="inlineStr">
        <is>
          <t>2050, 2100</t>
        </is>
      </c>
      <c r="AO96" t="inlineStr">
        <is>
          <t>FX</t>
        </is>
      </c>
      <c r="AP96" t="inlineStr">
        <is>
          <t>Tra_EV_Batt-LMO_virgin</t>
        </is>
      </c>
      <c r="AQ96" t="inlineStr">
        <is>
          <t>INDELC</t>
        </is>
      </c>
      <c r="AR96">
        <f>SUM(AQ6:AQ9)</f>
        <v/>
      </c>
      <c r="AS96" t="inlineStr">
        <is>
          <t>2050, 2100</t>
        </is>
      </c>
      <c r="AU96" t="inlineStr">
        <is>
          <t>FX</t>
        </is>
      </c>
      <c r="AV96" t="inlineStr">
        <is>
          <t>Tra_EV_Batt-LFP_virgin</t>
        </is>
      </c>
      <c r="AW96" t="inlineStr">
        <is>
          <t>INDELC</t>
        </is>
      </c>
      <c r="AX96">
        <f>SUM(AW6:AW9)</f>
        <v/>
      </c>
      <c r="AY96" t="inlineStr">
        <is>
          <t>2050, 2100</t>
        </is>
      </c>
    </row>
    <row r="97" ht="12.5" customHeight="1" s="213">
      <c r="K97" t="inlineStr">
        <is>
          <t>FX</t>
        </is>
      </c>
      <c r="L97" t="inlineStr">
        <is>
          <t>Tra_EV_Batt-NMC111_virgin</t>
        </is>
      </c>
      <c r="M97" t="inlineStr">
        <is>
          <t>INDCOA</t>
        </is>
      </c>
      <c r="N97" t="n">
        <v>0</v>
      </c>
      <c r="O97" t="inlineStr">
        <is>
          <t>2050, 2100</t>
        </is>
      </c>
      <c r="Q97" t="inlineStr">
        <is>
          <t>FX</t>
        </is>
      </c>
      <c r="R97" t="inlineStr">
        <is>
          <t>Tra_EV_Batt-NMC532_virgin</t>
        </is>
      </c>
      <c r="S97" t="inlineStr">
        <is>
          <t>INDCOA</t>
        </is>
      </c>
      <c r="T97" t="n">
        <v>0</v>
      </c>
      <c r="U97" t="inlineStr">
        <is>
          <t>2050, 2100</t>
        </is>
      </c>
      <c r="W97" t="inlineStr">
        <is>
          <t>FX</t>
        </is>
      </c>
      <c r="X97" t="inlineStr">
        <is>
          <t>Tra_EV_Batt-NMC622_virgin</t>
        </is>
      </c>
      <c r="Y97" t="inlineStr">
        <is>
          <t>INDCOA</t>
        </is>
      </c>
      <c r="Z97" t="n">
        <v>0</v>
      </c>
      <c r="AA97" t="inlineStr">
        <is>
          <t>2050, 2100</t>
        </is>
      </c>
      <c r="AC97" t="inlineStr">
        <is>
          <t>FX</t>
        </is>
      </c>
      <c r="AD97" t="inlineStr">
        <is>
          <t>Tra_EV_Batt-NMC811_virgin</t>
        </is>
      </c>
      <c r="AE97" t="inlineStr">
        <is>
          <t>INDCOA</t>
        </is>
      </c>
      <c r="AF97" t="n">
        <v>0</v>
      </c>
      <c r="AG97" t="inlineStr">
        <is>
          <t>2050, 2100</t>
        </is>
      </c>
      <c r="AI97" t="inlineStr">
        <is>
          <t>FX</t>
        </is>
      </c>
      <c r="AJ97" t="inlineStr">
        <is>
          <t>Tra_EV_Batt-NCA_virgin</t>
        </is>
      </c>
      <c r="AK97" t="inlineStr">
        <is>
          <t>INDCOA</t>
        </is>
      </c>
      <c r="AL97" t="n">
        <v>0</v>
      </c>
      <c r="AM97" t="inlineStr">
        <is>
          <t>2050, 2100</t>
        </is>
      </c>
      <c r="AO97" t="inlineStr">
        <is>
          <t>FX</t>
        </is>
      </c>
      <c r="AP97" t="inlineStr">
        <is>
          <t>Tra_EV_Batt-LMO_virgin</t>
        </is>
      </c>
      <c r="AQ97" t="inlineStr">
        <is>
          <t>INDCOA</t>
        </is>
      </c>
      <c r="AR97" t="n">
        <v>0</v>
      </c>
      <c r="AS97" t="inlineStr">
        <is>
          <t>2050, 2100</t>
        </is>
      </c>
      <c r="AU97" t="inlineStr">
        <is>
          <t>FX</t>
        </is>
      </c>
      <c r="AV97" t="inlineStr">
        <is>
          <t>Tra_EV_Batt-LFP_virgin</t>
        </is>
      </c>
      <c r="AW97" t="inlineStr">
        <is>
          <t>INDCOA</t>
        </is>
      </c>
      <c r="AX97" t="n">
        <v>0</v>
      </c>
      <c r="AY97" t="inlineStr">
        <is>
          <t>2050, 2100</t>
        </is>
      </c>
    </row>
    <row r="98" ht="12.5" customHeight="1" s="213">
      <c r="K98" t="inlineStr">
        <is>
          <t>FX</t>
        </is>
      </c>
      <c r="L98" t="inlineStr">
        <is>
          <t>Tra_EV_Batt-NMC111_virgin</t>
        </is>
      </c>
      <c r="M98" t="inlineStr">
        <is>
          <t>INDNGA</t>
        </is>
      </c>
      <c r="N98" t="n">
        <v>0</v>
      </c>
      <c r="O98" t="inlineStr">
        <is>
          <t>2050, 2100</t>
        </is>
      </c>
      <c r="Q98" t="inlineStr">
        <is>
          <t>FX</t>
        </is>
      </c>
      <c r="R98" t="inlineStr">
        <is>
          <t>Tra_EV_Batt-NMC532_virgin</t>
        </is>
      </c>
      <c r="S98" t="inlineStr">
        <is>
          <t>INDNGA</t>
        </is>
      </c>
      <c r="T98" t="n">
        <v>0</v>
      </c>
      <c r="U98" t="inlineStr">
        <is>
          <t>2050, 2100</t>
        </is>
      </c>
      <c r="W98" t="inlineStr">
        <is>
          <t>FX</t>
        </is>
      </c>
      <c r="X98" t="inlineStr">
        <is>
          <t>Tra_EV_Batt-NMC622_virgin</t>
        </is>
      </c>
      <c r="Y98" t="inlineStr">
        <is>
          <t>INDNGA</t>
        </is>
      </c>
      <c r="Z98" t="n">
        <v>0</v>
      </c>
      <c r="AA98" t="inlineStr">
        <is>
          <t>2050, 2100</t>
        </is>
      </c>
      <c r="AC98" t="inlineStr">
        <is>
          <t>FX</t>
        </is>
      </c>
      <c r="AD98" t="inlineStr">
        <is>
          <t>Tra_EV_Batt-NMC811_virgin</t>
        </is>
      </c>
      <c r="AE98" t="inlineStr">
        <is>
          <t>INDNGA</t>
        </is>
      </c>
      <c r="AF98" t="n">
        <v>0</v>
      </c>
      <c r="AG98" t="inlineStr">
        <is>
          <t>2050, 2100</t>
        </is>
      </c>
      <c r="AI98" t="inlineStr">
        <is>
          <t>FX</t>
        </is>
      </c>
      <c r="AJ98" t="inlineStr">
        <is>
          <t>Tra_EV_Batt-NCA_virgin</t>
        </is>
      </c>
      <c r="AK98" t="inlineStr">
        <is>
          <t>INDNGA</t>
        </is>
      </c>
      <c r="AL98" t="n">
        <v>0</v>
      </c>
      <c r="AM98" t="inlineStr">
        <is>
          <t>2050, 2100</t>
        </is>
      </c>
      <c r="AO98" t="inlineStr">
        <is>
          <t>FX</t>
        </is>
      </c>
      <c r="AP98" t="inlineStr">
        <is>
          <t>Tra_EV_Batt-LMO_virgin</t>
        </is>
      </c>
      <c r="AQ98" t="inlineStr">
        <is>
          <t>INDNGA</t>
        </is>
      </c>
      <c r="AR98" t="n">
        <v>0</v>
      </c>
      <c r="AS98" t="inlineStr">
        <is>
          <t>2050, 2100</t>
        </is>
      </c>
      <c r="AU98" t="inlineStr">
        <is>
          <t>FX</t>
        </is>
      </c>
      <c r="AV98" t="inlineStr">
        <is>
          <t>Tra_EV_Batt-LFP_virgin</t>
        </is>
      </c>
      <c r="AW98" t="inlineStr">
        <is>
          <t>INDNGA</t>
        </is>
      </c>
      <c r="AX98" t="n">
        <v>0</v>
      </c>
      <c r="AY98" t="inlineStr">
        <is>
          <t>2050, 2100</t>
        </is>
      </c>
    </row>
    <row r="99" ht="12.5" customHeight="1" s="213">
      <c r="K99" t="inlineStr">
        <is>
          <t>FX</t>
        </is>
      </c>
      <c r="L99" t="inlineStr">
        <is>
          <t>Tra_EV_Batt-NMC111_virgin</t>
        </is>
      </c>
      <c r="M99" t="inlineStr">
        <is>
          <t>INDOIL</t>
        </is>
      </c>
      <c r="N99" t="n">
        <v>0</v>
      </c>
      <c r="O99" t="inlineStr">
        <is>
          <t>2050, 2100</t>
        </is>
      </c>
      <c r="Q99" t="inlineStr">
        <is>
          <t>FX</t>
        </is>
      </c>
      <c r="R99" t="inlineStr">
        <is>
          <t>Tra_EV_Batt-NMC532_virgin</t>
        </is>
      </c>
      <c r="S99" t="inlineStr">
        <is>
          <t>INDOIL</t>
        </is>
      </c>
      <c r="T99" t="n">
        <v>0</v>
      </c>
      <c r="U99" t="inlineStr">
        <is>
          <t>2050, 2100</t>
        </is>
      </c>
      <c r="W99" t="inlineStr">
        <is>
          <t>FX</t>
        </is>
      </c>
      <c r="X99" t="inlineStr">
        <is>
          <t>Tra_EV_Batt-NMC622_virgin</t>
        </is>
      </c>
      <c r="Y99" t="inlineStr">
        <is>
          <t>INDOIL</t>
        </is>
      </c>
      <c r="Z99" t="n">
        <v>0</v>
      </c>
      <c r="AA99" t="inlineStr">
        <is>
          <t>2050, 2100</t>
        </is>
      </c>
      <c r="AC99" t="inlineStr">
        <is>
          <t>FX</t>
        </is>
      </c>
      <c r="AD99" t="inlineStr">
        <is>
          <t>Tra_EV_Batt-NMC811_virgin</t>
        </is>
      </c>
      <c r="AE99" t="inlineStr">
        <is>
          <t>INDOIL</t>
        </is>
      </c>
      <c r="AF99" t="n">
        <v>0</v>
      </c>
      <c r="AG99" t="inlineStr">
        <is>
          <t>2050, 2100</t>
        </is>
      </c>
      <c r="AI99" t="inlineStr">
        <is>
          <t>FX</t>
        </is>
      </c>
      <c r="AJ99" t="inlineStr">
        <is>
          <t>Tra_EV_Batt-NCA_virgin</t>
        </is>
      </c>
      <c r="AK99" t="inlineStr">
        <is>
          <t>INDOIL</t>
        </is>
      </c>
      <c r="AL99" t="n">
        <v>0</v>
      </c>
      <c r="AM99" t="inlineStr">
        <is>
          <t>2050, 2100</t>
        </is>
      </c>
      <c r="AO99" t="inlineStr">
        <is>
          <t>FX</t>
        </is>
      </c>
      <c r="AP99" t="inlineStr">
        <is>
          <t>Tra_EV_Batt-LMO_virgin</t>
        </is>
      </c>
      <c r="AQ99" t="inlineStr">
        <is>
          <t>INDOIL</t>
        </is>
      </c>
      <c r="AR99" t="n">
        <v>0</v>
      </c>
      <c r="AS99" t="inlineStr">
        <is>
          <t>2050, 2100</t>
        </is>
      </c>
      <c r="AU99" t="inlineStr">
        <is>
          <t>FX</t>
        </is>
      </c>
      <c r="AV99" t="inlineStr">
        <is>
          <t>Tra_EV_Batt-LFP_virgin</t>
        </is>
      </c>
      <c r="AW99" t="inlineStr">
        <is>
          <t>INDOIL</t>
        </is>
      </c>
      <c r="AX99" t="n">
        <v>0</v>
      </c>
      <c r="AY99" t="inlineStr">
        <is>
          <t>2050, 2100</t>
        </is>
      </c>
    </row>
    <row r="106" ht="12.5" customHeight="1" s="213">
      <c r="N106" t="n">
        <v>76.8000000000001</v>
      </c>
      <c r="T106" t="n">
        <v>71.3</v>
      </c>
      <c r="Z106" t="n">
        <v>71.2</v>
      </c>
      <c r="AF106" t="n">
        <v>71.2</v>
      </c>
      <c r="AL106" t="n">
        <v>71.2</v>
      </c>
      <c r="AR106" t="n">
        <v>71.2</v>
      </c>
      <c r="AX106" t="n">
        <v>71.2</v>
      </c>
    </row>
    <row r="107" ht="12.5" customHeight="1" s="213">
      <c r="N107" t="n">
        <v>202.6</v>
      </c>
      <c r="T107" t="n">
        <v>191.3</v>
      </c>
      <c r="Z107" t="n">
        <v>191.5</v>
      </c>
      <c r="AF107" t="n">
        <v>191.5</v>
      </c>
      <c r="AL107" t="n">
        <v>191.5</v>
      </c>
      <c r="AR107" t="n">
        <v>191.5</v>
      </c>
      <c r="AX107" t="n">
        <v>191.5</v>
      </c>
    </row>
    <row r="108" ht="12.5" customHeight="1" s="213">
      <c r="N108" t="n">
        <v>583.8</v>
      </c>
      <c r="T108" t="n">
        <v>556.1</v>
      </c>
      <c r="Z108" t="n">
        <v>557.9</v>
      </c>
      <c r="AF108" t="n">
        <v>557.9</v>
      </c>
      <c r="AL108" t="n">
        <v>557.9</v>
      </c>
      <c r="AR108" t="n">
        <v>557.9</v>
      </c>
      <c r="AX108" t="n">
        <v>557.9</v>
      </c>
    </row>
    <row r="109" ht="12.5" customHeight="1" s="213">
      <c r="N109" t="n">
        <v>127.5</v>
      </c>
      <c r="T109" t="n">
        <v>133.7</v>
      </c>
      <c r="Z109" t="n">
        <v>140.3</v>
      </c>
      <c r="AF109" t="n">
        <v>140.3</v>
      </c>
      <c r="AL109" t="n">
        <v>140.3</v>
      </c>
      <c r="AR109" t="n">
        <v>140.3</v>
      </c>
      <c r="AX109" t="n">
        <v>140.3</v>
      </c>
    </row>
    <row r="114" ht="12.5" customHeight="1" s="213">
      <c r="M114" t="inlineStr">
        <is>
          <t>~TFM_UPD: attribute= INPUT</t>
        </is>
      </c>
      <c r="S114" t="inlineStr">
        <is>
          <t>~TFM_UPD: attribute= INPUT</t>
        </is>
      </c>
      <c r="Y114" t="inlineStr">
        <is>
          <t>~TFM_UPD: attribute= INPUT</t>
        </is>
      </c>
      <c r="AE114" t="inlineStr">
        <is>
          <t>~TFM_UPD: attribute= INPUT</t>
        </is>
      </c>
      <c r="AK114" t="inlineStr">
        <is>
          <t>~TFM_UPD: attribute= INPUT</t>
        </is>
      </c>
      <c r="AQ114" t="inlineStr">
        <is>
          <t>~TFM_UPD: attribute= INPUT</t>
        </is>
      </c>
      <c r="AW114" t="inlineStr">
        <is>
          <t>~TFM_UPD: attribute= INPUT</t>
        </is>
      </c>
    </row>
    <row r="115" ht="12.5" customHeight="1" s="213">
      <c r="K115" t="inlineStr">
        <is>
          <t>limtype</t>
        </is>
      </c>
      <c r="L115" t="inlineStr">
        <is>
          <t>process</t>
        </is>
      </c>
      <c r="M115" t="inlineStr">
        <is>
          <t>cset_cn</t>
        </is>
      </c>
      <c r="N115" t="inlineStr">
        <is>
          <t>China</t>
        </is>
      </c>
      <c r="O115" t="inlineStr">
        <is>
          <t>year</t>
        </is>
      </c>
      <c r="Q115" t="inlineStr">
        <is>
          <t>limtype</t>
        </is>
      </c>
      <c r="R115" t="inlineStr">
        <is>
          <t>process</t>
        </is>
      </c>
      <c r="S115" t="inlineStr">
        <is>
          <t>cset_cn</t>
        </is>
      </c>
      <c r="T115" t="inlineStr">
        <is>
          <t>China</t>
        </is>
      </c>
      <c r="U115" t="inlineStr">
        <is>
          <t>year</t>
        </is>
      </c>
      <c r="W115" t="inlineStr">
        <is>
          <t>limtype</t>
        </is>
      </c>
      <c r="X115" t="inlineStr">
        <is>
          <t>process</t>
        </is>
      </c>
      <c r="Y115" t="inlineStr">
        <is>
          <t>cset_cn</t>
        </is>
      </c>
      <c r="Z115" t="inlineStr">
        <is>
          <t>China</t>
        </is>
      </c>
      <c r="AA115" t="inlineStr">
        <is>
          <t>year</t>
        </is>
      </c>
      <c r="AC115" t="inlineStr">
        <is>
          <t>limtype</t>
        </is>
      </c>
      <c r="AD115" t="inlineStr">
        <is>
          <t>process</t>
        </is>
      </c>
      <c r="AE115" t="inlineStr">
        <is>
          <t>cset_cn</t>
        </is>
      </c>
      <c r="AF115" t="inlineStr">
        <is>
          <t>China</t>
        </is>
      </c>
      <c r="AG115" t="inlineStr">
        <is>
          <t>year</t>
        </is>
      </c>
      <c r="AI115" t="inlineStr">
        <is>
          <t>limtype</t>
        </is>
      </c>
      <c r="AJ115" t="inlineStr">
        <is>
          <t>process</t>
        </is>
      </c>
      <c r="AK115" t="inlineStr">
        <is>
          <t>cset_cn</t>
        </is>
      </c>
      <c r="AL115" t="inlineStr">
        <is>
          <t>China</t>
        </is>
      </c>
      <c r="AM115" t="inlineStr">
        <is>
          <t>year</t>
        </is>
      </c>
      <c r="AO115" t="inlineStr">
        <is>
          <t>limtype</t>
        </is>
      </c>
      <c r="AP115" t="inlineStr">
        <is>
          <t>process</t>
        </is>
      </c>
      <c r="AQ115" t="inlineStr">
        <is>
          <t>cset_cn</t>
        </is>
      </c>
      <c r="AR115" t="inlineStr">
        <is>
          <t>China</t>
        </is>
      </c>
      <c r="AS115" t="inlineStr">
        <is>
          <t>year</t>
        </is>
      </c>
      <c r="AU115" t="inlineStr">
        <is>
          <t>limtype</t>
        </is>
      </c>
      <c r="AV115" t="inlineStr">
        <is>
          <t>process</t>
        </is>
      </c>
      <c r="AW115" t="inlineStr">
        <is>
          <t>cset_cn</t>
        </is>
      </c>
      <c r="AX115" t="inlineStr">
        <is>
          <t>China</t>
        </is>
      </c>
      <c r="AY115" t="inlineStr">
        <is>
          <t>year</t>
        </is>
      </c>
    </row>
    <row r="116" ht="12.5" customHeight="1" s="213">
      <c r="K116" t="inlineStr">
        <is>
          <t>FX</t>
        </is>
      </c>
      <c r="L116" t="inlineStr">
        <is>
          <t>Tra_EV_Batt-NMC111_virgin</t>
        </is>
      </c>
      <c r="M116" t="inlineStr">
        <is>
          <t>INDELC</t>
        </is>
      </c>
      <c r="N116">
        <f>SUM(M26:M29)</f>
        <v/>
      </c>
      <c r="O116" t="inlineStr">
        <is>
          <t>2050, 2100</t>
        </is>
      </c>
      <c r="Q116" t="inlineStr">
        <is>
          <t>FX</t>
        </is>
      </c>
      <c r="R116" t="inlineStr">
        <is>
          <t>Tra_EV_Batt-NMC532_virgin</t>
        </is>
      </c>
      <c r="S116" t="inlineStr">
        <is>
          <t>INDELC</t>
        </is>
      </c>
      <c r="T116">
        <f>SUM(S26:S29)</f>
        <v/>
      </c>
      <c r="U116" t="inlineStr">
        <is>
          <t>2050, 2100</t>
        </is>
      </c>
      <c r="W116" t="inlineStr">
        <is>
          <t>FX</t>
        </is>
      </c>
      <c r="X116" t="inlineStr">
        <is>
          <t>Tra_EV_Batt-NMC622_virgin</t>
        </is>
      </c>
      <c r="Y116" t="inlineStr">
        <is>
          <t>INDELC</t>
        </is>
      </c>
      <c r="Z116">
        <f>SUM(Y26:Y29)</f>
        <v/>
      </c>
      <c r="AA116" t="inlineStr">
        <is>
          <t>2050, 2100</t>
        </is>
      </c>
      <c r="AC116" t="inlineStr">
        <is>
          <t>FX</t>
        </is>
      </c>
      <c r="AD116" t="inlineStr">
        <is>
          <t>Tra_EV_Batt-NMC811_virgin</t>
        </is>
      </c>
      <c r="AE116" t="inlineStr">
        <is>
          <t>INDELC</t>
        </is>
      </c>
      <c r="AF116">
        <f>SUM(AE26:AE29)</f>
        <v/>
      </c>
      <c r="AG116" t="inlineStr">
        <is>
          <t>2050, 2100</t>
        </is>
      </c>
      <c r="AI116" t="inlineStr">
        <is>
          <t>FX</t>
        </is>
      </c>
      <c r="AJ116" t="inlineStr">
        <is>
          <t>Tra_EV_Batt-NCA_virgin</t>
        </is>
      </c>
      <c r="AK116" t="inlineStr">
        <is>
          <t>INDELC</t>
        </is>
      </c>
      <c r="AL116">
        <f>SUM(AK26:AK29)</f>
        <v/>
      </c>
      <c r="AM116" t="inlineStr">
        <is>
          <t>2050, 2100</t>
        </is>
      </c>
      <c r="AO116" t="inlineStr">
        <is>
          <t>FX</t>
        </is>
      </c>
      <c r="AP116" t="inlineStr">
        <is>
          <t>Tra_EV_Batt-LMO_virgin</t>
        </is>
      </c>
      <c r="AQ116" t="inlineStr">
        <is>
          <t>INDELC</t>
        </is>
      </c>
      <c r="AR116">
        <f>SUM(AQ26:AQ29)</f>
        <v/>
      </c>
      <c r="AS116" t="inlineStr">
        <is>
          <t>2050, 2100</t>
        </is>
      </c>
      <c r="AU116" t="inlineStr">
        <is>
          <t>FX</t>
        </is>
      </c>
      <c r="AV116" t="inlineStr">
        <is>
          <t>Tra_EV_Batt-LFP_virgin</t>
        </is>
      </c>
      <c r="AW116" t="inlineStr">
        <is>
          <t>INDELC</t>
        </is>
      </c>
      <c r="AX116">
        <f>SUM(AW26:AW29)</f>
        <v/>
      </c>
      <c r="AY116" t="inlineStr">
        <is>
          <t>2050, 2100</t>
        </is>
      </c>
    </row>
    <row r="117" ht="12.5" customHeight="1" s="213">
      <c r="K117" t="inlineStr">
        <is>
          <t>FX</t>
        </is>
      </c>
      <c r="L117" t="inlineStr">
        <is>
          <t>Tra_EV_Batt-NMC111_virgin</t>
        </is>
      </c>
      <c r="M117" t="inlineStr">
        <is>
          <t>INDCOA</t>
        </is>
      </c>
      <c r="N117" t="n">
        <v>0</v>
      </c>
      <c r="O117" t="inlineStr">
        <is>
          <t>2050, 2100</t>
        </is>
      </c>
      <c r="Q117" t="inlineStr">
        <is>
          <t>FX</t>
        </is>
      </c>
      <c r="R117" t="inlineStr">
        <is>
          <t>Tra_EV_Batt-NMC532_virgin</t>
        </is>
      </c>
      <c r="S117" t="inlineStr">
        <is>
          <t>INDCOA</t>
        </is>
      </c>
      <c r="T117" t="n">
        <v>0</v>
      </c>
      <c r="U117" t="inlineStr">
        <is>
          <t>2050, 2100</t>
        </is>
      </c>
      <c r="W117" t="inlineStr">
        <is>
          <t>FX</t>
        </is>
      </c>
      <c r="X117" t="inlineStr">
        <is>
          <t>Tra_EV_Batt-NMC622_virgin</t>
        </is>
      </c>
      <c r="Y117" t="inlineStr">
        <is>
          <t>INDCOA</t>
        </is>
      </c>
      <c r="Z117" t="n">
        <v>0</v>
      </c>
      <c r="AA117" t="inlineStr">
        <is>
          <t>2050, 2100</t>
        </is>
      </c>
      <c r="AC117" t="inlineStr">
        <is>
          <t>FX</t>
        </is>
      </c>
      <c r="AD117" t="inlineStr">
        <is>
          <t>Tra_EV_Batt-NMC811_virgin</t>
        </is>
      </c>
      <c r="AE117" t="inlineStr">
        <is>
          <t>INDCOA</t>
        </is>
      </c>
      <c r="AF117" t="n">
        <v>0</v>
      </c>
      <c r="AG117" t="inlineStr">
        <is>
          <t>2050, 2100</t>
        </is>
      </c>
      <c r="AI117" t="inlineStr">
        <is>
          <t>FX</t>
        </is>
      </c>
      <c r="AJ117" t="inlineStr">
        <is>
          <t>Tra_EV_Batt-NCA_virgin</t>
        </is>
      </c>
      <c r="AK117" t="inlineStr">
        <is>
          <t>INDCOA</t>
        </is>
      </c>
      <c r="AL117" t="n">
        <v>0</v>
      </c>
      <c r="AM117" t="inlineStr">
        <is>
          <t>2050, 2100</t>
        </is>
      </c>
      <c r="AO117" t="inlineStr">
        <is>
          <t>FX</t>
        </is>
      </c>
      <c r="AP117" t="inlineStr">
        <is>
          <t>Tra_EV_Batt-LMO_virgin</t>
        </is>
      </c>
      <c r="AQ117" t="inlineStr">
        <is>
          <t>INDCOA</t>
        </is>
      </c>
      <c r="AR117" t="n">
        <v>0</v>
      </c>
      <c r="AS117" t="inlineStr">
        <is>
          <t>2050, 2100</t>
        </is>
      </c>
      <c r="AU117" t="inlineStr">
        <is>
          <t>FX</t>
        </is>
      </c>
      <c r="AV117" t="inlineStr">
        <is>
          <t>Tra_EV_Batt-LFP_virgin</t>
        </is>
      </c>
      <c r="AW117" t="inlineStr">
        <is>
          <t>INDCOA</t>
        </is>
      </c>
      <c r="AX117" t="n">
        <v>0</v>
      </c>
      <c r="AY117" t="inlineStr">
        <is>
          <t>2050, 2100</t>
        </is>
      </c>
    </row>
    <row r="118" ht="12.5" customHeight="1" s="213">
      <c r="K118" t="inlineStr">
        <is>
          <t>FX</t>
        </is>
      </c>
      <c r="L118" t="inlineStr">
        <is>
          <t>Tra_EV_Batt-NMC111_virgin</t>
        </is>
      </c>
      <c r="M118" t="inlineStr">
        <is>
          <t>INDNGA</t>
        </is>
      </c>
      <c r="N118" t="n">
        <v>0</v>
      </c>
      <c r="O118" t="inlineStr">
        <is>
          <t>2050, 2100</t>
        </is>
      </c>
      <c r="Q118" t="inlineStr">
        <is>
          <t>FX</t>
        </is>
      </c>
      <c r="R118" t="inlineStr">
        <is>
          <t>Tra_EV_Batt-NMC532_virgin</t>
        </is>
      </c>
      <c r="S118" t="inlineStr">
        <is>
          <t>INDNGA</t>
        </is>
      </c>
      <c r="T118" t="n">
        <v>0</v>
      </c>
      <c r="U118" t="inlineStr">
        <is>
          <t>2050, 2100</t>
        </is>
      </c>
      <c r="W118" t="inlineStr">
        <is>
          <t>FX</t>
        </is>
      </c>
      <c r="X118" t="inlineStr">
        <is>
          <t>Tra_EV_Batt-NMC622_virgin</t>
        </is>
      </c>
      <c r="Y118" t="inlineStr">
        <is>
          <t>INDNGA</t>
        </is>
      </c>
      <c r="Z118" t="n">
        <v>0</v>
      </c>
      <c r="AA118" t="inlineStr">
        <is>
          <t>2050, 2100</t>
        </is>
      </c>
      <c r="AC118" t="inlineStr">
        <is>
          <t>FX</t>
        </is>
      </c>
      <c r="AD118" t="inlineStr">
        <is>
          <t>Tra_EV_Batt-NMC811_virgin</t>
        </is>
      </c>
      <c r="AE118" t="inlineStr">
        <is>
          <t>INDNGA</t>
        </is>
      </c>
      <c r="AF118" t="n">
        <v>0</v>
      </c>
      <c r="AG118" t="inlineStr">
        <is>
          <t>2050, 2100</t>
        </is>
      </c>
      <c r="AI118" t="inlineStr">
        <is>
          <t>FX</t>
        </is>
      </c>
      <c r="AJ118" t="inlineStr">
        <is>
          <t>Tra_EV_Batt-NCA_virgin</t>
        </is>
      </c>
      <c r="AK118" t="inlineStr">
        <is>
          <t>INDNGA</t>
        </is>
      </c>
      <c r="AL118" t="n">
        <v>0</v>
      </c>
      <c r="AM118" t="inlineStr">
        <is>
          <t>2050, 2100</t>
        </is>
      </c>
      <c r="AO118" t="inlineStr">
        <is>
          <t>FX</t>
        </is>
      </c>
      <c r="AP118" t="inlineStr">
        <is>
          <t>Tra_EV_Batt-LMO_virgin</t>
        </is>
      </c>
      <c r="AQ118" t="inlineStr">
        <is>
          <t>INDNGA</t>
        </is>
      </c>
      <c r="AR118" t="n">
        <v>0</v>
      </c>
      <c r="AS118" t="inlineStr">
        <is>
          <t>2050, 2100</t>
        </is>
      </c>
      <c r="AU118" t="inlineStr">
        <is>
          <t>FX</t>
        </is>
      </c>
      <c r="AV118" t="inlineStr">
        <is>
          <t>Tra_EV_Batt-LFP_virgin</t>
        </is>
      </c>
      <c r="AW118" t="inlineStr">
        <is>
          <t>INDNGA</t>
        </is>
      </c>
      <c r="AX118" t="n">
        <v>0</v>
      </c>
      <c r="AY118" t="inlineStr">
        <is>
          <t>2050, 2100</t>
        </is>
      </c>
    </row>
    <row r="119" ht="12.5" customHeight="1" s="213">
      <c r="K119" t="inlineStr">
        <is>
          <t>FX</t>
        </is>
      </c>
      <c r="L119" t="inlineStr">
        <is>
          <t>Tra_EV_Batt-NMC111_virgin</t>
        </is>
      </c>
      <c r="M119" t="inlineStr">
        <is>
          <t>INDOIL</t>
        </is>
      </c>
      <c r="N119" t="n">
        <v>0</v>
      </c>
      <c r="O119" t="inlineStr">
        <is>
          <t>2050, 2100</t>
        </is>
      </c>
      <c r="Q119" t="inlineStr">
        <is>
          <t>FX</t>
        </is>
      </c>
      <c r="R119" t="inlineStr">
        <is>
          <t>Tra_EV_Batt-NMC532_virgin</t>
        </is>
      </c>
      <c r="S119" t="inlineStr">
        <is>
          <t>INDOIL</t>
        </is>
      </c>
      <c r="T119" t="n">
        <v>0</v>
      </c>
      <c r="U119" t="inlineStr">
        <is>
          <t>2050, 2100</t>
        </is>
      </c>
      <c r="W119" t="inlineStr">
        <is>
          <t>FX</t>
        </is>
      </c>
      <c r="X119" t="inlineStr">
        <is>
          <t>Tra_EV_Batt-NMC622_virgin</t>
        </is>
      </c>
      <c r="Y119" t="inlineStr">
        <is>
          <t>INDOIL</t>
        </is>
      </c>
      <c r="Z119" t="n">
        <v>0</v>
      </c>
      <c r="AA119" t="inlineStr">
        <is>
          <t>2050, 2100</t>
        </is>
      </c>
      <c r="AC119" t="inlineStr">
        <is>
          <t>FX</t>
        </is>
      </c>
      <c r="AD119" t="inlineStr">
        <is>
          <t>Tra_EV_Batt-NMC811_virgin</t>
        </is>
      </c>
      <c r="AE119" t="inlineStr">
        <is>
          <t>INDOIL</t>
        </is>
      </c>
      <c r="AF119" t="n">
        <v>0</v>
      </c>
      <c r="AG119" t="inlineStr">
        <is>
          <t>2050, 2100</t>
        </is>
      </c>
      <c r="AI119" t="inlineStr">
        <is>
          <t>FX</t>
        </is>
      </c>
      <c r="AJ119" t="inlineStr">
        <is>
          <t>Tra_EV_Batt-NCA_virgin</t>
        </is>
      </c>
      <c r="AK119" t="inlineStr">
        <is>
          <t>INDOIL</t>
        </is>
      </c>
      <c r="AL119" t="n">
        <v>0</v>
      </c>
      <c r="AM119" t="inlineStr">
        <is>
          <t>2050, 2100</t>
        </is>
      </c>
      <c r="AO119" t="inlineStr">
        <is>
          <t>FX</t>
        </is>
      </c>
      <c r="AP119" t="inlineStr">
        <is>
          <t>Tra_EV_Batt-LMO_virgin</t>
        </is>
      </c>
      <c r="AQ119" t="inlineStr">
        <is>
          <t>INDOIL</t>
        </is>
      </c>
      <c r="AR119" t="n">
        <v>0</v>
      </c>
      <c r="AS119" t="inlineStr">
        <is>
          <t>2050, 2100</t>
        </is>
      </c>
      <c r="AU119" t="inlineStr">
        <is>
          <t>FX</t>
        </is>
      </c>
      <c r="AV119" t="inlineStr">
        <is>
          <t>Tra_EV_Batt-LFP_virgin</t>
        </is>
      </c>
      <c r="AW119" t="inlineStr">
        <is>
          <t>INDOIL</t>
        </is>
      </c>
      <c r="AX119" t="n">
        <v>0</v>
      </c>
      <c r="AY119" t="inlineStr">
        <is>
          <t>2050, 2100</t>
        </is>
      </c>
    </row>
    <row r="122" ht="12.5" customHeight="1" s="213">
      <c r="T122" t="n">
        <v>72</v>
      </c>
      <c r="Z122" t="n">
        <v>71.90000000000001</v>
      </c>
      <c r="AF122" t="n">
        <v>73.09999999999999</v>
      </c>
      <c r="AL122" t="n">
        <v>77.6999999999999</v>
      </c>
      <c r="AR122" t="n">
        <v>43.1</v>
      </c>
      <c r="AX122" t="n">
        <v>47.8</v>
      </c>
    </row>
    <row r="123" ht="12.5" customHeight="1" s="213">
      <c r="T123" t="n">
        <v>225.2</v>
      </c>
      <c r="Z123" t="n">
        <v>225.5</v>
      </c>
      <c r="AF123" t="n">
        <v>219.8</v>
      </c>
      <c r="AL123" t="n">
        <v>232.2</v>
      </c>
      <c r="AR123" t="n">
        <v>110.8</v>
      </c>
      <c r="AX123" t="n">
        <v>189.5</v>
      </c>
    </row>
    <row r="124" ht="12.5" customHeight="1" s="213">
      <c r="T124" t="n">
        <v>532.1</v>
      </c>
      <c r="Z124" t="n">
        <v>533.9</v>
      </c>
      <c r="AF124" t="n">
        <v>526.4</v>
      </c>
      <c r="AL124" t="n">
        <v>570.2</v>
      </c>
      <c r="AR124" t="n">
        <v>385.8</v>
      </c>
      <c r="AX124" t="n">
        <v>453</v>
      </c>
    </row>
    <row r="125" ht="12.5" customHeight="1" s="213">
      <c r="T125" t="n">
        <v>134</v>
      </c>
      <c r="Z125" t="n">
        <v>140.6</v>
      </c>
      <c r="AF125" t="n">
        <v>150.2</v>
      </c>
      <c r="AL125" t="n">
        <v>161.1</v>
      </c>
      <c r="AR125" t="n">
        <v>57.2</v>
      </c>
      <c r="AX125" t="n">
        <v>95.5</v>
      </c>
    </row>
  </sheetData>
  <mergeCells count="9">
    <mergeCell ref="Q50:Q54"/>
    <mergeCell ref="Q45:Q49"/>
    <mergeCell ref="Q43:Q44"/>
    <mergeCell ref="R43:R44"/>
    <mergeCell ref="Q65:Q68"/>
    <mergeCell ref="Q79:Q82"/>
    <mergeCell ref="Q69:Q72"/>
    <mergeCell ref="Q73:Q76"/>
    <mergeCell ref="Q55:Q5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O226"/>
  <sheetViews>
    <sheetView topLeftCell="V114" zoomScale="70" zoomScaleNormal="70" workbookViewId="0">
      <selection pane="topLeft" activeCell="Y114" sqref="Y114"/>
    </sheetView>
  </sheetViews>
  <sheetFormatPr baseColWidth="8" defaultColWidth="8.72428571428571" defaultRowHeight="14.5"/>
  <cols>
    <col width="8.71428571428571" customWidth="1" style="208" min="1" max="1"/>
    <col width="43.8571428571429" customWidth="1" style="208" min="2" max="2"/>
    <col width="8.71428571428571" customWidth="1" style="208" min="3" max="20"/>
    <col width="19.2857142857143" customWidth="1" style="208" min="21" max="21"/>
    <col width="25.5714285714286" customWidth="1" style="208" min="22" max="22"/>
    <col width="19.8571428571429" customWidth="1" style="208" min="23" max="23"/>
    <col width="15.2857142857143" customWidth="1" style="208" min="24" max="29"/>
    <col width="8.71428571428571" customWidth="1" style="208" min="30" max="30"/>
    <col width="14" customWidth="1" style="208" min="31" max="31"/>
    <col width="15.2857142857143" customWidth="1" style="208" min="32" max="38"/>
    <col width="14" customWidth="1" style="208" min="39" max="40"/>
    <col width="15.2857142857143" customWidth="1" style="208" min="41" max="47"/>
    <col width="14" customWidth="1" style="208" min="48" max="53"/>
    <col width="8.71428571428571" customWidth="1" style="208" min="54" max="67"/>
    <col width="8.71428571428571" customWidth="1" style="213" min="68" max="16384"/>
  </cols>
  <sheetData>
    <row r="1" ht="15.5" customHeight="1" s="213">
      <c r="A1" s="33" t="inlineStr">
        <is>
          <t xml:space="preserve">Pyrometallurgical </t>
        </is>
      </c>
      <c r="K1" s="34" t="n"/>
      <c r="L1" s="34" t="inlineStr">
        <is>
          <t>ktonne/GWh</t>
        </is>
      </c>
      <c r="M1" s="34" t="n"/>
      <c r="N1" s="34" t="n"/>
      <c r="O1" s="34" t="n"/>
      <c r="P1" s="34" t="n"/>
      <c r="Q1" s="34" t="n"/>
      <c r="R1" s="34" t="n"/>
      <c r="S1" s="34" t="n"/>
      <c r="T1" s="34" t="n"/>
      <c r="U1" s="34" t="n"/>
      <c r="V1" s="34" t="n"/>
      <c r="W1" s="34" t="inlineStr">
        <is>
          <t>if energy use for LFP and LMO=1.0*that for NMC611</t>
        </is>
      </c>
      <c r="X1" s="34" t="n"/>
      <c r="Y1" s="34" t="n"/>
      <c r="Z1" s="34" t="n"/>
      <c r="AA1" s="34" t="n"/>
      <c r="AB1" s="35" t="inlineStr">
        <is>
          <t>Fill the data gap of EverBatt, 
by using a sensitivity analysis</t>
        </is>
      </c>
      <c r="AD1" s="34" t="n"/>
      <c r="AE1" s="34" t="n"/>
      <c r="AF1" s="34" t="inlineStr">
        <is>
          <t>if energy use for LFP and LMO=1.15*that for NMC611</t>
        </is>
      </c>
      <c r="AG1" s="34" t="n"/>
      <c r="AH1" s="34" t="n"/>
      <c r="AI1" s="34" t="n"/>
      <c r="AJ1" s="34" t="n"/>
      <c r="AK1" s="34" t="n"/>
      <c r="AL1" s="34" t="n"/>
      <c r="AM1" s="34" t="n"/>
      <c r="AN1" s="34" t="n"/>
      <c r="AO1" s="34" t="inlineStr">
        <is>
          <t>if energy use for LFP and LMO=0.85*that for NMC611</t>
        </is>
      </c>
      <c r="AP1" s="34" t="n"/>
      <c r="AQ1" s="34" t="n"/>
      <c r="AR1" s="34" t="n"/>
      <c r="AS1" s="34" t="n"/>
      <c r="AT1" s="34" t="n"/>
      <c r="AU1" s="34" t="n"/>
      <c r="AZ1" s="33" t="inlineStr">
        <is>
          <t xml:space="preserve">Pyrometallurgical </t>
        </is>
      </c>
      <c r="BJ1" s="34" t="n"/>
      <c r="BK1" s="34" t="n"/>
      <c r="BL1" s="34" t="n"/>
      <c r="BM1" s="34" t="n"/>
      <c r="BN1" s="34" t="n"/>
      <c r="BO1" s="34" t="n"/>
    </row>
    <row r="2" ht="30" customHeight="1" s="213">
      <c r="A2" s="33" t="inlineStr">
        <is>
          <t>Location</t>
        </is>
      </c>
      <c r="B2" s="33" t="inlineStr">
        <is>
          <t xml:space="preserve">Energy use (PJ/GWh battery produced) </t>
        </is>
      </c>
      <c r="C2" s="33" t="inlineStr">
        <is>
          <t xml:space="preserve">Chemistry </t>
        </is>
      </c>
      <c r="K2" s="34" t="n"/>
      <c r="L2" s="34" t="n"/>
      <c r="M2" s="34" t="n"/>
      <c r="N2" s="34" t="n"/>
      <c r="O2" s="34" t="n"/>
      <c r="P2" s="34" t="n"/>
      <c r="Q2" s="34" t="n"/>
      <c r="R2" s="34" t="n"/>
      <c r="S2" s="34" t="n"/>
      <c r="T2" s="34" t="n"/>
      <c r="U2" s="34" t="n"/>
      <c r="V2" s="36" t="inlineStr">
        <is>
          <t>INPUT</t>
        </is>
      </c>
      <c r="W2" s="34" t="n"/>
      <c r="X2" s="34" t="n"/>
      <c r="Y2" s="34" t="n"/>
      <c r="Z2" s="34" t="n"/>
      <c r="AA2" s="34" t="n"/>
      <c r="AB2" s="34" t="n"/>
      <c r="AC2" s="34" t="n"/>
      <c r="AD2" s="34" t="n"/>
      <c r="AE2" s="34" t="n"/>
      <c r="AF2" s="34" t="n"/>
      <c r="AG2" s="34" t="n"/>
      <c r="AH2" s="34" t="n"/>
      <c r="AI2" s="34" t="n"/>
      <c r="AJ2" s="34" t="n"/>
      <c r="AK2" s="34" t="n"/>
      <c r="AL2" s="34" t="n"/>
      <c r="AM2" s="34" t="n"/>
      <c r="AN2" s="34" t="n"/>
      <c r="AO2" s="34" t="n"/>
      <c r="AP2" s="34" t="n"/>
      <c r="AQ2" s="34" t="n"/>
      <c r="AR2" s="34" t="n"/>
      <c r="AS2" s="34" t="n"/>
      <c r="AT2" s="34" t="n"/>
      <c r="AU2" s="34" t="n"/>
      <c r="AZ2" s="33" t="inlineStr">
        <is>
          <t>Location</t>
        </is>
      </c>
      <c r="BA2" s="33" t="inlineStr">
        <is>
          <t xml:space="preserve">Energy use (PJ/GWh battery produced) </t>
        </is>
      </c>
      <c r="BB2" s="33" t="inlineStr">
        <is>
          <t xml:space="preserve">Chemistry </t>
        </is>
      </c>
      <c r="BJ2" s="34" t="n"/>
      <c r="BK2" s="34" t="n"/>
      <c r="BL2" s="34" t="n"/>
      <c r="BM2" s="34" t="n"/>
      <c r="BN2" s="34" t="n"/>
      <c r="BO2" s="34" t="n"/>
    </row>
    <row r="3" ht="30" customHeight="1" s="213">
      <c r="C3" s="37" t="inlineStr">
        <is>
          <t xml:space="preserve">LCO </t>
        </is>
      </c>
      <c r="D3" s="34" t="inlineStr">
        <is>
          <t>NMC111</t>
        </is>
      </c>
      <c r="E3" s="34" t="inlineStr">
        <is>
          <t>NMC532</t>
        </is>
      </c>
      <c r="F3" s="38" t="inlineStr">
        <is>
          <t>NMC622</t>
        </is>
      </c>
      <c r="G3" s="34" t="inlineStr">
        <is>
          <t>NMC811</t>
        </is>
      </c>
      <c r="H3" s="34" t="inlineStr">
        <is>
          <t>NCA</t>
        </is>
      </c>
      <c r="I3" s="34" t="inlineStr">
        <is>
          <t xml:space="preserve">LMO </t>
        </is>
      </c>
      <c r="J3" s="34" t="inlineStr">
        <is>
          <t xml:space="preserve">LFP </t>
        </is>
      </c>
      <c r="K3" s="34" t="n"/>
      <c r="L3" s="39" t="inlineStr">
        <is>
          <t xml:space="preserve">LCO </t>
        </is>
      </c>
      <c r="M3" s="34" t="inlineStr">
        <is>
          <t>NMC111</t>
        </is>
      </c>
      <c r="N3" s="34" t="inlineStr">
        <is>
          <t>NMC532</t>
        </is>
      </c>
      <c r="O3" s="34" t="inlineStr">
        <is>
          <t>NMC622</t>
        </is>
      </c>
      <c r="P3" s="34" t="inlineStr">
        <is>
          <t>NMC811</t>
        </is>
      </c>
      <c r="Q3" s="34" t="inlineStr">
        <is>
          <t>NCA</t>
        </is>
      </c>
      <c r="R3" s="34" t="inlineStr">
        <is>
          <t xml:space="preserve">LMO </t>
        </is>
      </c>
      <c r="S3" s="34" t="inlineStr">
        <is>
          <t xml:space="preserve">LFP </t>
        </is>
      </c>
      <c r="T3" s="34" t="n"/>
      <c r="U3" s="34" t="n"/>
      <c r="V3" s="36" t="inlineStr">
        <is>
          <t>PJ/ktonne</t>
        </is>
      </c>
      <c r="W3" s="34" t="inlineStr">
        <is>
          <t>NMC111</t>
        </is>
      </c>
      <c r="X3" s="34" t="inlineStr">
        <is>
          <t>NMC532</t>
        </is>
      </c>
      <c r="Y3" s="38" t="inlineStr">
        <is>
          <t>NMC622</t>
        </is>
      </c>
      <c r="Z3" s="34" t="inlineStr">
        <is>
          <t>NMC811</t>
        </is>
      </c>
      <c r="AA3" s="34" t="inlineStr">
        <is>
          <t>NCA</t>
        </is>
      </c>
      <c r="AB3" s="40" t="inlineStr">
        <is>
          <t xml:space="preserve">LMO </t>
        </is>
      </c>
      <c r="AC3" s="40" t="inlineStr">
        <is>
          <t xml:space="preserve">LFP </t>
        </is>
      </c>
      <c r="AD3" s="34" t="n"/>
      <c r="AE3" s="34" t="n"/>
      <c r="AF3" s="34" t="inlineStr">
        <is>
          <t>NMC111</t>
        </is>
      </c>
      <c r="AG3" s="34" t="inlineStr">
        <is>
          <t>NMC532</t>
        </is>
      </c>
      <c r="AH3" s="38" t="inlineStr">
        <is>
          <t>NMC622</t>
        </is>
      </c>
      <c r="AI3" s="34" t="inlineStr">
        <is>
          <t>NMC811</t>
        </is>
      </c>
      <c r="AJ3" s="34" t="inlineStr">
        <is>
          <t>NCA</t>
        </is>
      </c>
      <c r="AK3" s="40" t="inlineStr">
        <is>
          <t xml:space="preserve">LMO </t>
        </is>
      </c>
      <c r="AL3" s="40" t="inlineStr">
        <is>
          <t xml:space="preserve">LFP </t>
        </is>
      </c>
      <c r="AM3" s="34" t="n"/>
      <c r="AN3" s="34" t="n"/>
      <c r="AO3" s="34" t="inlineStr">
        <is>
          <t>NMC111</t>
        </is>
      </c>
      <c r="AP3" s="34" t="inlineStr">
        <is>
          <t>NMC532</t>
        </is>
      </c>
      <c r="AQ3" s="38" t="inlineStr">
        <is>
          <t>NMC622</t>
        </is>
      </c>
      <c r="AR3" s="34" t="inlineStr">
        <is>
          <t>NMC811</t>
        </is>
      </c>
      <c r="AS3" s="34" t="inlineStr">
        <is>
          <t>NCA</t>
        </is>
      </c>
      <c r="AT3" s="40" t="inlineStr">
        <is>
          <t xml:space="preserve">LMO </t>
        </is>
      </c>
      <c r="AU3" s="40" t="inlineStr">
        <is>
          <t xml:space="preserve">LFP </t>
        </is>
      </c>
      <c r="BB3" s="37" t="inlineStr">
        <is>
          <t xml:space="preserve">LCO </t>
        </is>
      </c>
      <c r="BC3" s="34" t="inlineStr">
        <is>
          <t>NMC111</t>
        </is>
      </c>
      <c r="BD3" s="34" t="inlineStr">
        <is>
          <t>NMC532</t>
        </is>
      </c>
      <c r="BE3" s="38" t="inlineStr">
        <is>
          <t>NMC622</t>
        </is>
      </c>
      <c r="BF3" s="34" t="inlineStr">
        <is>
          <t>NMC811</t>
        </is>
      </c>
      <c r="BG3" s="34" t="inlineStr">
        <is>
          <t>NCA</t>
        </is>
      </c>
      <c r="BH3" s="34" t="inlineStr">
        <is>
          <t xml:space="preserve">LMO </t>
        </is>
      </c>
      <c r="BI3" s="34" t="inlineStr">
        <is>
          <t xml:space="preserve">LFP </t>
        </is>
      </c>
      <c r="BJ3" s="34" t="n"/>
      <c r="BK3" s="39" t="n"/>
      <c r="BL3" s="34" t="n"/>
      <c r="BM3" s="34" t="n"/>
      <c r="BN3" s="34" t="n"/>
      <c r="BO3" s="34" t="n"/>
    </row>
    <row r="4" ht="15.5" customHeight="1" s="213">
      <c r="A4" s="33" t="inlineStr">
        <is>
          <t>US</t>
        </is>
      </c>
      <c r="B4" s="41" t="inlineStr">
        <is>
          <t xml:space="preserve">     Total Energy</t>
        </is>
      </c>
      <c r="C4" s="249">
        <f>BB4/1000</f>
        <v/>
      </c>
      <c r="D4" s="249">
        <f>BC4/1000</f>
        <v/>
      </c>
      <c r="E4" s="249">
        <f>BD4/1000</f>
        <v/>
      </c>
      <c r="F4" s="249">
        <f>BE4/1000</f>
        <v/>
      </c>
      <c r="G4" s="249">
        <f>BF4/1000</f>
        <v/>
      </c>
      <c r="H4" s="249">
        <f>BG4/1000</f>
        <v/>
      </c>
      <c r="I4" s="249">
        <f>BH4/1000</f>
        <v/>
      </c>
      <c r="J4" s="249">
        <f>BI4/1000</f>
        <v/>
      </c>
      <c r="K4" s="34" t="n"/>
      <c r="L4" s="39" t="n"/>
      <c r="M4" s="43" t="n">
        <v>5.937</v>
      </c>
      <c r="N4" s="43" t="n">
        <v>5.845</v>
      </c>
      <c r="O4" s="43" t="n">
        <v>5.575</v>
      </c>
      <c r="P4" s="43" t="n">
        <v>5.276</v>
      </c>
      <c r="Q4" s="43" t="n">
        <v>5.363</v>
      </c>
      <c r="R4" s="43" t="n">
        <v>6.645</v>
      </c>
      <c r="S4" s="43" t="n">
        <v>5.654</v>
      </c>
      <c r="T4" s="43" t="n"/>
      <c r="U4" s="33" t="inlineStr">
        <is>
          <t>US</t>
        </is>
      </c>
      <c r="V4" s="41" t="inlineStr">
        <is>
          <t xml:space="preserve">     Total Energy</t>
        </is>
      </c>
      <c r="W4" s="250">
        <f>D4/M4</f>
        <v/>
      </c>
      <c r="X4" s="250">
        <f>E4/N4</f>
        <v/>
      </c>
      <c r="Y4" s="250">
        <f>F4/O4</f>
        <v/>
      </c>
      <c r="Z4" s="250">
        <f>G4/P4</f>
        <v/>
      </c>
      <c r="AA4" s="250">
        <f>H4/Q4</f>
        <v/>
      </c>
      <c r="AB4" s="251">
        <f>I4/R4</f>
        <v/>
      </c>
      <c r="AC4" s="251">
        <f>J4/S4</f>
        <v/>
      </c>
      <c r="AD4" s="34" t="n"/>
      <c r="AE4" s="34" t="n"/>
      <c r="AF4" s="250">
        <f>W4</f>
        <v/>
      </c>
      <c r="AG4" s="250">
        <f>X4</f>
        <v/>
      </c>
      <c r="AH4" s="250">
        <f>Y4</f>
        <v/>
      </c>
      <c r="AI4" s="250">
        <f>Z4</f>
        <v/>
      </c>
      <c r="AJ4" s="250">
        <f>AA4</f>
        <v/>
      </c>
      <c r="AK4" s="252">
        <f>AB4*1.15</f>
        <v/>
      </c>
      <c r="AL4" s="252">
        <f>AC4*1.15</f>
        <v/>
      </c>
      <c r="AM4" s="34" t="n"/>
      <c r="AN4" s="34" t="n"/>
      <c r="AO4" s="250">
        <f>W4</f>
        <v/>
      </c>
      <c r="AP4" s="250">
        <f>X4</f>
        <v/>
      </c>
      <c r="AQ4" s="250">
        <f>Y4</f>
        <v/>
      </c>
      <c r="AR4" s="250">
        <f>Z4</f>
        <v/>
      </c>
      <c r="AS4" s="250">
        <f>AA4</f>
        <v/>
      </c>
      <c r="AT4" s="252">
        <f>AB4*0.85</f>
        <v/>
      </c>
      <c r="AU4" s="252">
        <f>AC4*0.85</f>
        <v/>
      </c>
      <c r="AZ4" s="33" t="inlineStr">
        <is>
          <t>US</t>
        </is>
      </c>
      <c r="BA4" s="41" t="inlineStr">
        <is>
          <t xml:space="preserve">     Total Energy</t>
        </is>
      </c>
      <c r="BB4" s="249" t="n">
        <v>837.4</v>
      </c>
      <c r="BC4" s="250" t="n">
        <v>808.1</v>
      </c>
      <c r="BD4" s="250" t="n">
        <v>770.5</v>
      </c>
      <c r="BE4" s="250" t="n">
        <v>760</v>
      </c>
      <c r="BF4" s="250" t="n">
        <v>755.1</v>
      </c>
      <c r="BG4" s="250" t="n">
        <v>796</v>
      </c>
      <c r="BH4" s="250" t="n">
        <v>760</v>
      </c>
      <c r="BI4" s="250" t="n">
        <v>760</v>
      </c>
      <c r="BJ4" s="34" t="n"/>
      <c r="BK4" s="39" t="n"/>
      <c r="BL4" s="43" t="n"/>
      <c r="BM4" s="43" t="n"/>
      <c r="BN4" s="43" t="n"/>
      <c r="BO4" s="43" t="n"/>
    </row>
    <row r="5" ht="15.5" customHeight="1" s="213">
      <c r="B5" s="41" t="inlineStr">
        <is>
          <t xml:space="preserve">     Fossil fuels</t>
        </is>
      </c>
      <c r="C5" s="249">
        <f>BB5/1000</f>
        <v/>
      </c>
      <c r="D5" s="249">
        <f>BC5/1000</f>
        <v/>
      </c>
      <c r="E5" s="249">
        <f>BD5/1000</f>
        <v/>
      </c>
      <c r="F5" s="249">
        <f>BE5/1000</f>
        <v/>
      </c>
      <c r="G5" s="249">
        <f>BF5/1000</f>
        <v/>
      </c>
      <c r="H5" s="249">
        <f>BG5/1000</f>
        <v/>
      </c>
      <c r="I5" s="249">
        <f>BH5/1000</f>
        <v/>
      </c>
      <c r="J5" s="249">
        <f>BI5/1000</f>
        <v/>
      </c>
      <c r="K5" s="34" t="n"/>
      <c r="L5" s="34" t="n"/>
      <c r="M5" s="47" t="n">
        <v>5.937</v>
      </c>
      <c r="N5" s="47" t="n">
        <v>5.845</v>
      </c>
      <c r="O5" s="47" t="n">
        <v>5.575</v>
      </c>
      <c r="P5" s="47" t="n">
        <v>5.276</v>
      </c>
      <c r="Q5" s="47" t="n">
        <v>5.363</v>
      </c>
      <c r="R5" s="47" t="n">
        <v>6.645</v>
      </c>
      <c r="S5" s="47" t="n">
        <v>5.654</v>
      </c>
      <c r="T5" s="47" t="n"/>
      <c r="V5" s="41" t="inlineStr">
        <is>
          <t xml:space="preserve">     Fossil fuels</t>
        </is>
      </c>
      <c r="W5" s="250">
        <f>D5/M5</f>
        <v/>
      </c>
      <c r="X5" s="250">
        <f>E5/N5</f>
        <v/>
      </c>
      <c r="Y5" s="250">
        <f>F5/O5</f>
        <v/>
      </c>
      <c r="Z5" s="250">
        <f>G5/P5</f>
        <v/>
      </c>
      <c r="AA5" s="250">
        <f>H5/Q5</f>
        <v/>
      </c>
      <c r="AB5" s="251">
        <f>I5/R5</f>
        <v/>
      </c>
      <c r="AC5" s="251">
        <f>J5/S5</f>
        <v/>
      </c>
      <c r="AD5" s="34" t="n"/>
      <c r="AE5" s="34" t="n"/>
      <c r="AF5" s="250">
        <f>W5</f>
        <v/>
      </c>
      <c r="AG5" s="250">
        <f>X5</f>
        <v/>
      </c>
      <c r="AH5" s="250">
        <f>Y5</f>
        <v/>
      </c>
      <c r="AI5" s="250">
        <f>Z5</f>
        <v/>
      </c>
      <c r="AJ5" s="250">
        <f>AA5</f>
        <v/>
      </c>
      <c r="AK5" s="252">
        <f>AB5*1.15</f>
        <v/>
      </c>
      <c r="AL5" s="252">
        <f>AC5*1.15</f>
        <v/>
      </c>
      <c r="AM5" s="34" t="n"/>
      <c r="AN5" s="34" t="n"/>
      <c r="AO5" s="250">
        <f>W5</f>
        <v/>
      </c>
      <c r="AP5" s="250">
        <f>X5</f>
        <v/>
      </c>
      <c r="AQ5" s="250">
        <f>Y5</f>
        <v/>
      </c>
      <c r="AR5" s="250">
        <f>Z5</f>
        <v/>
      </c>
      <c r="AS5" s="250">
        <f>AA5</f>
        <v/>
      </c>
      <c r="AT5" s="252">
        <f>AB5*0.85</f>
        <v/>
      </c>
      <c r="AU5" s="252">
        <f>AC5*0.85</f>
        <v/>
      </c>
      <c r="BA5" s="41" t="inlineStr">
        <is>
          <t xml:space="preserve">     Fossil fuels</t>
        </is>
      </c>
      <c r="BB5" s="249" t="n">
        <v>770.1</v>
      </c>
      <c r="BC5" s="250" t="n">
        <v>745.7</v>
      </c>
      <c r="BD5" s="250" t="n">
        <v>711.5</v>
      </c>
      <c r="BE5" s="250" t="n">
        <v>702.1</v>
      </c>
      <c r="BF5" s="250" t="n">
        <v>694.8</v>
      </c>
      <c r="BG5" s="250" t="n">
        <v>733.8</v>
      </c>
      <c r="BH5" s="250" t="n">
        <v>702.1</v>
      </c>
      <c r="BI5" s="250" t="n">
        <v>702.1</v>
      </c>
      <c r="BJ5" s="34" t="n"/>
      <c r="BK5" s="34" t="n"/>
      <c r="BL5" s="47" t="n"/>
      <c r="BM5" s="47" t="n"/>
      <c r="BN5" s="47" t="n"/>
      <c r="BO5" s="47" t="n"/>
    </row>
    <row r="6" ht="15.5" customHeight="1" s="213">
      <c r="B6" s="41" t="inlineStr">
        <is>
          <t xml:space="preserve">     Coal</t>
        </is>
      </c>
      <c r="C6" s="249">
        <f>BB6/1000</f>
        <v/>
      </c>
      <c r="D6" s="249">
        <f>BC6/1000</f>
        <v/>
      </c>
      <c r="E6" s="249">
        <f>BD6/1000</f>
        <v/>
      </c>
      <c r="F6" s="249">
        <f>BE6/1000</f>
        <v/>
      </c>
      <c r="G6" s="249">
        <f>BF6/1000</f>
        <v/>
      </c>
      <c r="H6" s="249">
        <f>BG6/1000</f>
        <v/>
      </c>
      <c r="I6" s="249">
        <f>BH6/1000</f>
        <v/>
      </c>
      <c r="J6" s="249">
        <f>BI6/1000</f>
        <v/>
      </c>
      <c r="K6" s="34" t="n"/>
      <c r="L6" s="34" t="n"/>
      <c r="M6" s="47" t="n">
        <v>5.937</v>
      </c>
      <c r="N6" s="47" t="n">
        <v>5.845</v>
      </c>
      <c r="O6" s="47" t="n">
        <v>5.575</v>
      </c>
      <c r="P6" s="47" t="n">
        <v>5.276</v>
      </c>
      <c r="Q6" s="47" t="n">
        <v>5.363</v>
      </c>
      <c r="R6" s="47" t="n">
        <v>6.645</v>
      </c>
      <c r="S6" s="47" t="n">
        <v>5.654</v>
      </c>
      <c r="T6" s="47" t="n"/>
      <c r="V6" s="41" t="inlineStr">
        <is>
          <t xml:space="preserve">     Coal</t>
        </is>
      </c>
      <c r="W6" s="250">
        <f>D6/M6</f>
        <v/>
      </c>
      <c r="X6" s="250">
        <f>E6/N6</f>
        <v/>
      </c>
      <c r="Y6" s="250">
        <f>F6/O6</f>
        <v/>
      </c>
      <c r="Z6" s="250">
        <f>G6/P6</f>
        <v/>
      </c>
      <c r="AA6" s="250">
        <f>H6/Q6</f>
        <v/>
      </c>
      <c r="AB6" s="251">
        <f>I6/R6</f>
        <v/>
      </c>
      <c r="AC6" s="251">
        <f>J6/S6</f>
        <v/>
      </c>
      <c r="AD6" s="34" t="n"/>
      <c r="AE6" s="34" t="n"/>
      <c r="AF6" s="250">
        <f>W6</f>
        <v/>
      </c>
      <c r="AG6" s="250">
        <f>X6</f>
        <v/>
      </c>
      <c r="AH6" s="250">
        <f>Y6</f>
        <v/>
      </c>
      <c r="AI6" s="250">
        <f>Z6</f>
        <v/>
      </c>
      <c r="AJ6" s="250">
        <f>AA6</f>
        <v/>
      </c>
      <c r="AK6" s="252">
        <f>AB6*1.15</f>
        <v/>
      </c>
      <c r="AL6" s="252">
        <f>AC6*1.15</f>
        <v/>
      </c>
      <c r="AM6" s="34" t="n"/>
      <c r="AN6" s="34" t="n"/>
      <c r="AO6" s="250">
        <f>W6</f>
        <v/>
      </c>
      <c r="AP6" s="250">
        <f>X6</f>
        <v/>
      </c>
      <c r="AQ6" s="250">
        <f>Y6</f>
        <v/>
      </c>
      <c r="AR6" s="250">
        <f>Z6</f>
        <v/>
      </c>
      <c r="AS6" s="250">
        <f>AA6</f>
        <v/>
      </c>
      <c r="AT6" s="252">
        <f>AB6*0.85</f>
        <v/>
      </c>
      <c r="AU6" s="252">
        <f>AC6*0.85</f>
        <v/>
      </c>
      <c r="BA6" s="41" t="inlineStr">
        <is>
          <t xml:space="preserve">     Coal</t>
        </is>
      </c>
      <c r="BB6" s="249" t="n">
        <v>198.6</v>
      </c>
      <c r="BC6" s="250" t="n">
        <v>171.7</v>
      </c>
      <c r="BD6" s="250" t="n">
        <v>161.1</v>
      </c>
      <c r="BE6" s="250" t="n">
        <v>157.9</v>
      </c>
      <c r="BF6" s="250" t="n">
        <v>152.1</v>
      </c>
      <c r="BG6" s="250" t="n">
        <v>158.8</v>
      </c>
      <c r="BH6" s="250" t="n">
        <v>157.9</v>
      </c>
      <c r="BI6" s="250" t="n">
        <v>157.9</v>
      </c>
      <c r="BJ6" s="34" t="n"/>
      <c r="BK6" s="34" t="n"/>
      <c r="BL6" s="47" t="n"/>
      <c r="BM6" s="47" t="n"/>
      <c r="BN6" s="47" t="n"/>
      <c r="BO6" s="47" t="n"/>
    </row>
    <row r="7" ht="15.5" customHeight="1" s="213">
      <c r="B7" s="41" t="inlineStr">
        <is>
          <t xml:space="preserve">     Natural gas</t>
        </is>
      </c>
      <c r="C7" s="249">
        <f>BB7/1000</f>
        <v/>
      </c>
      <c r="D7" s="249">
        <f>BC7/1000</f>
        <v/>
      </c>
      <c r="E7" s="249">
        <f>BD7/1000</f>
        <v/>
      </c>
      <c r="F7" s="249">
        <f>BE7/1000</f>
        <v/>
      </c>
      <c r="G7" s="249">
        <f>BF7/1000</f>
        <v/>
      </c>
      <c r="H7" s="249">
        <f>BG7/1000</f>
        <v/>
      </c>
      <c r="I7" s="249">
        <f>BH7/1000</f>
        <v/>
      </c>
      <c r="J7" s="249">
        <f>BI7/1000</f>
        <v/>
      </c>
      <c r="K7" s="34" t="n"/>
      <c r="L7" s="34" t="n"/>
      <c r="M7" s="47" t="n">
        <v>5.937</v>
      </c>
      <c r="N7" s="47" t="n">
        <v>5.845</v>
      </c>
      <c r="O7" s="47" t="n">
        <v>5.575</v>
      </c>
      <c r="P7" s="47" t="n">
        <v>5.276</v>
      </c>
      <c r="Q7" s="47" t="n">
        <v>5.363</v>
      </c>
      <c r="R7" s="47" t="n">
        <v>6.645</v>
      </c>
      <c r="S7" s="47" t="n">
        <v>5.654</v>
      </c>
      <c r="T7" s="47" t="n"/>
      <c r="V7" s="41" t="inlineStr">
        <is>
          <t xml:space="preserve">     Natural gas</t>
        </is>
      </c>
      <c r="W7" s="250">
        <f>D7/M7</f>
        <v/>
      </c>
      <c r="X7" s="250">
        <f>E7/N7</f>
        <v/>
      </c>
      <c r="Y7" s="250">
        <f>F7/O7</f>
        <v/>
      </c>
      <c r="Z7" s="250">
        <f>G7/P7</f>
        <v/>
      </c>
      <c r="AA7" s="250">
        <f>H7/Q7</f>
        <v/>
      </c>
      <c r="AB7" s="251">
        <f>I7/R7</f>
        <v/>
      </c>
      <c r="AC7" s="251">
        <f>J7/S7</f>
        <v/>
      </c>
      <c r="AD7" s="34" t="n"/>
      <c r="AE7" s="34" t="n"/>
      <c r="AF7" s="250">
        <f>W7</f>
        <v/>
      </c>
      <c r="AG7" s="250">
        <f>X7</f>
        <v/>
      </c>
      <c r="AH7" s="250">
        <f>Y7</f>
        <v/>
      </c>
      <c r="AI7" s="250">
        <f>Z7</f>
        <v/>
      </c>
      <c r="AJ7" s="250">
        <f>AA7</f>
        <v/>
      </c>
      <c r="AK7" s="252">
        <f>AB7*1.15</f>
        <v/>
      </c>
      <c r="AL7" s="252">
        <f>AC7*1.15</f>
        <v/>
      </c>
      <c r="AM7" s="34" t="n"/>
      <c r="AN7" s="34" t="n"/>
      <c r="AO7" s="250">
        <f>W7</f>
        <v/>
      </c>
      <c r="AP7" s="250">
        <f>X7</f>
        <v/>
      </c>
      <c r="AQ7" s="250">
        <f>Y7</f>
        <v/>
      </c>
      <c r="AR7" s="250">
        <f>Z7</f>
        <v/>
      </c>
      <c r="AS7" s="250">
        <f>AA7</f>
        <v/>
      </c>
      <c r="AT7" s="252">
        <f>AB7*0.85</f>
        <v/>
      </c>
      <c r="AU7" s="252">
        <f>AC7*0.85</f>
        <v/>
      </c>
      <c r="BA7" s="41" t="inlineStr">
        <is>
          <t xml:space="preserve">     Natural gas</t>
        </is>
      </c>
      <c r="BB7" s="249" t="n">
        <v>487</v>
      </c>
      <c r="BC7" s="250" t="n">
        <v>496.7</v>
      </c>
      <c r="BD7" s="250" t="n">
        <v>475.8</v>
      </c>
      <c r="BE7" s="250" t="n">
        <v>470.5</v>
      </c>
      <c r="BF7" s="250" t="n">
        <v>466.5</v>
      </c>
      <c r="BG7" s="250" t="n">
        <v>496</v>
      </c>
      <c r="BH7" s="250" t="n">
        <v>470.5</v>
      </c>
      <c r="BI7" s="250" t="n">
        <v>470.5</v>
      </c>
      <c r="BJ7" s="34" t="n"/>
      <c r="BK7" s="34" t="n"/>
      <c r="BL7" s="47" t="n"/>
      <c r="BM7" s="47" t="n"/>
      <c r="BN7" s="47" t="n"/>
      <c r="BO7" s="47" t="n"/>
    </row>
    <row r="8" ht="15.5" customHeight="1" s="213">
      <c r="B8" s="41" t="inlineStr">
        <is>
          <t xml:space="preserve">     Petroleum</t>
        </is>
      </c>
      <c r="C8" s="249">
        <f>BB8/1000</f>
        <v/>
      </c>
      <c r="D8" s="249">
        <f>BC8/1000</f>
        <v/>
      </c>
      <c r="E8" s="249">
        <f>BD8/1000</f>
        <v/>
      </c>
      <c r="F8" s="249">
        <f>BE8/1000</f>
        <v/>
      </c>
      <c r="G8" s="249">
        <f>BF8/1000</f>
        <v/>
      </c>
      <c r="H8" s="249">
        <f>BG8/1000</f>
        <v/>
      </c>
      <c r="I8" s="249">
        <f>BH8/1000</f>
        <v/>
      </c>
      <c r="J8" s="249">
        <f>BI8/1000</f>
        <v/>
      </c>
      <c r="K8" s="34" t="n"/>
      <c r="L8" s="34" t="n"/>
      <c r="M8" s="47" t="n">
        <v>5.937</v>
      </c>
      <c r="N8" s="47" t="n">
        <v>5.845</v>
      </c>
      <c r="O8" s="47" t="n">
        <v>5.575</v>
      </c>
      <c r="P8" s="47" t="n">
        <v>5.276</v>
      </c>
      <c r="Q8" s="47" t="n">
        <v>5.363</v>
      </c>
      <c r="R8" s="47" t="n">
        <v>6.645</v>
      </c>
      <c r="S8" s="47" t="n">
        <v>5.654</v>
      </c>
      <c r="T8" s="47" t="n"/>
      <c r="V8" s="41" t="inlineStr">
        <is>
          <t xml:space="preserve">     Petroleum</t>
        </is>
      </c>
      <c r="W8" s="250">
        <f>D8/M8</f>
        <v/>
      </c>
      <c r="X8" s="250">
        <f>E8/N8</f>
        <v/>
      </c>
      <c r="Y8" s="250">
        <f>F8/O8</f>
        <v/>
      </c>
      <c r="Z8" s="250">
        <f>G8/P8</f>
        <v/>
      </c>
      <c r="AA8" s="250">
        <f>H8/Q8</f>
        <v/>
      </c>
      <c r="AB8" s="251">
        <f>I8/R8</f>
        <v/>
      </c>
      <c r="AC8" s="251">
        <f>J8/S8</f>
        <v/>
      </c>
      <c r="AD8" s="34" t="n"/>
      <c r="AE8" s="34" t="n"/>
      <c r="AF8" s="250">
        <f>W8</f>
        <v/>
      </c>
      <c r="AG8" s="250">
        <f>X8</f>
        <v/>
      </c>
      <c r="AH8" s="250">
        <f>Y8</f>
        <v/>
      </c>
      <c r="AI8" s="250">
        <f>Z8</f>
        <v/>
      </c>
      <c r="AJ8" s="250">
        <f>AA8</f>
        <v/>
      </c>
      <c r="AK8" s="252">
        <f>AB8*1.15</f>
        <v/>
      </c>
      <c r="AL8" s="252">
        <f>AC8*1.15</f>
        <v/>
      </c>
      <c r="AM8" s="34" t="n"/>
      <c r="AN8" s="34" t="n"/>
      <c r="AO8" s="250">
        <f>W8</f>
        <v/>
      </c>
      <c r="AP8" s="250">
        <f>X8</f>
        <v/>
      </c>
      <c r="AQ8" s="250">
        <f>Y8</f>
        <v/>
      </c>
      <c r="AR8" s="250">
        <f>Z8</f>
        <v/>
      </c>
      <c r="AS8" s="250">
        <f>AA8</f>
        <v/>
      </c>
      <c r="AT8" s="252">
        <f>AB8*0.85</f>
        <v/>
      </c>
      <c r="AU8" s="252">
        <f>AC8*0.85</f>
        <v/>
      </c>
      <c r="BA8" s="41" t="inlineStr">
        <is>
          <t xml:space="preserve">     Petroleum</t>
        </is>
      </c>
      <c r="BB8" s="249" t="n">
        <v>84.5</v>
      </c>
      <c r="BC8" s="250" t="n">
        <v>77.3</v>
      </c>
      <c r="BD8" s="250" t="n">
        <v>74.5</v>
      </c>
      <c r="BE8" s="250" t="n">
        <v>73.59999999999999</v>
      </c>
      <c r="BF8" s="250" t="n">
        <v>76.09999999999999</v>
      </c>
      <c r="BG8" s="250" t="n">
        <v>78.90000000000001</v>
      </c>
      <c r="BH8" s="250" t="n">
        <v>73.59999999999999</v>
      </c>
      <c r="BI8" s="250" t="n">
        <v>73.59999999999999</v>
      </c>
      <c r="BJ8" s="34" t="n"/>
      <c r="BK8" s="34" t="n"/>
      <c r="BL8" s="47" t="n"/>
      <c r="BM8" s="47" t="n"/>
      <c r="BN8" s="47" t="n"/>
      <c r="BO8" s="47" t="n"/>
    </row>
    <row r="9" ht="15.5" customHeight="1" s="213">
      <c r="A9" s="33" t="inlineStr">
        <is>
          <t>Korea</t>
        </is>
      </c>
      <c r="B9" s="41" t="inlineStr">
        <is>
          <t xml:space="preserve">     Total Energy</t>
        </is>
      </c>
      <c r="C9" s="249">
        <f>BB9/1000</f>
        <v/>
      </c>
      <c r="D9" s="249">
        <f>BC9/1000</f>
        <v/>
      </c>
      <c r="E9" s="249">
        <f>BD9/1000</f>
        <v/>
      </c>
      <c r="F9" s="249">
        <f>BE9/1000</f>
        <v/>
      </c>
      <c r="G9" s="249">
        <f>BF9/1000</f>
        <v/>
      </c>
      <c r="H9" s="249">
        <f>BG9/1000</f>
        <v/>
      </c>
      <c r="I9" s="249">
        <f>BH9/1000</f>
        <v/>
      </c>
      <c r="J9" s="249">
        <f>BI9/1000</f>
        <v/>
      </c>
      <c r="K9" s="34" t="n"/>
      <c r="L9" s="34" t="n"/>
      <c r="M9" s="47" t="n">
        <v>5.937</v>
      </c>
      <c r="N9" s="47" t="n">
        <v>5.845</v>
      </c>
      <c r="O9" s="47" t="n">
        <v>5.575</v>
      </c>
      <c r="P9" s="47" t="n">
        <v>5.276</v>
      </c>
      <c r="Q9" s="47" t="n">
        <v>5.363</v>
      </c>
      <c r="R9" s="47" t="n">
        <v>6.645</v>
      </c>
      <c r="S9" s="47" t="n">
        <v>5.654</v>
      </c>
      <c r="T9" s="47" t="n"/>
      <c r="U9" s="33" t="inlineStr">
        <is>
          <t>Korea</t>
        </is>
      </c>
      <c r="V9" s="41" t="inlineStr">
        <is>
          <t xml:space="preserve">     Total Energy</t>
        </is>
      </c>
      <c r="W9" s="250">
        <f>D9/M9</f>
        <v/>
      </c>
      <c r="X9" s="250">
        <f>E9/N9</f>
        <v/>
      </c>
      <c r="Y9" s="250">
        <f>F9/O9</f>
        <v/>
      </c>
      <c r="Z9" s="250">
        <f>G9/P9</f>
        <v/>
      </c>
      <c r="AA9" s="250">
        <f>H9/Q9</f>
        <v/>
      </c>
      <c r="AB9" s="251">
        <f>I9/R9</f>
        <v/>
      </c>
      <c r="AC9" s="251">
        <f>J9/S9</f>
        <v/>
      </c>
      <c r="AD9" s="34" t="n"/>
      <c r="AE9" s="34" t="n"/>
      <c r="AF9" s="250">
        <f>W9</f>
        <v/>
      </c>
      <c r="AG9" s="250">
        <f>X9</f>
        <v/>
      </c>
      <c r="AH9" s="250">
        <f>Y9</f>
        <v/>
      </c>
      <c r="AI9" s="250">
        <f>Z9</f>
        <v/>
      </c>
      <c r="AJ9" s="250">
        <f>AA9</f>
        <v/>
      </c>
      <c r="AK9" s="252">
        <f>AB9*1.15</f>
        <v/>
      </c>
      <c r="AL9" s="252">
        <f>AC9*1.15</f>
        <v/>
      </c>
      <c r="AM9" s="34" t="n"/>
      <c r="AN9" s="34" t="n"/>
      <c r="AO9" s="250">
        <f>W9</f>
        <v/>
      </c>
      <c r="AP9" s="250">
        <f>X9</f>
        <v/>
      </c>
      <c r="AQ9" s="250">
        <f>Y9</f>
        <v/>
      </c>
      <c r="AR9" s="250">
        <f>Z9</f>
        <v/>
      </c>
      <c r="AS9" s="250">
        <f>AA9</f>
        <v/>
      </c>
      <c r="AT9" s="252">
        <f>AB9*0.85</f>
        <v/>
      </c>
      <c r="AU9" s="252">
        <f>AC9*0.85</f>
        <v/>
      </c>
      <c r="AZ9" s="33" t="inlineStr">
        <is>
          <t>Korea</t>
        </is>
      </c>
      <c r="BA9" s="41" t="inlineStr">
        <is>
          <t xml:space="preserve">     Total Energy</t>
        </is>
      </c>
      <c r="BB9" s="249" t="n">
        <v>855</v>
      </c>
      <c r="BC9" s="250" t="n">
        <v>824.1</v>
      </c>
      <c r="BD9" s="250" t="n">
        <v>785.7</v>
      </c>
      <c r="BE9" s="250" t="n">
        <v>775</v>
      </c>
      <c r="BF9" s="250" t="n">
        <v>770.2</v>
      </c>
      <c r="BG9" s="250" t="n">
        <v>811.6</v>
      </c>
      <c r="BH9" s="250" t="n">
        <v>775</v>
      </c>
      <c r="BI9" s="250" t="n">
        <v>775</v>
      </c>
      <c r="BJ9" s="34" t="n"/>
      <c r="BK9" s="34" t="n"/>
      <c r="BL9" s="47" t="n"/>
      <c r="BM9" s="47" t="n"/>
      <c r="BN9" s="47" t="n"/>
      <c r="BO9" s="47" t="n"/>
    </row>
    <row r="10" ht="15.5" customHeight="1" s="213">
      <c r="B10" s="41" t="inlineStr">
        <is>
          <t xml:space="preserve">     Fossil fuels</t>
        </is>
      </c>
      <c r="C10" s="249">
        <f>BB10/1000</f>
        <v/>
      </c>
      <c r="D10" s="249">
        <f>BC10/1000</f>
        <v/>
      </c>
      <c r="E10" s="249">
        <f>BD10/1000</f>
        <v/>
      </c>
      <c r="F10" s="249">
        <f>BE10/1000</f>
        <v/>
      </c>
      <c r="G10" s="249">
        <f>BF10/1000</f>
        <v/>
      </c>
      <c r="H10" s="249">
        <f>BG10/1000</f>
        <v/>
      </c>
      <c r="I10" s="249">
        <f>BH10/1000</f>
        <v/>
      </c>
      <c r="J10" s="249">
        <f>BI10/1000</f>
        <v/>
      </c>
      <c r="K10" s="34" t="n"/>
      <c r="L10" s="34" t="n"/>
      <c r="M10" s="47" t="n">
        <v>5.937</v>
      </c>
      <c r="N10" s="47" t="n">
        <v>5.845</v>
      </c>
      <c r="O10" s="47" t="n">
        <v>5.575</v>
      </c>
      <c r="P10" s="47" t="n">
        <v>5.276</v>
      </c>
      <c r="Q10" s="47" t="n">
        <v>5.363</v>
      </c>
      <c r="R10" s="47" t="n">
        <v>6.645</v>
      </c>
      <c r="S10" s="47" t="n">
        <v>5.654</v>
      </c>
      <c r="T10" s="47" t="n"/>
      <c r="V10" s="41" t="inlineStr">
        <is>
          <t xml:space="preserve">     Fossil fuels</t>
        </is>
      </c>
      <c r="W10" s="250">
        <f>D10/M10</f>
        <v/>
      </c>
      <c r="X10" s="250">
        <f>E10/N10</f>
        <v/>
      </c>
      <c r="Y10" s="250">
        <f>F10/O10</f>
        <v/>
      </c>
      <c r="Z10" s="250">
        <f>G10/P10</f>
        <v/>
      </c>
      <c r="AA10" s="250">
        <f>H10/Q10</f>
        <v/>
      </c>
      <c r="AB10" s="251">
        <f>I10/R10</f>
        <v/>
      </c>
      <c r="AC10" s="251">
        <f>J10/S10</f>
        <v/>
      </c>
      <c r="AD10" s="34" t="n"/>
      <c r="AE10" s="34" t="n"/>
      <c r="AF10" s="250">
        <f>W10</f>
        <v/>
      </c>
      <c r="AG10" s="250">
        <f>X10</f>
        <v/>
      </c>
      <c r="AH10" s="250">
        <f>Y10</f>
        <v/>
      </c>
      <c r="AI10" s="250">
        <f>Z10</f>
        <v/>
      </c>
      <c r="AJ10" s="250">
        <f>AA10</f>
        <v/>
      </c>
      <c r="AK10" s="252">
        <f>AB10*1.15</f>
        <v/>
      </c>
      <c r="AL10" s="252">
        <f>AC10*1.15</f>
        <v/>
      </c>
      <c r="AM10" s="34" t="n"/>
      <c r="AN10" s="34" t="n"/>
      <c r="AO10" s="250">
        <f>W10</f>
        <v/>
      </c>
      <c r="AP10" s="250">
        <f>X10</f>
        <v/>
      </c>
      <c r="AQ10" s="250">
        <f>Y10</f>
        <v/>
      </c>
      <c r="AR10" s="250">
        <f>Z10</f>
        <v/>
      </c>
      <c r="AS10" s="250">
        <f>AA10</f>
        <v/>
      </c>
      <c r="AT10" s="252">
        <f>AB10*0.85</f>
        <v/>
      </c>
      <c r="AU10" s="252">
        <f>AC10*0.85</f>
        <v/>
      </c>
      <c r="BA10" s="41" t="inlineStr">
        <is>
          <t xml:space="preserve">     Fossil fuels</t>
        </is>
      </c>
      <c r="BB10" s="249" t="n">
        <v>788.8</v>
      </c>
      <c r="BC10" s="250" t="n">
        <v>762.6</v>
      </c>
      <c r="BD10" s="250" t="n">
        <v>727.5</v>
      </c>
      <c r="BE10" s="250" t="n">
        <v>717.9</v>
      </c>
      <c r="BF10" s="250" t="n">
        <v>710.7</v>
      </c>
      <c r="BG10" s="250" t="n">
        <v>750.3</v>
      </c>
      <c r="BH10" s="250" t="n">
        <v>717.9</v>
      </c>
      <c r="BI10" s="250" t="n">
        <v>717.9</v>
      </c>
      <c r="BJ10" s="34" t="n"/>
      <c r="BK10" s="34" t="n"/>
      <c r="BL10" s="47" t="n"/>
      <c r="BM10" s="47" t="n"/>
      <c r="BN10" s="47" t="n"/>
      <c r="BO10" s="47" t="n"/>
    </row>
    <row r="11" ht="15.5" customHeight="1" s="213">
      <c r="B11" s="41" t="inlineStr">
        <is>
          <t xml:space="preserve">     Coal</t>
        </is>
      </c>
      <c r="C11" s="249">
        <f>BB11/1000</f>
        <v/>
      </c>
      <c r="D11" s="249">
        <f>BC11/1000</f>
        <v/>
      </c>
      <c r="E11" s="249">
        <f>BD11/1000</f>
        <v/>
      </c>
      <c r="F11" s="249">
        <f>BE11/1000</f>
        <v/>
      </c>
      <c r="G11" s="249">
        <f>BF11/1000</f>
        <v/>
      </c>
      <c r="H11" s="249">
        <f>BG11/1000</f>
        <v/>
      </c>
      <c r="I11" s="249">
        <f>BH11/1000</f>
        <v/>
      </c>
      <c r="J11" s="249">
        <f>BI11/1000</f>
        <v/>
      </c>
      <c r="K11" s="34" t="n"/>
      <c r="L11" s="34" t="n"/>
      <c r="M11" s="47" t="n">
        <v>5.937</v>
      </c>
      <c r="N11" s="47" t="n">
        <v>5.845</v>
      </c>
      <c r="O11" s="47" t="n">
        <v>5.575</v>
      </c>
      <c r="P11" s="47" t="n">
        <v>5.276</v>
      </c>
      <c r="Q11" s="47" t="n">
        <v>5.363</v>
      </c>
      <c r="R11" s="47" t="n">
        <v>6.645</v>
      </c>
      <c r="S11" s="47" t="n">
        <v>5.654</v>
      </c>
      <c r="T11" s="47" t="n"/>
      <c r="V11" s="41" t="inlineStr">
        <is>
          <t xml:space="preserve">     Coal</t>
        </is>
      </c>
      <c r="W11" s="250">
        <f>D11/M11</f>
        <v/>
      </c>
      <c r="X11" s="250">
        <f>E11/N11</f>
        <v/>
      </c>
      <c r="Y11" s="250">
        <f>F11/O11</f>
        <v/>
      </c>
      <c r="Z11" s="250">
        <f>G11/P11</f>
        <v/>
      </c>
      <c r="AA11" s="250">
        <f>H11/Q11</f>
        <v/>
      </c>
      <c r="AB11" s="251">
        <f>I11/R11</f>
        <v/>
      </c>
      <c r="AC11" s="251">
        <f>J11/S11</f>
        <v/>
      </c>
      <c r="AD11" s="34" t="n"/>
      <c r="AE11" s="34" t="n"/>
      <c r="AF11" s="250">
        <f>W11</f>
        <v/>
      </c>
      <c r="AG11" s="250">
        <f>X11</f>
        <v/>
      </c>
      <c r="AH11" s="250">
        <f>Y11</f>
        <v/>
      </c>
      <c r="AI11" s="250">
        <f>Z11</f>
        <v/>
      </c>
      <c r="AJ11" s="250">
        <f>AA11</f>
        <v/>
      </c>
      <c r="AK11" s="252">
        <f>AB11*1.15</f>
        <v/>
      </c>
      <c r="AL11" s="252">
        <f>AC11*1.15</f>
        <v/>
      </c>
      <c r="AM11" s="34" t="n"/>
      <c r="AN11" s="34" t="n"/>
      <c r="AO11" s="250">
        <f>W11</f>
        <v/>
      </c>
      <c r="AP11" s="250">
        <f>X11</f>
        <v/>
      </c>
      <c r="AQ11" s="250">
        <f>Y11</f>
        <v/>
      </c>
      <c r="AR11" s="250">
        <f>Z11</f>
        <v/>
      </c>
      <c r="AS11" s="250">
        <f>AA11</f>
        <v/>
      </c>
      <c r="AT11" s="252">
        <f>AB11*0.85</f>
        <v/>
      </c>
      <c r="AU11" s="252">
        <f>AC11*0.85</f>
        <v/>
      </c>
      <c r="BA11" s="41" t="inlineStr">
        <is>
          <t xml:space="preserve">     Coal</t>
        </is>
      </c>
      <c r="BB11" s="249" t="n">
        <v>238.1</v>
      </c>
      <c r="BC11" s="250" t="n">
        <v>207.5</v>
      </c>
      <c r="BD11" s="250" t="n">
        <v>195.1</v>
      </c>
      <c r="BE11" s="250" t="n">
        <v>191.6</v>
      </c>
      <c r="BF11" s="250" t="n">
        <v>186</v>
      </c>
      <c r="BG11" s="250" t="n">
        <v>193.8</v>
      </c>
      <c r="BH11" s="250" t="n">
        <v>191.6</v>
      </c>
      <c r="BI11" s="250" t="n">
        <v>191.6</v>
      </c>
      <c r="BJ11" s="34" t="n"/>
      <c r="BK11" s="34" t="n"/>
      <c r="BL11" s="47" t="n"/>
      <c r="BM11" s="47" t="n"/>
      <c r="BN11" s="47" t="n"/>
      <c r="BO11" s="47" t="n"/>
    </row>
    <row r="12" ht="15.5" customHeight="1" s="213">
      <c r="B12" s="41" t="inlineStr">
        <is>
          <t xml:space="preserve">     Natural gas</t>
        </is>
      </c>
      <c r="C12" s="249">
        <f>BB12/1000</f>
        <v/>
      </c>
      <c r="D12" s="249">
        <f>BC12/1000</f>
        <v/>
      </c>
      <c r="E12" s="249">
        <f>BD12/1000</f>
        <v/>
      </c>
      <c r="F12" s="249">
        <f>BE12/1000</f>
        <v/>
      </c>
      <c r="G12" s="249">
        <f>BF12/1000</f>
        <v/>
      </c>
      <c r="H12" s="249">
        <f>BG12/1000</f>
        <v/>
      </c>
      <c r="I12" s="249">
        <f>BH12/1000</f>
        <v/>
      </c>
      <c r="J12" s="249">
        <f>BI12/1000</f>
        <v/>
      </c>
      <c r="K12" s="34" t="n"/>
      <c r="L12" s="34" t="n"/>
      <c r="M12" s="47" t="n">
        <v>5.937</v>
      </c>
      <c r="N12" s="47" t="n">
        <v>5.845</v>
      </c>
      <c r="O12" s="47" t="n">
        <v>5.575</v>
      </c>
      <c r="P12" s="47" t="n">
        <v>5.276</v>
      </c>
      <c r="Q12" s="47" t="n">
        <v>5.363</v>
      </c>
      <c r="R12" s="47" t="n">
        <v>6.645</v>
      </c>
      <c r="S12" s="47" t="n">
        <v>5.654</v>
      </c>
      <c r="T12" s="47" t="n"/>
      <c r="V12" s="41" t="inlineStr">
        <is>
          <t xml:space="preserve">     Natural gas</t>
        </is>
      </c>
      <c r="W12" s="250">
        <f>D12/M12</f>
        <v/>
      </c>
      <c r="X12" s="250">
        <f>E12/N12</f>
        <v/>
      </c>
      <c r="Y12" s="250">
        <f>F12/O12</f>
        <v/>
      </c>
      <c r="Z12" s="250">
        <f>G12/P12</f>
        <v/>
      </c>
      <c r="AA12" s="250">
        <f>H12/Q12</f>
        <v/>
      </c>
      <c r="AB12" s="251">
        <f>I12/R12</f>
        <v/>
      </c>
      <c r="AC12" s="251">
        <f>J12/S12</f>
        <v/>
      </c>
      <c r="AD12" s="34" t="n"/>
      <c r="AE12" s="34" t="n"/>
      <c r="AF12" s="250">
        <f>W12</f>
        <v/>
      </c>
      <c r="AG12" s="250">
        <f>X12</f>
        <v/>
      </c>
      <c r="AH12" s="250">
        <f>Y12</f>
        <v/>
      </c>
      <c r="AI12" s="250">
        <f>Z12</f>
        <v/>
      </c>
      <c r="AJ12" s="250">
        <f>AA12</f>
        <v/>
      </c>
      <c r="AK12" s="252">
        <f>AB12*1.15</f>
        <v/>
      </c>
      <c r="AL12" s="252">
        <f>AC12*1.15</f>
        <v/>
      </c>
      <c r="AM12" s="34" t="n"/>
      <c r="AN12" s="34" t="n"/>
      <c r="AO12" s="250">
        <f>W12</f>
        <v/>
      </c>
      <c r="AP12" s="250">
        <f>X12</f>
        <v/>
      </c>
      <c r="AQ12" s="250">
        <f>Y12</f>
        <v/>
      </c>
      <c r="AR12" s="250">
        <f>Z12</f>
        <v/>
      </c>
      <c r="AS12" s="250">
        <f>AA12</f>
        <v/>
      </c>
      <c r="AT12" s="252">
        <f>AB12*0.85</f>
        <v/>
      </c>
      <c r="AU12" s="252">
        <f>AC12*0.85</f>
        <v/>
      </c>
      <c r="BA12" s="41" t="inlineStr">
        <is>
          <t xml:space="preserve">     Natural gas</t>
        </is>
      </c>
      <c r="BB12" s="249" t="n">
        <v>462.9</v>
      </c>
      <c r="BC12" s="250" t="n">
        <v>474.9</v>
      </c>
      <c r="BD12" s="250" t="n">
        <v>455.1</v>
      </c>
      <c r="BE12" s="250" t="n">
        <v>450</v>
      </c>
      <c r="BF12" s="250" t="n">
        <v>445.9</v>
      </c>
      <c r="BG12" s="250" t="n">
        <v>474.7</v>
      </c>
      <c r="BH12" s="250" t="n">
        <v>450</v>
      </c>
      <c r="BI12" s="250" t="n">
        <v>450</v>
      </c>
      <c r="BJ12" s="34" t="n"/>
      <c r="BK12" s="34" t="n"/>
      <c r="BL12" s="47" t="n"/>
      <c r="BM12" s="47" t="n"/>
      <c r="BN12" s="47" t="n"/>
      <c r="BO12" s="47" t="n"/>
    </row>
    <row r="13" ht="15.5" customHeight="1" s="213">
      <c r="B13" s="41" t="inlineStr">
        <is>
          <t xml:space="preserve">     Petroleum</t>
        </is>
      </c>
      <c r="C13" s="249">
        <f>BB13/1000</f>
        <v/>
      </c>
      <c r="D13" s="249">
        <f>BC13/1000</f>
        <v/>
      </c>
      <c r="E13" s="249">
        <f>BD13/1000</f>
        <v/>
      </c>
      <c r="F13" s="249">
        <f>BE13/1000</f>
        <v/>
      </c>
      <c r="G13" s="249">
        <f>BF13/1000</f>
        <v/>
      </c>
      <c r="H13" s="249">
        <f>BG13/1000</f>
        <v/>
      </c>
      <c r="I13" s="249">
        <f>BH13/1000</f>
        <v/>
      </c>
      <c r="J13" s="249">
        <f>BI13/1000</f>
        <v/>
      </c>
      <c r="K13" s="34" t="n"/>
      <c r="L13" s="34" t="n"/>
      <c r="M13" s="47" t="n">
        <v>5.937</v>
      </c>
      <c r="N13" s="47" t="n">
        <v>5.845</v>
      </c>
      <c r="O13" s="47" t="n">
        <v>5.575</v>
      </c>
      <c r="P13" s="47" t="n">
        <v>5.276</v>
      </c>
      <c r="Q13" s="47" t="n">
        <v>5.363</v>
      </c>
      <c r="R13" s="47" t="n">
        <v>6.645</v>
      </c>
      <c r="S13" s="47" t="n">
        <v>5.654</v>
      </c>
      <c r="T13" s="47" t="n"/>
      <c r="V13" s="41" t="inlineStr">
        <is>
          <t xml:space="preserve">     Petroleum</t>
        </is>
      </c>
      <c r="W13" s="250">
        <f>D13/M13</f>
        <v/>
      </c>
      <c r="X13" s="250">
        <f>E13/N13</f>
        <v/>
      </c>
      <c r="Y13" s="250">
        <f>F13/O13</f>
        <v/>
      </c>
      <c r="Z13" s="250">
        <f>G13/P13</f>
        <v/>
      </c>
      <c r="AA13" s="250">
        <f>H13/Q13</f>
        <v/>
      </c>
      <c r="AB13" s="251">
        <f>I13/R13</f>
        <v/>
      </c>
      <c r="AC13" s="251">
        <f>J13/S13</f>
        <v/>
      </c>
      <c r="AD13" s="34" t="n"/>
      <c r="AE13" s="34" t="n"/>
      <c r="AF13" s="250">
        <f>W13</f>
        <v/>
      </c>
      <c r="AG13" s="250">
        <f>X13</f>
        <v/>
      </c>
      <c r="AH13" s="250">
        <f>Y13</f>
        <v/>
      </c>
      <c r="AI13" s="250">
        <f>Z13</f>
        <v/>
      </c>
      <c r="AJ13" s="250">
        <f>AA13</f>
        <v/>
      </c>
      <c r="AK13" s="252">
        <f>AB13*1.15</f>
        <v/>
      </c>
      <c r="AL13" s="252">
        <f>AC13*1.15</f>
        <v/>
      </c>
      <c r="AM13" s="34" t="n"/>
      <c r="AN13" s="34" t="n"/>
      <c r="AO13" s="250">
        <f>W13</f>
        <v/>
      </c>
      <c r="AP13" s="250">
        <f>X13</f>
        <v/>
      </c>
      <c r="AQ13" s="250">
        <f>Y13</f>
        <v/>
      </c>
      <c r="AR13" s="250">
        <f>Z13</f>
        <v/>
      </c>
      <c r="AS13" s="250">
        <f>AA13</f>
        <v/>
      </c>
      <c r="AT13" s="252">
        <f>AB13*0.85</f>
        <v/>
      </c>
      <c r="AU13" s="252">
        <f>AC13*0.85</f>
        <v/>
      </c>
      <c r="BA13" s="41" t="inlineStr">
        <is>
          <t xml:space="preserve">     Petroleum</t>
        </is>
      </c>
      <c r="BB13" s="249" t="n">
        <v>87.7</v>
      </c>
      <c r="BC13" s="250" t="n">
        <v>80.2</v>
      </c>
      <c r="BD13" s="250" t="n">
        <v>77.2</v>
      </c>
      <c r="BE13" s="250" t="n">
        <v>76.3</v>
      </c>
      <c r="BF13" s="250" t="n">
        <v>78.90000000000001</v>
      </c>
      <c r="BG13" s="250" t="n">
        <v>81.7</v>
      </c>
      <c r="BH13" s="250" t="n">
        <v>76.3</v>
      </c>
      <c r="BI13" s="250" t="n">
        <v>76.3</v>
      </c>
      <c r="BJ13" s="34" t="n"/>
      <c r="BK13" s="34" t="n"/>
      <c r="BL13" s="47" t="n"/>
      <c r="BM13" s="47" t="n"/>
      <c r="BN13" s="47" t="n"/>
      <c r="BO13" s="47" t="n"/>
    </row>
    <row r="14" ht="15.5" customHeight="1" s="213">
      <c r="A14" s="33" t="inlineStr">
        <is>
          <t>China</t>
        </is>
      </c>
      <c r="B14" s="41" t="inlineStr">
        <is>
          <t xml:space="preserve">     Total Energy</t>
        </is>
      </c>
      <c r="C14" s="249">
        <f>BB14/1000</f>
        <v/>
      </c>
      <c r="D14" s="249">
        <f>BC14/1000</f>
        <v/>
      </c>
      <c r="E14" s="249">
        <f>BD14/1000</f>
        <v/>
      </c>
      <c r="F14" s="249">
        <f>BE14/1000</f>
        <v/>
      </c>
      <c r="G14" s="249">
        <f>BF14/1000</f>
        <v/>
      </c>
      <c r="H14" s="249">
        <f>BG14/1000</f>
        <v/>
      </c>
      <c r="I14" s="249">
        <f>BH14/1000</f>
        <v/>
      </c>
      <c r="J14" s="249">
        <f>BI14/1000</f>
        <v/>
      </c>
      <c r="K14" s="34" t="n"/>
      <c r="L14" s="34" t="n"/>
      <c r="M14" s="47" t="n">
        <v>5.937</v>
      </c>
      <c r="N14" s="47" t="n">
        <v>5.845</v>
      </c>
      <c r="O14" s="47" t="n">
        <v>5.575</v>
      </c>
      <c r="P14" s="47" t="n">
        <v>5.276</v>
      </c>
      <c r="Q14" s="47" t="n">
        <v>5.363</v>
      </c>
      <c r="R14" s="47" t="n">
        <v>6.645</v>
      </c>
      <c r="S14" s="47" t="n">
        <v>5.654</v>
      </c>
      <c r="T14" s="47" t="n"/>
      <c r="U14" s="33" t="inlineStr">
        <is>
          <t>China</t>
        </is>
      </c>
      <c r="V14" s="41" t="inlineStr">
        <is>
          <t xml:space="preserve">     Total Energy</t>
        </is>
      </c>
      <c r="W14" s="250">
        <f>D14/M14</f>
        <v/>
      </c>
      <c r="X14" s="250">
        <f>E14/N14</f>
        <v/>
      </c>
      <c r="Y14" s="250">
        <f>F14/O14</f>
        <v/>
      </c>
      <c r="Z14" s="250">
        <f>G14/P14</f>
        <v/>
      </c>
      <c r="AA14" s="250">
        <f>H14/Q14</f>
        <v/>
      </c>
      <c r="AB14" s="251">
        <f>I14/R14</f>
        <v/>
      </c>
      <c r="AC14" s="251">
        <f>J14/S14</f>
        <v/>
      </c>
      <c r="AD14" s="34" t="n"/>
      <c r="AE14" s="34" t="n"/>
      <c r="AF14" s="250">
        <f>W14</f>
        <v/>
      </c>
      <c r="AG14" s="250">
        <f>X14</f>
        <v/>
      </c>
      <c r="AH14" s="250">
        <f>Y14</f>
        <v/>
      </c>
      <c r="AI14" s="250">
        <f>Z14</f>
        <v/>
      </c>
      <c r="AJ14" s="250">
        <f>AA14</f>
        <v/>
      </c>
      <c r="AK14" s="252">
        <f>AB14*1.15</f>
        <v/>
      </c>
      <c r="AL14" s="252">
        <f>AC14*1.15</f>
        <v/>
      </c>
      <c r="AM14" s="34" t="n"/>
      <c r="AN14" s="34" t="n"/>
      <c r="AO14" s="250">
        <f>W14</f>
        <v/>
      </c>
      <c r="AP14" s="250">
        <f>X14</f>
        <v/>
      </c>
      <c r="AQ14" s="250">
        <f>Y14</f>
        <v/>
      </c>
      <c r="AR14" s="250">
        <f>Z14</f>
        <v/>
      </c>
      <c r="AS14" s="250">
        <f>AA14</f>
        <v/>
      </c>
      <c r="AT14" s="252">
        <f>AB14*0.85</f>
        <v/>
      </c>
      <c r="AU14" s="252">
        <f>AC14*0.85</f>
        <v/>
      </c>
      <c r="AZ14" s="33" t="inlineStr">
        <is>
          <t>China</t>
        </is>
      </c>
      <c r="BA14" s="41" t="inlineStr">
        <is>
          <t xml:space="preserve">     Total Energy</t>
        </is>
      </c>
      <c r="BB14" s="249" t="n">
        <v>870.5</v>
      </c>
      <c r="BC14" s="250" t="n">
        <v>838.1</v>
      </c>
      <c r="BD14" s="250" t="n">
        <v>799</v>
      </c>
      <c r="BE14" s="250" t="n">
        <v>788.2</v>
      </c>
      <c r="BF14" s="250" t="n">
        <v>783.5</v>
      </c>
      <c r="BG14" s="250" t="n">
        <v>825.3</v>
      </c>
      <c r="BH14" s="250" t="n">
        <v>788.2</v>
      </c>
      <c r="BI14" s="250" t="n">
        <v>788.2</v>
      </c>
      <c r="BJ14" s="34" t="n"/>
      <c r="BK14" s="34" t="n"/>
      <c r="BL14" s="47" t="n"/>
      <c r="BM14" s="47" t="n"/>
      <c r="BN14" s="47" t="n"/>
      <c r="BO14" s="47" t="n"/>
    </row>
    <row r="15" ht="15.5" customHeight="1" s="213">
      <c r="B15" s="41" t="inlineStr">
        <is>
          <t xml:space="preserve">     Fossil fuels</t>
        </is>
      </c>
      <c r="C15" s="249">
        <f>BB15/1000</f>
        <v/>
      </c>
      <c r="D15" s="249">
        <f>BC15/1000</f>
        <v/>
      </c>
      <c r="E15" s="249">
        <f>BD15/1000</f>
        <v/>
      </c>
      <c r="F15" s="249">
        <f>BE15/1000</f>
        <v/>
      </c>
      <c r="G15" s="249">
        <f>BF15/1000</f>
        <v/>
      </c>
      <c r="H15" s="249">
        <f>BG15/1000</f>
        <v/>
      </c>
      <c r="I15" s="249">
        <f>BH15/1000</f>
        <v/>
      </c>
      <c r="J15" s="249">
        <f>BI15/1000</f>
        <v/>
      </c>
      <c r="K15" s="34" t="n"/>
      <c r="L15" s="34" t="n"/>
      <c r="M15" s="47" t="n">
        <v>5.937</v>
      </c>
      <c r="N15" s="47" t="n">
        <v>5.845</v>
      </c>
      <c r="O15" s="47" t="n">
        <v>5.575</v>
      </c>
      <c r="P15" s="47" t="n">
        <v>5.276</v>
      </c>
      <c r="Q15" s="47" t="n">
        <v>5.363</v>
      </c>
      <c r="R15" s="47" t="n">
        <v>6.645</v>
      </c>
      <c r="S15" s="47" t="n">
        <v>5.654</v>
      </c>
      <c r="T15" s="47" t="n"/>
      <c r="V15" s="41" t="inlineStr">
        <is>
          <t xml:space="preserve">     Fossil fuels</t>
        </is>
      </c>
      <c r="W15" s="250">
        <f>D15/M15</f>
        <v/>
      </c>
      <c r="X15" s="250">
        <f>E15/N15</f>
        <v/>
      </c>
      <c r="Y15" s="250">
        <f>F15/O15</f>
        <v/>
      </c>
      <c r="Z15" s="250">
        <f>G15/P15</f>
        <v/>
      </c>
      <c r="AA15" s="250">
        <f>H15/Q15</f>
        <v/>
      </c>
      <c r="AB15" s="251">
        <f>I15/R15</f>
        <v/>
      </c>
      <c r="AC15" s="251">
        <f>J15/S15</f>
        <v/>
      </c>
      <c r="AD15" s="34" t="n"/>
      <c r="AE15" s="34" t="n"/>
      <c r="AF15" s="250">
        <f>W15</f>
        <v/>
      </c>
      <c r="AG15" s="250">
        <f>X15</f>
        <v/>
      </c>
      <c r="AH15" s="250">
        <f>Y15</f>
        <v/>
      </c>
      <c r="AI15" s="250">
        <f>Z15</f>
        <v/>
      </c>
      <c r="AJ15" s="250">
        <f>AA15</f>
        <v/>
      </c>
      <c r="AK15" s="252">
        <f>AB15*1.15</f>
        <v/>
      </c>
      <c r="AL15" s="252">
        <f>AC15*1.15</f>
        <v/>
      </c>
      <c r="AM15" s="34" t="n"/>
      <c r="AN15" s="34" t="n"/>
      <c r="AO15" s="250">
        <f>W15</f>
        <v/>
      </c>
      <c r="AP15" s="250">
        <f>X15</f>
        <v/>
      </c>
      <c r="AQ15" s="250">
        <f>Y15</f>
        <v/>
      </c>
      <c r="AR15" s="250">
        <f>Z15</f>
        <v/>
      </c>
      <c r="AS15" s="250">
        <f>AA15</f>
        <v/>
      </c>
      <c r="AT15" s="252">
        <f>AB15*0.85</f>
        <v/>
      </c>
      <c r="AU15" s="252">
        <f>AC15*0.85</f>
        <v/>
      </c>
      <c r="BA15" s="41" t="inlineStr">
        <is>
          <t xml:space="preserve">     Fossil fuels</t>
        </is>
      </c>
      <c r="BB15" s="249" t="n">
        <v>801.2</v>
      </c>
      <c r="BC15" s="250" t="n">
        <v>773.8</v>
      </c>
      <c r="BD15" s="250" t="n">
        <v>738.2</v>
      </c>
      <c r="BE15" s="250" t="n">
        <v>728.5</v>
      </c>
      <c r="BF15" s="250" t="n">
        <v>721.4</v>
      </c>
      <c r="BG15" s="250" t="n">
        <v>761.3</v>
      </c>
      <c r="BH15" s="250" t="n">
        <v>728.5</v>
      </c>
      <c r="BI15" s="250" t="n">
        <v>728.5</v>
      </c>
      <c r="BJ15" s="34" t="n"/>
      <c r="BK15" s="34" t="n"/>
      <c r="BL15" s="47" t="n"/>
      <c r="BM15" s="47" t="n"/>
      <c r="BN15" s="47" t="n"/>
      <c r="BO15" s="47" t="n"/>
    </row>
    <row r="16" ht="15.5" customHeight="1" s="213">
      <c r="B16" s="41" t="inlineStr">
        <is>
          <t xml:space="preserve">     Coal</t>
        </is>
      </c>
      <c r="C16" s="249">
        <f>BB16/1000</f>
        <v/>
      </c>
      <c r="D16" s="249">
        <f>BC16/1000</f>
        <v/>
      </c>
      <c r="E16" s="249">
        <f>BD16/1000</f>
        <v/>
      </c>
      <c r="F16" s="249">
        <f>BE16/1000</f>
        <v/>
      </c>
      <c r="G16" s="249">
        <f>BF16/1000</f>
        <v/>
      </c>
      <c r="H16" s="249">
        <f>BG16/1000</f>
        <v/>
      </c>
      <c r="I16" s="249">
        <f>BH16/1000</f>
        <v/>
      </c>
      <c r="J16" s="249">
        <f>BI16/1000</f>
        <v/>
      </c>
      <c r="K16" s="34" t="n"/>
      <c r="L16" s="34" t="n"/>
      <c r="M16" s="47" t="n">
        <v>5.937</v>
      </c>
      <c r="N16" s="47" t="n">
        <v>5.845</v>
      </c>
      <c r="O16" s="47" t="n">
        <v>5.575</v>
      </c>
      <c r="P16" s="47" t="n">
        <v>5.276</v>
      </c>
      <c r="Q16" s="47" t="n">
        <v>5.363</v>
      </c>
      <c r="R16" s="47" t="n">
        <v>6.645</v>
      </c>
      <c r="S16" s="47" t="n">
        <v>5.654</v>
      </c>
      <c r="T16" s="47" t="n"/>
      <c r="V16" s="41" t="inlineStr">
        <is>
          <t xml:space="preserve">     Coal</t>
        </is>
      </c>
      <c r="W16" s="250">
        <f>D16/M16</f>
        <v/>
      </c>
      <c r="X16" s="250">
        <f>E16/N16</f>
        <v/>
      </c>
      <c r="Y16" s="250">
        <f>F16/O16</f>
        <v/>
      </c>
      <c r="Z16" s="250">
        <f>G16/P16</f>
        <v/>
      </c>
      <c r="AA16" s="250">
        <f>H16/Q16</f>
        <v/>
      </c>
      <c r="AB16" s="251">
        <f>I16/R16</f>
        <v/>
      </c>
      <c r="AC16" s="251">
        <f>J16/S16</f>
        <v/>
      </c>
      <c r="AD16" s="34" t="n"/>
      <c r="AE16" s="34" t="n"/>
      <c r="AF16" s="250">
        <f>W16</f>
        <v/>
      </c>
      <c r="AG16" s="250">
        <f>X16</f>
        <v/>
      </c>
      <c r="AH16" s="250">
        <f>Y16</f>
        <v/>
      </c>
      <c r="AI16" s="250">
        <f>Z16</f>
        <v/>
      </c>
      <c r="AJ16" s="250">
        <f>AA16</f>
        <v/>
      </c>
      <c r="AK16" s="252">
        <f>AB16*1.15</f>
        <v/>
      </c>
      <c r="AL16" s="252">
        <f>AC16*1.15</f>
        <v/>
      </c>
      <c r="AM16" s="34" t="n"/>
      <c r="AN16" s="34" t="n"/>
      <c r="AO16" s="250">
        <f>W16</f>
        <v/>
      </c>
      <c r="AP16" s="250">
        <f>X16</f>
        <v/>
      </c>
      <c r="AQ16" s="250">
        <f>Y16</f>
        <v/>
      </c>
      <c r="AR16" s="250">
        <f>Z16</f>
        <v/>
      </c>
      <c r="AS16" s="250">
        <f>AA16</f>
        <v/>
      </c>
      <c r="AT16" s="252">
        <f>AB16*0.85</f>
        <v/>
      </c>
      <c r="AU16" s="252">
        <f>AC16*0.85</f>
        <v/>
      </c>
      <c r="BA16" s="41" t="inlineStr">
        <is>
          <t xml:space="preserve">     Coal</t>
        </is>
      </c>
      <c r="BB16" s="249" t="n">
        <v>302.1</v>
      </c>
      <c r="BC16" s="250" t="n">
        <v>265.4</v>
      </c>
      <c r="BD16" s="250" t="n">
        <v>250.2</v>
      </c>
      <c r="BE16" s="250" t="n">
        <v>246</v>
      </c>
      <c r="BF16" s="250" t="n">
        <v>240.8</v>
      </c>
      <c r="BG16" s="250" t="n">
        <v>250.6</v>
      </c>
      <c r="BH16" s="250" t="n">
        <v>246</v>
      </c>
      <c r="BI16" s="250" t="n">
        <v>246</v>
      </c>
      <c r="BJ16" s="34" t="n"/>
      <c r="BK16" s="34" t="n"/>
      <c r="BL16" s="47" t="n"/>
      <c r="BM16" s="47" t="n"/>
      <c r="BN16" s="47" t="n"/>
      <c r="BO16" s="47" t="n"/>
    </row>
    <row r="17" ht="15.5" customHeight="1" s="213">
      <c r="B17" s="41" t="inlineStr">
        <is>
          <t xml:space="preserve">     Natural gas</t>
        </is>
      </c>
      <c r="C17" s="249">
        <f>BB17/1000</f>
        <v/>
      </c>
      <c r="D17" s="249">
        <f>BC17/1000</f>
        <v/>
      </c>
      <c r="E17" s="249">
        <f>BD17/1000</f>
        <v/>
      </c>
      <c r="F17" s="249">
        <f>BE17/1000</f>
        <v/>
      </c>
      <c r="G17" s="249">
        <f>BF17/1000</f>
        <v/>
      </c>
      <c r="H17" s="249">
        <f>BG17/1000</f>
        <v/>
      </c>
      <c r="I17" s="249">
        <f>BH17/1000</f>
        <v/>
      </c>
      <c r="J17" s="249">
        <f>BI17/1000</f>
        <v/>
      </c>
      <c r="K17" s="34" t="n"/>
      <c r="L17" s="34" t="n"/>
      <c r="M17" s="47" t="n">
        <v>5.937</v>
      </c>
      <c r="N17" s="47" t="n">
        <v>5.845</v>
      </c>
      <c r="O17" s="47" t="n">
        <v>5.575</v>
      </c>
      <c r="P17" s="47" t="n">
        <v>5.276</v>
      </c>
      <c r="Q17" s="47" t="n">
        <v>5.363</v>
      </c>
      <c r="R17" s="47" t="n">
        <v>6.645</v>
      </c>
      <c r="S17" s="47" t="n">
        <v>5.654</v>
      </c>
      <c r="T17" s="47" t="n"/>
      <c r="V17" s="41" t="inlineStr">
        <is>
          <t xml:space="preserve">     Natural gas</t>
        </is>
      </c>
      <c r="W17" s="250">
        <f>D17/M17</f>
        <v/>
      </c>
      <c r="X17" s="250">
        <f>E17/N17</f>
        <v/>
      </c>
      <c r="Y17" s="250">
        <f>F17/O17</f>
        <v/>
      </c>
      <c r="Z17" s="250">
        <f>G17/P17</f>
        <v/>
      </c>
      <c r="AA17" s="250">
        <f>H17/Q17</f>
        <v/>
      </c>
      <c r="AB17" s="251">
        <f>I17/R17</f>
        <v/>
      </c>
      <c r="AC17" s="251">
        <f>J17/S17</f>
        <v/>
      </c>
      <c r="AD17" s="34" t="n"/>
      <c r="AE17" s="34" t="n"/>
      <c r="AF17" s="250">
        <f>W17</f>
        <v/>
      </c>
      <c r="AG17" s="250">
        <f>X17</f>
        <v/>
      </c>
      <c r="AH17" s="250">
        <f>Y17</f>
        <v/>
      </c>
      <c r="AI17" s="250">
        <f>Z17</f>
        <v/>
      </c>
      <c r="AJ17" s="250">
        <f>AA17</f>
        <v/>
      </c>
      <c r="AK17" s="252">
        <f>AB17*1.15</f>
        <v/>
      </c>
      <c r="AL17" s="252">
        <f>AC17*1.15</f>
        <v/>
      </c>
      <c r="AM17" s="34" t="n"/>
      <c r="AN17" s="34" t="n"/>
      <c r="AO17" s="250">
        <f>W17</f>
        <v/>
      </c>
      <c r="AP17" s="250">
        <f>X17</f>
        <v/>
      </c>
      <c r="AQ17" s="250">
        <f>Y17</f>
        <v/>
      </c>
      <c r="AR17" s="250">
        <f>Z17</f>
        <v/>
      </c>
      <c r="AS17" s="250">
        <f>AA17</f>
        <v/>
      </c>
      <c r="AT17" s="252">
        <f>AB17*0.85</f>
        <v/>
      </c>
      <c r="AU17" s="252">
        <f>AC17*0.85</f>
        <v/>
      </c>
      <c r="BA17" s="41" t="inlineStr">
        <is>
          <t xml:space="preserve">     Natural gas</t>
        </is>
      </c>
      <c r="BB17" s="249" t="n">
        <v>413.7</v>
      </c>
      <c r="BC17" s="250" t="n">
        <v>430.4</v>
      </c>
      <c r="BD17" s="250" t="n">
        <v>412.7</v>
      </c>
      <c r="BE17" s="250" t="n">
        <v>408.1</v>
      </c>
      <c r="BF17" s="250" t="n">
        <v>403.7</v>
      </c>
      <c r="BG17" s="250" t="n">
        <v>431.1</v>
      </c>
      <c r="BH17" s="250" t="n">
        <v>408.1</v>
      </c>
      <c r="BI17" s="250" t="n">
        <v>408.1</v>
      </c>
      <c r="BJ17" s="34" t="n"/>
      <c r="BK17" s="34" t="n"/>
      <c r="BL17" s="47" t="n"/>
      <c r="BM17" s="47" t="n"/>
      <c r="BN17" s="47" t="n"/>
      <c r="BO17" s="47" t="n"/>
    </row>
    <row r="18" ht="15.5" customHeight="1" s="213">
      <c r="B18" s="41" t="inlineStr">
        <is>
          <t xml:space="preserve">     Petroleum</t>
        </is>
      </c>
      <c r="C18" s="249">
        <f>BB18/1000</f>
        <v/>
      </c>
      <c r="D18" s="249">
        <f>BC18/1000</f>
        <v/>
      </c>
      <c r="E18" s="249">
        <f>BD18/1000</f>
        <v/>
      </c>
      <c r="F18" s="249">
        <f>BE18/1000</f>
        <v/>
      </c>
      <c r="G18" s="249">
        <f>BF18/1000</f>
        <v/>
      </c>
      <c r="H18" s="249">
        <f>BG18/1000</f>
        <v/>
      </c>
      <c r="I18" s="249">
        <f>BH18/1000</f>
        <v/>
      </c>
      <c r="J18" s="249">
        <f>BI18/1000</f>
        <v/>
      </c>
      <c r="K18" s="34" t="n"/>
      <c r="L18" s="34" t="n"/>
      <c r="M18" s="47" t="n">
        <v>5.937</v>
      </c>
      <c r="N18" s="47" t="n">
        <v>5.845</v>
      </c>
      <c r="O18" s="47" t="n">
        <v>5.575</v>
      </c>
      <c r="P18" s="47" t="n">
        <v>5.276</v>
      </c>
      <c r="Q18" s="47" t="n">
        <v>5.363</v>
      </c>
      <c r="R18" s="47" t="n">
        <v>6.645</v>
      </c>
      <c r="S18" s="47" t="n">
        <v>5.654</v>
      </c>
      <c r="T18" s="47" t="n"/>
      <c r="V18" s="41" t="inlineStr">
        <is>
          <t xml:space="preserve">     Petroleum</t>
        </is>
      </c>
      <c r="W18" s="250">
        <f>D18/M18</f>
        <v/>
      </c>
      <c r="X18" s="250">
        <f>E18/N18</f>
        <v/>
      </c>
      <c r="Y18" s="250">
        <f>F18/O18</f>
        <v/>
      </c>
      <c r="Z18" s="250">
        <f>G18/P18</f>
        <v/>
      </c>
      <c r="AA18" s="250">
        <f>H18/Q18</f>
        <v/>
      </c>
      <c r="AB18" s="251">
        <f>I18/R18</f>
        <v/>
      </c>
      <c r="AC18" s="251">
        <f>J18/S18</f>
        <v/>
      </c>
      <c r="AD18" s="34" t="n"/>
      <c r="AE18" s="34" t="n"/>
      <c r="AF18" s="250">
        <f>W18</f>
        <v/>
      </c>
      <c r="AG18" s="250">
        <f>X18</f>
        <v/>
      </c>
      <c r="AH18" s="250">
        <f>Y18</f>
        <v/>
      </c>
      <c r="AI18" s="250">
        <f>Z18</f>
        <v/>
      </c>
      <c r="AJ18" s="250">
        <f>AA18</f>
        <v/>
      </c>
      <c r="AK18" s="252">
        <f>AB18*1.15</f>
        <v/>
      </c>
      <c r="AL18" s="252">
        <f>AC18*1.15</f>
        <v/>
      </c>
      <c r="AM18" s="34" t="n"/>
      <c r="AN18" s="34" t="n"/>
      <c r="AO18" s="250">
        <f>W18</f>
        <v/>
      </c>
      <c r="AP18" s="250">
        <f>X18</f>
        <v/>
      </c>
      <c r="AQ18" s="250">
        <f>Y18</f>
        <v/>
      </c>
      <c r="AR18" s="250">
        <f>Z18</f>
        <v/>
      </c>
      <c r="AS18" s="250">
        <f>AA18</f>
        <v/>
      </c>
      <c r="AT18" s="252">
        <f>AB18*0.85</f>
        <v/>
      </c>
      <c r="AU18" s="252">
        <f>AC18*0.85</f>
        <v/>
      </c>
      <c r="BA18" s="41" t="inlineStr">
        <is>
          <t xml:space="preserve">     Petroleum</t>
        </is>
      </c>
      <c r="BB18" s="249" t="n">
        <v>85.3</v>
      </c>
      <c r="BC18" s="250" t="n">
        <v>78.09999999999999</v>
      </c>
      <c r="BD18" s="250" t="n">
        <v>75.2</v>
      </c>
      <c r="BE18" s="250" t="n">
        <v>74.3</v>
      </c>
      <c r="BF18" s="250" t="n">
        <v>76.8</v>
      </c>
      <c r="BG18" s="250" t="n">
        <v>79.7</v>
      </c>
      <c r="BH18" s="250" t="n">
        <v>74.3</v>
      </c>
      <c r="BI18" s="250" t="n">
        <v>74.3</v>
      </c>
      <c r="BJ18" s="34" t="n"/>
      <c r="BK18" s="34" t="n"/>
      <c r="BL18" s="47" t="n"/>
      <c r="BM18" s="47" t="n"/>
      <c r="BN18" s="47" t="n"/>
      <c r="BO18" s="47" t="n"/>
    </row>
    <row r="19" ht="15.5" customHeight="1" s="213">
      <c r="A19" s="34" t="n"/>
      <c r="B19" s="34" t="n"/>
      <c r="C19" s="37" t="n"/>
      <c r="D19" s="34" t="n"/>
      <c r="E19" s="34" t="n"/>
      <c r="F19" s="34" t="n"/>
      <c r="G19" s="34" t="n"/>
      <c r="H19" s="34" t="n"/>
      <c r="I19" s="34" t="n"/>
      <c r="J19" s="34" t="n"/>
      <c r="K19" s="34" t="n"/>
      <c r="L19" s="34" t="n"/>
      <c r="M19" s="34" t="n"/>
      <c r="N19" s="34"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Z19" s="34" t="n"/>
      <c r="BA19" s="34" t="n"/>
      <c r="BB19" s="37" t="n"/>
      <c r="BC19" s="34" t="n"/>
      <c r="BD19" s="34" t="n"/>
      <c r="BE19" s="34" t="n"/>
      <c r="BF19" s="34" t="n"/>
      <c r="BG19" s="34" t="n"/>
      <c r="BH19" s="34" t="n"/>
      <c r="BI19" s="34" t="n"/>
      <c r="BJ19" s="34" t="n"/>
      <c r="BK19" s="34" t="n"/>
      <c r="BL19" s="34" t="n"/>
      <c r="BM19" s="34" t="n"/>
      <c r="BN19" s="34" t="n"/>
      <c r="BO19" s="34" t="n"/>
    </row>
    <row r="20" ht="15.5" customHeight="1" s="213">
      <c r="A20" s="34" t="n"/>
      <c r="B20" s="34" t="n"/>
      <c r="C20" s="37" t="n"/>
      <c r="D20" s="34" t="n"/>
      <c r="E20" s="34" t="n"/>
      <c r="F20" s="34" t="n"/>
      <c r="G20" s="34" t="n"/>
      <c r="H20" s="34" t="n"/>
      <c r="I20" s="34" t="n"/>
      <c r="J20" s="34" t="n"/>
      <c r="K20" s="34" t="n"/>
      <c r="L20" s="34" t="n"/>
      <c r="M20" s="34" t="n"/>
      <c r="N20" s="34"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Z20" s="34" t="n"/>
      <c r="BA20" s="34" t="n"/>
      <c r="BB20" s="37" t="n"/>
      <c r="BC20" s="34" t="n"/>
      <c r="BD20" s="34" t="n"/>
      <c r="BE20" s="34" t="n"/>
      <c r="BF20" s="34" t="n"/>
      <c r="BG20" s="34" t="n"/>
      <c r="BH20" s="34" t="n"/>
      <c r="BI20" s="34" t="n"/>
      <c r="BJ20" s="34" t="n"/>
      <c r="BK20" s="34" t="n"/>
      <c r="BL20" s="34" t="n"/>
      <c r="BM20" s="34" t="n"/>
      <c r="BN20" s="34" t="n"/>
      <c r="BO20" s="34" t="n"/>
    </row>
    <row r="21" ht="15.5" customHeight="1" s="213">
      <c r="A21" s="33" t="inlineStr">
        <is>
          <t xml:space="preserve">Hydrometallurgical </t>
        </is>
      </c>
      <c r="K21" s="34" t="n"/>
      <c r="L21" s="34" t="n"/>
      <c r="M21" s="34" t="n"/>
      <c r="N21" s="34"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Z21" s="33" t="inlineStr">
        <is>
          <t xml:space="preserve">Hydrometallurgical </t>
        </is>
      </c>
      <c r="BJ21" s="34" t="n"/>
      <c r="BK21" s="34" t="n"/>
      <c r="BL21" s="34" t="n"/>
      <c r="BM21" s="34" t="n"/>
      <c r="BN21" s="34" t="n"/>
      <c r="BO21" s="34" t="n"/>
    </row>
    <row r="22" ht="15.5" customHeight="1" s="213">
      <c r="A22" s="33" t="inlineStr">
        <is>
          <t>Location</t>
        </is>
      </c>
      <c r="B22" s="33" t="inlineStr">
        <is>
          <t xml:space="preserve">Energy use (MJ/kWh battery produced) </t>
        </is>
      </c>
      <c r="C22" s="33" t="inlineStr">
        <is>
          <t xml:space="preserve">Chemistry </t>
        </is>
      </c>
      <c r="K22" s="34" t="n"/>
      <c r="L22" s="34" t="n"/>
      <c r="M22" s="34" t="n"/>
      <c r="N22" s="34"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Z22" s="33" t="inlineStr">
        <is>
          <t>Location</t>
        </is>
      </c>
      <c r="BA22" s="33" t="inlineStr">
        <is>
          <t xml:space="preserve">Energy use (MJ/kWh battery produced) </t>
        </is>
      </c>
      <c r="BB22" s="33" t="inlineStr">
        <is>
          <t xml:space="preserve">Chemistry </t>
        </is>
      </c>
      <c r="BJ22" s="34" t="n"/>
      <c r="BK22" s="34" t="n"/>
      <c r="BL22" s="34" t="n"/>
      <c r="BM22" s="34" t="n"/>
      <c r="BN22" s="34" t="n"/>
      <c r="BO22" s="34" t="n"/>
    </row>
    <row r="23" ht="30" customHeight="1" s="213">
      <c r="C23" s="37" t="inlineStr">
        <is>
          <t xml:space="preserve">LCO </t>
        </is>
      </c>
      <c r="D23" s="34" t="inlineStr">
        <is>
          <t>NMC111</t>
        </is>
      </c>
      <c r="E23" s="34" t="inlineStr">
        <is>
          <t>NMC532</t>
        </is>
      </c>
      <c r="F23" s="38" t="inlineStr">
        <is>
          <t>NMC622</t>
        </is>
      </c>
      <c r="G23" s="34" t="inlineStr">
        <is>
          <t>NMC811</t>
        </is>
      </c>
      <c r="H23" s="34" t="inlineStr">
        <is>
          <t>NCA</t>
        </is>
      </c>
      <c r="I23" s="34" t="inlineStr">
        <is>
          <t xml:space="preserve">LMO </t>
        </is>
      </c>
      <c r="J23" s="34" t="inlineStr">
        <is>
          <t xml:space="preserve">LFP </t>
        </is>
      </c>
      <c r="K23" s="34" t="n"/>
      <c r="L23" s="34" t="n"/>
      <c r="M23" s="34" t="inlineStr">
        <is>
          <t>NMC111</t>
        </is>
      </c>
      <c r="N23" s="34" t="inlineStr">
        <is>
          <t>NMC532</t>
        </is>
      </c>
      <c r="O23" s="34" t="inlineStr">
        <is>
          <t>NMC622</t>
        </is>
      </c>
      <c r="P23" s="34" t="inlineStr">
        <is>
          <t>NMC811</t>
        </is>
      </c>
      <c r="Q23" s="34" t="inlineStr">
        <is>
          <t>NCA</t>
        </is>
      </c>
      <c r="R23" s="34" t="inlineStr">
        <is>
          <t xml:space="preserve">LMO </t>
        </is>
      </c>
      <c r="S23" s="34" t="inlineStr">
        <is>
          <t xml:space="preserve">LFP </t>
        </is>
      </c>
      <c r="T23" s="34" t="n"/>
      <c r="U23" s="34" t="n"/>
      <c r="V23" s="36" t="inlineStr">
        <is>
          <t>PJ/ktonne</t>
        </is>
      </c>
      <c r="W23" s="34" t="inlineStr">
        <is>
          <t>NMC111</t>
        </is>
      </c>
      <c r="X23" s="34" t="inlineStr">
        <is>
          <t>NMC532</t>
        </is>
      </c>
      <c r="Y23" s="38" t="inlineStr">
        <is>
          <t>NMC622</t>
        </is>
      </c>
      <c r="Z23" s="34" t="inlineStr">
        <is>
          <t>NMC811</t>
        </is>
      </c>
      <c r="AA23" s="34" t="inlineStr">
        <is>
          <t>NCA</t>
        </is>
      </c>
      <c r="AB23" s="40" t="inlineStr">
        <is>
          <t xml:space="preserve">LMO </t>
        </is>
      </c>
      <c r="AC23" s="40" t="inlineStr">
        <is>
          <t xml:space="preserve">LFP </t>
        </is>
      </c>
      <c r="AD23" s="34" t="n"/>
      <c r="AE23" s="34" t="n"/>
      <c r="AF23" s="34" t="inlineStr">
        <is>
          <t>NMC111</t>
        </is>
      </c>
      <c r="AG23" s="34" t="inlineStr">
        <is>
          <t>NMC532</t>
        </is>
      </c>
      <c r="AH23" s="38" t="inlineStr">
        <is>
          <t>NMC622</t>
        </is>
      </c>
      <c r="AI23" s="34" t="inlineStr">
        <is>
          <t>NMC811</t>
        </is>
      </c>
      <c r="AJ23" s="34" t="inlineStr">
        <is>
          <t>NCA</t>
        </is>
      </c>
      <c r="AK23" s="40" t="inlineStr">
        <is>
          <t xml:space="preserve">LMO </t>
        </is>
      </c>
      <c r="AL23" s="40" t="inlineStr">
        <is>
          <t xml:space="preserve">LFP </t>
        </is>
      </c>
      <c r="AM23" s="34" t="n"/>
      <c r="AN23" s="34" t="n"/>
      <c r="AO23" s="34" t="inlineStr">
        <is>
          <t>NMC111</t>
        </is>
      </c>
      <c r="AP23" s="34" t="inlineStr">
        <is>
          <t>NMC532</t>
        </is>
      </c>
      <c r="AQ23" s="38" t="inlineStr">
        <is>
          <t>NMC622</t>
        </is>
      </c>
      <c r="AR23" s="34" t="inlineStr">
        <is>
          <t>NMC811</t>
        </is>
      </c>
      <c r="AS23" s="34" t="inlineStr">
        <is>
          <t>NCA</t>
        </is>
      </c>
      <c r="AT23" s="40" t="inlineStr">
        <is>
          <t xml:space="preserve">LMO </t>
        </is>
      </c>
      <c r="AU23" s="40" t="inlineStr">
        <is>
          <t xml:space="preserve">LFP </t>
        </is>
      </c>
      <c r="BB23" s="37" t="inlineStr">
        <is>
          <t xml:space="preserve">LCO </t>
        </is>
      </c>
      <c r="BC23" s="34" t="inlineStr">
        <is>
          <t>NMC111</t>
        </is>
      </c>
      <c r="BD23" s="34" t="inlineStr">
        <is>
          <t>NMC532</t>
        </is>
      </c>
      <c r="BE23" s="38" t="inlineStr">
        <is>
          <t>NMC622</t>
        </is>
      </c>
      <c r="BF23" s="34" t="inlineStr">
        <is>
          <t>NMC811</t>
        </is>
      </c>
      <c r="BG23" s="34" t="inlineStr">
        <is>
          <t>NCA</t>
        </is>
      </c>
      <c r="BH23" s="34" t="inlineStr">
        <is>
          <t xml:space="preserve">LMO </t>
        </is>
      </c>
      <c r="BI23" s="34" t="inlineStr">
        <is>
          <t xml:space="preserve">LFP </t>
        </is>
      </c>
      <c r="BJ23" s="34" t="n"/>
      <c r="BK23" s="34" t="n"/>
      <c r="BL23" s="34" t="n"/>
      <c r="BM23" s="34" t="n"/>
      <c r="BN23" s="34" t="n"/>
      <c r="BO23" s="34" t="n"/>
    </row>
    <row r="24" ht="15.5" customHeight="1" s="213">
      <c r="A24" s="33" t="inlineStr">
        <is>
          <t>US</t>
        </is>
      </c>
      <c r="B24" s="41" t="inlineStr">
        <is>
          <t xml:space="preserve">     Total Energy</t>
        </is>
      </c>
      <c r="C24" s="249">
        <f>BB24/1000</f>
        <v/>
      </c>
      <c r="D24" s="249">
        <f>BC24/1000</f>
        <v/>
      </c>
      <c r="E24" s="249">
        <f>BD24/1000</f>
        <v/>
      </c>
      <c r="F24" s="249">
        <f>BE24/1000</f>
        <v/>
      </c>
      <c r="G24" s="249">
        <f>BF24/1000</f>
        <v/>
      </c>
      <c r="H24" s="249">
        <f>BG24/1000</f>
        <v/>
      </c>
      <c r="I24" s="249">
        <f>BH24/1000</f>
        <v/>
      </c>
      <c r="J24" s="249">
        <f>BI24/1000</f>
        <v/>
      </c>
      <c r="K24" s="34" t="n"/>
      <c r="L24" s="34" t="n"/>
      <c r="M24" s="43" t="n">
        <v>5.937</v>
      </c>
      <c r="N24" s="43" t="n">
        <v>5.845</v>
      </c>
      <c r="O24" s="43" t="n">
        <v>5.575</v>
      </c>
      <c r="P24" s="43" t="n">
        <v>5.276</v>
      </c>
      <c r="Q24" s="43" t="n">
        <v>5.363</v>
      </c>
      <c r="R24" s="43" t="n">
        <v>6.645</v>
      </c>
      <c r="S24" s="43" t="n">
        <v>5.654</v>
      </c>
      <c r="T24" s="43" t="n"/>
      <c r="U24" s="33" t="inlineStr">
        <is>
          <t>US</t>
        </is>
      </c>
      <c r="V24" s="41" t="inlineStr">
        <is>
          <t xml:space="preserve">     Total Energy</t>
        </is>
      </c>
      <c r="W24" s="250">
        <f>D24/M24</f>
        <v/>
      </c>
      <c r="X24" s="250">
        <f>E24/N24</f>
        <v/>
      </c>
      <c r="Y24" s="250">
        <f>F24/O24</f>
        <v/>
      </c>
      <c r="Z24" s="250">
        <f>G24/P24</f>
        <v/>
      </c>
      <c r="AA24" s="250">
        <f>H24/Q24</f>
        <v/>
      </c>
      <c r="AB24" s="251">
        <f>I24/R24</f>
        <v/>
      </c>
      <c r="AC24" s="251">
        <f>J24/S24</f>
        <v/>
      </c>
      <c r="AD24" s="34" t="n"/>
      <c r="AE24" s="34" t="n"/>
      <c r="AF24" s="250">
        <f>W24</f>
        <v/>
      </c>
      <c r="AG24" s="250">
        <f>X24</f>
        <v/>
      </c>
      <c r="AH24" s="250">
        <f>Y24</f>
        <v/>
      </c>
      <c r="AI24" s="250">
        <f>Z24</f>
        <v/>
      </c>
      <c r="AJ24" s="250">
        <f>AA24</f>
        <v/>
      </c>
      <c r="AK24" s="252">
        <f>AB24*1.15</f>
        <v/>
      </c>
      <c r="AL24" s="252">
        <f>AC24*1.15</f>
        <v/>
      </c>
      <c r="AM24" s="34" t="n"/>
      <c r="AN24" s="34" t="n"/>
      <c r="AO24" s="250">
        <f>W24</f>
        <v/>
      </c>
      <c r="AP24" s="250">
        <f>X24</f>
        <v/>
      </c>
      <c r="AQ24" s="250">
        <f>Y24</f>
        <v/>
      </c>
      <c r="AR24" s="250">
        <f>Z24</f>
        <v/>
      </c>
      <c r="AS24" s="250">
        <f>AA24</f>
        <v/>
      </c>
      <c r="AT24" s="252">
        <f>AB24*0.85</f>
        <v/>
      </c>
      <c r="AU24" s="252">
        <f>AC24*0.85</f>
        <v/>
      </c>
      <c r="AZ24" s="33" t="inlineStr">
        <is>
          <t>US</t>
        </is>
      </c>
      <c r="BA24" s="41" t="inlineStr">
        <is>
          <t xml:space="preserve">     Total Energy</t>
        </is>
      </c>
      <c r="BB24" s="249" t="n">
        <v>889.8</v>
      </c>
      <c r="BC24" s="250" t="n">
        <v>843.2</v>
      </c>
      <c r="BD24" s="250" t="n">
        <v>803.8</v>
      </c>
      <c r="BE24" s="250" t="n">
        <v>794.6</v>
      </c>
      <c r="BF24" s="250" t="n">
        <v>766.5</v>
      </c>
      <c r="BG24" s="250" t="n">
        <v>806.6</v>
      </c>
      <c r="BH24" s="250" t="n">
        <v>794.6</v>
      </c>
      <c r="BI24" s="250" t="n">
        <v>794.6</v>
      </c>
      <c r="BJ24" s="34" t="n"/>
      <c r="BK24" s="34" t="n"/>
      <c r="BL24" s="43" t="n"/>
      <c r="BM24" s="43" t="n"/>
      <c r="BN24" s="43" t="n"/>
      <c r="BO24" s="43" t="n"/>
    </row>
    <row r="25" ht="15.5" customHeight="1" s="213">
      <c r="B25" s="41" t="inlineStr">
        <is>
          <t xml:space="preserve">     Fossil fuels</t>
        </is>
      </c>
      <c r="C25" s="249">
        <f>BB25/1000</f>
        <v/>
      </c>
      <c r="D25" s="249">
        <f>BC25/1000</f>
        <v/>
      </c>
      <c r="E25" s="249">
        <f>BD25/1000</f>
        <v/>
      </c>
      <c r="F25" s="249">
        <f>BE25/1000</f>
        <v/>
      </c>
      <c r="G25" s="249">
        <f>BF25/1000</f>
        <v/>
      </c>
      <c r="H25" s="249">
        <f>BG25/1000</f>
        <v/>
      </c>
      <c r="I25" s="249">
        <f>BH25/1000</f>
        <v/>
      </c>
      <c r="J25" s="249">
        <f>BI25/1000</f>
        <v/>
      </c>
      <c r="K25" s="34" t="n"/>
      <c r="L25" s="34" t="n"/>
      <c r="M25" s="47" t="n">
        <v>5.937</v>
      </c>
      <c r="N25" s="47" t="n">
        <v>5.845</v>
      </c>
      <c r="O25" s="47" t="n">
        <v>5.575</v>
      </c>
      <c r="P25" s="47" t="n">
        <v>5.276</v>
      </c>
      <c r="Q25" s="47" t="n">
        <v>5.363</v>
      </c>
      <c r="R25" s="47" t="n">
        <v>6.645</v>
      </c>
      <c r="S25" s="47" t="n">
        <v>5.654</v>
      </c>
      <c r="T25" s="47" t="n"/>
      <c r="V25" s="41" t="inlineStr">
        <is>
          <t xml:space="preserve">     Fossil fuels</t>
        </is>
      </c>
      <c r="W25" s="250">
        <f>D25/M25</f>
        <v/>
      </c>
      <c r="X25" s="250">
        <f>E25/N25</f>
        <v/>
      </c>
      <c r="Y25" s="250">
        <f>F25/O25</f>
        <v/>
      </c>
      <c r="Z25" s="250">
        <f>G25/P25</f>
        <v/>
      </c>
      <c r="AA25" s="250">
        <f>H25/Q25</f>
        <v/>
      </c>
      <c r="AB25" s="251">
        <f>I25/R25</f>
        <v/>
      </c>
      <c r="AC25" s="251">
        <f>J25/S25</f>
        <v/>
      </c>
      <c r="AD25" s="34" t="n"/>
      <c r="AE25" s="34" t="n"/>
      <c r="AF25" s="250">
        <f>W25</f>
        <v/>
      </c>
      <c r="AG25" s="250">
        <f>X25</f>
        <v/>
      </c>
      <c r="AH25" s="250">
        <f>Y25</f>
        <v/>
      </c>
      <c r="AI25" s="250">
        <f>Z25</f>
        <v/>
      </c>
      <c r="AJ25" s="250">
        <f>AA25</f>
        <v/>
      </c>
      <c r="AK25" s="252">
        <f>AB25*1.15</f>
        <v/>
      </c>
      <c r="AL25" s="252">
        <f>AC25*1.15</f>
        <v/>
      </c>
      <c r="AM25" s="34" t="n"/>
      <c r="AN25" s="34" t="n"/>
      <c r="AO25" s="250">
        <f>W25</f>
        <v/>
      </c>
      <c r="AP25" s="250">
        <f>X25</f>
        <v/>
      </c>
      <c r="AQ25" s="250">
        <f>Y25</f>
        <v/>
      </c>
      <c r="AR25" s="250">
        <f>Z25</f>
        <v/>
      </c>
      <c r="AS25" s="250">
        <f>AA25</f>
        <v/>
      </c>
      <c r="AT25" s="252">
        <f>AB25*0.85</f>
        <v/>
      </c>
      <c r="AU25" s="252">
        <f>AC25*0.85</f>
        <v/>
      </c>
      <c r="BA25" s="41" t="inlineStr">
        <is>
          <t xml:space="preserve">     Fossil fuels</t>
        </is>
      </c>
      <c r="BB25" s="249" t="n">
        <v>812.4</v>
      </c>
      <c r="BC25" s="250" t="n">
        <v>774.6</v>
      </c>
      <c r="BD25" s="250" t="n">
        <v>739</v>
      </c>
      <c r="BE25" s="250" t="n">
        <v>730.7</v>
      </c>
      <c r="BF25" s="250" t="n">
        <v>704.5</v>
      </c>
      <c r="BG25" s="250" t="n">
        <v>742.4</v>
      </c>
      <c r="BH25" s="250" t="n">
        <v>730.7</v>
      </c>
      <c r="BI25" s="250" t="n">
        <v>730.7</v>
      </c>
      <c r="BJ25" s="34" t="n"/>
      <c r="BK25" s="34" t="n"/>
      <c r="BL25" s="47" t="n"/>
      <c r="BM25" s="47" t="n"/>
      <c r="BN25" s="47" t="n"/>
      <c r="BO25" s="47" t="n"/>
    </row>
    <row r="26" ht="15.5" customHeight="1" s="213">
      <c r="B26" s="41" t="inlineStr">
        <is>
          <t xml:space="preserve">     Coal</t>
        </is>
      </c>
      <c r="C26" s="249">
        <f>BB26/1000</f>
        <v/>
      </c>
      <c r="D26" s="249">
        <f>BC26/1000</f>
        <v/>
      </c>
      <c r="E26" s="249">
        <f>BD26/1000</f>
        <v/>
      </c>
      <c r="F26" s="249">
        <f>BE26/1000</f>
        <v/>
      </c>
      <c r="G26" s="249">
        <f>BF26/1000</f>
        <v/>
      </c>
      <c r="H26" s="249">
        <f>BG26/1000</f>
        <v/>
      </c>
      <c r="I26" s="249">
        <f>BH26/1000</f>
        <v/>
      </c>
      <c r="J26" s="249">
        <f>BI26/1000</f>
        <v/>
      </c>
      <c r="K26" s="34" t="n"/>
      <c r="L26" s="34" t="n"/>
      <c r="M26" s="47" t="n">
        <v>5.937</v>
      </c>
      <c r="N26" s="47" t="n">
        <v>5.845</v>
      </c>
      <c r="O26" s="47" t="n">
        <v>5.575</v>
      </c>
      <c r="P26" s="47" t="n">
        <v>5.276</v>
      </c>
      <c r="Q26" s="47" t="n">
        <v>5.363</v>
      </c>
      <c r="R26" s="47" t="n">
        <v>6.645</v>
      </c>
      <c r="S26" s="47" t="n">
        <v>5.654</v>
      </c>
      <c r="T26" s="47" t="n"/>
      <c r="V26" s="41" t="inlineStr">
        <is>
          <t xml:space="preserve">     Coal</t>
        </is>
      </c>
      <c r="W26" s="250">
        <f>D26/M26</f>
        <v/>
      </c>
      <c r="X26" s="250">
        <f>E26/N26</f>
        <v/>
      </c>
      <c r="Y26" s="250">
        <f>F26/O26</f>
        <v/>
      </c>
      <c r="Z26" s="250">
        <f>G26/P26</f>
        <v/>
      </c>
      <c r="AA26" s="250">
        <f>H26/Q26</f>
        <v/>
      </c>
      <c r="AB26" s="251">
        <f>I26/R26</f>
        <v/>
      </c>
      <c r="AC26" s="251">
        <f>J26/S26</f>
        <v/>
      </c>
      <c r="AD26" s="34" t="n"/>
      <c r="AE26" s="34" t="n"/>
      <c r="AF26" s="250">
        <f>W26</f>
        <v/>
      </c>
      <c r="AG26" s="250">
        <f>X26</f>
        <v/>
      </c>
      <c r="AH26" s="250">
        <f>Y26</f>
        <v/>
      </c>
      <c r="AI26" s="250">
        <f>Z26</f>
        <v/>
      </c>
      <c r="AJ26" s="250">
        <f>AA26</f>
        <v/>
      </c>
      <c r="AK26" s="252">
        <f>AB26*1.15</f>
        <v/>
      </c>
      <c r="AL26" s="252">
        <f>AC26*1.15</f>
        <v/>
      </c>
      <c r="AM26" s="34" t="n"/>
      <c r="AN26" s="34" t="n"/>
      <c r="AO26" s="250">
        <f>W26</f>
        <v/>
      </c>
      <c r="AP26" s="250">
        <f>X26</f>
        <v/>
      </c>
      <c r="AQ26" s="250">
        <f>Y26</f>
        <v/>
      </c>
      <c r="AR26" s="250">
        <f>Z26</f>
        <v/>
      </c>
      <c r="AS26" s="250">
        <f>AA26</f>
        <v/>
      </c>
      <c r="AT26" s="252">
        <f>AB26*0.85</f>
        <v/>
      </c>
      <c r="AU26" s="252">
        <f>AC26*0.85</f>
        <v/>
      </c>
      <c r="BA26" s="41" t="inlineStr">
        <is>
          <t xml:space="preserve">     Coal</t>
        </is>
      </c>
      <c r="BB26" s="249" t="n">
        <v>169.9</v>
      </c>
      <c r="BC26" s="250" t="n">
        <v>149.7</v>
      </c>
      <c r="BD26" s="250" t="n">
        <v>141.8</v>
      </c>
      <c r="BE26" s="250" t="n">
        <v>139.9</v>
      </c>
      <c r="BF26" s="250" t="n">
        <v>135.9</v>
      </c>
      <c r="BG26" s="250" t="n">
        <v>140.8</v>
      </c>
      <c r="BH26" s="250" t="n">
        <v>139.9</v>
      </c>
      <c r="BI26" s="250" t="n">
        <v>139.9</v>
      </c>
      <c r="BJ26" s="34" t="n"/>
      <c r="BK26" s="34" t="n"/>
      <c r="BL26" s="47" t="n"/>
      <c r="BM26" s="47" t="n"/>
      <c r="BN26" s="47" t="n"/>
      <c r="BO26" s="47" t="n"/>
    </row>
    <row r="27" ht="15.5" customHeight="1" s="213">
      <c r="B27" s="41" t="inlineStr">
        <is>
          <t xml:space="preserve">     Natural gas</t>
        </is>
      </c>
      <c r="C27" s="249">
        <f>BB27/1000</f>
        <v/>
      </c>
      <c r="D27" s="249">
        <f>BC27/1000</f>
        <v/>
      </c>
      <c r="E27" s="249">
        <f>BD27/1000</f>
        <v/>
      </c>
      <c r="F27" s="249">
        <f>BE27/1000</f>
        <v/>
      </c>
      <c r="G27" s="249">
        <f>BF27/1000</f>
        <v/>
      </c>
      <c r="H27" s="249">
        <f>BG27/1000</f>
        <v/>
      </c>
      <c r="I27" s="249">
        <f>BH27/1000</f>
        <v/>
      </c>
      <c r="J27" s="249">
        <f>BI27/1000</f>
        <v/>
      </c>
      <c r="K27" s="34" t="n"/>
      <c r="L27" s="34" t="n"/>
      <c r="M27" s="47" t="n">
        <v>5.937</v>
      </c>
      <c r="N27" s="47" t="n">
        <v>5.845</v>
      </c>
      <c r="O27" s="47" t="n">
        <v>5.575</v>
      </c>
      <c r="P27" s="47" t="n">
        <v>5.276</v>
      </c>
      <c r="Q27" s="47" t="n">
        <v>5.363</v>
      </c>
      <c r="R27" s="47" t="n">
        <v>6.645</v>
      </c>
      <c r="S27" s="47" t="n">
        <v>5.654</v>
      </c>
      <c r="T27" s="47" t="n"/>
      <c r="V27" s="41" t="inlineStr">
        <is>
          <t xml:space="preserve">     Natural gas</t>
        </is>
      </c>
      <c r="W27" s="250">
        <f>D27/M27</f>
        <v/>
      </c>
      <c r="X27" s="250">
        <f>E27/N27</f>
        <v/>
      </c>
      <c r="Y27" s="250">
        <f>F27/O27</f>
        <v/>
      </c>
      <c r="Z27" s="250">
        <f>G27/P27</f>
        <v/>
      </c>
      <c r="AA27" s="250">
        <f>H27/Q27</f>
        <v/>
      </c>
      <c r="AB27" s="251">
        <f>I27/R27</f>
        <v/>
      </c>
      <c r="AC27" s="251">
        <f>J27/S27</f>
        <v/>
      </c>
      <c r="AD27" s="34" t="n"/>
      <c r="AE27" s="34" t="n"/>
      <c r="AF27" s="250">
        <f>W27</f>
        <v/>
      </c>
      <c r="AG27" s="250">
        <f>X27</f>
        <v/>
      </c>
      <c r="AH27" s="250">
        <f>Y27</f>
        <v/>
      </c>
      <c r="AI27" s="250">
        <f>Z27</f>
        <v/>
      </c>
      <c r="AJ27" s="250">
        <f>AA27</f>
        <v/>
      </c>
      <c r="AK27" s="252">
        <f>AB27*1.15</f>
        <v/>
      </c>
      <c r="AL27" s="252">
        <f>AC27*1.15</f>
        <v/>
      </c>
      <c r="AM27" s="34" t="n"/>
      <c r="AN27" s="34" t="n"/>
      <c r="AO27" s="250">
        <f>W27</f>
        <v/>
      </c>
      <c r="AP27" s="250">
        <f>X27</f>
        <v/>
      </c>
      <c r="AQ27" s="250">
        <f>Y27</f>
        <v/>
      </c>
      <c r="AR27" s="250">
        <f>Z27</f>
        <v/>
      </c>
      <c r="AS27" s="250">
        <f>AA27</f>
        <v/>
      </c>
      <c r="AT27" s="252">
        <f>AB27*0.85</f>
        <v/>
      </c>
      <c r="AU27" s="252">
        <f>AC27*0.85</f>
        <v/>
      </c>
      <c r="BA27" s="41" t="inlineStr">
        <is>
          <t xml:space="preserve">     Natural gas</t>
        </is>
      </c>
      <c r="BB27" s="249" t="n">
        <v>597.8</v>
      </c>
      <c r="BC27" s="250" t="n">
        <v>580.7</v>
      </c>
      <c r="BD27" s="250" t="n">
        <v>554</v>
      </c>
      <c r="BE27" s="250" t="n">
        <v>547.8</v>
      </c>
      <c r="BF27" s="250" t="n">
        <v>526</v>
      </c>
      <c r="BG27" s="250" t="n">
        <v>557.5</v>
      </c>
      <c r="BH27" s="250" t="n">
        <v>547.8</v>
      </c>
      <c r="BI27" s="250" t="n">
        <v>547.8</v>
      </c>
      <c r="BJ27" s="34" t="n"/>
      <c r="BK27" s="34" t="n"/>
      <c r="BL27" s="47" t="n"/>
      <c r="BM27" s="47" t="n"/>
      <c r="BN27" s="47" t="n"/>
      <c r="BO27" s="47" t="n"/>
    </row>
    <row r="28" ht="15.5" customHeight="1" s="213">
      <c r="B28" s="41" t="inlineStr">
        <is>
          <t xml:space="preserve">     Petroleum</t>
        </is>
      </c>
      <c r="C28" s="249">
        <f>BB28/1000</f>
        <v/>
      </c>
      <c r="D28" s="249">
        <f>BC28/1000</f>
        <v/>
      </c>
      <c r="E28" s="249">
        <f>BD28/1000</f>
        <v/>
      </c>
      <c r="F28" s="249">
        <f>BE28/1000</f>
        <v/>
      </c>
      <c r="G28" s="249">
        <f>BF28/1000</f>
        <v/>
      </c>
      <c r="H28" s="249">
        <f>BG28/1000</f>
        <v/>
      </c>
      <c r="I28" s="249">
        <f>BH28/1000</f>
        <v/>
      </c>
      <c r="J28" s="249">
        <f>BI28/1000</f>
        <v/>
      </c>
      <c r="K28" s="34" t="n"/>
      <c r="L28" s="34" t="n"/>
      <c r="M28" s="47" t="n">
        <v>5.937</v>
      </c>
      <c r="N28" s="47" t="n">
        <v>5.845</v>
      </c>
      <c r="O28" s="47" t="n">
        <v>5.575</v>
      </c>
      <c r="P28" s="47" t="n">
        <v>5.276</v>
      </c>
      <c r="Q28" s="47" t="n">
        <v>5.363</v>
      </c>
      <c r="R28" s="47" t="n">
        <v>6.645</v>
      </c>
      <c r="S28" s="47" t="n">
        <v>5.654</v>
      </c>
      <c r="T28" s="47" t="n"/>
      <c r="V28" s="41" t="inlineStr">
        <is>
          <t xml:space="preserve">     Petroleum</t>
        </is>
      </c>
      <c r="W28" s="250">
        <f>D28/M28</f>
        <v/>
      </c>
      <c r="X28" s="250">
        <f>E28/N28</f>
        <v/>
      </c>
      <c r="Y28" s="250">
        <f>F28/O28</f>
        <v/>
      </c>
      <c r="Z28" s="250">
        <f>G28/P28</f>
        <v/>
      </c>
      <c r="AA28" s="250">
        <f>H28/Q28</f>
        <v/>
      </c>
      <c r="AB28" s="251">
        <f>I28/R28</f>
        <v/>
      </c>
      <c r="AC28" s="251">
        <f>J28/S28</f>
        <v/>
      </c>
      <c r="AD28" s="34" t="n"/>
      <c r="AE28" s="34" t="n"/>
      <c r="AF28" s="250">
        <f>W28</f>
        <v/>
      </c>
      <c r="AG28" s="250">
        <f>X28</f>
        <v/>
      </c>
      <c r="AH28" s="250">
        <f>Y28</f>
        <v/>
      </c>
      <c r="AI28" s="250">
        <f>Z28</f>
        <v/>
      </c>
      <c r="AJ28" s="250">
        <f>AA28</f>
        <v/>
      </c>
      <c r="AK28" s="252">
        <f>AB28*1.15</f>
        <v/>
      </c>
      <c r="AL28" s="252">
        <f>AC28*1.15</f>
        <v/>
      </c>
      <c r="AM28" s="34" t="n"/>
      <c r="AN28" s="34" t="n"/>
      <c r="AO28" s="250">
        <f>W28</f>
        <v/>
      </c>
      <c r="AP28" s="250">
        <f>X28</f>
        <v/>
      </c>
      <c r="AQ28" s="250">
        <f>Y28</f>
        <v/>
      </c>
      <c r="AR28" s="250">
        <f>Z28</f>
        <v/>
      </c>
      <c r="AS28" s="250">
        <f>AA28</f>
        <v/>
      </c>
      <c r="AT28" s="252">
        <f>AB28*0.85</f>
        <v/>
      </c>
      <c r="AU28" s="252">
        <f>AC28*0.85</f>
        <v/>
      </c>
      <c r="BA28" s="41" t="inlineStr">
        <is>
          <t xml:space="preserve">     Petroleum</t>
        </is>
      </c>
      <c r="BB28" s="249" t="n">
        <v>85</v>
      </c>
      <c r="BC28" s="250" t="n">
        <v>78.59999999999999</v>
      </c>
      <c r="BD28" s="250" t="n">
        <v>76.3</v>
      </c>
      <c r="BE28" s="250" t="n">
        <v>75.90000000000001</v>
      </c>
      <c r="BF28" s="250" t="n">
        <v>73.7</v>
      </c>
      <c r="BG28" s="250" t="n">
        <v>76</v>
      </c>
      <c r="BH28" s="250" t="n">
        <v>75.90000000000001</v>
      </c>
      <c r="BI28" s="250" t="n">
        <v>75.90000000000001</v>
      </c>
      <c r="BJ28" s="34" t="n"/>
      <c r="BK28" s="34" t="n"/>
      <c r="BL28" s="47" t="n"/>
      <c r="BM28" s="47" t="n"/>
      <c r="BN28" s="47" t="n"/>
      <c r="BO28" s="47" t="n"/>
    </row>
    <row r="29" ht="15.5" customHeight="1" s="213">
      <c r="A29" s="33" t="inlineStr">
        <is>
          <t>Korea</t>
        </is>
      </c>
      <c r="B29" s="41" t="inlineStr">
        <is>
          <t xml:space="preserve">     Total Energy</t>
        </is>
      </c>
      <c r="C29" s="249">
        <f>BB29/1000</f>
        <v/>
      </c>
      <c r="D29" s="249">
        <f>BC29/1000</f>
        <v/>
      </c>
      <c r="E29" s="249">
        <f>BD29/1000</f>
        <v/>
      </c>
      <c r="F29" s="249">
        <f>BE29/1000</f>
        <v/>
      </c>
      <c r="G29" s="249">
        <f>BF29/1000</f>
        <v/>
      </c>
      <c r="H29" s="249">
        <f>BG29/1000</f>
        <v/>
      </c>
      <c r="I29" s="249">
        <f>BH29/1000</f>
        <v/>
      </c>
      <c r="J29" s="249">
        <f>BI29/1000</f>
        <v/>
      </c>
      <c r="K29" s="34" t="n"/>
      <c r="L29" s="34" t="n"/>
      <c r="M29" s="47" t="n">
        <v>5.937</v>
      </c>
      <c r="N29" s="47" t="n">
        <v>5.845</v>
      </c>
      <c r="O29" s="47" t="n">
        <v>5.575</v>
      </c>
      <c r="P29" s="47" t="n">
        <v>5.276</v>
      </c>
      <c r="Q29" s="47" t="n">
        <v>5.363</v>
      </c>
      <c r="R29" s="47" t="n">
        <v>6.645</v>
      </c>
      <c r="S29" s="47" t="n">
        <v>5.654</v>
      </c>
      <c r="T29" s="47" t="n"/>
      <c r="U29" s="33" t="inlineStr">
        <is>
          <t>Korea</t>
        </is>
      </c>
      <c r="V29" s="41" t="inlineStr">
        <is>
          <t xml:space="preserve">     Total Energy</t>
        </is>
      </c>
      <c r="W29" s="250">
        <f>D29/M29</f>
        <v/>
      </c>
      <c r="X29" s="250">
        <f>E29/N29</f>
        <v/>
      </c>
      <c r="Y29" s="250">
        <f>F29/O29</f>
        <v/>
      </c>
      <c r="Z29" s="250">
        <f>G29/P29</f>
        <v/>
      </c>
      <c r="AA29" s="250">
        <f>H29/Q29</f>
        <v/>
      </c>
      <c r="AB29" s="251">
        <f>I29/R29</f>
        <v/>
      </c>
      <c r="AC29" s="251">
        <f>J29/S29</f>
        <v/>
      </c>
      <c r="AD29" s="34" t="n"/>
      <c r="AE29" s="34" t="n"/>
      <c r="AF29" s="250">
        <f>W29</f>
        <v/>
      </c>
      <c r="AG29" s="250">
        <f>X29</f>
        <v/>
      </c>
      <c r="AH29" s="250">
        <f>Y29</f>
        <v/>
      </c>
      <c r="AI29" s="250">
        <f>Z29</f>
        <v/>
      </c>
      <c r="AJ29" s="250">
        <f>AA29</f>
        <v/>
      </c>
      <c r="AK29" s="252">
        <f>AB29*1.15</f>
        <v/>
      </c>
      <c r="AL29" s="252">
        <f>AC29*1.15</f>
        <v/>
      </c>
      <c r="AM29" s="34" t="n"/>
      <c r="AN29" s="34" t="n"/>
      <c r="AO29" s="250">
        <f>W29</f>
        <v/>
      </c>
      <c r="AP29" s="250">
        <f>X29</f>
        <v/>
      </c>
      <c r="AQ29" s="250">
        <f>Y29</f>
        <v/>
      </c>
      <c r="AR29" s="250">
        <f>Z29</f>
        <v/>
      </c>
      <c r="AS29" s="250">
        <f>AA29</f>
        <v/>
      </c>
      <c r="AT29" s="252">
        <f>AB29*0.85</f>
        <v/>
      </c>
      <c r="AU29" s="252">
        <f>AC29*0.85</f>
        <v/>
      </c>
      <c r="AZ29" s="33" t="inlineStr">
        <is>
          <t>Korea</t>
        </is>
      </c>
      <c r="BA29" s="41" t="inlineStr">
        <is>
          <t xml:space="preserve">     Total Energy</t>
        </is>
      </c>
      <c r="BB29" s="249" t="n">
        <v>906.8</v>
      </c>
      <c r="BC29" s="250" t="n">
        <v>858.6</v>
      </c>
      <c r="BD29" s="250" t="n">
        <v>818.4</v>
      </c>
      <c r="BE29" s="250" t="n">
        <v>809.1</v>
      </c>
      <c r="BF29" s="250" t="n">
        <v>781.1</v>
      </c>
      <c r="BG29" s="250" t="n">
        <v>821.7</v>
      </c>
      <c r="BH29" s="250" t="n">
        <v>809.1</v>
      </c>
      <c r="BI29" s="250" t="n">
        <v>809.1</v>
      </c>
      <c r="BJ29" s="34" t="n"/>
      <c r="BK29" s="34" t="n"/>
      <c r="BL29" s="47" t="n"/>
      <c r="BM29" s="47" t="n"/>
      <c r="BN29" s="47" t="n"/>
      <c r="BO29" s="47" t="n"/>
    </row>
    <row r="30" ht="15.5" customHeight="1" s="213">
      <c r="B30" s="41" t="inlineStr">
        <is>
          <t xml:space="preserve">     Fossil fuels</t>
        </is>
      </c>
      <c r="C30" s="249">
        <f>BB30/1000</f>
        <v/>
      </c>
      <c r="D30" s="249">
        <f>BC30/1000</f>
        <v/>
      </c>
      <c r="E30" s="249">
        <f>BD30/1000</f>
        <v/>
      </c>
      <c r="F30" s="249">
        <f>BE30/1000</f>
        <v/>
      </c>
      <c r="G30" s="249">
        <f>BF30/1000</f>
        <v/>
      </c>
      <c r="H30" s="249">
        <f>BG30/1000</f>
        <v/>
      </c>
      <c r="I30" s="249">
        <f>BH30/1000</f>
        <v/>
      </c>
      <c r="J30" s="249">
        <f>BI30/1000</f>
        <v/>
      </c>
      <c r="K30" s="34" t="n"/>
      <c r="L30" s="34" t="n"/>
      <c r="M30" s="47" t="n">
        <v>5.937</v>
      </c>
      <c r="N30" s="47" t="n">
        <v>5.845</v>
      </c>
      <c r="O30" s="47" t="n">
        <v>5.575</v>
      </c>
      <c r="P30" s="47" t="n">
        <v>5.276</v>
      </c>
      <c r="Q30" s="47" t="n">
        <v>5.363</v>
      </c>
      <c r="R30" s="47" t="n">
        <v>6.645</v>
      </c>
      <c r="S30" s="47" t="n">
        <v>5.654</v>
      </c>
      <c r="T30" s="47" t="n"/>
      <c r="V30" s="41" t="inlineStr">
        <is>
          <t xml:space="preserve">     Fossil fuels</t>
        </is>
      </c>
      <c r="W30" s="250">
        <f>D30/M30</f>
        <v/>
      </c>
      <c r="X30" s="250">
        <f>E30/N30</f>
        <v/>
      </c>
      <c r="Y30" s="250">
        <f>F30/O30</f>
        <v/>
      </c>
      <c r="Z30" s="250">
        <f>G30/P30</f>
        <v/>
      </c>
      <c r="AA30" s="250">
        <f>H30/Q30</f>
        <v/>
      </c>
      <c r="AB30" s="251">
        <f>I30/R30</f>
        <v/>
      </c>
      <c r="AC30" s="251">
        <f>J30/S30</f>
        <v/>
      </c>
      <c r="AD30" s="34" t="n"/>
      <c r="AE30" s="34" t="n"/>
      <c r="AF30" s="250">
        <f>W30</f>
        <v/>
      </c>
      <c r="AG30" s="250">
        <f>X30</f>
        <v/>
      </c>
      <c r="AH30" s="250">
        <f>Y30</f>
        <v/>
      </c>
      <c r="AI30" s="250">
        <f>Z30</f>
        <v/>
      </c>
      <c r="AJ30" s="250">
        <f>AA30</f>
        <v/>
      </c>
      <c r="AK30" s="252">
        <f>AB30*1.15</f>
        <v/>
      </c>
      <c r="AL30" s="252">
        <f>AC30*1.15</f>
        <v/>
      </c>
      <c r="AM30" s="34" t="n"/>
      <c r="AN30" s="34" t="n"/>
      <c r="AO30" s="250">
        <f>W30</f>
        <v/>
      </c>
      <c r="AP30" s="250">
        <f>X30</f>
        <v/>
      </c>
      <c r="AQ30" s="250">
        <f>Y30</f>
        <v/>
      </c>
      <c r="AR30" s="250">
        <f>Z30</f>
        <v/>
      </c>
      <c r="AS30" s="250">
        <f>AA30</f>
        <v/>
      </c>
      <c r="AT30" s="252">
        <f>AB30*0.85</f>
        <v/>
      </c>
      <c r="AU30" s="252">
        <f>AC30*0.85</f>
        <v/>
      </c>
      <c r="BA30" s="41" t="inlineStr">
        <is>
          <t xml:space="preserve">     Fossil fuels</t>
        </is>
      </c>
      <c r="BB30" s="249" t="n">
        <v>830.3</v>
      </c>
      <c r="BC30" s="250" t="n">
        <v>790.9</v>
      </c>
      <c r="BD30" s="250" t="n">
        <v>754.5</v>
      </c>
      <c r="BE30" s="250" t="n">
        <v>746</v>
      </c>
      <c r="BF30" s="250" t="n">
        <v>719.9</v>
      </c>
      <c r="BG30" s="250" t="n">
        <v>758.4</v>
      </c>
      <c r="BH30" s="250" t="n">
        <v>746</v>
      </c>
      <c r="BI30" s="250" t="n">
        <v>746</v>
      </c>
      <c r="BJ30" s="34" t="n"/>
      <c r="BK30" s="34" t="n"/>
      <c r="BL30" s="47" t="n"/>
      <c r="BM30" s="47" t="n"/>
      <c r="BN30" s="47" t="n"/>
      <c r="BO30" s="47" t="n"/>
    </row>
    <row r="31" ht="15.5" customHeight="1" s="213">
      <c r="B31" s="41" t="inlineStr">
        <is>
          <t xml:space="preserve">     Coal</t>
        </is>
      </c>
      <c r="C31" s="249">
        <f>BB31/1000</f>
        <v/>
      </c>
      <c r="D31" s="249">
        <f>BC31/1000</f>
        <v/>
      </c>
      <c r="E31" s="249">
        <f>BD31/1000</f>
        <v/>
      </c>
      <c r="F31" s="249">
        <f>BE31/1000</f>
        <v/>
      </c>
      <c r="G31" s="249">
        <f>BF31/1000</f>
        <v/>
      </c>
      <c r="H31" s="249">
        <f>BG31/1000</f>
        <v/>
      </c>
      <c r="I31" s="249">
        <f>BH31/1000</f>
        <v/>
      </c>
      <c r="J31" s="249">
        <f>BI31/1000</f>
        <v/>
      </c>
      <c r="K31" s="34" t="n"/>
      <c r="L31" s="34" t="n"/>
      <c r="M31" s="47" t="n">
        <v>5.937</v>
      </c>
      <c r="N31" s="47" t="n">
        <v>5.845</v>
      </c>
      <c r="O31" s="47" t="n">
        <v>5.575</v>
      </c>
      <c r="P31" s="47" t="n">
        <v>5.276</v>
      </c>
      <c r="Q31" s="47" t="n">
        <v>5.363</v>
      </c>
      <c r="R31" s="47" t="n">
        <v>6.645</v>
      </c>
      <c r="S31" s="47" t="n">
        <v>5.654</v>
      </c>
      <c r="T31" s="47" t="n"/>
      <c r="V31" s="41" t="inlineStr">
        <is>
          <t xml:space="preserve">     Coal</t>
        </is>
      </c>
      <c r="W31" s="250">
        <f>D31/M31</f>
        <v/>
      </c>
      <c r="X31" s="250">
        <f>E31/N31</f>
        <v/>
      </c>
      <c r="Y31" s="250">
        <f>F31/O31</f>
        <v/>
      </c>
      <c r="Z31" s="250">
        <f>G31/P31</f>
        <v/>
      </c>
      <c r="AA31" s="250">
        <f>H31/Q31</f>
        <v/>
      </c>
      <c r="AB31" s="251">
        <f>I31/R31</f>
        <v/>
      </c>
      <c r="AC31" s="251">
        <f>J31/S31</f>
        <v/>
      </c>
      <c r="AD31" s="34" t="n"/>
      <c r="AE31" s="34" t="n"/>
      <c r="AF31" s="250">
        <f>W31</f>
        <v/>
      </c>
      <c r="AG31" s="250">
        <f>X31</f>
        <v/>
      </c>
      <c r="AH31" s="250">
        <f>Y31</f>
        <v/>
      </c>
      <c r="AI31" s="250">
        <f>Z31</f>
        <v/>
      </c>
      <c r="AJ31" s="250">
        <f>AA31</f>
        <v/>
      </c>
      <c r="AK31" s="252">
        <f>AB31*1.15</f>
        <v/>
      </c>
      <c r="AL31" s="252">
        <f>AC31*1.15</f>
        <v/>
      </c>
      <c r="AM31" s="34" t="n"/>
      <c r="AN31" s="34" t="n"/>
      <c r="AO31" s="250">
        <f>W31</f>
        <v/>
      </c>
      <c r="AP31" s="250">
        <f>X31</f>
        <v/>
      </c>
      <c r="AQ31" s="250">
        <f>Y31</f>
        <v/>
      </c>
      <c r="AR31" s="250">
        <f>Z31</f>
        <v/>
      </c>
      <c r="AS31" s="250">
        <f>AA31</f>
        <v/>
      </c>
      <c r="AT31" s="252">
        <f>AB31*0.85</f>
        <v/>
      </c>
      <c r="AU31" s="252">
        <f>AC31*0.85</f>
        <v/>
      </c>
      <c r="BA31" s="41" t="inlineStr">
        <is>
          <t xml:space="preserve">     Coal</t>
        </is>
      </c>
      <c r="BB31" s="249" t="n">
        <v>207.9</v>
      </c>
      <c r="BC31" s="250" t="n">
        <v>184.2</v>
      </c>
      <c r="BD31" s="250" t="n">
        <v>174.6</v>
      </c>
      <c r="BE31" s="250" t="n">
        <v>172.4</v>
      </c>
      <c r="BF31" s="250" t="n">
        <v>168.7</v>
      </c>
      <c r="BG31" s="250" t="n">
        <v>174.7</v>
      </c>
      <c r="BH31" s="250" t="n">
        <v>172.4</v>
      </c>
      <c r="BI31" s="250" t="n">
        <v>172.4</v>
      </c>
      <c r="BJ31" s="34" t="n"/>
      <c r="BK31" s="34" t="n"/>
      <c r="BL31" s="47" t="n"/>
      <c r="BM31" s="47" t="n"/>
      <c r="BN31" s="47" t="n"/>
      <c r="BO31" s="47" t="n"/>
    </row>
    <row r="32" ht="15.5" customHeight="1" s="213">
      <c r="B32" s="41" t="inlineStr">
        <is>
          <t xml:space="preserve">     Natural gas</t>
        </is>
      </c>
      <c r="C32" s="249">
        <f>BB32/1000</f>
        <v/>
      </c>
      <c r="D32" s="249">
        <f>BC32/1000</f>
        <v/>
      </c>
      <c r="E32" s="249">
        <f>BD32/1000</f>
        <v/>
      </c>
      <c r="F32" s="249">
        <f>BE32/1000</f>
        <v/>
      </c>
      <c r="G32" s="249">
        <f>BF32/1000</f>
        <v/>
      </c>
      <c r="H32" s="249">
        <f>BG32/1000</f>
        <v/>
      </c>
      <c r="I32" s="249">
        <f>BH32/1000</f>
        <v/>
      </c>
      <c r="J32" s="249">
        <f>BI32/1000</f>
        <v/>
      </c>
      <c r="K32" s="34" t="n"/>
      <c r="L32" s="34" t="n"/>
      <c r="M32" s="47" t="n">
        <v>5.937</v>
      </c>
      <c r="N32" s="47" t="n">
        <v>5.845</v>
      </c>
      <c r="O32" s="47" t="n">
        <v>5.575</v>
      </c>
      <c r="P32" s="47" t="n">
        <v>5.276</v>
      </c>
      <c r="Q32" s="47" t="n">
        <v>5.363</v>
      </c>
      <c r="R32" s="47" t="n">
        <v>6.645</v>
      </c>
      <c r="S32" s="47" t="n">
        <v>5.654</v>
      </c>
      <c r="T32" s="47" t="n"/>
      <c r="V32" s="41" t="inlineStr">
        <is>
          <t xml:space="preserve">     Natural gas</t>
        </is>
      </c>
      <c r="W32" s="250">
        <f>D32/M32</f>
        <v/>
      </c>
      <c r="X32" s="250">
        <f>E32/N32</f>
        <v/>
      </c>
      <c r="Y32" s="250">
        <f>F32/O32</f>
        <v/>
      </c>
      <c r="Z32" s="250">
        <f>G32/P32</f>
        <v/>
      </c>
      <c r="AA32" s="250">
        <f>H32/Q32</f>
        <v/>
      </c>
      <c r="AB32" s="251">
        <f>I32/R32</f>
        <v/>
      </c>
      <c r="AC32" s="251">
        <f>J32/S32</f>
        <v/>
      </c>
      <c r="AD32" s="34" t="n"/>
      <c r="AE32" s="34" t="n"/>
      <c r="AF32" s="250">
        <f>W32</f>
        <v/>
      </c>
      <c r="AG32" s="250">
        <f>X32</f>
        <v/>
      </c>
      <c r="AH32" s="250">
        <f>Y32</f>
        <v/>
      </c>
      <c r="AI32" s="250">
        <f>Z32</f>
        <v/>
      </c>
      <c r="AJ32" s="250">
        <f>AA32</f>
        <v/>
      </c>
      <c r="AK32" s="252">
        <f>AB32*1.15</f>
        <v/>
      </c>
      <c r="AL32" s="252">
        <f>AC32*1.15</f>
        <v/>
      </c>
      <c r="AM32" s="34" t="n"/>
      <c r="AN32" s="34" t="n"/>
      <c r="AO32" s="250">
        <f>W32</f>
        <v/>
      </c>
      <c r="AP32" s="250">
        <f>X32</f>
        <v/>
      </c>
      <c r="AQ32" s="250">
        <f>Y32</f>
        <v/>
      </c>
      <c r="AR32" s="250">
        <f>Z32</f>
        <v/>
      </c>
      <c r="AS32" s="250">
        <f>AA32</f>
        <v/>
      </c>
      <c r="AT32" s="252">
        <f>AB32*0.85</f>
        <v/>
      </c>
      <c r="AU32" s="252">
        <f>AC32*0.85</f>
        <v/>
      </c>
      <c r="BA32" s="41" t="inlineStr">
        <is>
          <t xml:space="preserve">     Natural gas</t>
        </is>
      </c>
      <c r="BB32" s="249" t="n">
        <v>574.7</v>
      </c>
      <c r="BC32" s="250" t="n">
        <v>559.7</v>
      </c>
      <c r="BD32" s="250" t="n">
        <v>534</v>
      </c>
      <c r="BE32" s="250" t="n">
        <v>528</v>
      </c>
      <c r="BF32" s="250" t="n">
        <v>506.1</v>
      </c>
      <c r="BG32" s="250" t="n">
        <v>536.9</v>
      </c>
      <c r="BH32" s="250" t="n">
        <v>528</v>
      </c>
      <c r="BI32" s="250" t="n">
        <v>528</v>
      </c>
      <c r="BJ32" s="34" t="n"/>
      <c r="BK32" s="34" t="n"/>
      <c r="BL32" s="47" t="n"/>
      <c r="BM32" s="47" t="n"/>
      <c r="BN32" s="47" t="n"/>
      <c r="BO32" s="47" t="n"/>
    </row>
    <row r="33" ht="15.5" customHeight="1" s="213">
      <c r="B33" s="41" t="inlineStr">
        <is>
          <t xml:space="preserve">     Petroleum</t>
        </is>
      </c>
      <c r="C33" s="249">
        <f>BB33/1000</f>
        <v/>
      </c>
      <c r="D33" s="249">
        <f>BC33/1000</f>
        <v/>
      </c>
      <c r="E33" s="249">
        <f>BD33/1000</f>
        <v/>
      </c>
      <c r="F33" s="249">
        <f>BE33/1000</f>
        <v/>
      </c>
      <c r="G33" s="249">
        <f>BF33/1000</f>
        <v/>
      </c>
      <c r="H33" s="249">
        <f>BG33/1000</f>
        <v/>
      </c>
      <c r="I33" s="249">
        <f>BH33/1000</f>
        <v/>
      </c>
      <c r="J33" s="249">
        <f>BI33/1000</f>
        <v/>
      </c>
      <c r="K33" s="34" t="n"/>
      <c r="L33" s="34" t="n"/>
      <c r="M33" s="47" t="n">
        <v>5.937</v>
      </c>
      <c r="N33" s="47" t="n">
        <v>5.845</v>
      </c>
      <c r="O33" s="47" t="n">
        <v>5.575</v>
      </c>
      <c r="P33" s="47" t="n">
        <v>5.276</v>
      </c>
      <c r="Q33" s="47" t="n">
        <v>5.363</v>
      </c>
      <c r="R33" s="47" t="n">
        <v>6.645</v>
      </c>
      <c r="S33" s="47" t="n">
        <v>5.654</v>
      </c>
      <c r="T33" s="47" t="n"/>
      <c r="V33" s="41" t="inlineStr">
        <is>
          <t xml:space="preserve">     Petroleum</t>
        </is>
      </c>
      <c r="W33" s="250">
        <f>D33/M33</f>
        <v/>
      </c>
      <c r="X33" s="250">
        <f>E33/N33</f>
        <v/>
      </c>
      <c r="Y33" s="250">
        <f>F33/O33</f>
        <v/>
      </c>
      <c r="Z33" s="250">
        <f>G33/P33</f>
        <v/>
      </c>
      <c r="AA33" s="250">
        <f>H33/Q33</f>
        <v/>
      </c>
      <c r="AB33" s="251">
        <f>I33/R33</f>
        <v/>
      </c>
      <c r="AC33" s="251">
        <f>J33/S33</f>
        <v/>
      </c>
      <c r="AD33" s="34" t="n"/>
      <c r="AE33" s="34" t="n"/>
      <c r="AF33" s="250">
        <f>W33</f>
        <v/>
      </c>
      <c r="AG33" s="250">
        <f>X33</f>
        <v/>
      </c>
      <c r="AH33" s="250">
        <f>Y33</f>
        <v/>
      </c>
      <c r="AI33" s="250">
        <f>Z33</f>
        <v/>
      </c>
      <c r="AJ33" s="250">
        <f>AA33</f>
        <v/>
      </c>
      <c r="AK33" s="252">
        <f>AB33*1.15</f>
        <v/>
      </c>
      <c r="AL33" s="252">
        <f>AC33*1.15</f>
        <v/>
      </c>
      <c r="AM33" s="34" t="n"/>
      <c r="AN33" s="34" t="n"/>
      <c r="AO33" s="250">
        <f>W33</f>
        <v/>
      </c>
      <c r="AP33" s="250">
        <f>X33</f>
        <v/>
      </c>
      <c r="AQ33" s="250">
        <f>Y33</f>
        <v/>
      </c>
      <c r="AR33" s="250">
        <f>Z33</f>
        <v/>
      </c>
      <c r="AS33" s="250">
        <f>AA33</f>
        <v/>
      </c>
      <c r="AT33" s="252">
        <f>AB33*0.85</f>
        <v/>
      </c>
      <c r="AU33" s="252">
        <f>AC33*0.85</f>
        <v/>
      </c>
      <c r="BA33" s="41" t="inlineStr">
        <is>
          <t xml:space="preserve">     Petroleum</t>
        </is>
      </c>
      <c r="BB33" s="249" t="n">
        <v>88</v>
      </c>
      <c r="BC33" s="250" t="n">
        <v>81.40000000000001</v>
      </c>
      <c r="BD33" s="250" t="n">
        <v>79</v>
      </c>
      <c r="BE33" s="250" t="n">
        <v>78.5</v>
      </c>
      <c r="BF33" s="250" t="n">
        <v>76.40000000000001</v>
      </c>
      <c r="BG33" s="250" t="n">
        <v>78.7</v>
      </c>
      <c r="BH33" s="250" t="n">
        <v>78.5</v>
      </c>
      <c r="BI33" s="250" t="n">
        <v>78.5</v>
      </c>
      <c r="BJ33" s="34" t="n"/>
      <c r="BK33" s="34" t="n"/>
      <c r="BL33" s="47" t="n"/>
      <c r="BM33" s="47" t="n"/>
      <c r="BN33" s="47" t="n"/>
      <c r="BO33" s="47" t="n"/>
    </row>
    <row r="34" ht="15.5" customHeight="1" s="213">
      <c r="A34" s="33" t="inlineStr">
        <is>
          <t>China</t>
        </is>
      </c>
      <c r="B34" s="41" t="inlineStr">
        <is>
          <t xml:space="preserve">     Total Energy</t>
        </is>
      </c>
      <c r="C34" s="249">
        <f>BB34/1000</f>
        <v/>
      </c>
      <c r="D34" s="249">
        <f>BC34/1000</f>
        <v/>
      </c>
      <c r="E34" s="249">
        <f>BD34/1000</f>
        <v/>
      </c>
      <c r="F34" s="249">
        <f>BE34/1000</f>
        <v/>
      </c>
      <c r="G34" s="249">
        <f>BF34/1000</f>
        <v/>
      </c>
      <c r="H34" s="249">
        <f>BG34/1000</f>
        <v/>
      </c>
      <c r="I34" s="249">
        <f>BH34/1000</f>
        <v/>
      </c>
      <c r="J34" s="249">
        <f>BI34/1000</f>
        <v/>
      </c>
      <c r="K34" s="34" t="n"/>
      <c r="L34" s="34" t="n"/>
      <c r="M34" s="47" t="n">
        <v>5.937</v>
      </c>
      <c r="N34" s="47" t="n">
        <v>5.845</v>
      </c>
      <c r="O34" s="47" t="n">
        <v>5.575</v>
      </c>
      <c r="P34" s="47" t="n">
        <v>5.276</v>
      </c>
      <c r="Q34" s="47" t="n">
        <v>5.363</v>
      </c>
      <c r="R34" s="47" t="n">
        <v>6.645</v>
      </c>
      <c r="S34" s="47" t="n">
        <v>5.654</v>
      </c>
      <c r="T34" s="47" t="n"/>
      <c r="U34" s="33" t="inlineStr">
        <is>
          <t>China</t>
        </is>
      </c>
      <c r="V34" s="41" t="inlineStr">
        <is>
          <t xml:space="preserve">     Total Energy</t>
        </is>
      </c>
      <c r="W34" s="250">
        <f>D34/M34</f>
        <v/>
      </c>
      <c r="X34" s="250">
        <f>E34/N34</f>
        <v/>
      </c>
      <c r="Y34" s="250">
        <f>F34/O34</f>
        <v/>
      </c>
      <c r="Z34" s="250">
        <f>G34/P34</f>
        <v/>
      </c>
      <c r="AA34" s="250">
        <f>H34/Q34</f>
        <v/>
      </c>
      <c r="AB34" s="251">
        <f>I34/R34</f>
        <v/>
      </c>
      <c r="AC34" s="251">
        <f>J34/S34</f>
        <v/>
      </c>
      <c r="AD34" s="34" t="n"/>
      <c r="AE34" s="34" t="n"/>
      <c r="AF34" s="250">
        <f>W34</f>
        <v/>
      </c>
      <c r="AG34" s="250">
        <f>X34</f>
        <v/>
      </c>
      <c r="AH34" s="250">
        <f>Y34</f>
        <v/>
      </c>
      <c r="AI34" s="250">
        <f>Z34</f>
        <v/>
      </c>
      <c r="AJ34" s="250">
        <f>AA34</f>
        <v/>
      </c>
      <c r="AK34" s="252">
        <f>AB34*1.15</f>
        <v/>
      </c>
      <c r="AL34" s="252">
        <f>AC34*1.15</f>
        <v/>
      </c>
      <c r="AM34" s="34" t="n"/>
      <c r="AN34" s="34" t="n"/>
      <c r="AO34" s="250">
        <f>W34</f>
        <v/>
      </c>
      <c r="AP34" s="250">
        <f>X34</f>
        <v/>
      </c>
      <c r="AQ34" s="250">
        <f>Y34</f>
        <v/>
      </c>
      <c r="AR34" s="250">
        <f>Z34</f>
        <v/>
      </c>
      <c r="AS34" s="250">
        <f>AA34</f>
        <v/>
      </c>
      <c r="AT34" s="252">
        <f>AB34*0.85</f>
        <v/>
      </c>
      <c r="AU34" s="252">
        <f>AC34*0.85</f>
        <v/>
      </c>
      <c r="AZ34" s="33" t="inlineStr">
        <is>
          <t>China</t>
        </is>
      </c>
      <c r="BA34" s="41" t="inlineStr">
        <is>
          <t xml:space="preserve">     Total Energy</t>
        </is>
      </c>
      <c r="BB34" s="249" t="n">
        <v>921.7</v>
      </c>
      <c r="BC34" s="250" t="n">
        <v>872.1</v>
      </c>
      <c r="BD34" s="250" t="n">
        <v>831.3</v>
      </c>
      <c r="BE34" s="250" t="n">
        <v>821.8</v>
      </c>
      <c r="BF34" s="250" t="n">
        <v>794</v>
      </c>
      <c r="BG34" s="250" t="n">
        <v>835</v>
      </c>
      <c r="BH34" s="250" t="n">
        <v>821.8</v>
      </c>
      <c r="BI34" s="250" t="n">
        <v>821.8</v>
      </c>
      <c r="BJ34" s="34" t="n"/>
      <c r="BK34" s="34" t="n"/>
      <c r="BL34" s="47" t="n"/>
      <c r="BM34" s="47" t="n"/>
      <c r="BN34" s="47" t="n"/>
      <c r="BO34" s="47" t="n"/>
    </row>
    <row r="35" ht="15.5" customHeight="1" s="213">
      <c r="B35" s="41" t="inlineStr">
        <is>
          <t xml:space="preserve">     Fossil fuels</t>
        </is>
      </c>
      <c r="C35" s="249">
        <f>BB35/1000</f>
        <v/>
      </c>
      <c r="D35" s="249">
        <f>BC35/1000</f>
        <v/>
      </c>
      <c r="E35" s="249">
        <f>BD35/1000</f>
        <v/>
      </c>
      <c r="F35" s="249">
        <f>BE35/1000</f>
        <v/>
      </c>
      <c r="G35" s="249">
        <f>BF35/1000</f>
        <v/>
      </c>
      <c r="H35" s="249">
        <f>BG35/1000</f>
        <v/>
      </c>
      <c r="I35" s="249">
        <f>BH35/1000</f>
        <v/>
      </c>
      <c r="J35" s="249">
        <f>BI35/1000</f>
        <v/>
      </c>
      <c r="K35" s="34" t="n"/>
      <c r="L35" s="34" t="n"/>
      <c r="M35" s="47" t="n">
        <v>5.937</v>
      </c>
      <c r="N35" s="47" t="n">
        <v>5.845</v>
      </c>
      <c r="O35" s="47" t="n">
        <v>5.575</v>
      </c>
      <c r="P35" s="47" t="n">
        <v>5.276</v>
      </c>
      <c r="Q35" s="47" t="n">
        <v>5.363</v>
      </c>
      <c r="R35" s="47" t="n">
        <v>6.645</v>
      </c>
      <c r="S35" s="47" t="n">
        <v>5.654</v>
      </c>
      <c r="T35" s="47" t="n"/>
      <c r="V35" s="41" t="inlineStr">
        <is>
          <t xml:space="preserve">     Fossil fuels</t>
        </is>
      </c>
      <c r="W35" s="250">
        <f>D35/M35</f>
        <v/>
      </c>
      <c r="X35" s="250">
        <f>E35/N35</f>
        <v/>
      </c>
      <c r="Y35" s="250">
        <f>F35/O35</f>
        <v/>
      </c>
      <c r="Z35" s="250">
        <f>G35/P35</f>
        <v/>
      </c>
      <c r="AA35" s="250">
        <f>H35/Q35</f>
        <v/>
      </c>
      <c r="AB35" s="251">
        <f>I35/R35</f>
        <v/>
      </c>
      <c r="AC35" s="251">
        <f>J35/S35</f>
        <v/>
      </c>
      <c r="AD35" s="34" t="n"/>
      <c r="AE35" s="34" t="n"/>
      <c r="AF35" s="250">
        <f>W35</f>
        <v/>
      </c>
      <c r="AG35" s="250">
        <f>X35</f>
        <v/>
      </c>
      <c r="AH35" s="250">
        <f>Y35</f>
        <v/>
      </c>
      <c r="AI35" s="250">
        <f>Z35</f>
        <v/>
      </c>
      <c r="AJ35" s="250">
        <f>AA35</f>
        <v/>
      </c>
      <c r="AK35" s="252">
        <f>AB35*1.15</f>
        <v/>
      </c>
      <c r="AL35" s="252">
        <f>AC35*1.15</f>
        <v/>
      </c>
      <c r="AM35" s="34" t="n"/>
      <c r="AN35" s="34" t="n"/>
      <c r="AO35" s="250">
        <f>W35</f>
        <v/>
      </c>
      <c r="AP35" s="250">
        <f>X35</f>
        <v/>
      </c>
      <c r="AQ35" s="250">
        <f>Y35</f>
        <v/>
      </c>
      <c r="AR35" s="250">
        <f>Z35</f>
        <v/>
      </c>
      <c r="AS35" s="250">
        <f>AA35</f>
        <v/>
      </c>
      <c r="AT35" s="252">
        <f>AB35*0.85</f>
        <v/>
      </c>
      <c r="AU35" s="252">
        <f>AC35*0.85</f>
        <v/>
      </c>
      <c r="BA35" s="41" t="inlineStr">
        <is>
          <t xml:space="preserve">     Fossil fuels</t>
        </is>
      </c>
      <c r="BB35" s="249" t="n">
        <v>842.2</v>
      </c>
      <c r="BC35" s="250" t="n">
        <v>801.8</v>
      </c>
      <c r="BD35" s="250" t="n">
        <v>764.8</v>
      </c>
      <c r="BE35" s="250" t="n">
        <v>756.2</v>
      </c>
      <c r="BF35" s="250" t="n">
        <v>730.2</v>
      </c>
      <c r="BG35" s="250" t="n">
        <v>769.1</v>
      </c>
      <c r="BH35" s="250" t="n">
        <v>756.2</v>
      </c>
      <c r="BI35" s="250" t="n">
        <v>756.2</v>
      </c>
      <c r="BJ35" s="34" t="n"/>
      <c r="BK35" s="34" t="n"/>
      <c r="BL35" s="47" t="n"/>
      <c r="BM35" s="47" t="n"/>
      <c r="BN35" s="47" t="n"/>
      <c r="BO35" s="47" t="n"/>
    </row>
    <row r="36" ht="15.5" customHeight="1" s="213">
      <c r="B36" s="41" t="inlineStr">
        <is>
          <t xml:space="preserve">     Coal</t>
        </is>
      </c>
      <c r="C36" s="249">
        <f>BB36/1000</f>
        <v/>
      </c>
      <c r="D36" s="249">
        <f>BC36/1000</f>
        <v/>
      </c>
      <c r="E36" s="249">
        <f>BD36/1000</f>
        <v/>
      </c>
      <c r="F36" s="249">
        <f>BE36/1000</f>
        <v/>
      </c>
      <c r="G36" s="249">
        <f>BF36/1000</f>
        <v/>
      </c>
      <c r="H36" s="249">
        <f>BG36/1000</f>
        <v/>
      </c>
      <c r="I36" s="249">
        <f>BH36/1000</f>
        <v/>
      </c>
      <c r="J36" s="249">
        <f>BI36/1000</f>
        <v/>
      </c>
      <c r="K36" s="34" t="n"/>
      <c r="L36" s="34" t="n"/>
      <c r="M36" s="47" t="n">
        <v>5.937</v>
      </c>
      <c r="N36" s="47" t="n">
        <v>5.845</v>
      </c>
      <c r="O36" s="47" t="n">
        <v>5.575</v>
      </c>
      <c r="P36" s="47" t="n">
        <v>5.276</v>
      </c>
      <c r="Q36" s="47" t="n">
        <v>5.363</v>
      </c>
      <c r="R36" s="47" t="n">
        <v>6.645</v>
      </c>
      <c r="S36" s="47" t="n">
        <v>5.654</v>
      </c>
      <c r="T36" s="47" t="n"/>
      <c r="V36" s="41" t="inlineStr">
        <is>
          <t xml:space="preserve">     Coal</t>
        </is>
      </c>
      <c r="W36" s="250">
        <f>D36/M36</f>
        <v/>
      </c>
      <c r="X36" s="250">
        <f>E36/N36</f>
        <v/>
      </c>
      <c r="Y36" s="250">
        <f>F36/O36</f>
        <v/>
      </c>
      <c r="Z36" s="250">
        <f>G36/P36</f>
        <v/>
      </c>
      <c r="AA36" s="250">
        <f>H36/Q36</f>
        <v/>
      </c>
      <c r="AB36" s="251">
        <f>I36/R36</f>
        <v/>
      </c>
      <c r="AC36" s="251">
        <f>J36/S36</f>
        <v/>
      </c>
      <c r="AD36" s="34" t="n"/>
      <c r="AE36" s="34" t="n"/>
      <c r="AF36" s="250">
        <f>W36</f>
        <v/>
      </c>
      <c r="AG36" s="250">
        <f>X36</f>
        <v/>
      </c>
      <c r="AH36" s="250">
        <f>Y36</f>
        <v/>
      </c>
      <c r="AI36" s="250">
        <f>Z36</f>
        <v/>
      </c>
      <c r="AJ36" s="250">
        <f>AA36</f>
        <v/>
      </c>
      <c r="AK36" s="252">
        <f>AB36*1.15</f>
        <v/>
      </c>
      <c r="AL36" s="252">
        <f>AC36*1.15</f>
        <v/>
      </c>
      <c r="AM36" s="34" t="n"/>
      <c r="AN36" s="34" t="n"/>
      <c r="AO36" s="250">
        <f>W36</f>
        <v/>
      </c>
      <c r="AP36" s="250">
        <f>X36</f>
        <v/>
      </c>
      <c r="AQ36" s="250">
        <f>Y36</f>
        <v/>
      </c>
      <c r="AR36" s="250">
        <f>Z36</f>
        <v/>
      </c>
      <c r="AS36" s="250">
        <f>AA36</f>
        <v/>
      </c>
      <c r="AT36" s="252">
        <f>AB36*0.85</f>
        <v/>
      </c>
      <c r="AU36" s="252">
        <f>AC36*0.85</f>
        <v/>
      </c>
      <c r="BA36" s="41" t="inlineStr">
        <is>
          <t xml:space="preserve">     Coal</t>
        </is>
      </c>
      <c r="BB36" s="249" t="n">
        <v>269.4</v>
      </c>
      <c r="BC36" s="250" t="n">
        <v>240.1</v>
      </c>
      <c r="BD36" s="250" t="n">
        <v>227.8</v>
      </c>
      <c r="BE36" s="250" t="n">
        <v>224.9</v>
      </c>
      <c r="BF36" s="250" t="n">
        <v>221.7</v>
      </c>
      <c r="BG36" s="250" t="n">
        <v>229.6</v>
      </c>
      <c r="BH36" s="250" t="n">
        <v>224.9</v>
      </c>
      <c r="BI36" s="250" t="n">
        <v>224.9</v>
      </c>
      <c r="BJ36" s="34" t="n"/>
      <c r="BK36" s="34" t="n"/>
      <c r="BL36" s="47" t="n"/>
      <c r="BM36" s="47" t="n"/>
      <c r="BN36" s="47" t="n"/>
      <c r="BO36" s="47" t="n"/>
    </row>
    <row r="37" ht="15.5" customHeight="1" s="213">
      <c r="B37" s="41" t="inlineStr">
        <is>
          <t xml:space="preserve">     Natural gas</t>
        </is>
      </c>
      <c r="C37" s="249">
        <f>BB37/1000</f>
        <v/>
      </c>
      <c r="D37" s="249">
        <f>BC37/1000</f>
        <v/>
      </c>
      <c r="E37" s="249">
        <f>BD37/1000</f>
        <v/>
      </c>
      <c r="F37" s="249">
        <f>BE37/1000</f>
        <v/>
      </c>
      <c r="G37" s="249">
        <f>BF37/1000</f>
        <v/>
      </c>
      <c r="H37" s="249">
        <f>BG37/1000</f>
        <v/>
      </c>
      <c r="I37" s="249">
        <f>BH37/1000</f>
        <v/>
      </c>
      <c r="J37" s="249">
        <f>BI37/1000</f>
        <v/>
      </c>
      <c r="K37" s="34" t="n"/>
      <c r="L37" s="34" t="n"/>
      <c r="M37" s="47" t="n">
        <v>5.937</v>
      </c>
      <c r="N37" s="47" t="n">
        <v>5.845</v>
      </c>
      <c r="O37" s="47" t="n">
        <v>5.575</v>
      </c>
      <c r="P37" s="47" t="n">
        <v>5.276</v>
      </c>
      <c r="Q37" s="47" t="n">
        <v>5.363</v>
      </c>
      <c r="R37" s="47" t="n">
        <v>6.645</v>
      </c>
      <c r="S37" s="47" t="n">
        <v>5.654</v>
      </c>
      <c r="T37" s="47" t="n"/>
      <c r="V37" s="41" t="inlineStr">
        <is>
          <t xml:space="preserve">     Natural gas</t>
        </is>
      </c>
      <c r="W37" s="250">
        <f>D37/M37</f>
        <v/>
      </c>
      <c r="X37" s="250">
        <f>E37/N37</f>
        <v/>
      </c>
      <c r="Y37" s="250">
        <f>F37/O37</f>
        <v/>
      </c>
      <c r="Z37" s="250">
        <f>G37/P37</f>
        <v/>
      </c>
      <c r="AA37" s="250">
        <f>H37/Q37</f>
        <v/>
      </c>
      <c r="AB37" s="251">
        <f>I37/R37</f>
        <v/>
      </c>
      <c r="AC37" s="251">
        <f>J37/S37</f>
        <v/>
      </c>
      <c r="AD37" s="34" t="n"/>
      <c r="AE37" s="34" t="n"/>
      <c r="AF37" s="250">
        <f>W37</f>
        <v/>
      </c>
      <c r="AG37" s="250">
        <f>X37</f>
        <v/>
      </c>
      <c r="AH37" s="250">
        <f>Y37</f>
        <v/>
      </c>
      <c r="AI37" s="250">
        <f>Z37</f>
        <v/>
      </c>
      <c r="AJ37" s="250">
        <f>AA37</f>
        <v/>
      </c>
      <c r="AK37" s="252">
        <f>AB37*1.15</f>
        <v/>
      </c>
      <c r="AL37" s="252">
        <f>AC37*1.15</f>
        <v/>
      </c>
      <c r="AM37" s="34" t="n"/>
      <c r="AN37" s="34" t="n"/>
      <c r="AO37" s="250">
        <f>W37</f>
        <v/>
      </c>
      <c r="AP37" s="250">
        <f>X37</f>
        <v/>
      </c>
      <c r="AQ37" s="250">
        <f>Y37</f>
        <v/>
      </c>
      <c r="AR37" s="250">
        <f>Z37</f>
        <v/>
      </c>
      <c r="AS37" s="250">
        <f>AA37</f>
        <v/>
      </c>
      <c r="AT37" s="252">
        <f>AB37*0.85</f>
        <v/>
      </c>
      <c r="AU37" s="252">
        <f>AC37*0.85</f>
        <v/>
      </c>
      <c r="BA37" s="41" t="inlineStr">
        <is>
          <t xml:space="preserve">     Natural gas</t>
        </is>
      </c>
      <c r="BB37" s="249" t="n">
        <v>527.3</v>
      </c>
      <c r="BC37" s="250" t="n">
        <v>516.7</v>
      </c>
      <c r="BD37" s="250" t="n">
        <v>493.1</v>
      </c>
      <c r="BE37" s="250" t="n">
        <v>487.5</v>
      </c>
      <c r="BF37" s="250" t="n">
        <v>465.3</v>
      </c>
      <c r="BG37" s="250" t="n">
        <v>494.6</v>
      </c>
      <c r="BH37" s="250" t="n">
        <v>487.5</v>
      </c>
      <c r="BI37" s="250" t="n">
        <v>487.5</v>
      </c>
      <c r="BJ37" s="34" t="n"/>
      <c r="BK37" s="34" t="n"/>
      <c r="BL37" s="47" t="n"/>
      <c r="BM37" s="47" t="n"/>
      <c r="BN37" s="47" t="n"/>
      <c r="BO37" s="47" t="n"/>
    </row>
    <row r="38" ht="15.5" customHeight="1" s="213">
      <c r="B38" s="41" t="inlineStr">
        <is>
          <t xml:space="preserve">     Petroleum</t>
        </is>
      </c>
      <c r="C38" s="249">
        <f>BB38/1000</f>
        <v/>
      </c>
      <c r="D38" s="249">
        <f>BC38/1000</f>
        <v/>
      </c>
      <c r="E38" s="249">
        <f>BD38/1000</f>
        <v/>
      </c>
      <c r="F38" s="249">
        <f>BE38/1000</f>
        <v/>
      </c>
      <c r="G38" s="249">
        <f>BF38/1000</f>
        <v/>
      </c>
      <c r="H38" s="249">
        <f>BG38/1000</f>
        <v/>
      </c>
      <c r="I38" s="249">
        <f>BH38/1000</f>
        <v/>
      </c>
      <c r="J38" s="249">
        <f>BI38/1000</f>
        <v/>
      </c>
      <c r="K38" s="34" t="n"/>
      <c r="L38" s="34" t="n"/>
      <c r="M38" s="47" t="n">
        <v>5.937</v>
      </c>
      <c r="N38" s="47" t="n">
        <v>5.845</v>
      </c>
      <c r="O38" s="47" t="n">
        <v>5.575</v>
      </c>
      <c r="P38" s="47" t="n">
        <v>5.276</v>
      </c>
      <c r="Q38" s="47" t="n">
        <v>5.363</v>
      </c>
      <c r="R38" s="47" t="n">
        <v>6.645</v>
      </c>
      <c r="S38" s="47" t="n">
        <v>5.654</v>
      </c>
      <c r="T38" s="47" t="n"/>
      <c r="V38" s="41" t="inlineStr">
        <is>
          <t xml:space="preserve">     Petroleum</t>
        </is>
      </c>
      <c r="W38" s="250">
        <f>D38/M38</f>
        <v/>
      </c>
      <c r="X38" s="250">
        <f>E38/N38</f>
        <v/>
      </c>
      <c r="Y38" s="250">
        <f>F38/O38</f>
        <v/>
      </c>
      <c r="Z38" s="250">
        <f>G38/P38</f>
        <v/>
      </c>
      <c r="AA38" s="250">
        <f>H38/Q38</f>
        <v/>
      </c>
      <c r="AB38" s="251">
        <f>I38/R38</f>
        <v/>
      </c>
      <c r="AC38" s="251">
        <f>J38/S38</f>
        <v/>
      </c>
      <c r="AD38" s="34" t="n"/>
      <c r="AE38" s="34" t="n"/>
      <c r="AF38" s="250">
        <f>W38</f>
        <v/>
      </c>
      <c r="AG38" s="250">
        <f>X38</f>
        <v/>
      </c>
      <c r="AH38" s="250">
        <f>Y38</f>
        <v/>
      </c>
      <c r="AI38" s="250">
        <f>Z38</f>
        <v/>
      </c>
      <c r="AJ38" s="250">
        <f>AA38</f>
        <v/>
      </c>
      <c r="AK38" s="252">
        <f>AB38*1.15</f>
        <v/>
      </c>
      <c r="AL38" s="252">
        <f>AC38*1.15</f>
        <v/>
      </c>
      <c r="AM38" s="34" t="n"/>
      <c r="AN38" s="34" t="n"/>
      <c r="AO38" s="250">
        <f>W38</f>
        <v/>
      </c>
      <c r="AP38" s="250">
        <f>X38</f>
        <v/>
      </c>
      <c r="AQ38" s="250">
        <f>Y38</f>
        <v/>
      </c>
      <c r="AR38" s="250">
        <f>Z38</f>
        <v/>
      </c>
      <c r="AS38" s="250">
        <f>AA38</f>
        <v/>
      </c>
      <c r="AT38" s="252">
        <f>AB38*0.85</f>
        <v/>
      </c>
      <c r="AU38" s="252">
        <f>AC38*0.85</f>
        <v/>
      </c>
      <c r="BA38" s="41" t="inlineStr">
        <is>
          <t xml:space="preserve">     Petroleum</t>
        </is>
      </c>
      <c r="BB38" s="249" t="n">
        <v>85.8</v>
      </c>
      <c r="BC38" s="250" t="n">
        <v>79.3</v>
      </c>
      <c r="BD38" s="250" t="n">
        <v>77.09999999999999</v>
      </c>
      <c r="BE38" s="250" t="n">
        <v>76.59999999999999</v>
      </c>
      <c r="BF38" s="250" t="n">
        <v>74.40000000000001</v>
      </c>
      <c r="BG38" s="250" t="n">
        <v>76.7</v>
      </c>
      <c r="BH38" s="250" t="n">
        <v>76.59999999999999</v>
      </c>
      <c r="BI38" s="250" t="n">
        <v>76.59999999999999</v>
      </c>
      <c r="BJ38" s="34" t="n"/>
      <c r="BK38" s="34" t="n"/>
      <c r="BL38" s="47" t="n"/>
      <c r="BM38" s="47" t="n"/>
      <c r="BN38" s="47" t="n"/>
      <c r="BO38" s="47" t="n"/>
    </row>
    <row r="39" ht="15.5" customHeight="1" s="213">
      <c r="A39" s="34" t="n"/>
      <c r="B39" s="34" t="n"/>
      <c r="C39" s="37" t="n"/>
      <c r="D39" s="34" t="n"/>
      <c r="E39" s="34" t="n"/>
      <c r="F39" s="34" t="n"/>
      <c r="G39" s="34" t="n"/>
      <c r="H39" s="34" t="n"/>
      <c r="I39" s="34" t="n"/>
      <c r="J39" s="34" t="n"/>
      <c r="K39" s="34" t="n"/>
      <c r="L39" s="34" t="n"/>
      <c r="M39" s="34" t="n"/>
      <c r="N39" s="34" t="n"/>
      <c r="O39" s="34" t="n"/>
      <c r="P39" s="34" t="n"/>
      <c r="Q39" s="34" t="n"/>
      <c r="R39" s="34" t="n"/>
      <c r="S39" s="34" t="n"/>
      <c r="T39" s="34" t="n"/>
      <c r="AZ39" s="34" t="n"/>
      <c r="BA39" s="34" t="n"/>
      <c r="BB39" s="37" t="n"/>
      <c r="BC39" s="34" t="n"/>
      <c r="BD39" s="34" t="n"/>
      <c r="BE39" s="34" t="n"/>
      <c r="BF39" s="34" t="n"/>
      <c r="BG39" s="34" t="n"/>
      <c r="BH39" s="34" t="n"/>
      <c r="BI39" s="34" t="n"/>
      <c r="BJ39" s="34" t="n"/>
      <c r="BK39" s="34" t="n"/>
      <c r="BL39" s="34" t="n"/>
      <c r="BM39" s="34" t="n"/>
      <c r="BN39" s="34" t="n"/>
      <c r="BO39" s="34" t="n"/>
    </row>
    <row r="40" ht="15.5" customHeight="1" s="213">
      <c r="A40" s="34" t="n"/>
      <c r="B40" s="34" t="n"/>
      <c r="C40" s="37" t="n"/>
      <c r="D40" s="34" t="n"/>
      <c r="E40" s="34" t="n"/>
      <c r="F40" s="34" t="n"/>
      <c r="G40" s="34" t="n"/>
      <c r="H40" s="34" t="n"/>
      <c r="I40" s="34" t="n"/>
      <c r="J40" s="34" t="n"/>
      <c r="K40" s="34" t="n"/>
      <c r="L40" s="34" t="n"/>
      <c r="M40" s="34" t="n"/>
      <c r="N40" s="34" t="n"/>
      <c r="O40" s="34" t="n"/>
      <c r="P40" s="34" t="n"/>
      <c r="Q40" s="34" t="n"/>
      <c r="R40" s="34" t="n"/>
      <c r="S40" s="34" t="n"/>
      <c r="T40" s="34" t="n"/>
      <c r="AZ40" s="34" t="n"/>
      <c r="BA40" s="34" t="n"/>
      <c r="BB40" s="37" t="n"/>
      <c r="BC40" s="34" t="n"/>
      <c r="BD40" s="34" t="n"/>
      <c r="BE40" s="34" t="n"/>
      <c r="BF40" s="34" t="n"/>
      <c r="BG40" s="34" t="n"/>
      <c r="BH40" s="34" t="n"/>
      <c r="BI40" s="34" t="n"/>
      <c r="BJ40" s="34" t="n"/>
      <c r="BK40" s="34" t="n"/>
      <c r="BL40" s="34" t="n"/>
      <c r="BM40" s="34" t="n"/>
      <c r="BN40" s="34" t="n"/>
      <c r="BO40" s="34" t="n"/>
    </row>
    <row r="41" ht="15.5" customHeight="1" s="213">
      <c r="A41" s="33" t="inlineStr">
        <is>
          <t xml:space="preserve">Direct </t>
        </is>
      </c>
      <c r="K41" s="34" t="n"/>
      <c r="L41" s="34" t="n"/>
      <c r="M41" s="34" t="n"/>
      <c r="N41" s="34" t="n"/>
      <c r="O41" s="34" t="n"/>
      <c r="P41" s="34" t="n"/>
      <c r="Q41" s="34" t="n"/>
      <c r="R41" s="34" t="n"/>
      <c r="S41" s="34" t="n"/>
      <c r="T41" s="34" t="n"/>
      <c r="AZ41" s="33" t="inlineStr">
        <is>
          <t xml:space="preserve">Direct </t>
        </is>
      </c>
      <c r="BJ41" s="34" t="n"/>
      <c r="BK41" s="34" t="n"/>
      <c r="BL41" s="34" t="n"/>
      <c r="BM41" s="34" t="n"/>
      <c r="BN41" s="34" t="n"/>
      <c r="BO41" s="34" t="n"/>
    </row>
    <row r="42" ht="15.5" customHeight="1" s="213">
      <c r="A42" s="33" t="inlineStr">
        <is>
          <t>Location</t>
        </is>
      </c>
      <c r="B42" s="33" t="inlineStr">
        <is>
          <t xml:space="preserve">Energy use (MJ/kWh battery produced) </t>
        </is>
      </c>
      <c r="C42" s="33" t="inlineStr">
        <is>
          <t xml:space="preserve">Chemistry </t>
        </is>
      </c>
      <c r="K42" s="34" t="n"/>
      <c r="L42" s="34" t="n"/>
      <c r="M42" s="34" t="n"/>
      <c r="N42" s="34" t="n"/>
      <c r="O42" s="34" t="n"/>
      <c r="P42" s="34" t="n"/>
      <c r="Q42" s="34" t="n"/>
      <c r="R42" s="34" t="n"/>
      <c r="S42" s="34" t="n"/>
      <c r="T42" s="34" t="n"/>
      <c r="AZ42" s="33" t="inlineStr">
        <is>
          <t>Location</t>
        </is>
      </c>
      <c r="BA42" s="33" t="inlineStr">
        <is>
          <t xml:space="preserve">Energy use (MJ/kWh battery produced) </t>
        </is>
      </c>
      <c r="BB42" s="33" t="inlineStr">
        <is>
          <t xml:space="preserve">Chemistry </t>
        </is>
      </c>
      <c r="BJ42" s="34" t="n"/>
      <c r="BK42" s="34" t="n"/>
      <c r="BL42" s="34" t="n"/>
      <c r="BM42" s="34" t="n"/>
      <c r="BN42" s="34" t="n"/>
      <c r="BO42" s="34" t="n"/>
    </row>
    <row r="43" ht="30" customHeight="1" s="213">
      <c r="C43" s="37" t="inlineStr">
        <is>
          <t xml:space="preserve">LCO </t>
        </is>
      </c>
      <c r="D43" s="34" t="inlineStr">
        <is>
          <t>NMC111</t>
        </is>
      </c>
      <c r="E43" s="34" t="inlineStr">
        <is>
          <t>NMC532</t>
        </is>
      </c>
      <c r="F43" s="38" t="inlineStr">
        <is>
          <t>NMC622</t>
        </is>
      </c>
      <c r="G43" s="34" t="inlineStr">
        <is>
          <t>NMC811</t>
        </is>
      </c>
      <c r="H43" s="34" t="inlineStr">
        <is>
          <t>NCA</t>
        </is>
      </c>
      <c r="I43" s="34" t="inlineStr">
        <is>
          <t xml:space="preserve">LMO </t>
        </is>
      </c>
      <c r="J43" s="34" t="inlineStr">
        <is>
          <t xml:space="preserve">LFP </t>
        </is>
      </c>
      <c r="K43" s="34" t="n"/>
      <c r="L43" s="34" t="n"/>
      <c r="M43" s="34" t="inlineStr">
        <is>
          <t>NMC111</t>
        </is>
      </c>
      <c r="N43" s="34" t="inlineStr">
        <is>
          <t>NMC532</t>
        </is>
      </c>
      <c r="O43" s="34" t="inlineStr">
        <is>
          <t>NMC622</t>
        </is>
      </c>
      <c r="P43" s="34" t="inlineStr">
        <is>
          <t>NMC811</t>
        </is>
      </c>
      <c r="Q43" s="34" t="inlineStr">
        <is>
          <t>NCA</t>
        </is>
      </c>
      <c r="R43" s="34" t="inlineStr">
        <is>
          <t xml:space="preserve">LMO </t>
        </is>
      </c>
      <c r="S43" s="34" t="inlineStr">
        <is>
          <t xml:space="preserve">LFP </t>
        </is>
      </c>
      <c r="T43" s="34" t="n"/>
      <c r="U43" s="34" t="n"/>
      <c r="V43" s="36" t="inlineStr">
        <is>
          <t>PJ/ktonne</t>
        </is>
      </c>
      <c r="W43" s="34" t="inlineStr">
        <is>
          <t>NMC111</t>
        </is>
      </c>
      <c r="X43" s="34" t="inlineStr">
        <is>
          <t>NMC532</t>
        </is>
      </c>
      <c r="Y43" s="38" t="inlineStr">
        <is>
          <t>NMC622</t>
        </is>
      </c>
      <c r="Z43" s="34" t="inlineStr">
        <is>
          <t>NMC811</t>
        </is>
      </c>
      <c r="AA43" s="34" t="inlineStr">
        <is>
          <t>NCA</t>
        </is>
      </c>
      <c r="AB43" s="40" t="inlineStr">
        <is>
          <t xml:space="preserve">LMO </t>
        </is>
      </c>
      <c r="AC43" s="40" t="inlineStr">
        <is>
          <t xml:space="preserve">LFP </t>
        </is>
      </c>
      <c r="AD43" s="34" t="n"/>
      <c r="AE43" s="34" t="n"/>
      <c r="AF43" s="34" t="inlineStr">
        <is>
          <t>NMC111</t>
        </is>
      </c>
      <c r="AG43" s="34" t="inlineStr">
        <is>
          <t>NMC532</t>
        </is>
      </c>
      <c r="AH43" s="38" t="inlineStr">
        <is>
          <t>NMC622</t>
        </is>
      </c>
      <c r="AI43" s="34" t="inlineStr">
        <is>
          <t>NMC811</t>
        </is>
      </c>
      <c r="AJ43" s="34" t="inlineStr">
        <is>
          <t>NCA</t>
        </is>
      </c>
      <c r="AK43" s="40" t="inlineStr">
        <is>
          <t xml:space="preserve">LMO </t>
        </is>
      </c>
      <c r="AL43" s="40" t="inlineStr">
        <is>
          <t xml:space="preserve">LFP </t>
        </is>
      </c>
      <c r="AO43" s="34" t="inlineStr">
        <is>
          <t>NMC111</t>
        </is>
      </c>
      <c r="AP43" s="34" t="inlineStr">
        <is>
          <t>NMC532</t>
        </is>
      </c>
      <c r="AQ43" s="38" t="inlineStr">
        <is>
          <t>NMC622</t>
        </is>
      </c>
      <c r="AR43" s="34" t="inlineStr">
        <is>
          <t>NMC811</t>
        </is>
      </c>
      <c r="AS43" s="34" t="inlineStr">
        <is>
          <t>NCA</t>
        </is>
      </c>
      <c r="AT43" s="40" t="inlineStr">
        <is>
          <t xml:space="preserve">LMO </t>
        </is>
      </c>
      <c r="AU43" s="40" t="inlineStr">
        <is>
          <t xml:space="preserve">LFP </t>
        </is>
      </c>
      <c r="BB43" s="37" t="inlineStr">
        <is>
          <t xml:space="preserve">LCO </t>
        </is>
      </c>
      <c r="BC43" s="34" t="inlineStr">
        <is>
          <t>NMC111</t>
        </is>
      </c>
      <c r="BD43" s="34" t="inlineStr">
        <is>
          <t>NMC532</t>
        </is>
      </c>
      <c r="BE43" s="38" t="inlineStr">
        <is>
          <t>NMC622</t>
        </is>
      </c>
      <c r="BF43" s="34" t="inlineStr">
        <is>
          <t>NMC811</t>
        </is>
      </c>
      <c r="BG43" s="34" t="inlineStr">
        <is>
          <t>NCA</t>
        </is>
      </c>
      <c r="BH43" s="34" t="inlineStr">
        <is>
          <t xml:space="preserve">LMO </t>
        </is>
      </c>
      <c r="BI43" s="34" t="inlineStr">
        <is>
          <t xml:space="preserve">LFP </t>
        </is>
      </c>
      <c r="BJ43" s="34" t="n"/>
      <c r="BK43" s="34" t="n"/>
      <c r="BL43" s="34" t="n"/>
      <c r="BM43" s="34" t="n"/>
      <c r="BN43" s="34" t="n"/>
      <c r="BO43" s="34" t="n"/>
    </row>
    <row r="44" ht="15.5" customHeight="1" s="213">
      <c r="A44" s="33" t="inlineStr">
        <is>
          <t>US</t>
        </is>
      </c>
      <c r="B44" s="41" t="inlineStr">
        <is>
          <t xml:space="preserve">     Total Energy</t>
        </is>
      </c>
      <c r="C44" s="249">
        <f>BB44/1000</f>
        <v/>
      </c>
      <c r="D44" s="249">
        <f>BC44/1000</f>
        <v/>
      </c>
      <c r="E44" s="249">
        <f>BD44/1000</f>
        <v/>
      </c>
      <c r="F44" s="249">
        <f>BE44/1000</f>
        <v/>
      </c>
      <c r="G44" s="249">
        <f>BF44/1000</f>
        <v/>
      </c>
      <c r="H44" s="249">
        <f>BG44/1000</f>
        <v/>
      </c>
      <c r="I44" s="249">
        <f>BH44/1000</f>
        <v/>
      </c>
      <c r="J44" s="249">
        <f>BI44/1000</f>
        <v/>
      </c>
      <c r="K44" s="34" t="n"/>
      <c r="L44" s="34" t="n"/>
      <c r="M44" s="43" t="n">
        <v>5.937</v>
      </c>
      <c r="N44" s="43" t="n">
        <v>5.845</v>
      </c>
      <c r="O44" s="43" t="n">
        <v>5.575</v>
      </c>
      <c r="P44" s="43" t="n">
        <v>5.276</v>
      </c>
      <c r="Q44" s="43" t="n">
        <v>5.363</v>
      </c>
      <c r="R44" s="43" t="n">
        <v>6.645</v>
      </c>
      <c r="S44" s="43" t="n">
        <v>5.654</v>
      </c>
      <c r="T44" s="43" t="n"/>
      <c r="U44" s="33" t="inlineStr">
        <is>
          <t>US</t>
        </is>
      </c>
      <c r="V44" s="41" t="inlineStr">
        <is>
          <t xml:space="preserve">     Total Energy</t>
        </is>
      </c>
      <c r="W44" s="250">
        <f>D44/M44</f>
        <v/>
      </c>
      <c r="X44" s="250">
        <f>E44/N44</f>
        <v/>
      </c>
      <c r="Y44" s="250">
        <f>F44/O44</f>
        <v/>
      </c>
      <c r="Z44" s="250">
        <f>G44/P44</f>
        <v/>
      </c>
      <c r="AA44" s="250">
        <f>H44/Q44</f>
        <v/>
      </c>
      <c r="AB44" s="251">
        <f>I44/R44</f>
        <v/>
      </c>
      <c r="AC44" s="251">
        <f>J44/S44</f>
        <v/>
      </c>
      <c r="AD44" s="34" t="n"/>
      <c r="AE44" s="34" t="n"/>
      <c r="AF44" s="250">
        <f>W44</f>
        <v/>
      </c>
      <c r="AG44" s="250">
        <f>X44</f>
        <v/>
      </c>
      <c r="AH44" s="250">
        <f>Y44</f>
        <v/>
      </c>
      <c r="AI44" s="250">
        <f>Z44</f>
        <v/>
      </c>
      <c r="AJ44" s="250">
        <f>AA44</f>
        <v/>
      </c>
      <c r="AK44" s="252">
        <f>AB44*1.15</f>
        <v/>
      </c>
      <c r="AL44" s="252">
        <f>AC44*1.15</f>
        <v/>
      </c>
      <c r="AO44" s="250">
        <f>W44</f>
        <v/>
      </c>
      <c r="AP44" s="250">
        <f>X44</f>
        <v/>
      </c>
      <c r="AQ44" s="250">
        <f>Y44</f>
        <v/>
      </c>
      <c r="AR44" s="250">
        <f>Z44</f>
        <v/>
      </c>
      <c r="AS44" s="250">
        <f>AA44</f>
        <v/>
      </c>
      <c r="AT44" s="252">
        <f>AB44*0.85</f>
        <v/>
      </c>
      <c r="AU44" s="252">
        <f>AC44*0.85</f>
        <v/>
      </c>
      <c r="AZ44" s="33" t="inlineStr">
        <is>
          <t>US</t>
        </is>
      </c>
      <c r="BA44" s="41" t="inlineStr">
        <is>
          <t xml:space="preserve">     Total Energy</t>
        </is>
      </c>
      <c r="BB44" s="249" t="n">
        <v>665.2</v>
      </c>
      <c r="BC44" s="250" t="n">
        <v>586.4</v>
      </c>
      <c r="BD44" s="250" t="n">
        <v>567.9</v>
      </c>
      <c r="BE44" s="250" t="n">
        <v>563.6</v>
      </c>
      <c r="BF44" s="250" t="n">
        <v>540.9</v>
      </c>
      <c r="BG44" s="250" t="n">
        <v>552.1</v>
      </c>
      <c r="BH44" s="250" t="n">
        <v>563.6</v>
      </c>
      <c r="BI44" s="250" t="n">
        <v>563.6</v>
      </c>
      <c r="BJ44" s="34" t="n"/>
      <c r="BK44" s="34" t="n"/>
      <c r="BL44" s="43" t="n"/>
      <c r="BM44" s="43" t="n"/>
      <c r="BN44" s="43" t="n"/>
      <c r="BO44" s="43" t="n"/>
    </row>
    <row r="45" ht="15.5" customHeight="1" s="213">
      <c r="B45" s="41" t="inlineStr">
        <is>
          <t xml:space="preserve">     Fossil fuels</t>
        </is>
      </c>
      <c r="C45" s="249">
        <f>BB45/1000</f>
        <v/>
      </c>
      <c r="D45" s="249">
        <f>BC45/1000</f>
        <v/>
      </c>
      <c r="E45" s="249">
        <f>BD45/1000</f>
        <v/>
      </c>
      <c r="F45" s="249">
        <f>BE45/1000</f>
        <v/>
      </c>
      <c r="G45" s="249">
        <f>BF45/1000</f>
        <v/>
      </c>
      <c r="H45" s="249">
        <f>BG45/1000</f>
        <v/>
      </c>
      <c r="I45" s="249">
        <f>BH45/1000</f>
        <v/>
      </c>
      <c r="J45" s="249">
        <f>BI45/1000</f>
        <v/>
      </c>
      <c r="K45" s="34" t="n"/>
      <c r="L45" s="34" t="n"/>
      <c r="M45" s="47" t="n">
        <v>5.937</v>
      </c>
      <c r="N45" s="47" t="n">
        <v>5.845</v>
      </c>
      <c r="O45" s="47" t="n">
        <v>5.575</v>
      </c>
      <c r="P45" s="47" t="n">
        <v>5.276</v>
      </c>
      <c r="Q45" s="47" t="n">
        <v>5.363</v>
      </c>
      <c r="R45" s="47" t="n">
        <v>6.645</v>
      </c>
      <c r="S45" s="47" t="n">
        <v>5.654</v>
      </c>
      <c r="T45" s="47" t="n"/>
      <c r="V45" s="41" t="inlineStr">
        <is>
          <t xml:space="preserve">     Fossil fuels</t>
        </is>
      </c>
      <c r="W45" s="250">
        <f>D45/M45</f>
        <v/>
      </c>
      <c r="X45" s="250">
        <f>E45/N45</f>
        <v/>
      </c>
      <c r="Y45" s="250">
        <f>F45/O45</f>
        <v/>
      </c>
      <c r="Z45" s="250">
        <f>G45/P45</f>
        <v/>
      </c>
      <c r="AA45" s="250">
        <f>H45/Q45</f>
        <v/>
      </c>
      <c r="AB45" s="251">
        <f>I45/R45</f>
        <v/>
      </c>
      <c r="AC45" s="251">
        <f>J45/S45</f>
        <v/>
      </c>
      <c r="AD45" s="34" t="n"/>
      <c r="AE45" s="34" t="n"/>
      <c r="AF45" s="250">
        <f>W45</f>
        <v/>
      </c>
      <c r="AG45" s="250">
        <f>X45</f>
        <v/>
      </c>
      <c r="AH45" s="250">
        <f>Y45</f>
        <v/>
      </c>
      <c r="AI45" s="250">
        <f>Z45</f>
        <v/>
      </c>
      <c r="AJ45" s="250">
        <f>AA45</f>
        <v/>
      </c>
      <c r="AK45" s="252">
        <f>AB45*1.15</f>
        <v/>
      </c>
      <c r="AL45" s="252">
        <f>AC45*1.15</f>
        <v/>
      </c>
      <c r="AO45" s="250">
        <f>W45</f>
        <v/>
      </c>
      <c r="AP45" s="250">
        <f>X45</f>
        <v/>
      </c>
      <c r="AQ45" s="250">
        <f>Y45</f>
        <v/>
      </c>
      <c r="AR45" s="250">
        <f>Z45</f>
        <v/>
      </c>
      <c r="AS45" s="250">
        <f>AA45</f>
        <v/>
      </c>
      <c r="AT45" s="252">
        <f>AB45*0.85</f>
        <v/>
      </c>
      <c r="AU45" s="252">
        <f>AC45*0.85</f>
        <v/>
      </c>
      <c r="BA45" s="41" t="inlineStr">
        <is>
          <t xml:space="preserve">     Fossil fuels</t>
        </is>
      </c>
      <c r="BB45" s="249" t="n">
        <v>609.2</v>
      </c>
      <c r="BC45" s="250" t="n">
        <v>539.6</v>
      </c>
      <c r="BD45" s="250" t="n">
        <v>523.2</v>
      </c>
      <c r="BE45" s="250" t="n">
        <v>519.3</v>
      </c>
      <c r="BF45" s="250" t="n">
        <v>499</v>
      </c>
      <c r="BG45" s="250" t="n">
        <v>509.1</v>
      </c>
      <c r="BH45" s="250" t="n">
        <v>519.3</v>
      </c>
      <c r="BI45" s="250" t="n">
        <v>519.3</v>
      </c>
      <c r="BJ45" s="34" t="n"/>
      <c r="BK45" s="34" t="n"/>
      <c r="BL45" s="47" t="n"/>
      <c r="BM45" s="47" t="n"/>
      <c r="BN45" s="47" t="n"/>
      <c r="BO45" s="47" t="n"/>
    </row>
    <row r="46" ht="15.5" customHeight="1" s="213">
      <c r="B46" s="41" t="inlineStr">
        <is>
          <t xml:space="preserve">     Coal</t>
        </is>
      </c>
      <c r="C46" s="249">
        <f>BB46/1000</f>
        <v/>
      </c>
      <c r="D46" s="249">
        <f>BC46/1000</f>
        <v/>
      </c>
      <c r="E46" s="249">
        <f>BD46/1000</f>
        <v/>
      </c>
      <c r="F46" s="249">
        <f>BE46/1000</f>
        <v/>
      </c>
      <c r="G46" s="249">
        <f>BF46/1000</f>
        <v/>
      </c>
      <c r="H46" s="249">
        <f>BG46/1000</f>
        <v/>
      </c>
      <c r="I46" s="249">
        <f>BH46/1000</f>
        <v/>
      </c>
      <c r="J46" s="249">
        <f>BI46/1000</f>
        <v/>
      </c>
      <c r="K46" s="34" t="n"/>
      <c r="L46" s="34" t="n"/>
      <c r="M46" s="47" t="n">
        <v>5.937</v>
      </c>
      <c r="N46" s="47" t="n">
        <v>5.845</v>
      </c>
      <c r="O46" s="47" t="n">
        <v>5.575</v>
      </c>
      <c r="P46" s="47" t="n">
        <v>5.276</v>
      </c>
      <c r="Q46" s="47" t="n">
        <v>5.363</v>
      </c>
      <c r="R46" s="47" t="n">
        <v>6.645</v>
      </c>
      <c r="S46" s="47" t="n">
        <v>5.654</v>
      </c>
      <c r="T46" s="47" t="n"/>
      <c r="V46" s="41" t="inlineStr">
        <is>
          <t xml:space="preserve">     Coal</t>
        </is>
      </c>
      <c r="W46" s="250">
        <f>D46/M46</f>
        <v/>
      </c>
      <c r="X46" s="250">
        <f>E46/N46</f>
        <v/>
      </c>
      <c r="Y46" s="250">
        <f>F46/O46</f>
        <v/>
      </c>
      <c r="Z46" s="250">
        <f>G46/P46</f>
        <v/>
      </c>
      <c r="AA46" s="250">
        <f>H46/Q46</f>
        <v/>
      </c>
      <c r="AB46" s="251">
        <f>I46/R46</f>
        <v/>
      </c>
      <c r="AC46" s="251">
        <f>J46/S46</f>
        <v/>
      </c>
      <c r="AD46" s="34" t="n"/>
      <c r="AE46" s="34" t="n"/>
      <c r="AF46" s="250">
        <f>W46</f>
        <v/>
      </c>
      <c r="AG46" s="250">
        <f>X46</f>
        <v/>
      </c>
      <c r="AH46" s="250">
        <f>Y46</f>
        <v/>
      </c>
      <c r="AI46" s="250">
        <f>Z46</f>
        <v/>
      </c>
      <c r="AJ46" s="250">
        <f>AA46</f>
        <v/>
      </c>
      <c r="AK46" s="252">
        <f>AB46*1.15</f>
        <v/>
      </c>
      <c r="AL46" s="252">
        <f>AC46*1.15</f>
        <v/>
      </c>
      <c r="AO46" s="250">
        <f>W46</f>
        <v/>
      </c>
      <c r="AP46" s="250">
        <f>X46</f>
        <v/>
      </c>
      <c r="AQ46" s="250">
        <f>Y46</f>
        <v/>
      </c>
      <c r="AR46" s="250">
        <f>Z46</f>
        <v/>
      </c>
      <c r="AS46" s="250">
        <f>AA46</f>
        <v/>
      </c>
      <c r="AT46" s="252">
        <f>AB46*0.85</f>
        <v/>
      </c>
      <c r="AU46" s="252">
        <f>AC46*0.85</f>
        <v/>
      </c>
      <c r="BA46" s="41" t="inlineStr">
        <is>
          <t xml:space="preserve">     Coal</t>
        </is>
      </c>
      <c r="BB46" s="249" t="n">
        <v>142.9</v>
      </c>
      <c r="BC46" s="250" t="n">
        <v>119.4</v>
      </c>
      <c r="BD46" s="250" t="n">
        <v>114</v>
      </c>
      <c r="BE46" s="250" t="n">
        <v>112.7</v>
      </c>
      <c r="BF46" s="250" t="n">
        <v>106.1</v>
      </c>
      <c r="BG46" s="250" t="n">
        <v>109.4</v>
      </c>
      <c r="BH46" s="250" t="n">
        <v>112.7</v>
      </c>
      <c r="BI46" s="250" t="n">
        <v>112.7</v>
      </c>
      <c r="BJ46" s="34" t="n"/>
      <c r="BK46" s="34" t="n"/>
      <c r="BL46" s="47" t="n"/>
      <c r="BM46" s="47" t="n"/>
      <c r="BN46" s="47" t="n"/>
      <c r="BO46" s="47" t="n"/>
    </row>
    <row r="47" ht="15.5" customHeight="1" s="213">
      <c r="B47" s="41" t="inlineStr">
        <is>
          <t xml:space="preserve">     Natural gas</t>
        </is>
      </c>
      <c r="C47" s="249">
        <f>BB47/1000</f>
        <v/>
      </c>
      <c r="D47" s="249">
        <f>BC47/1000</f>
        <v/>
      </c>
      <c r="E47" s="249">
        <f>BD47/1000</f>
        <v/>
      </c>
      <c r="F47" s="249">
        <f>BE47/1000</f>
        <v/>
      </c>
      <c r="G47" s="249">
        <f>BF47/1000</f>
        <v/>
      </c>
      <c r="H47" s="249">
        <f>BG47/1000</f>
        <v/>
      </c>
      <c r="I47" s="249">
        <f>BH47/1000</f>
        <v/>
      </c>
      <c r="J47" s="249">
        <f>BI47/1000</f>
        <v/>
      </c>
      <c r="K47" s="34" t="n"/>
      <c r="L47" s="34" t="n"/>
      <c r="M47" s="47" t="n">
        <v>5.937</v>
      </c>
      <c r="N47" s="47" t="n">
        <v>5.845</v>
      </c>
      <c r="O47" s="47" t="n">
        <v>5.575</v>
      </c>
      <c r="P47" s="47" t="n">
        <v>5.276</v>
      </c>
      <c r="Q47" s="47" t="n">
        <v>5.363</v>
      </c>
      <c r="R47" s="47" t="n">
        <v>6.645</v>
      </c>
      <c r="S47" s="47" t="n">
        <v>5.654</v>
      </c>
      <c r="T47" s="47" t="n"/>
      <c r="V47" s="41" t="inlineStr">
        <is>
          <t xml:space="preserve">     Natural gas</t>
        </is>
      </c>
      <c r="W47" s="250">
        <f>D47/M47</f>
        <v/>
      </c>
      <c r="X47" s="250">
        <f>E47/N47</f>
        <v/>
      </c>
      <c r="Y47" s="250">
        <f>F47/O47</f>
        <v/>
      </c>
      <c r="Z47" s="250">
        <f>G47/P47</f>
        <v/>
      </c>
      <c r="AA47" s="250">
        <f>H47/Q47</f>
        <v/>
      </c>
      <c r="AB47" s="251">
        <f>I47/R47</f>
        <v/>
      </c>
      <c r="AC47" s="251">
        <f>J47/S47</f>
        <v/>
      </c>
      <c r="AD47" s="34" t="n"/>
      <c r="AE47" s="34" t="n"/>
      <c r="AF47" s="250">
        <f>W47</f>
        <v/>
      </c>
      <c r="AG47" s="250">
        <f>X47</f>
        <v/>
      </c>
      <c r="AH47" s="250">
        <f>Y47</f>
        <v/>
      </c>
      <c r="AI47" s="250">
        <f>Z47</f>
        <v/>
      </c>
      <c r="AJ47" s="250">
        <f>AA47</f>
        <v/>
      </c>
      <c r="AK47" s="252">
        <f>AB47*1.15</f>
        <v/>
      </c>
      <c r="AL47" s="252">
        <f>AC47*1.15</f>
        <v/>
      </c>
      <c r="AO47" s="250">
        <f>W47</f>
        <v/>
      </c>
      <c r="AP47" s="250">
        <f>X47</f>
        <v/>
      </c>
      <c r="AQ47" s="250">
        <f>Y47</f>
        <v/>
      </c>
      <c r="AR47" s="250">
        <f>Z47</f>
        <v/>
      </c>
      <c r="AS47" s="250">
        <f>AA47</f>
        <v/>
      </c>
      <c r="AT47" s="252">
        <f>AB47*0.85</f>
        <v/>
      </c>
      <c r="AU47" s="252">
        <f>AC47*0.85</f>
        <v/>
      </c>
      <c r="BA47" s="41" t="inlineStr">
        <is>
          <t xml:space="preserve">     Natural gas</t>
        </is>
      </c>
      <c r="BB47" s="249" t="n">
        <v>425.6</v>
      </c>
      <c r="BC47" s="250" t="n">
        <v>380.7</v>
      </c>
      <c r="BD47" s="250" t="n">
        <v>370.3</v>
      </c>
      <c r="BE47" s="250" t="n">
        <v>367.9</v>
      </c>
      <c r="BF47" s="250" t="n">
        <v>355.2</v>
      </c>
      <c r="BG47" s="250" t="n">
        <v>361.3</v>
      </c>
      <c r="BH47" s="250" t="n">
        <v>367.9</v>
      </c>
      <c r="BI47" s="250" t="n">
        <v>367.9</v>
      </c>
      <c r="BJ47" s="34" t="n"/>
      <c r="BK47" s="34" t="n"/>
      <c r="BL47" s="47" t="n"/>
      <c r="BM47" s="47" t="n"/>
      <c r="BN47" s="47" t="n"/>
      <c r="BO47" s="47" t="n"/>
    </row>
    <row r="48" ht="15.5" customHeight="1" s="213">
      <c r="B48" s="41" t="inlineStr">
        <is>
          <t xml:space="preserve">     Petroleum</t>
        </is>
      </c>
      <c r="C48" s="249">
        <f>BB48/1000</f>
        <v/>
      </c>
      <c r="D48" s="249">
        <f>BC48/1000</f>
        <v/>
      </c>
      <c r="E48" s="249">
        <f>BD48/1000</f>
        <v/>
      </c>
      <c r="F48" s="249">
        <f>BE48/1000</f>
        <v/>
      </c>
      <c r="G48" s="249">
        <f>BF48/1000</f>
        <v/>
      </c>
      <c r="H48" s="249">
        <f>BG48/1000</f>
        <v/>
      </c>
      <c r="I48" s="249">
        <f>BH48/1000</f>
        <v/>
      </c>
      <c r="J48" s="249">
        <f>BI48/1000</f>
        <v/>
      </c>
      <c r="K48" s="34" t="n"/>
      <c r="L48" s="34" t="n"/>
      <c r="M48" s="47" t="n">
        <v>5.937</v>
      </c>
      <c r="N48" s="47" t="n">
        <v>5.845</v>
      </c>
      <c r="O48" s="47" t="n">
        <v>5.575</v>
      </c>
      <c r="P48" s="47" t="n">
        <v>5.276</v>
      </c>
      <c r="Q48" s="47" t="n">
        <v>5.363</v>
      </c>
      <c r="R48" s="47" t="n">
        <v>6.645</v>
      </c>
      <c r="S48" s="47" t="n">
        <v>5.654</v>
      </c>
      <c r="T48" s="47" t="n"/>
      <c r="V48" s="41" t="inlineStr">
        <is>
          <t xml:space="preserve">     Petroleum</t>
        </is>
      </c>
      <c r="W48" s="250">
        <f>D48/M48</f>
        <v/>
      </c>
      <c r="X48" s="250">
        <f>E48/N48</f>
        <v/>
      </c>
      <c r="Y48" s="250">
        <f>F48/O48</f>
        <v/>
      </c>
      <c r="Z48" s="250">
        <f>G48/P48</f>
        <v/>
      </c>
      <c r="AA48" s="250">
        <f>H48/Q48</f>
        <v/>
      </c>
      <c r="AB48" s="251">
        <f>I48/R48</f>
        <v/>
      </c>
      <c r="AC48" s="251">
        <f>J48/S48</f>
        <v/>
      </c>
      <c r="AD48" s="34" t="n"/>
      <c r="AE48" s="34" t="n"/>
      <c r="AF48" s="250">
        <f>W48</f>
        <v/>
      </c>
      <c r="AG48" s="250">
        <f>X48</f>
        <v/>
      </c>
      <c r="AH48" s="250">
        <f>Y48</f>
        <v/>
      </c>
      <c r="AI48" s="250">
        <f>Z48</f>
        <v/>
      </c>
      <c r="AJ48" s="250">
        <f>AA48</f>
        <v/>
      </c>
      <c r="AK48" s="252">
        <f>AB48*1.15</f>
        <v/>
      </c>
      <c r="AL48" s="252">
        <f>AC48*1.15</f>
        <v/>
      </c>
      <c r="AO48" s="250">
        <f>W48</f>
        <v/>
      </c>
      <c r="AP48" s="250">
        <f>X48</f>
        <v/>
      </c>
      <c r="AQ48" s="250">
        <f>Y48</f>
        <v/>
      </c>
      <c r="AR48" s="250">
        <f>Z48</f>
        <v/>
      </c>
      <c r="AS48" s="250">
        <f>AA48</f>
        <v/>
      </c>
      <c r="AT48" s="252">
        <f>AB48*0.85</f>
        <v/>
      </c>
      <c r="AU48" s="252">
        <f>AC48*0.85</f>
        <v/>
      </c>
      <c r="BA48" s="41" t="inlineStr">
        <is>
          <t xml:space="preserve">     Petroleum</t>
        </is>
      </c>
      <c r="BB48" s="249" t="n">
        <v>84.59999999999999</v>
      </c>
      <c r="BC48" s="250" t="n">
        <v>77</v>
      </c>
      <c r="BD48" s="250" t="n">
        <v>74.90000000000001</v>
      </c>
      <c r="BE48" s="250" t="n">
        <v>74.40000000000001</v>
      </c>
      <c r="BF48" s="250" t="n">
        <v>71.7</v>
      </c>
      <c r="BG48" s="250" t="n">
        <v>73.09999999999999</v>
      </c>
      <c r="BH48" s="250" t="n">
        <v>74.40000000000001</v>
      </c>
      <c r="BI48" s="250" t="n">
        <v>74.40000000000001</v>
      </c>
      <c r="BJ48" s="34" t="n"/>
      <c r="BK48" s="34" t="n"/>
      <c r="BL48" s="47" t="n"/>
      <c r="BM48" s="47" t="n"/>
      <c r="BN48" s="47" t="n"/>
      <c r="BO48" s="47" t="n"/>
    </row>
    <row r="49" ht="15.5" customHeight="1" s="213">
      <c r="A49" s="33" t="inlineStr">
        <is>
          <t>Korea</t>
        </is>
      </c>
      <c r="B49" s="41" t="inlineStr">
        <is>
          <t xml:space="preserve">     Total Energy</t>
        </is>
      </c>
      <c r="C49" s="249">
        <f>BB49/1000</f>
        <v/>
      </c>
      <c r="D49" s="249">
        <f>BC49/1000</f>
        <v/>
      </c>
      <c r="E49" s="249">
        <f>BD49/1000</f>
        <v/>
      </c>
      <c r="F49" s="249">
        <f>BE49/1000</f>
        <v/>
      </c>
      <c r="G49" s="249">
        <f>BF49/1000</f>
        <v/>
      </c>
      <c r="H49" s="249">
        <f>BG49/1000</f>
        <v/>
      </c>
      <c r="I49" s="249">
        <f>BH49/1000</f>
        <v/>
      </c>
      <c r="J49" s="249">
        <f>BI49/1000</f>
        <v/>
      </c>
      <c r="K49" s="34" t="n"/>
      <c r="L49" s="34" t="n"/>
      <c r="M49" s="47" t="n">
        <v>5.937</v>
      </c>
      <c r="N49" s="47" t="n">
        <v>5.845</v>
      </c>
      <c r="O49" s="47" t="n">
        <v>5.575</v>
      </c>
      <c r="P49" s="47" t="n">
        <v>5.276</v>
      </c>
      <c r="Q49" s="47" t="n">
        <v>5.363</v>
      </c>
      <c r="R49" s="47" t="n">
        <v>6.645</v>
      </c>
      <c r="S49" s="47" t="n">
        <v>5.654</v>
      </c>
      <c r="T49" s="47" t="n"/>
      <c r="U49" s="33" t="inlineStr">
        <is>
          <t>Korea</t>
        </is>
      </c>
      <c r="V49" s="41" t="inlineStr">
        <is>
          <t xml:space="preserve">     Total Energy</t>
        </is>
      </c>
      <c r="W49" s="250">
        <f>D49/M49</f>
        <v/>
      </c>
      <c r="X49" s="250">
        <f>E49/N49</f>
        <v/>
      </c>
      <c r="Y49" s="250">
        <f>F49/O49</f>
        <v/>
      </c>
      <c r="Z49" s="250">
        <f>G49/P49</f>
        <v/>
      </c>
      <c r="AA49" s="250">
        <f>H49/Q49</f>
        <v/>
      </c>
      <c r="AB49" s="251">
        <f>I49/R49</f>
        <v/>
      </c>
      <c r="AC49" s="251">
        <f>J49/S49</f>
        <v/>
      </c>
      <c r="AD49" s="34" t="n"/>
      <c r="AE49" s="34" t="n"/>
      <c r="AF49" s="250">
        <f>W49</f>
        <v/>
      </c>
      <c r="AG49" s="250">
        <f>X49</f>
        <v/>
      </c>
      <c r="AH49" s="250">
        <f>Y49</f>
        <v/>
      </c>
      <c r="AI49" s="250">
        <f>Z49</f>
        <v/>
      </c>
      <c r="AJ49" s="250">
        <f>AA49</f>
        <v/>
      </c>
      <c r="AK49" s="252">
        <f>AB49*1.15</f>
        <v/>
      </c>
      <c r="AL49" s="252">
        <f>AC49*1.15</f>
        <v/>
      </c>
      <c r="AO49" s="250">
        <f>W49</f>
        <v/>
      </c>
      <c r="AP49" s="250">
        <f>X49</f>
        <v/>
      </c>
      <c r="AQ49" s="250">
        <f>Y49</f>
        <v/>
      </c>
      <c r="AR49" s="250">
        <f>Z49</f>
        <v/>
      </c>
      <c r="AS49" s="250">
        <f>AA49</f>
        <v/>
      </c>
      <c r="AT49" s="252">
        <f>AB49*0.85</f>
        <v/>
      </c>
      <c r="AU49" s="252">
        <f>AC49*0.85</f>
        <v/>
      </c>
      <c r="AZ49" s="33" t="inlineStr">
        <is>
          <t>Korea</t>
        </is>
      </c>
      <c r="BA49" s="41" t="inlineStr">
        <is>
          <t xml:space="preserve">     Total Energy</t>
        </is>
      </c>
      <c r="BB49" s="249" t="n">
        <v>679.2</v>
      </c>
      <c r="BC49" s="250" t="n">
        <v>598.4</v>
      </c>
      <c r="BD49" s="250" t="n">
        <v>579.4</v>
      </c>
      <c r="BE49" s="250" t="n">
        <v>575</v>
      </c>
      <c r="BF49" s="250" t="n">
        <v>551.7</v>
      </c>
      <c r="BG49" s="250" t="n">
        <v>563.2</v>
      </c>
      <c r="BH49" s="250" t="n">
        <v>575</v>
      </c>
      <c r="BI49" s="250" t="n">
        <v>575</v>
      </c>
      <c r="BJ49" s="34" t="n"/>
      <c r="BK49" s="34" t="n"/>
      <c r="BL49" s="47" t="n"/>
      <c r="BM49" s="47" t="n"/>
      <c r="BN49" s="47" t="n"/>
      <c r="BO49" s="47" t="n"/>
    </row>
    <row r="50" ht="15.5" customHeight="1" s="213">
      <c r="B50" s="41" t="inlineStr">
        <is>
          <t xml:space="preserve">     Fossil fuels</t>
        </is>
      </c>
      <c r="C50" s="249">
        <f>BB50/1000</f>
        <v/>
      </c>
      <c r="D50" s="249">
        <f>BC50/1000</f>
        <v/>
      </c>
      <c r="E50" s="249">
        <f>BD50/1000</f>
        <v/>
      </c>
      <c r="F50" s="249">
        <f>BE50/1000</f>
        <v/>
      </c>
      <c r="G50" s="249">
        <f>BF50/1000</f>
        <v/>
      </c>
      <c r="H50" s="249">
        <f>BG50/1000</f>
        <v/>
      </c>
      <c r="I50" s="249">
        <f>BH50/1000</f>
        <v/>
      </c>
      <c r="J50" s="249">
        <f>BI50/1000</f>
        <v/>
      </c>
      <c r="K50" s="34" t="n"/>
      <c r="L50" s="34" t="n"/>
      <c r="M50" s="47" t="n">
        <v>5.937</v>
      </c>
      <c r="N50" s="47" t="n">
        <v>5.845</v>
      </c>
      <c r="O50" s="47" t="n">
        <v>5.575</v>
      </c>
      <c r="P50" s="47" t="n">
        <v>5.276</v>
      </c>
      <c r="Q50" s="47" t="n">
        <v>5.363</v>
      </c>
      <c r="R50" s="47" t="n">
        <v>6.645</v>
      </c>
      <c r="S50" s="47" t="n">
        <v>5.654</v>
      </c>
      <c r="T50" s="47" t="n"/>
      <c r="V50" s="41" t="inlineStr">
        <is>
          <t xml:space="preserve">     Fossil fuels</t>
        </is>
      </c>
      <c r="W50" s="250">
        <f>D50/M50</f>
        <v/>
      </c>
      <c r="X50" s="250">
        <f>E50/N50</f>
        <v/>
      </c>
      <c r="Y50" s="250">
        <f>F50/O50</f>
        <v/>
      </c>
      <c r="Z50" s="250">
        <f>G50/P50</f>
        <v/>
      </c>
      <c r="AA50" s="250">
        <f>H50/Q50</f>
        <v/>
      </c>
      <c r="AB50" s="251">
        <f>I50/R50</f>
        <v/>
      </c>
      <c r="AC50" s="251">
        <f>J50/S50</f>
        <v/>
      </c>
      <c r="AD50" s="34" t="n"/>
      <c r="AE50" s="34" t="n"/>
      <c r="AF50" s="250">
        <f>W50</f>
        <v/>
      </c>
      <c r="AG50" s="250">
        <f>X50</f>
        <v/>
      </c>
      <c r="AH50" s="250">
        <f>Y50</f>
        <v/>
      </c>
      <c r="AI50" s="250">
        <f>Z50</f>
        <v/>
      </c>
      <c r="AJ50" s="250">
        <f>AA50</f>
        <v/>
      </c>
      <c r="AK50" s="252">
        <f>AB50*1.15</f>
        <v/>
      </c>
      <c r="AL50" s="252">
        <f>AC50*1.15</f>
        <v/>
      </c>
      <c r="AO50" s="250">
        <f>W50</f>
        <v/>
      </c>
      <c r="AP50" s="250">
        <f>X50</f>
        <v/>
      </c>
      <c r="AQ50" s="250">
        <f>Y50</f>
        <v/>
      </c>
      <c r="AR50" s="250">
        <f>Z50</f>
        <v/>
      </c>
      <c r="AS50" s="250">
        <f>AA50</f>
        <v/>
      </c>
      <c r="AT50" s="252">
        <f>AB50*0.85</f>
        <v/>
      </c>
      <c r="AU50" s="252">
        <f>AC50*0.85</f>
        <v/>
      </c>
      <c r="BA50" s="41" t="inlineStr">
        <is>
          <t xml:space="preserve">     Fossil fuels</t>
        </is>
      </c>
      <c r="BB50" s="249" t="n">
        <v>624.1</v>
      </c>
      <c r="BC50" s="250" t="n">
        <v>552.3</v>
      </c>
      <c r="BD50" s="250" t="n">
        <v>535.3</v>
      </c>
      <c r="BE50" s="250" t="n">
        <v>531.4</v>
      </c>
      <c r="BF50" s="250" t="n">
        <v>510.5</v>
      </c>
      <c r="BG50" s="250" t="n">
        <v>520.9</v>
      </c>
      <c r="BH50" s="250" t="n">
        <v>531.4</v>
      </c>
      <c r="BI50" s="250" t="n">
        <v>531.4</v>
      </c>
      <c r="BJ50" s="34" t="n"/>
      <c r="BK50" s="34" t="n"/>
      <c r="BL50" s="47" t="n"/>
      <c r="BM50" s="47" t="n"/>
      <c r="BN50" s="47" t="n"/>
      <c r="BO50" s="47" t="n"/>
    </row>
    <row r="51" ht="15.5" customHeight="1" s="213">
      <c r="B51" s="41" t="inlineStr">
        <is>
          <t xml:space="preserve">     Coal</t>
        </is>
      </c>
      <c r="C51" s="249">
        <f>BB51/1000</f>
        <v/>
      </c>
      <c r="D51" s="249">
        <f>BC51/1000</f>
        <v/>
      </c>
      <c r="E51" s="249">
        <f>BD51/1000</f>
        <v/>
      </c>
      <c r="F51" s="249">
        <f>BE51/1000</f>
        <v/>
      </c>
      <c r="G51" s="249">
        <f>BF51/1000</f>
        <v/>
      </c>
      <c r="H51" s="249">
        <f>BG51/1000</f>
        <v/>
      </c>
      <c r="I51" s="249">
        <f>BH51/1000</f>
        <v/>
      </c>
      <c r="J51" s="249">
        <f>BI51/1000</f>
        <v/>
      </c>
      <c r="K51" s="34" t="n"/>
      <c r="L51" s="34" t="n"/>
      <c r="M51" s="47" t="n">
        <v>5.937</v>
      </c>
      <c r="N51" s="47" t="n">
        <v>5.845</v>
      </c>
      <c r="O51" s="47" t="n">
        <v>5.575</v>
      </c>
      <c r="P51" s="47" t="n">
        <v>5.276</v>
      </c>
      <c r="Q51" s="47" t="n">
        <v>5.363</v>
      </c>
      <c r="R51" s="47" t="n">
        <v>6.645</v>
      </c>
      <c r="S51" s="47" t="n">
        <v>5.654</v>
      </c>
      <c r="T51" s="47" t="n"/>
      <c r="V51" s="41" t="inlineStr">
        <is>
          <t xml:space="preserve">     Coal</t>
        </is>
      </c>
      <c r="W51" s="250">
        <f>D51/M51</f>
        <v/>
      </c>
      <c r="X51" s="250">
        <f>E51/N51</f>
        <v/>
      </c>
      <c r="Y51" s="250">
        <f>F51/O51</f>
        <v/>
      </c>
      <c r="Z51" s="250">
        <f>G51/P51</f>
        <v/>
      </c>
      <c r="AA51" s="250">
        <f>H51/Q51</f>
        <v/>
      </c>
      <c r="AB51" s="251">
        <f>I51/R51</f>
        <v/>
      </c>
      <c r="AC51" s="251">
        <f>J51/S51</f>
        <v/>
      </c>
      <c r="AD51" s="34" t="n"/>
      <c r="AE51" s="34" t="n"/>
      <c r="AF51" s="250">
        <f>W51</f>
        <v/>
      </c>
      <c r="AG51" s="250">
        <f>X51</f>
        <v/>
      </c>
      <c r="AH51" s="250">
        <f>Y51</f>
        <v/>
      </c>
      <c r="AI51" s="250">
        <f>Z51</f>
        <v/>
      </c>
      <c r="AJ51" s="250">
        <f>AA51</f>
        <v/>
      </c>
      <c r="AK51" s="252">
        <f>AB51*1.15</f>
        <v/>
      </c>
      <c r="AL51" s="252">
        <f>AC51*1.15</f>
        <v/>
      </c>
      <c r="AO51" s="250">
        <f>W51</f>
        <v/>
      </c>
      <c r="AP51" s="250">
        <f>X51</f>
        <v/>
      </c>
      <c r="AQ51" s="250">
        <f>Y51</f>
        <v/>
      </c>
      <c r="AR51" s="250">
        <f>Z51</f>
        <v/>
      </c>
      <c r="AS51" s="250">
        <f>AA51</f>
        <v/>
      </c>
      <c r="AT51" s="252">
        <f>AB51*0.85</f>
        <v/>
      </c>
      <c r="AU51" s="252">
        <f>AC51*0.85</f>
        <v/>
      </c>
      <c r="BA51" s="41" t="inlineStr">
        <is>
          <t xml:space="preserve">     Coal</t>
        </is>
      </c>
      <c r="BB51" s="249" t="n">
        <v>174.5</v>
      </c>
      <c r="BC51" s="250" t="n">
        <v>146.3</v>
      </c>
      <c r="BD51" s="250" t="n">
        <v>139.8</v>
      </c>
      <c r="BE51" s="250" t="n">
        <v>138.3</v>
      </c>
      <c r="BF51" s="250" t="n">
        <v>130.4</v>
      </c>
      <c r="BG51" s="250" t="n">
        <v>134.3</v>
      </c>
      <c r="BH51" s="250" t="n">
        <v>138.3</v>
      </c>
      <c r="BI51" s="250" t="n">
        <v>138.3</v>
      </c>
      <c r="BJ51" s="34" t="n"/>
      <c r="BK51" s="34" t="n"/>
      <c r="BL51" s="47" t="n"/>
      <c r="BM51" s="47" t="n"/>
      <c r="BN51" s="47" t="n"/>
      <c r="BO51" s="47" t="n"/>
    </row>
    <row r="52" ht="15.5" customHeight="1" s="213">
      <c r="B52" s="41" t="inlineStr">
        <is>
          <t xml:space="preserve">     Natural gas</t>
        </is>
      </c>
      <c r="C52" s="249">
        <f>BB52/1000</f>
        <v/>
      </c>
      <c r="D52" s="249">
        <f>BC52/1000</f>
        <v/>
      </c>
      <c r="E52" s="249">
        <f>BD52/1000</f>
        <v/>
      </c>
      <c r="F52" s="249">
        <f>BE52/1000</f>
        <v/>
      </c>
      <c r="G52" s="249">
        <f>BF52/1000</f>
        <v/>
      </c>
      <c r="H52" s="249">
        <f>BG52/1000</f>
        <v/>
      </c>
      <c r="I52" s="249">
        <f>BH52/1000</f>
        <v/>
      </c>
      <c r="J52" s="249">
        <f>BI52/1000</f>
        <v/>
      </c>
      <c r="K52" s="34" t="n"/>
      <c r="L52" s="34" t="n"/>
      <c r="M52" s="47" t="n">
        <v>5.937</v>
      </c>
      <c r="N52" s="47" t="n">
        <v>5.845</v>
      </c>
      <c r="O52" s="47" t="n">
        <v>5.575</v>
      </c>
      <c r="P52" s="47" t="n">
        <v>5.276</v>
      </c>
      <c r="Q52" s="47" t="n">
        <v>5.363</v>
      </c>
      <c r="R52" s="47" t="n">
        <v>6.645</v>
      </c>
      <c r="S52" s="47" t="n">
        <v>5.654</v>
      </c>
      <c r="T52" s="47" t="n"/>
      <c r="V52" s="41" t="inlineStr">
        <is>
          <t xml:space="preserve">     Natural gas</t>
        </is>
      </c>
      <c r="W52" s="250">
        <f>D52/M52</f>
        <v/>
      </c>
      <c r="X52" s="250">
        <f>E52/N52</f>
        <v/>
      </c>
      <c r="Y52" s="250">
        <f>F52/O52</f>
        <v/>
      </c>
      <c r="Z52" s="250">
        <f>G52/P52</f>
        <v/>
      </c>
      <c r="AA52" s="250">
        <f>H52/Q52</f>
        <v/>
      </c>
      <c r="AB52" s="251">
        <f>I52/R52</f>
        <v/>
      </c>
      <c r="AC52" s="251">
        <f>J52/S52</f>
        <v/>
      </c>
      <c r="AD52" s="34" t="n"/>
      <c r="AE52" s="34" t="n"/>
      <c r="AF52" s="250">
        <f>W52</f>
        <v/>
      </c>
      <c r="AG52" s="250">
        <f>X52</f>
        <v/>
      </c>
      <c r="AH52" s="250">
        <f>Y52</f>
        <v/>
      </c>
      <c r="AI52" s="250">
        <f>Z52</f>
        <v/>
      </c>
      <c r="AJ52" s="250">
        <f>AA52</f>
        <v/>
      </c>
      <c r="AK52" s="252">
        <f>AB52*1.15</f>
        <v/>
      </c>
      <c r="AL52" s="252">
        <f>AC52*1.15</f>
        <v/>
      </c>
      <c r="AO52" s="250">
        <f>W52</f>
        <v/>
      </c>
      <c r="AP52" s="250">
        <f>X52</f>
        <v/>
      </c>
      <c r="AQ52" s="250">
        <f>Y52</f>
        <v/>
      </c>
      <c r="AR52" s="250">
        <f>Z52</f>
        <v/>
      </c>
      <c r="AS52" s="250">
        <f>AA52</f>
        <v/>
      </c>
      <c r="AT52" s="252">
        <f>AB52*0.85</f>
        <v/>
      </c>
      <c r="AU52" s="252">
        <f>AC52*0.85</f>
        <v/>
      </c>
      <c r="BA52" s="41" t="inlineStr">
        <is>
          <t xml:space="preserve">     Natural gas</t>
        </is>
      </c>
      <c r="BB52" s="249" t="n">
        <v>406.4</v>
      </c>
      <c r="BC52" s="250" t="n">
        <v>364.3</v>
      </c>
      <c r="BD52" s="250" t="n">
        <v>354.6</v>
      </c>
      <c r="BE52" s="250" t="n">
        <v>352.3</v>
      </c>
      <c r="BF52" s="250" t="n">
        <v>340.4</v>
      </c>
      <c r="BG52" s="250" t="n">
        <v>346.2</v>
      </c>
      <c r="BH52" s="250" t="n">
        <v>352.3</v>
      </c>
      <c r="BI52" s="250" t="n">
        <v>352.3</v>
      </c>
      <c r="BJ52" s="34" t="n"/>
      <c r="BK52" s="34" t="n"/>
      <c r="BL52" s="47" t="n"/>
      <c r="BM52" s="47" t="n"/>
      <c r="BN52" s="47" t="n"/>
      <c r="BO52" s="47" t="n"/>
    </row>
    <row r="53" ht="15.5" customHeight="1" s="213">
      <c r="B53" s="41" t="inlineStr">
        <is>
          <t xml:space="preserve">     Petroleum</t>
        </is>
      </c>
      <c r="C53" s="249">
        <f>BB53/1000</f>
        <v/>
      </c>
      <c r="D53" s="249">
        <f>BC53/1000</f>
        <v/>
      </c>
      <c r="E53" s="249">
        <f>BD53/1000</f>
        <v/>
      </c>
      <c r="F53" s="249">
        <f>BE53/1000</f>
        <v/>
      </c>
      <c r="G53" s="249">
        <f>BF53/1000</f>
        <v/>
      </c>
      <c r="H53" s="249">
        <f>BG53/1000</f>
        <v/>
      </c>
      <c r="I53" s="249">
        <f>BH53/1000</f>
        <v/>
      </c>
      <c r="J53" s="249">
        <f>BI53/1000</f>
        <v/>
      </c>
      <c r="K53" s="34" t="n"/>
      <c r="L53" s="34" t="n"/>
      <c r="M53" s="47" t="n">
        <v>5.937</v>
      </c>
      <c r="N53" s="47" t="n">
        <v>5.845</v>
      </c>
      <c r="O53" s="47" t="n">
        <v>5.575</v>
      </c>
      <c r="P53" s="47" t="n">
        <v>5.276</v>
      </c>
      <c r="Q53" s="47" t="n">
        <v>5.363</v>
      </c>
      <c r="R53" s="47" t="n">
        <v>6.645</v>
      </c>
      <c r="S53" s="47" t="n">
        <v>5.654</v>
      </c>
      <c r="T53" s="47" t="n"/>
      <c r="V53" s="41" t="inlineStr">
        <is>
          <t xml:space="preserve">     Petroleum</t>
        </is>
      </c>
      <c r="W53" s="250">
        <f>D53/M53</f>
        <v/>
      </c>
      <c r="X53" s="250">
        <f>E53/N53</f>
        <v/>
      </c>
      <c r="Y53" s="250">
        <f>F53/O53</f>
        <v/>
      </c>
      <c r="Z53" s="250">
        <f>G53/P53</f>
        <v/>
      </c>
      <c r="AA53" s="250">
        <f>H53/Q53</f>
        <v/>
      </c>
      <c r="AB53" s="251">
        <f>I53/R53</f>
        <v/>
      </c>
      <c r="AC53" s="251">
        <f>J53/S53</f>
        <v/>
      </c>
      <c r="AD53" s="34" t="n"/>
      <c r="AE53" s="34" t="n"/>
      <c r="AF53" s="250">
        <f>W53</f>
        <v/>
      </c>
      <c r="AG53" s="250">
        <f>X53</f>
        <v/>
      </c>
      <c r="AH53" s="250">
        <f>Y53</f>
        <v/>
      </c>
      <c r="AI53" s="250">
        <f>Z53</f>
        <v/>
      </c>
      <c r="AJ53" s="250">
        <f>AA53</f>
        <v/>
      </c>
      <c r="AK53" s="252">
        <f>AB53*1.15</f>
        <v/>
      </c>
      <c r="AL53" s="252">
        <f>AC53*1.15</f>
        <v/>
      </c>
      <c r="AO53" s="250">
        <f>W53</f>
        <v/>
      </c>
      <c r="AP53" s="250">
        <f>X53</f>
        <v/>
      </c>
      <c r="AQ53" s="250">
        <f>Y53</f>
        <v/>
      </c>
      <c r="AR53" s="250">
        <f>Z53</f>
        <v/>
      </c>
      <c r="AS53" s="250">
        <f>AA53</f>
        <v/>
      </c>
      <c r="AT53" s="252">
        <f>AB53*0.85</f>
        <v/>
      </c>
      <c r="AU53" s="252">
        <f>AC53*0.85</f>
        <v/>
      </c>
      <c r="BA53" s="41" t="inlineStr">
        <is>
          <t xml:space="preserve">     Petroleum</t>
        </is>
      </c>
      <c r="BB53" s="249" t="n">
        <v>87.2</v>
      </c>
      <c r="BC53" s="250" t="n">
        <v>79.09999999999999</v>
      </c>
      <c r="BD53" s="250" t="n">
        <v>77</v>
      </c>
      <c r="BE53" s="250" t="n">
        <v>76.5</v>
      </c>
      <c r="BF53" s="250" t="n">
        <v>73.7</v>
      </c>
      <c r="BG53" s="250" t="n">
        <v>75.09999999999999</v>
      </c>
      <c r="BH53" s="250" t="n">
        <v>76.5</v>
      </c>
      <c r="BI53" s="250" t="n">
        <v>76.5</v>
      </c>
      <c r="BJ53" s="34" t="n"/>
      <c r="BK53" s="34" t="n"/>
      <c r="BL53" s="47" t="n"/>
      <c r="BM53" s="47" t="n"/>
      <c r="BN53" s="47" t="n"/>
      <c r="BO53" s="47" t="n"/>
    </row>
    <row r="54" ht="15.5" customHeight="1" s="213">
      <c r="A54" s="33" t="inlineStr">
        <is>
          <t>China</t>
        </is>
      </c>
      <c r="B54" s="41" t="inlineStr">
        <is>
          <t xml:space="preserve">     Total Energy</t>
        </is>
      </c>
      <c r="C54" s="249">
        <f>BB54/1000</f>
        <v/>
      </c>
      <c r="D54" s="249">
        <f>BC54/1000</f>
        <v/>
      </c>
      <c r="E54" s="249">
        <f>BD54/1000</f>
        <v/>
      </c>
      <c r="F54" s="249">
        <f>BE54/1000</f>
        <v/>
      </c>
      <c r="G54" s="249">
        <f>BF54/1000</f>
        <v/>
      </c>
      <c r="H54" s="249">
        <f>BG54/1000</f>
        <v/>
      </c>
      <c r="I54" s="249">
        <f>BH54/1000</f>
        <v/>
      </c>
      <c r="J54" s="249">
        <f>BI54/1000</f>
        <v/>
      </c>
      <c r="K54" s="34" t="n"/>
      <c r="L54" s="34" t="n"/>
      <c r="M54" s="47" t="n">
        <v>5.937</v>
      </c>
      <c r="N54" s="47" t="n">
        <v>5.845</v>
      </c>
      <c r="O54" s="47" t="n">
        <v>5.575</v>
      </c>
      <c r="P54" s="47" t="n">
        <v>5.276</v>
      </c>
      <c r="Q54" s="47" t="n">
        <v>5.363</v>
      </c>
      <c r="R54" s="47" t="n">
        <v>6.645</v>
      </c>
      <c r="S54" s="47" t="n">
        <v>5.654</v>
      </c>
      <c r="T54" s="47" t="n"/>
      <c r="U54" s="33" t="inlineStr">
        <is>
          <t>China</t>
        </is>
      </c>
      <c r="V54" s="41" t="inlineStr">
        <is>
          <t xml:space="preserve">     Total Energy</t>
        </is>
      </c>
      <c r="W54" s="250">
        <f>D54/M54</f>
        <v/>
      </c>
      <c r="X54" s="250">
        <f>E54/N54</f>
        <v/>
      </c>
      <c r="Y54" s="250">
        <f>F54/O54</f>
        <v/>
      </c>
      <c r="Z54" s="250">
        <f>G54/P54</f>
        <v/>
      </c>
      <c r="AA54" s="250">
        <f>H54/Q54</f>
        <v/>
      </c>
      <c r="AB54" s="251">
        <f>I54/R54</f>
        <v/>
      </c>
      <c r="AC54" s="251">
        <f>J54/S54</f>
        <v/>
      </c>
      <c r="AD54" s="34" t="n"/>
      <c r="AE54" s="34" t="n"/>
      <c r="AF54" s="250">
        <f>W54</f>
        <v/>
      </c>
      <c r="AG54" s="250">
        <f>X54</f>
        <v/>
      </c>
      <c r="AH54" s="250">
        <f>Y54</f>
        <v/>
      </c>
      <c r="AI54" s="250">
        <f>Z54</f>
        <v/>
      </c>
      <c r="AJ54" s="250">
        <f>AA54</f>
        <v/>
      </c>
      <c r="AK54" s="252">
        <f>AB54*1.15</f>
        <v/>
      </c>
      <c r="AL54" s="252">
        <f>AC54*1.15</f>
        <v/>
      </c>
      <c r="AO54" s="250">
        <f>W54</f>
        <v/>
      </c>
      <c r="AP54" s="250">
        <f>X54</f>
        <v/>
      </c>
      <c r="AQ54" s="250">
        <f>Y54</f>
        <v/>
      </c>
      <c r="AR54" s="250">
        <f>Z54</f>
        <v/>
      </c>
      <c r="AS54" s="250">
        <f>AA54</f>
        <v/>
      </c>
      <c r="AT54" s="252">
        <f>AB54*0.85</f>
        <v/>
      </c>
      <c r="AU54" s="252">
        <f>AC54*0.85</f>
        <v/>
      </c>
      <c r="AZ54" s="33" t="inlineStr">
        <is>
          <t>China</t>
        </is>
      </c>
      <c r="BA54" s="41" t="inlineStr">
        <is>
          <t xml:space="preserve">     Total Energy</t>
        </is>
      </c>
      <c r="BB54" s="249" t="n">
        <v>691.6</v>
      </c>
      <c r="BC54" s="250" t="n">
        <v>608.9</v>
      </c>
      <c r="BD54" s="250" t="n">
        <v>589.5</v>
      </c>
      <c r="BE54" s="250" t="n">
        <v>585</v>
      </c>
      <c r="BF54" s="250" t="n">
        <v>561.2</v>
      </c>
      <c r="BG54" s="250" t="n">
        <v>573</v>
      </c>
      <c r="BH54" s="250" t="n">
        <v>585</v>
      </c>
      <c r="BI54" s="250" t="n">
        <v>585</v>
      </c>
      <c r="BJ54" s="34" t="n"/>
      <c r="BK54" s="34" t="n"/>
      <c r="BL54" s="47" t="n"/>
      <c r="BM54" s="47" t="n"/>
      <c r="BN54" s="47" t="n"/>
      <c r="BO54" s="47" t="n"/>
    </row>
    <row r="55" ht="15.5" customHeight="1" s="213">
      <c r="B55" s="41" t="inlineStr">
        <is>
          <t xml:space="preserve">     Fossil fuels</t>
        </is>
      </c>
      <c r="C55" s="249">
        <f>BB55/1000</f>
        <v/>
      </c>
      <c r="D55" s="249">
        <f>BC55/1000</f>
        <v/>
      </c>
      <c r="E55" s="249">
        <f>BD55/1000</f>
        <v/>
      </c>
      <c r="F55" s="249">
        <f>BE55/1000</f>
        <v/>
      </c>
      <c r="G55" s="249">
        <f>BF55/1000</f>
        <v/>
      </c>
      <c r="H55" s="249">
        <f>BG55/1000</f>
        <v/>
      </c>
      <c r="I55" s="249">
        <f>BH55/1000</f>
        <v/>
      </c>
      <c r="J55" s="249">
        <f>BI55/1000</f>
        <v/>
      </c>
      <c r="K55" s="34" t="n"/>
      <c r="L55" s="34" t="n"/>
      <c r="M55" s="47" t="n">
        <v>5.937</v>
      </c>
      <c r="N55" s="47" t="n">
        <v>5.845</v>
      </c>
      <c r="O55" s="47" t="n">
        <v>5.575</v>
      </c>
      <c r="P55" s="47" t="n">
        <v>5.276</v>
      </c>
      <c r="Q55" s="47" t="n">
        <v>5.363</v>
      </c>
      <c r="R55" s="47" t="n">
        <v>6.645</v>
      </c>
      <c r="S55" s="47" t="n">
        <v>5.654</v>
      </c>
      <c r="T55" s="47" t="n"/>
      <c r="V55" s="41" t="inlineStr">
        <is>
          <t xml:space="preserve">     Fossil fuels</t>
        </is>
      </c>
      <c r="W55" s="250">
        <f>D55/M55</f>
        <v/>
      </c>
      <c r="X55" s="250">
        <f>E55/N55</f>
        <v/>
      </c>
      <c r="Y55" s="250">
        <f>F55/O55</f>
        <v/>
      </c>
      <c r="Z55" s="250">
        <f>G55/P55</f>
        <v/>
      </c>
      <c r="AA55" s="250">
        <f>H55/Q55</f>
        <v/>
      </c>
      <c r="AB55" s="251">
        <f>I55/R55</f>
        <v/>
      </c>
      <c r="AC55" s="251">
        <f>J55/S55</f>
        <v/>
      </c>
      <c r="AD55" s="34" t="n"/>
      <c r="AE55" s="34" t="n"/>
      <c r="AF55" s="250">
        <f>W55</f>
        <v/>
      </c>
      <c r="AG55" s="250">
        <f>X55</f>
        <v/>
      </c>
      <c r="AH55" s="250">
        <f>Y55</f>
        <v/>
      </c>
      <c r="AI55" s="250">
        <f>Z55</f>
        <v/>
      </c>
      <c r="AJ55" s="250">
        <f>AA55</f>
        <v/>
      </c>
      <c r="AK55" s="252">
        <f>AB55*1.15</f>
        <v/>
      </c>
      <c r="AL55" s="252">
        <f>AC55*1.15</f>
        <v/>
      </c>
      <c r="AO55" s="250">
        <f>W55</f>
        <v/>
      </c>
      <c r="AP55" s="250">
        <f>X55</f>
        <v/>
      </c>
      <c r="AQ55" s="250">
        <f>Y55</f>
        <v/>
      </c>
      <c r="AR55" s="250">
        <f>Z55</f>
        <v/>
      </c>
      <c r="AS55" s="250">
        <f>AA55</f>
        <v/>
      </c>
      <c r="AT55" s="252">
        <f>AB55*0.85</f>
        <v/>
      </c>
      <c r="AU55" s="252">
        <f>AC55*0.85</f>
        <v/>
      </c>
      <c r="BA55" s="41" t="inlineStr">
        <is>
          <t xml:space="preserve">     Fossil fuels</t>
        </is>
      </c>
      <c r="BB55" s="249" t="n">
        <v>634</v>
      </c>
      <c r="BC55" s="250" t="n">
        <v>560.8</v>
      </c>
      <c r="BD55" s="250" t="n">
        <v>543.5</v>
      </c>
      <c r="BE55" s="250" t="n">
        <v>539.4</v>
      </c>
      <c r="BF55" s="250" t="n">
        <v>518.1</v>
      </c>
      <c r="BG55" s="250" t="n">
        <v>528.7</v>
      </c>
      <c r="BH55" s="250" t="n">
        <v>539.4</v>
      </c>
      <c r="BI55" s="250" t="n">
        <v>539.4</v>
      </c>
      <c r="BJ55" s="34" t="n"/>
      <c r="BK55" s="34" t="n"/>
      <c r="BL55" s="47" t="n"/>
      <c r="BM55" s="47" t="n"/>
      <c r="BN55" s="47" t="n"/>
      <c r="BO55" s="47" t="n"/>
    </row>
    <row r="56" ht="15.5" customHeight="1" s="213">
      <c r="B56" s="41" t="inlineStr">
        <is>
          <t xml:space="preserve">     Coal</t>
        </is>
      </c>
      <c r="C56" s="249">
        <f>BB56/1000</f>
        <v/>
      </c>
      <c r="D56" s="249">
        <f>BC56/1000</f>
        <v/>
      </c>
      <c r="E56" s="249">
        <f>BD56/1000</f>
        <v/>
      </c>
      <c r="F56" s="249">
        <f>BE56/1000</f>
        <v/>
      </c>
      <c r="G56" s="249">
        <f>BF56/1000</f>
        <v/>
      </c>
      <c r="H56" s="249">
        <f>BG56/1000</f>
        <v/>
      </c>
      <c r="I56" s="249">
        <f>BH56/1000</f>
        <v/>
      </c>
      <c r="J56" s="249">
        <f>BI56/1000</f>
        <v/>
      </c>
      <c r="K56" s="34" t="n"/>
      <c r="L56" s="34" t="n"/>
      <c r="M56" s="47" t="n">
        <v>5.937</v>
      </c>
      <c r="N56" s="47" t="n">
        <v>5.845</v>
      </c>
      <c r="O56" s="47" t="n">
        <v>5.575</v>
      </c>
      <c r="P56" s="47" t="n">
        <v>5.276</v>
      </c>
      <c r="Q56" s="47" t="n">
        <v>5.363</v>
      </c>
      <c r="R56" s="47" t="n">
        <v>6.645</v>
      </c>
      <c r="S56" s="47" t="n">
        <v>5.654</v>
      </c>
      <c r="T56" s="47" t="n"/>
      <c r="V56" s="41" t="inlineStr">
        <is>
          <t xml:space="preserve">     Coal</t>
        </is>
      </c>
      <c r="W56" s="250">
        <f>D56/M56</f>
        <v/>
      </c>
      <c r="X56" s="250">
        <f>E56/N56</f>
        <v/>
      </c>
      <c r="Y56" s="250">
        <f>F56/O56</f>
        <v/>
      </c>
      <c r="Z56" s="250">
        <f>G56/P56</f>
        <v/>
      </c>
      <c r="AA56" s="250">
        <f>H56/Q56</f>
        <v/>
      </c>
      <c r="AB56" s="251">
        <f>I56/R56</f>
        <v/>
      </c>
      <c r="AC56" s="251">
        <f>J56/S56</f>
        <v/>
      </c>
      <c r="AD56" s="34" t="n"/>
      <c r="AE56" s="34" t="n"/>
      <c r="AF56" s="250">
        <f>W56</f>
        <v/>
      </c>
      <c r="AG56" s="250">
        <f>X56</f>
        <v/>
      </c>
      <c r="AH56" s="250">
        <f>Y56</f>
        <v/>
      </c>
      <c r="AI56" s="250">
        <f>Z56</f>
        <v/>
      </c>
      <c r="AJ56" s="250">
        <f>AA56</f>
        <v/>
      </c>
      <c r="AK56" s="252">
        <f>AB56*1.15</f>
        <v/>
      </c>
      <c r="AL56" s="252">
        <f>AC56*1.15</f>
        <v/>
      </c>
      <c r="AO56" s="250">
        <f>W56</f>
        <v/>
      </c>
      <c r="AP56" s="250">
        <f>X56</f>
        <v/>
      </c>
      <c r="AQ56" s="250">
        <f>Y56</f>
        <v/>
      </c>
      <c r="AR56" s="250">
        <f>Z56</f>
        <v/>
      </c>
      <c r="AS56" s="250">
        <f>AA56</f>
        <v/>
      </c>
      <c r="AT56" s="252">
        <f>AB56*0.85</f>
        <v/>
      </c>
      <c r="AU56" s="252">
        <f>AC56*0.85</f>
        <v/>
      </c>
      <c r="BA56" s="41" t="inlineStr">
        <is>
          <t xml:space="preserve">     Coal</t>
        </is>
      </c>
      <c r="BB56" s="249" t="n">
        <v>225.6</v>
      </c>
      <c r="BC56" s="250" t="n">
        <v>189.8</v>
      </c>
      <c r="BD56" s="250" t="n">
        <v>181.6</v>
      </c>
      <c r="BE56" s="250" t="n">
        <v>179.7</v>
      </c>
      <c r="BF56" s="250" t="n">
        <v>169.7</v>
      </c>
      <c r="BG56" s="250" t="n">
        <v>174.7</v>
      </c>
      <c r="BH56" s="250" t="n">
        <v>179.7</v>
      </c>
      <c r="BI56" s="250" t="n">
        <v>179.7</v>
      </c>
      <c r="BJ56" s="34" t="n"/>
      <c r="BK56" s="34" t="n"/>
      <c r="BL56" s="47" t="n"/>
      <c r="BM56" s="47" t="n"/>
      <c r="BN56" s="47" t="n"/>
      <c r="BO56" s="47" t="n"/>
    </row>
    <row r="57" ht="15.5" customHeight="1" s="213">
      <c r="B57" s="41" t="inlineStr">
        <is>
          <t xml:space="preserve">     Natural gas</t>
        </is>
      </c>
      <c r="C57" s="249">
        <f>BB57/1000</f>
        <v/>
      </c>
      <c r="D57" s="249">
        <f>BC57/1000</f>
        <v/>
      </c>
      <c r="E57" s="249">
        <f>BD57/1000</f>
        <v/>
      </c>
      <c r="F57" s="249">
        <f>BE57/1000</f>
        <v/>
      </c>
      <c r="G57" s="249">
        <f>BF57/1000</f>
        <v/>
      </c>
      <c r="H57" s="249">
        <f>BG57/1000</f>
        <v/>
      </c>
      <c r="I57" s="249">
        <f>BH57/1000</f>
        <v/>
      </c>
      <c r="J57" s="249">
        <f>BI57/1000</f>
        <v/>
      </c>
      <c r="K57" s="34" t="n"/>
      <c r="L57" s="34" t="n"/>
      <c r="M57" s="47" t="n">
        <v>5.937</v>
      </c>
      <c r="N57" s="47" t="n">
        <v>5.845</v>
      </c>
      <c r="O57" s="47" t="n">
        <v>5.575</v>
      </c>
      <c r="P57" s="47" t="n">
        <v>5.276</v>
      </c>
      <c r="Q57" s="47" t="n">
        <v>5.363</v>
      </c>
      <c r="R57" s="47" t="n">
        <v>6.645</v>
      </c>
      <c r="S57" s="47" t="n">
        <v>5.654</v>
      </c>
      <c r="T57" s="47" t="n"/>
      <c r="V57" s="41" t="inlineStr">
        <is>
          <t xml:space="preserve">     Natural gas</t>
        </is>
      </c>
      <c r="W57" s="250">
        <f>D57/M57</f>
        <v/>
      </c>
      <c r="X57" s="250">
        <f>E57/N57</f>
        <v/>
      </c>
      <c r="Y57" s="250">
        <f>F57/O57</f>
        <v/>
      </c>
      <c r="Z57" s="250">
        <f>G57/P57</f>
        <v/>
      </c>
      <c r="AA57" s="250">
        <f>H57/Q57</f>
        <v/>
      </c>
      <c r="AB57" s="251">
        <f>I57/R57</f>
        <v/>
      </c>
      <c r="AC57" s="251">
        <f>J57/S57</f>
        <v/>
      </c>
      <c r="AD57" s="34" t="n"/>
      <c r="AE57" s="34" t="n"/>
      <c r="AF57" s="250">
        <f>W57</f>
        <v/>
      </c>
      <c r="AG57" s="250">
        <f>X57</f>
        <v/>
      </c>
      <c r="AH57" s="250">
        <f>Y57</f>
        <v/>
      </c>
      <c r="AI57" s="250">
        <f>Z57</f>
        <v/>
      </c>
      <c r="AJ57" s="250">
        <f>AA57</f>
        <v/>
      </c>
      <c r="AK57" s="252">
        <f>AB57*1.15</f>
        <v/>
      </c>
      <c r="AL57" s="252">
        <f>AC57*1.15</f>
        <v/>
      </c>
      <c r="AO57" s="250">
        <f>W57</f>
        <v/>
      </c>
      <c r="AP57" s="250">
        <f>X57</f>
        <v/>
      </c>
      <c r="AQ57" s="250">
        <f>Y57</f>
        <v/>
      </c>
      <c r="AR57" s="250">
        <f>Z57</f>
        <v/>
      </c>
      <c r="AS57" s="250">
        <f>AA57</f>
        <v/>
      </c>
      <c r="AT57" s="252">
        <f>AB57*0.85</f>
        <v/>
      </c>
      <c r="AU57" s="252">
        <f>AC57*0.85</f>
        <v/>
      </c>
      <c r="BA57" s="41" t="inlineStr">
        <is>
          <t xml:space="preserve">     Natural gas</t>
        </is>
      </c>
      <c r="BB57" s="249" t="n">
        <v>367.1</v>
      </c>
      <c r="BC57" s="250" t="n">
        <v>330.8</v>
      </c>
      <c r="BD57" s="250" t="n">
        <v>322.4</v>
      </c>
      <c r="BE57" s="250" t="n">
        <v>320.5</v>
      </c>
      <c r="BF57" s="250" t="n">
        <v>310.1</v>
      </c>
      <c r="BG57" s="250" t="n">
        <v>315.1</v>
      </c>
      <c r="BH57" s="250" t="n">
        <v>320.5</v>
      </c>
      <c r="BI57" s="250" t="n">
        <v>320.5</v>
      </c>
      <c r="BJ57" s="34" t="n"/>
      <c r="BK57" s="34" t="n"/>
      <c r="BL57" s="47" t="n"/>
      <c r="BM57" s="47" t="n"/>
      <c r="BN57" s="47" t="n"/>
      <c r="BO57" s="47" t="n"/>
    </row>
    <row r="58" ht="15.5" customHeight="1" s="213">
      <c r="B58" s="41" t="inlineStr">
        <is>
          <t xml:space="preserve">     Petroleum</t>
        </is>
      </c>
      <c r="C58" s="249">
        <f>BB58/1000</f>
        <v/>
      </c>
      <c r="D58" s="249">
        <f>BC58/1000</f>
        <v/>
      </c>
      <c r="E58" s="249">
        <f>BD58/1000</f>
        <v/>
      </c>
      <c r="F58" s="249">
        <f>BE58/1000</f>
        <v/>
      </c>
      <c r="G58" s="249">
        <f>BF58/1000</f>
        <v/>
      </c>
      <c r="H58" s="249">
        <f>BG58/1000</f>
        <v/>
      </c>
      <c r="I58" s="249">
        <f>BH58/1000</f>
        <v/>
      </c>
      <c r="J58" s="249">
        <f>BI58/1000</f>
        <v/>
      </c>
      <c r="K58" s="34" t="n"/>
      <c r="L58" s="34" t="n"/>
      <c r="M58" s="47" t="n">
        <v>5.937</v>
      </c>
      <c r="N58" s="47" t="n">
        <v>5.845</v>
      </c>
      <c r="O58" s="47" t="n">
        <v>5.575</v>
      </c>
      <c r="P58" s="47" t="n">
        <v>5.276</v>
      </c>
      <c r="Q58" s="47" t="n">
        <v>5.363</v>
      </c>
      <c r="R58" s="47" t="n">
        <v>6.645</v>
      </c>
      <c r="S58" s="47" t="n">
        <v>5.654</v>
      </c>
      <c r="T58" s="47" t="n"/>
      <c r="V58" s="41" t="inlineStr">
        <is>
          <t xml:space="preserve">     Petroleum</t>
        </is>
      </c>
      <c r="W58" s="250">
        <f>D58/M58</f>
        <v/>
      </c>
      <c r="X58" s="250">
        <f>E58/N58</f>
        <v/>
      </c>
      <c r="Y58" s="250">
        <f>F58/O58</f>
        <v/>
      </c>
      <c r="Z58" s="250">
        <f>G58/P58</f>
        <v/>
      </c>
      <c r="AA58" s="250">
        <f>H58/Q58</f>
        <v/>
      </c>
      <c r="AB58" s="251">
        <f>I58/R58</f>
        <v/>
      </c>
      <c r="AC58" s="251">
        <f>J58/S58</f>
        <v/>
      </c>
      <c r="AD58" s="34" t="n"/>
      <c r="AE58" s="34" t="n"/>
      <c r="AF58" s="250">
        <f>W58</f>
        <v/>
      </c>
      <c r="AG58" s="250">
        <f>X58</f>
        <v/>
      </c>
      <c r="AH58" s="250">
        <f>Y58</f>
        <v/>
      </c>
      <c r="AI58" s="250">
        <f>Z58</f>
        <v/>
      </c>
      <c r="AJ58" s="250">
        <f>AA58</f>
        <v/>
      </c>
      <c r="AK58" s="252">
        <f>AB58*1.15</f>
        <v/>
      </c>
      <c r="AL58" s="252">
        <f>AC58*1.15</f>
        <v/>
      </c>
      <c r="AO58" s="250">
        <f>W58</f>
        <v/>
      </c>
      <c r="AP58" s="250">
        <f>X58</f>
        <v/>
      </c>
      <c r="AQ58" s="250">
        <f>Y58</f>
        <v/>
      </c>
      <c r="AR58" s="250">
        <f>Z58</f>
        <v/>
      </c>
      <c r="AS58" s="250">
        <f>AA58</f>
        <v/>
      </c>
      <c r="AT58" s="252">
        <f>AB58*0.85</f>
        <v/>
      </c>
      <c r="AU58" s="252">
        <f>AC58*0.85</f>
        <v/>
      </c>
      <c r="BA58" s="41" t="inlineStr">
        <is>
          <t xml:space="preserve">     Petroleum</t>
        </is>
      </c>
      <c r="BB58" s="249" t="n">
        <v>85.3</v>
      </c>
      <c r="BC58" s="250" t="n">
        <v>77.5</v>
      </c>
      <c r="BD58" s="250" t="n">
        <v>75.5</v>
      </c>
      <c r="BE58" s="250" t="n">
        <v>75</v>
      </c>
      <c r="BF58" s="250" t="n">
        <v>72.2</v>
      </c>
      <c r="BG58" s="250" t="n">
        <v>73.59999999999999</v>
      </c>
      <c r="BH58" s="250" t="n">
        <v>75</v>
      </c>
      <c r="BI58" s="250" t="n">
        <v>75</v>
      </c>
      <c r="BJ58" s="34" t="n"/>
      <c r="BK58" s="34" t="n"/>
      <c r="BL58" s="47" t="n"/>
      <c r="BM58" s="47" t="n"/>
      <c r="BN58" s="47" t="n"/>
      <c r="BO58" s="47" t="n"/>
    </row>
    <row r="59" ht="15.5" customHeight="1" s="213">
      <c r="A59" s="34" t="n"/>
      <c r="B59" s="34" t="n"/>
      <c r="C59" s="37" t="n"/>
      <c r="D59" s="34" t="n"/>
      <c r="E59" s="34" t="n"/>
      <c r="F59" s="34" t="n"/>
      <c r="G59" s="34" t="n"/>
      <c r="H59" s="34" t="n"/>
      <c r="I59" s="34" t="n"/>
      <c r="J59" s="34" t="n"/>
      <c r="K59" s="34" t="n"/>
      <c r="L59" s="34" t="n"/>
      <c r="M59" s="34" t="n"/>
      <c r="N59" s="34" t="n"/>
      <c r="O59" s="34" t="n"/>
      <c r="P59" s="34" t="n"/>
      <c r="Q59" s="34" t="n"/>
      <c r="R59" s="34" t="n"/>
      <c r="S59" s="34" t="n"/>
      <c r="T59" s="34" t="n"/>
      <c r="AZ59" s="34" t="n"/>
      <c r="BA59" s="34" t="n"/>
      <c r="BB59" s="37" t="n"/>
      <c r="BC59" s="34" t="n"/>
      <c r="BD59" s="34" t="n"/>
      <c r="BE59" s="34" t="n"/>
      <c r="BF59" s="34" t="n"/>
      <c r="BG59" s="34" t="n"/>
      <c r="BH59" s="34" t="n"/>
      <c r="BI59" s="34" t="n"/>
      <c r="BJ59" s="34" t="n"/>
      <c r="BK59" s="34" t="n"/>
      <c r="BL59" s="34" t="n"/>
      <c r="BM59" s="34" t="n"/>
      <c r="BN59" s="34" t="n"/>
      <c r="BO59" s="34" t="n"/>
    </row>
    <row r="60" ht="15.5" customHeight="1" s="213">
      <c r="A60" s="34" t="inlineStr">
        <is>
          <t xml:space="preserve">** Assumed to be cell manufacturing </t>
        </is>
      </c>
      <c r="B60" s="34" t="n"/>
      <c r="C60" s="37" t="n"/>
      <c r="D60" s="34" t="n"/>
      <c r="E60" s="34" t="n"/>
      <c r="F60" s="34" t="n"/>
      <c r="G60" s="34" t="n"/>
      <c r="H60" s="34" t="n"/>
      <c r="I60" s="34" t="n"/>
      <c r="J60" s="34" t="n"/>
      <c r="K60" s="34" t="n"/>
      <c r="L60" s="34" t="n"/>
      <c r="M60" s="34" t="n"/>
      <c r="N60" s="34" t="n"/>
      <c r="O60" s="34" t="n"/>
      <c r="P60" s="34" t="n"/>
      <c r="Q60" s="34" t="n"/>
      <c r="R60" s="34" t="n"/>
      <c r="S60" s="34" t="n"/>
      <c r="T60" s="34" t="n"/>
      <c r="AZ60" s="34" t="inlineStr">
        <is>
          <t xml:space="preserve">** Assumed to be cell manufacturing </t>
        </is>
      </c>
      <c r="BA60" s="34" t="n"/>
      <c r="BB60" s="37" t="n"/>
      <c r="BC60" s="34" t="n"/>
      <c r="BD60" s="34" t="n"/>
      <c r="BE60" s="34" t="n"/>
      <c r="BF60" s="34" t="n"/>
      <c r="BG60" s="34" t="n"/>
      <c r="BH60" s="34" t="n"/>
      <c r="BI60" s="34" t="n"/>
      <c r="BJ60" s="34" t="n"/>
      <c r="BK60" s="34" t="n"/>
      <c r="BL60" s="34" t="n"/>
      <c r="BM60" s="34" t="n"/>
      <c r="BN60" s="34" t="n"/>
      <c r="BO60" s="34" t="n"/>
    </row>
    <row r="61" ht="15.5" customHeight="1" s="213">
      <c r="A61" s="34" t="inlineStr">
        <is>
          <t xml:space="preserve">*** LMO and LFP cathode production from recycled materials is not included in EverBatt </t>
        </is>
      </c>
      <c r="B61" s="34" t="n"/>
      <c r="C61" s="37" t="n"/>
      <c r="D61" s="34" t="n"/>
      <c r="E61" s="34" t="n"/>
      <c r="F61" s="34" t="n"/>
      <c r="G61" s="34" t="n"/>
      <c r="H61" s="34" t="n"/>
      <c r="I61" s="34" t="n"/>
      <c r="J61" s="34" t="n"/>
      <c r="K61" s="34" t="n"/>
      <c r="L61" s="34" t="n"/>
      <c r="M61" s="34" t="n"/>
      <c r="N61" s="34" t="n"/>
      <c r="O61" s="34" t="n"/>
      <c r="P61" s="34" t="n"/>
      <c r="Q61" s="34" t="n"/>
      <c r="R61" s="34" t="n"/>
      <c r="S61" s="34" t="n"/>
      <c r="T61" s="34" t="n"/>
      <c r="AZ61" s="34" t="inlineStr">
        <is>
          <t xml:space="preserve">*** LMO and LFP cathode production from recycled materials is not included in EverBatt </t>
        </is>
      </c>
      <c r="BA61" s="34" t="n"/>
      <c r="BB61" s="37" t="n"/>
      <c r="BC61" s="34" t="n"/>
      <c r="BD61" s="34" t="n"/>
      <c r="BE61" s="34" t="n"/>
      <c r="BF61" s="34" t="n"/>
      <c r="BG61" s="34" t="n"/>
      <c r="BH61" s="34" t="n"/>
      <c r="BI61" s="34" t="n"/>
      <c r="BJ61" s="34" t="n"/>
      <c r="BK61" s="34" t="n"/>
      <c r="BL61" s="34" t="n"/>
      <c r="BM61" s="34" t="n"/>
      <c r="BN61" s="34" t="n"/>
      <c r="BO61" s="34" t="n"/>
    </row>
    <row r="62" ht="15.5" customHeight="1" s="213">
      <c r="A62" s="34" t="inlineStr">
        <is>
          <t xml:space="preserve">**** All recycled chemistries are assumed to be priducing the same cathode chemistry for manufacture with recyclked materials </t>
        </is>
      </c>
      <c r="B62" s="34" t="n"/>
      <c r="C62" s="37" t="n"/>
      <c r="D62" s="34" t="n"/>
      <c r="E62" s="34" t="n"/>
      <c r="F62" s="34" t="n"/>
      <c r="G62" s="34" t="n"/>
      <c r="H62" s="34" t="n"/>
      <c r="I62" s="34" t="n"/>
      <c r="J62" s="34" t="n"/>
      <c r="K62" s="34" t="n"/>
      <c r="L62" s="34" t="n"/>
      <c r="M62" s="34" t="n"/>
      <c r="N62" s="34" t="n"/>
      <c r="O62" s="34" t="n"/>
      <c r="P62" s="34" t="n"/>
      <c r="Q62" s="34" t="n"/>
      <c r="R62" s="34" t="n"/>
      <c r="S62" s="34" t="n"/>
      <c r="T62" s="34" t="n"/>
      <c r="AZ62" s="34" t="inlineStr">
        <is>
          <t xml:space="preserve">**** All recycled chemistries are assumed to be priducing the same cathode chemistry for manufacture with recyclked materials </t>
        </is>
      </c>
      <c r="BA62" s="34" t="n"/>
      <c r="BB62" s="37" t="n"/>
      <c r="BC62" s="34" t="n"/>
      <c r="BD62" s="34" t="n"/>
      <c r="BE62" s="34" t="n"/>
      <c r="BF62" s="34" t="n"/>
      <c r="BG62" s="34" t="n"/>
      <c r="BH62" s="34" t="n"/>
      <c r="BI62" s="34" t="n"/>
      <c r="BJ62" s="34" t="n"/>
      <c r="BK62" s="34" t="n"/>
      <c r="BL62" s="34" t="n"/>
      <c r="BM62" s="34" t="n"/>
      <c r="BN62" s="34" t="n"/>
      <c r="BO62" s="34" t="n"/>
    </row>
    <row r="71" ht="15.5" customHeight="1" s="213">
      <c r="U71" s="34" t="n"/>
      <c r="V71" s="34" t="n"/>
      <c r="W71" s="34" t="n"/>
      <c r="X71" s="34" t="n"/>
      <c r="Y71" s="34" t="n"/>
      <c r="Z71" s="34" t="n"/>
      <c r="AA71" s="34" t="n"/>
      <c r="AB71" s="34" t="n"/>
      <c r="AC71" s="34" t="n"/>
      <c r="AD71" s="34" t="n"/>
      <c r="AE71" s="34" t="n"/>
      <c r="AF71" s="34" t="n"/>
      <c r="AG71" s="34" t="n"/>
      <c r="AH71" s="34" t="n"/>
      <c r="AI71" s="34" t="n"/>
      <c r="AJ71" s="34" t="n"/>
      <c r="AK71" s="34" t="n"/>
      <c r="AL71" s="34" t="n"/>
      <c r="AM71" s="34" t="n"/>
      <c r="AN71" s="34" t="n"/>
      <c r="AO71" s="34" t="n"/>
      <c r="AP71" s="34" t="n"/>
      <c r="AQ71" s="34" t="n"/>
      <c r="AR71" s="34" t="n"/>
      <c r="AS71" s="34" t="n"/>
      <c r="AT71" s="34" t="n"/>
      <c r="AU71" s="34" t="n"/>
    </row>
    <row r="72" ht="15.5" customHeight="1" s="213">
      <c r="U72" s="34" t="n"/>
      <c r="V72" s="34" t="n"/>
      <c r="W72" s="34" t="inlineStr">
        <is>
          <t>NMC111</t>
        </is>
      </c>
      <c r="X72" s="34" t="inlineStr">
        <is>
          <t>NMC532</t>
        </is>
      </c>
      <c r="Y72" s="38" t="inlineStr">
        <is>
          <t>NMC622</t>
        </is>
      </c>
      <c r="Z72" s="34" t="inlineStr">
        <is>
          <t>NMC811</t>
        </is>
      </c>
      <c r="AA72" s="34" t="inlineStr">
        <is>
          <t>NCA</t>
        </is>
      </c>
      <c r="AB72" s="40" t="inlineStr">
        <is>
          <t xml:space="preserve">LMO </t>
        </is>
      </c>
      <c r="AC72" s="40" t="inlineStr">
        <is>
          <t xml:space="preserve">LFP </t>
        </is>
      </c>
      <c r="AD72" s="34" t="n"/>
      <c r="AE72" s="34" t="n"/>
      <c r="AF72" s="34" t="inlineStr">
        <is>
          <t>NMC111</t>
        </is>
      </c>
      <c r="AG72" s="34" t="inlineStr">
        <is>
          <t>NMC532</t>
        </is>
      </c>
      <c r="AH72" s="38" t="inlineStr">
        <is>
          <t>NMC622</t>
        </is>
      </c>
      <c r="AI72" s="34" t="inlineStr">
        <is>
          <t>NMC811</t>
        </is>
      </c>
      <c r="AJ72" s="34" t="inlineStr">
        <is>
          <t>NCA</t>
        </is>
      </c>
      <c r="AK72" s="40" t="inlineStr">
        <is>
          <t xml:space="preserve">LMO </t>
        </is>
      </c>
      <c r="AL72" s="40" t="inlineStr">
        <is>
          <t xml:space="preserve">LFP </t>
        </is>
      </c>
      <c r="AM72" s="34" t="n"/>
      <c r="AN72" s="34" t="n"/>
      <c r="AO72" s="34" t="inlineStr">
        <is>
          <t>NMC111</t>
        </is>
      </c>
      <c r="AP72" s="34" t="inlineStr">
        <is>
          <t>NMC532</t>
        </is>
      </c>
      <c r="AQ72" s="38" t="inlineStr">
        <is>
          <t>NMC622</t>
        </is>
      </c>
      <c r="AR72" s="34" t="inlineStr">
        <is>
          <t>NMC811</t>
        </is>
      </c>
      <c r="AS72" s="34" t="inlineStr">
        <is>
          <t>NCA</t>
        </is>
      </c>
      <c r="AT72" s="40" t="inlineStr">
        <is>
          <t xml:space="preserve">LMO </t>
        </is>
      </c>
      <c r="AU72" s="40" t="inlineStr">
        <is>
          <t xml:space="preserve">LFP </t>
        </is>
      </c>
    </row>
    <row r="73" ht="14.5" customHeight="1" s="213">
      <c r="U73" s="33" t="inlineStr">
        <is>
          <t>US</t>
        </is>
      </c>
      <c r="V73" s="48" t="inlineStr">
        <is>
          <t>ELC</t>
        </is>
      </c>
      <c r="W73" s="208">
        <f>W4-W5</f>
        <v/>
      </c>
      <c r="X73" s="208">
        <f>X4-X5</f>
        <v/>
      </c>
      <c r="Y73" s="208">
        <f>Y4-Y5</f>
        <v/>
      </c>
      <c r="Z73" s="208">
        <f>Z4-Z5</f>
        <v/>
      </c>
      <c r="AA73" s="208">
        <f>AA4-AA5</f>
        <v/>
      </c>
      <c r="AB73" s="208">
        <f>AB4-AB5</f>
        <v/>
      </c>
      <c r="AC73" s="208">
        <f>AC4-AC5</f>
        <v/>
      </c>
      <c r="AF73" s="208">
        <f>AF4-AF5</f>
        <v/>
      </c>
      <c r="AG73" s="208">
        <f>AG4-AG5</f>
        <v/>
      </c>
      <c r="AH73" s="208">
        <f>AH4-AH5</f>
        <v/>
      </c>
      <c r="AI73" s="208">
        <f>AI4-AI5</f>
        <v/>
      </c>
      <c r="AJ73" s="208">
        <f>AJ4-AJ5</f>
        <v/>
      </c>
      <c r="AK73" s="208">
        <f>AK4-AK5</f>
        <v/>
      </c>
      <c r="AL73" s="208">
        <f>AL4-AL5</f>
        <v/>
      </c>
      <c r="AO73" s="208">
        <f>AO4-AO5</f>
        <v/>
      </c>
      <c r="AP73" s="208">
        <f>AP4-AP5</f>
        <v/>
      </c>
      <c r="AQ73" s="208">
        <f>AQ4-AQ5</f>
        <v/>
      </c>
      <c r="AR73" s="208">
        <f>AR4-AR5</f>
        <v/>
      </c>
      <c r="AS73" s="208">
        <f>AS4-AS5</f>
        <v/>
      </c>
      <c r="AT73" s="208">
        <f>AT4-AT5</f>
        <v/>
      </c>
      <c r="AU73" s="208">
        <f>AU4-AU5</f>
        <v/>
      </c>
    </row>
    <row r="74" ht="14.5" customHeight="1" s="213">
      <c r="V74" s="49" t="inlineStr">
        <is>
          <t>COAHCO</t>
        </is>
      </c>
      <c r="W74" s="208">
        <f>W6</f>
        <v/>
      </c>
      <c r="X74" s="208">
        <f>X6</f>
        <v/>
      </c>
      <c r="Y74" s="208">
        <f>Y6</f>
        <v/>
      </c>
      <c r="Z74" s="208">
        <f>Z6</f>
        <v/>
      </c>
      <c r="AA74" s="208">
        <f>AA6</f>
        <v/>
      </c>
      <c r="AB74" s="208">
        <f>AB6</f>
        <v/>
      </c>
      <c r="AC74" s="208">
        <f>AC6</f>
        <v/>
      </c>
      <c r="AF74" s="208">
        <f>AF6</f>
        <v/>
      </c>
      <c r="AG74" s="208">
        <f>AG6</f>
        <v/>
      </c>
      <c r="AH74" s="208">
        <f>AH6</f>
        <v/>
      </c>
      <c r="AI74" s="208">
        <f>AI6</f>
        <v/>
      </c>
      <c r="AJ74" s="208">
        <f>AJ6</f>
        <v/>
      </c>
      <c r="AK74" s="208">
        <f>AK6</f>
        <v/>
      </c>
      <c r="AL74" s="208">
        <f>AL6</f>
        <v/>
      </c>
      <c r="AO74" s="208">
        <f>AO6</f>
        <v/>
      </c>
      <c r="AP74" s="208">
        <f>AP6</f>
        <v/>
      </c>
      <c r="AQ74" s="208">
        <f>AQ6</f>
        <v/>
      </c>
      <c r="AR74" s="208">
        <f>AR6</f>
        <v/>
      </c>
      <c r="AS74" s="208">
        <f>AS6</f>
        <v/>
      </c>
      <c r="AT74" s="208">
        <f>AT6</f>
        <v/>
      </c>
      <c r="AU74" s="208">
        <f>AU6</f>
        <v/>
      </c>
    </row>
    <row r="75" ht="14.5" customHeight="1" s="213">
      <c r="V75" s="48" t="inlineStr">
        <is>
          <t>GASNGA</t>
        </is>
      </c>
      <c r="W75" s="208">
        <f>W7</f>
        <v/>
      </c>
      <c r="X75" s="208">
        <f>X7</f>
        <v/>
      </c>
      <c r="Y75" s="208">
        <f>Y7</f>
        <v/>
      </c>
      <c r="Z75" s="208">
        <f>Z7</f>
        <v/>
      </c>
      <c r="AA75" s="208">
        <f>AA7</f>
        <v/>
      </c>
      <c r="AB75" s="208">
        <f>AB7</f>
        <v/>
      </c>
      <c r="AC75" s="208">
        <f>AC7</f>
        <v/>
      </c>
      <c r="AF75" s="208">
        <f>AF7</f>
        <v/>
      </c>
      <c r="AG75" s="208">
        <f>AG7</f>
        <v/>
      </c>
      <c r="AH75" s="208">
        <f>AH7</f>
        <v/>
      </c>
      <c r="AI75" s="208">
        <f>AI7</f>
        <v/>
      </c>
      <c r="AJ75" s="208">
        <f>AJ7</f>
        <v/>
      </c>
      <c r="AK75" s="208">
        <f>AK7</f>
        <v/>
      </c>
      <c r="AL75" s="208">
        <f>AL7</f>
        <v/>
      </c>
      <c r="AO75" s="208">
        <f>AO7</f>
        <v/>
      </c>
      <c r="AP75" s="208">
        <f>AP7</f>
        <v/>
      </c>
      <c r="AQ75" s="208">
        <f>AQ7</f>
        <v/>
      </c>
      <c r="AR75" s="208">
        <f>AR7</f>
        <v/>
      </c>
      <c r="AS75" s="208">
        <f>AS7</f>
        <v/>
      </c>
      <c r="AT75" s="208">
        <f>AT7</f>
        <v/>
      </c>
      <c r="AU75" s="208">
        <f>AU7</f>
        <v/>
      </c>
    </row>
    <row r="76" ht="14.5" customHeight="1" s="213">
      <c r="V76" s="48" t="inlineStr">
        <is>
          <t>OILDST</t>
        </is>
      </c>
      <c r="W76" s="208">
        <f>W8</f>
        <v/>
      </c>
      <c r="X76" s="208">
        <f>X8</f>
        <v/>
      </c>
      <c r="Y76" s="208">
        <f>Y8</f>
        <v/>
      </c>
      <c r="Z76" s="208">
        <f>Z8</f>
        <v/>
      </c>
      <c r="AA76" s="208">
        <f>AA8</f>
        <v/>
      </c>
      <c r="AB76" s="208">
        <f>AB8</f>
        <v/>
      </c>
      <c r="AC76" s="208">
        <f>AC8</f>
        <v/>
      </c>
      <c r="AF76" s="208">
        <f>AF8</f>
        <v/>
      </c>
      <c r="AG76" s="208">
        <f>AG8</f>
        <v/>
      </c>
      <c r="AH76" s="208">
        <f>AH8</f>
        <v/>
      </c>
      <c r="AI76" s="208">
        <f>AI8</f>
        <v/>
      </c>
      <c r="AJ76" s="208">
        <f>AJ8</f>
        <v/>
      </c>
      <c r="AK76" s="208">
        <f>AK8</f>
        <v/>
      </c>
      <c r="AL76" s="208">
        <f>AL8</f>
        <v/>
      </c>
      <c r="AO76" s="208">
        <f>AO8</f>
        <v/>
      </c>
      <c r="AP76" s="208">
        <f>AP8</f>
        <v/>
      </c>
      <c r="AQ76" s="208">
        <f>AQ8</f>
        <v/>
      </c>
      <c r="AR76" s="208">
        <f>AR8</f>
        <v/>
      </c>
      <c r="AS76" s="208">
        <f>AS8</f>
        <v/>
      </c>
      <c r="AT76" s="208">
        <f>AT8</f>
        <v/>
      </c>
      <c r="AU76" s="208">
        <f>AU8</f>
        <v/>
      </c>
    </row>
    <row r="77" ht="14.5" customHeight="1" s="213">
      <c r="U77" s="33" t="inlineStr">
        <is>
          <t>Korea</t>
        </is>
      </c>
      <c r="V77" s="48" t="inlineStr">
        <is>
          <t>ELC</t>
        </is>
      </c>
      <c r="W77" s="208">
        <f>W9-W10</f>
        <v/>
      </c>
      <c r="X77" s="208">
        <f>X9-X10</f>
        <v/>
      </c>
      <c r="Y77" s="208">
        <f>Y9-Y10</f>
        <v/>
      </c>
      <c r="Z77" s="208">
        <f>Z9-Z10</f>
        <v/>
      </c>
      <c r="AA77" s="208">
        <f>AA9-AA10</f>
        <v/>
      </c>
      <c r="AB77" s="208">
        <f>AB9-AB10</f>
        <v/>
      </c>
      <c r="AC77" s="208">
        <f>AC9-AC10</f>
        <v/>
      </c>
      <c r="AF77" s="208">
        <f>AF9-AF10</f>
        <v/>
      </c>
      <c r="AG77" s="208">
        <f>AG9-AG10</f>
        <v/>
      </c>
      <c r="AH77" s="208">
        <f>AH9-AH10</f>
        <v/>
      </c>
      <c r="AI77" s="208">
        <f>AI9-AI10</f>
        <v/>
      </c>
      <c r="AJ77" s="208">
        <f>AJ9-AJ10</f>
        <v/>
      </c>
      <c r="AK77" s="208">
        <f>AK9-AK10</f>
        <v/>
      </c>
      <c r="AL77" s="208">
        <f>AL9-AL10</f>
        <v/>
      </c>
      <c r="AO77" s="208">
        <f>AO9-AO10</f>
        <v/>
      </c>
      <c r="AP77" s="208">
        <f>AP9-AP10</f>
        <v/>
      </c>
      <c r="AQ77" s="208">
        <f>AQ9-AQ10</f>
        <v/>
      </c>
      <c r="AR77" s="208">
        <f>AR9-AR10</f>
        <v/>
      </c>
      <c r="AS77" s="208">
        <f>AS9-AS10</f>
        <v/>
      </c>
      <c r="AT77" s="208">
        <f>AT9-AT10</f>
        <v/>
      </c>
      <c r="AU77" s="208">
        <f>AU9-AU10</f>
        <v/>
      </c>
    </row>
    <row r="78" ht="14.5" customHeight="1" s="213">
      <c r="V78" s="49" t="inlineStr">
        <is>
          <t>COAHCO</t>
        </is>
      </c>
      <c r="W78" s="208">
        <f>W11</f>
        <v/>
      </c>
      <c r="X78" s="208">
        <f>X11</f>
        <v/>
      </c>
      <c r="Y78" s="208">
        <f>Y11</f>
        <v/>
      </c>
      <c r="Z78" s="208">
        <f>Z11</f>
        <v/>
      </c>
      <c r="AA78" s="208">
        <f>AA11</f>
        <v/>
      </c>
      <c r="AB78" s="208">
        <f>AB11</f>
        <v/>
      </c>
      <c r="AC78" s="208">
        <f>AC11</f>
        <v/>
      </c>
      <c r="AF78" s="208">
        <f>AF11</f>
        <v/>
      </c>
      <c r="AG78" s="208">
        <f>AG11</f>
        <v/>
      </c>
      <c r="AH78" s="208">
        <f>AH11</f>
        <v/>
      </c>
      <c r="AI78" s="208">
        <f>AI11</f>
        <v/>
      </c>
      <c r="AJ78" s="208">
        <f>AJ11</f>
        <v/>
      </c>
      <c r="AK78" s="208">
        <f>AK11</f>
        <v/>
      </c>
      <c r="AL78" s="208">
        <f>AL11</f>
        <v/>
      </c>
      <c r="AO78" s="208">
        <f>AO11</f>
        <v/>
      </c>
      <c r="AP78" s="208">
        <f>AP11</f>
        <v/>
      </c>
      <c r="AQ78" s="208">
        <f>AQ11</f>
        <v/>
      </c>
      <c r="AR78" s="208">
        <f>AR11</f>
        <v/>
      </c>
      <c r="AS78" s="208">
        <f>AS11</f>
        <v/>
      </c>
      <c r="AT78" s="208">
        <f>AT11</f>
        <v/>
      </c>
      <c r="AU78" s="208">
        <f>AU11</f>
        <v/>
      </c>
    </row>
    <row r="79" ht="15.5" customHeight="1" s="213">
      <c r="V79" s="48" t="inlineStr">
        <is>
          <t>GASNGA</t>
        </is>
      </c>
      <c r="W79" s="208">
        <f>W12</f>
        <v/>
      </c>
      <c r="X79" s="208">
        <f>X12</f>
        <v/>
      </c>
      <c r="Y79" s="208">
        <f>Y12</f>
        <v/>
      </c>
      <c r="Z79" s="208">
        <f>Z12</f>
        <v/>
      </c>
      <c r="AA79" s="208">
        <f>AA12</f>
        <v/>
      </c>
      <c r="AB79" s="208">
        <f>AB12</f>
        <v/>
      </c>
      <c r="AC79" s="208">
        <f>AC12</f>
        <v/>
      </c>
      <c r="AD79" s="34" t="n"/>
      <c r="AE79" s="34" t="n"/>
      <c r="AF79" s="208">
        <f>AF12</f>
        <v/>
      </c>
      <c r="AG79" s="208">
        <f>AG12</f>
        <v/>
      </c>
      <c r="AH79" s="208">
        <f>AH12</f>
        <v/>
      </c>
      <c r="AI79" s="208">
        <f>AI12</f>
        <v/>
      </c>
      <c r="AJ79" s="208">
        <f>AJ12</f>
        <v/>
      </c>
      <c r="AK79" s="208">
        <f>AK12</f>
        <v/>
      </c>
      <c r="AL79" s="208">
        <f>AL12</f>
        <v/>
      </c>
      <c r="AM79" s="34" t="n"/>
      <c r="AN79" s="34" t="n"/>
      <c r="AO79" s="208">
        <f>AO12</f>
        <v/>
      </c>
      <c r="AP79" s="208">
        <f>AP12</f>
        <v/>
      </c>
      <c r="AQ79" s="208">
        <f>AQ12</f>
        <v/>
      </c>
      <c r="AR79" s="208">
        <f>AR12</f>
        <v/>
      </c>
      <c r="AS79" s="208">
        <f>AS12</f>
        <v/>
      </c>
      <c r="AT79" s="208">
        <f>AT12</f>
        <v/>
      </c>
      <c r="AU79" s="208">
        <f>AU12</f>
        <v/>
      </c>
    </row>
    <row r="80" ht="15.5" customHeight="1" s="213">
      <c r="V80" s="48" t="inlineStr">
        <is>
          <t>OILDST</t>
        </is>
      </c>
      <c r="W80" s="208">
        <f>W13</f>
        <v/>
      </c>
      <c r="X80" s="208">
        <f>X13</f>
        <v/>
      </c>
      <c r="Y80" s="208">
        <f>Y13</f>
        <v/>
      </c>
      <c r="Z80" s="208">
        <f>Z13</f>
        <v/>
      </c>
      <c r="AA80" s="208">
        <f>AA13</f>
        <v/>
      </c>
      <c r="AB80" s="208">
        <f>AB13</f>
        <v/>
      </c>
      <c r="AC80" s="208">
        <f>AC13</f>
        <v/>
      </c>
      <c r="AD80" s="34" t="n"/>
      <c r="AE80" s="34" t="n"/>
      <c r="AF80" s="208">
        <f>AF13</f>
        <v/>
      </c>
      <c r="AG80" s="208">
        <f>AG13</f>
        <v/>
      </c>
      <c r="AH80" s="208">
        <f>AH13</f>
        <v/>
      </c>
      <c r="AI80" s="208">
        <f>AI13</f>
        <v/>
      </c>
      <c r="AJ80" s="208">
        <f>AJ13</f>
        <v/>
      </c>
      <c r="AK80" s="208">
        <f>AK13</f>
        <v/>
      </c>
      <c r="AL80" s="208">
        <f>AL13</f>
        <v/>
      </c>
      <c r="AM80" s="34" t="n"/>
      <c r="AN80" s="34" t="n"/>
      <c r="AO80" s="208">
        <f>AO13</f>
        <v/>
      </c>
      <c r="AP80" s="208">
        <f>AP13</f>
        <v/>
      </c>
      <c r="AQ80" s="208">
        <f>AQ13</f>
        <v/>
      </c>
      <c r="AR80" s="208">
        <f>AR13</f>
        <v/>
      </c>
      <c r="AS80" s="208">
        <f>AS13</f>
        <v/>
      </c>
      <c r="AT80" s="208">
        <f>AT13</f>
        <v/>
      </c>
      <c r="AU80" s="208">
        <f>AU13</f>
        <v/>
      </c>
    </row>
    <row r="81" ht="15.5" customHeight="1" s="213">
      <c r="U81" s="33" t="inlineStr">
        <is>
          <t>CN</t>
        </is>
      </c>
      <c r="V81" s="48" t="inlineStr">
        <is>
          <t>ELC</t>
        </is>
      </c>
      <c r="W81" s="34">
        <f>W14-W15</f>
        <v/>
      </c>
      <c r="X81" s="34">
        <f>X14-X15</f>
        <v/>
      </c>
      <c r="Y81" s="34">
        <f>Y14-Y15</f>
        <v/>
      </c>
      <c r="Z81" s="34">
        <f>Z14-Z15</f>
        <v/>
      </c>
      <c r="AA81" s="34">
        <f>AA14-AA15</f>
        <v/>
      </c>
      <c r="AB81" s="34">
        <f>AB14-AB15</f>
        <v/>
      </c>
      <c r="AC81" s="34">
        <f>AC14-AC15</f>
        <v/>
      </c>
      <c r="AD81" s="34" t="n"/>
      <c r="AE81" s="34" t="n"/>
      <c r="AF81" s="34">
        <f>AF14-AF15</f>
        <v/>
      </c>
      <c r="AG81" s="34">
        <f>AG14-AG15</f>
        <v/>
      </c>
      <c r="AH81" s="34">
        <f>AH14-AH15</f>
        <v/>
      </c>
      <c r="AI81" s="34">
        <f>AI14-AI15</f>
        <v/>
      </c>
      <c r="AJ81" s="34">
        <f>AJ14-AJ15</f>
        <v/>
      </c>
      <c r="AK81" s="34">
        <f>AK14-AK15</f>
        <v/>
      </c>
      <c r="AL81" s="34">
        <f>AL14-AL15</f>
        <v/>
      </c>
      <c r="AM81" s="34" t="n"/>
      <c r="AN81" s="34" t="n"/>
      <c r="AO81" s="34">
        <f>AO14-AO15</f>
        <v/>
      </c>
      <c r="AP81" s="34">
        <f>AP14-AP15</f>
        <v/>
      </c>
      <c r="AQ81" s="34">
        <f>AQ14-AQ15</f>
        <v/>
      </c>
      <c r="AR81" s="34">
        <f>AR14-AR15</f>
        <v/>
      </c>
      <c r="AS81" s="34">
        <f>AS14-AS15</f>
        <v/>
      </c>
      <c r="AT81" s="34">
        <f>AT14-AT15</f>
        <v/>
      </c>
      <c r="AU81" s="34">
        <f>AU14-AU15</f>
        <v/>
      </c>
    </row>
    <row r="82" ht="15.5" customHeight="1" s="213">
      <c r="V82" s="49" t="inlineStr">
        <is>
          <t>COAHCO</t>
        </is>
      </c>
      <c r="W82" s="34">
        <f>W16</f>
        <v/>
      </c>
      <c r="X82" s="34">
        <f>X16</f>
        <v/>
      </c>
      <c r="Y82" s="34">
        <f>Y16</f>
        <v/>
      </c>
      <c r="Z82" s="34">
        <f>Z16</f>
        <v/>
      </c>
      <c r="AA82" s="34">
        <f>AA16</f>
        <v/>
      </c>
      <c r="AB82" s="34">
        <f>AB16</f>
        <v/>
      </c>
      <c r="AC82" s="34">
        <f>AC16</f>
        <v/>
      </c>
      <c r="AD82" s="34" t="n"/>
      <c r="AE82" s="34" t="n"/>
      <c r="AF82" s="34">
        <f>AF16</f>
        <v/>
      </c>
      <c r="AG82" s="34">
        <f>AG16</f>
        <v/>
      </c>
      <c r="AH82" s="34">
        <f>AH16</f>
        <v/>
      </c>
      <c r="AI82" s="34">
        <f>AI16</f>
        <v/>
      </c>
      <c r="AJ82" s="34">
        <f>AJ16</f>
        <v/>
      </c>
      <c r="AK82" s="34">
        <f>AK16</f>
        <v/>
      </c>
      <c r="AL82" s="34">
        <f>AL16</f>
        <v/>
      </c>
      <c r="AM82" s="34" t="n"/>
      <c r="AN82" s="34" t="n"/>
      <c r="AO82" s="34">
        <f>AO16</f>
        <v/>
      </c>
      <c r="AP82" s="34">
        <f>AP16</f>
        <v/>
      </c>
      <c r="AQ82" s="34">
        <f>AQ16</f>
        <v/>
      </c>
      <c r="AR82" s="34">
        <f>AR16</f>
        <v/>
      </c>
      <c r="AS82" s="34">
        <f>AS16</f>
        <v/>
      </c>
      <c r="AT82" s="34">
        <f>AT16</f>
        <v/>
      </c>
      <c r="AU82" s="34">
        <f>AU16</f>
        <v/>
      </c>
    </row>
    <row r="83" ht="15.5" customHeight="1" s="213">
      <c r="V83" s="48" t="inlineStr">
        <is>
          <t>GASNGA</t>
        </is>
      </c>
      <c r="W83" s="34">
        <f>W17</f>
        <v/>
      </c>
      <c r="X83" s="34">
        <f>X17</f>
        <v/>
      </c>
      <c r="Y83" s="34">
        <f>Y17</f>
        <v/>
      </c>
      <c r="Z83" s="34">
        <f>Z17</f>
        <v/>
      </c>
      <c r="AA83" s="34">
        <f>AA17</f>
        <v/>
      </c>
      <c r="AB83" s="34">
        <f>AB17</f>
        <v/>
      </c>
      <c r="AC83" s="34">
        <f>AC17</f>
        <v/>
      </c>
      <c r="AD83" s="34" t="n"/>
      <c r="AE83" s="34" t="n"/>
      <c r="AF83" s="34">
        <f>AF17</f>
        <v/>
      </c>
      <c r="AG83" s="34">
        <f>AG17</f>
        <v/>
      </c>
      <c r="AH83" s="34">
        <f>AH17</f>
        <v/>
      </c>
      <c r="AI83" s="34">
        <f>AI17</f>
        <v/>
      </c>
      <c r="AJ83" s="34">
        <f>AJ17</f>
        <v/>
      </c>
      <c r="AK83" s="34">
        <f>AK17</f>
        <v/>
      </c>
      <c r="AL83" s="34">
        <f>AL17</f>
        <v/>
      </c>
      <c r="AM83" s="34" t="n"/>
      <c r="AN83" s="34" t="n"/>
      <c r="AO83" s="34">
        <f>AO17</f>
        <v/>
      </c>
      <c r="AP83" s="34">
        <f>AP17</f>
        <v/>
      </c>
      <c r="AQ83" s="34">
        <f>AQ17</f>
        <v/>
      </c>
      <c r="AR83" s="34">
        <f>AR17</f>
        <v/>
      </c>
      <c r="AS83" s="34">
        <f>AS17</f>
        <v/>
      </c>
      <c r="AT83" s="34">
        <f>AT17</f>
        <v/>
      </c>
      <c r="AU83" s="34">
        <f>AU17</f>
        <v/>
      </c>
    </row>
    <row r="84" ht="15.5" customHeight="1" s="213">
      <c r="V84" s="48" t="inlineStr">
        <is>
          <t>OILDST</t>
        </is>
      </c>
      <c r="W84" s="34">
        <f>W18</f>
        <v/>
      </c>
      <c r="X84" s="34">
        <f>X18</f>
        <v/>
      </c>
      <c r="Y84" s="34">
        <f>Y18</f>
        <v/>
      </c>
      <c r="Z84" s="34">
        <f>Z18</f>
        <v/>
      </c>
      <c r="AA84" s="34">
        <f>AA18</f>
        <v/>
      </c>
      <c r="AB84" s="34">
        <f>AB18</f>
        <v/>
      </c>
      <c r="AC84" s="34">
        <f>AC18</f>
        <v/>
      </c>
      <c r="AD84" s="34" t="n"/>
      <c r="AE84" s="34" t="n"/>
      <c r="AF84" s="34">
        <f>AF18</f>
        <v/>
      </c>
      <c r="AG84" s="34">
        <f>AG18</f>
        <v/>
      </c>
      <c r="AH84" s="34">
        <f>AH18</f>
        <v/>
      </c>
      <c r="AI84" s="34">
        <f>AI18</f>
        <v/>
      </c>
      <c r="AJ84" s="34">
        <f>AJ18</f>
        <v/>
      </c>
      <c r="AK84" s="34">
        <f>AK18</f>
        <v/>
      </c>
      <c r="AL84" s="34">
        <f>AL18</f>
        <v/>
      </c>
      <c r="AM84" s="34" t="n"/>
      <c r="AN84" s="34" t="n"/>
      <c r="AO84" s="34">
        <f>AO18</f>
        <v/>
      </c>
      <c r="AP84" s="34">
        <f>AP18</f>
        <v/>
      </c>
      <c r="AQ84" s="34">
        <f>AQ18</f>
        <v/>
      </c>
      <c r="AR84" s="34">
        <f>AR18</f>
        <v/>
      </c>
      <c r="AS84" s="34">
        <f>AS18</f>
        <v/>
      </c>
      <c r="AT84" s="34">
        <f>AT18</f>
        <v/>
      </c>
      <c r="AU84" s="34">
        <f>AU18</f>
        <v/>
      </c>
    </row>
    <row r="85" ht="15.5" customHeight="1" s="213">
      <c r="U85" s="55" t="inlineStr">
        <is>
          <t>US</t>
        </is>
      </c>
      <c r="V85" s="48" t="inlineStr">
        <is>
          <t>ELC</t>
        </is>
      </c>
      <c r="W85" s="50">
        <f>W73</f>
        <v/>
      </c>
      <c r="X85" s="50">
        <f>X73</f>
        <v/>
      </c>
      <c r="Y85" s="50">
        <f>Y73</f>
        <v/>
      </c>
      <c r="Z85" s="50">
        <f>Z73</f>
        <v/>
      </c>
      <c r="AA85" s="50">
        <f>AA73</f>
        <v/>
      </c>
      <c r="AB85" s="50">
        <f>AB73</f>
        <v/>
      </c>
      <c r="AC85" s="50">
        <f>AC73</f>
        <v/>
      </c>
      <c r="AD85" s="34" t="n"/>
      <c r="AE85" s="34" t="n"/>
      <c r="AF85" s="50">
        <f>AF73</f>
        <v/>
      </c>
      <c r="AG85" s="50">
        <f>AG73</f>
        <v/>
      </c>
      <c r="AH85" s="50">
        <f>AH73</f>
        <v/>
      </c>
      <c r="AI85" s="50">
        <f>AI73</f>
        <v/>
      </c>
      <c r="AJ85" s="50">
        <f>AJ73</f>
        <v/>
      </c>
      <c r="AK85" s="50">
        <f>AK73</f>
        <v/>
      </c>
      <c r="AL85" s="50">
        <f>AL73</f>
        <v/>
      </c>
      <c r="AM85" s="34" t="n"/>
      <c r="AN85" s="34" t="n"/>
      <c r="AO85" s="50">
        <f>AO73</f>
        <v/>
      </c>
      <c r="AP85" s="50">
        <f>AP73</f>
        <v/>
      </c>
      <c r="AQ85" s="50">
        <f>AQ73</f>
        <v/>
      </c>
      <c r="AR85" s="50">
        <f>AR73</f>
        <v/>
      </c>
      <c r="AS85" s="50">
        <f>AS73</f>
        <v/>
      </c>
      <c r="AT85" s="50">
        <f>AT73</f>
        <v/>
      </c>
      <c r="AU85" s="50">
        <f>AU73</f>
        <v/>
      </c>
    </row>
    <row r="86" ht="15.5" customHeight="1" s="213">
      <c r="V86" s="49" t="inlineStr">
        <is>
          <t>COAHCO</t>
        </is>
      </c>
      <c r="W86" s="50">
        <f>W74</f>
        <v/>
      </c>
      <c r="X86" s="50">
        <f>X74</f>
        <v/>
      </c>
      <c r="Y86" s="50">
        <f>Y74</f>
        <v/>
      </c>
      <c r="Z86" s="50">
        <f>Z74</f>
        <v/>
      </c>
      <c r="AA86" s="50">
        <f>AA74</f>
        <v/>
      </c>
      <c r="AB86" s="50">
        <f>AB74</f>
        <v/>
      </c>
      <c r="AC86" s="50">
        <f>AC74</f>
        <v/>
      </c>
      <c r="AD86" s="34" t="n"/>
      <c r="AE86" s="34" t="n"/>
      <c r="AF86" s="50">
        <f>AF74</f>
        <v/>
      </c>
      <c r="AG86" s="50">
        <f>AG74</f>
        <v/>
      </c>
      <c r="AH86" s="50">
        <f>AH74</f>
        <v/>
      </c>
      <c r="AI86" s="50">
        <f>AI74</f>
        <v/>
      </c>
      <c r="AJ86" s="50">
        <f>AJ74</f>
        <v/>
      </c>
      <c r="AK86" s="50">
        <f>AK74</f>
        <v/>
      </c>
      <c r="AL86" s="50">
        <f>AL74</f>
        <v/>
      </c>
      <c r="AM86" s="34" t="n"/>
      <c r="AN86" s="34" t="n"/>
      <c r="AO86" s="50">
        <f>AO74</f>
        <v/>
      </c>
      <c r="AP86" s="50">
        <f>AP74</f>
        <v/>
      </c>
      <c r="AQ86" s="50">
        <f>AQ74</f>
        <v/>
      </c>
      <c r="AR86" s="50">
        <f>AR74</f>
        <v/>
      </c>
      <c r="AS86" s="50">
        <f>AS74</f>
        <v/>
      </c>
      <c r="AT86" s="50">
        <f>AT74</f>
        <v/>
      </c>
      <c r="AU86" s="50">
        <f>AU74</f>
        <v/>
      </c>
    </row>
    <row r="87" ht="15.5" customHeight="1" s="213">
      <c r="V87" s="48" t="inlineStr">
        <is>
          <t>GASNGA</t>
        </is>
      </c>
      <c r="W87" s="50">
        <f>W75</f>
        <v/>
      </c>
      <c r="X87" s="50">
        <f>X75</f>
        <v/>
      </c>
      <c r="Y87" s="50">
        <f>Y75</f>
        <v/>
      </c>
      <c r="Z87" s="50">
        <f>Z75</f>
        <v/>
      </c>
      <c r="AA87" s="50">
        <f>AA75</f>
        <v/>
      </c>
      <c r="AB87" s="50">
        <f>AB75</f>
        <v/>
      </c>
      <c r="AC87" s="50">
        <f>AC75</f>
        <v/>
      </c>
      <c r="AD87" s="34" t="n"/>
      <c r="AE87" s="34" t="n"/>
      <c r="AF87" s="50">
        <f>AF75</f>
        <v/>
      </c>
      <c r="AG87" s="50">
        <f>AG75</f>
        <v/>
      </c>
      <c r="AH87" s="50">
        <f>AH75</f>
        <v/>
      </c>
      <c r="AI87" s="50">
        <f>AI75</f>
        <v/>
      </c>
      <c r="AJ87" s="50">
        <f>AJ75</f>
        <v/>
      </c>
      <c r="AK87" s="50">
        <f>AK75</f>
        <v/>
      </c>
      <c r="AL87" s="50">
        <f>AL75</f>
        <v/>
      </c>
      <c r="AM87" s="34" t="n"/>
      <c r="AN87" s="34" t="n"/>
      <c r="AO87" s="50">
        <f>AO75</f>
        <v/>
      </c>
      <c r="AP87" s="50">
        <f>AP75</f>
        <v/>
      </c>
      <c r="AQ87" s="50">
        <f>AQ75</f>
        <v/>
      </c>
      <c r="AR87" s="50">
        <f>AR75</f>
        <v/>
      </c>
      <c r="AS87" s="50">
        <f>AS75</f>
        <v/>
      </c>
      <c r="AT87" s="50">
        <f>AT75</f>
        <v/>
      </c>
      <c r="AU87" s="50">
        <f>AU75</f>
        <v/>
      </c>
    </row>
    <row r="88" ht="15.5" customHeight="1" s="213">
      <c r="V88" s="48" t="inlineStr">
        <is>
          <t>OILDST</t>
        </is>
      </c>
      <c r="W88" s="50">
        <f>W76</f>
        <v/>
      </c>
      <c r="X88" s="50">
        <f>X76</f>
        <v/>
      </c>
      <c r="Y88" s="50">
        <f>Y76</f>
        <v/>
      </c>
      <c r="Z88" s="50">
        <f>Z76</f>
        <v/>
      </c>
      <c r="AA88" s="50">
        <f>AA76</f>
        <v/>
      </c>
      <c r="AB88" s="50">
        <f>AB76</f>
        <v/>
      </c>
      <c r="AC88" s="50">
        <f>AC76</f>
        <v/>
      </c>
      <c r="AD88" s="34" t="n"/>
      <c r="AE88" s="34" t="n"/>
      <c r="AF88" s="50">
        <f>AF76</f>
        <v/>
      </c>
      <c r="AG88" s="50">
        <f>AG76</f>
        <v/>
      </c>
      <c r="AH88" s="50">
        <f>AH76</f>
        <v/>
      </c>
      <c r="AI88" s="50">
        <f>AI76</f>
        <v/>
      </c>
      <c r="AJ88" s="50">
        <f>AJ76</f>
        <v/>
      </c>
      <c r="AK88" s="50">
        <f>AK76</f>
        <v/>
      </c>
      <c r="AL88" s="50">
        <f>AL76</f>
        <v/>
      </c>
      <c r="AM88" s="34" t="n"/>
      <c r="AN88" s="34" t="n"/>
      <c r="AO88" s="50">
        <f>AO76</f>
        <v/>
      </c>
      <c r="AP88" s="50">
        <f>AP76</f>
        <v/>
      </c>
      <c r="AQ88" s="50">
        <f>AQ76</f>
        <v/>
      </c>
      <c r="AR88" s="50">
        <f>AR76</f>
        <v/>
      </c>
      <c r="AS88" s="50">
        <f>AS76</f>
        <v/>
      </c>
      <c r="AT88" s="50">
        <f>AT76</f>
        <v/>
      </c>
      <c r="AU88" s="50">
        <f>AU76</f>
        <v/>
      </c>
    </row>
    <row r="89" ht="15.5" customHeight="1" s="213">
      <c r="U89" s="34" t="n"/>
      <c r="V89" s="34" t="n"/>
      <c r="W89" s="34" t="n"/>
      <c r="X89" s="34" t="n"/>
      <c r="Y89" s="34" t="n"/>
      <c r="Z89" s="34" t="n"/>
      <c r="AA89" s="34" t="n"/>
      <c r="AB89" s="34" t="n"/>
      <c r="AC89" s="34" t="n"/>
      <c r="AD89" s="34" t="n"/>
      <c r="AE89" s="34" t="n"/>
      <c r="AF89" s="34" t="n"/>
      <c r="AG89" s="34" t="n"/>
      <c r="AH89" s="34" t="n"/>
      <c r="AI89" s="34" t="n"/>
      <c r="AJ89" s="34" t="n"/>
      <c r="AK89" s="34" t="n"/>
      <c r="AL89" s="34" t="n"/>
      <c r="AM89" s="34" t="n"/>
      <c r="AN89" s="34" t="n"/>
      <c r="AO89" s="34" t="n"/>
      <c r="AP89" s="34" t="n"/>
      <c r="AQ89" s="34" t="n"/>
      <c r="AR89" s="34" t="n"/>
      <c r="AS89" s="34" t="n"/>
      <c r="AT89" s="34" t="n"/>
      <c r="AU89" s="34" t="n"/>
    </row>
    <row r="90" ht="15.5" customHeight="1" s="213">
      <c r="U90" s="34" t="n"/>
      <c r="V90" s="34" t="n"/>
      <c r="W90" s="34" t="n"/>
      <c r="X90" s="34" t="n"/>
      <c r="Y90" s="34" t="n"/>
      <c r="Z90" s="34" t="n"/>
      <c r="AA90" s="34" t="n"/>
      <c r="AB90" s="34" t="n"/>
      <c r="AC90" s="34" t="n"/>
      <c r="AD90" s="34" t="n"/>
      <c r="AE90" s="34" t="n"/>
      <c r="AF90" s="34" t="n"/>
      <c r="AG90" s="34" t="n"/>
      <c r="AH90" s="34" t="n"/>
      <c r="AI90" s="34" t="n"/>
      <c r="AJ90" s="34" t="n"/>
      <c r="AK90" s="34" t="n"/>
      <c r="AL90" s="34" t="n"/>
      <c r="AM90" s="34" t="n"/>
      <c r="AN90" s="34" t="n"/>
      <c r="AO90" s="34" t="n"/>
      <c r="AP90" s="34" t="n"/>
      <c r="AQ90" s="34" t="n"/>
      <c r="AR90" s="34" t="n"/>
      <c r="AS90" s="34" t="n"/>
      <c r="AT90" s="34" t="n"/>
      <c r="AU90" s="34" t="n"/>
    </row>
    <row r="91" ht="15.5" customHeight="1" s="213">
      <c r="U91" s="34" t="n"/>
      <c r="V91" s="34" t="n"/>
      <c r="W91" s="34" t="n"/>
      <c r="X91" s="34" t="n"/>
      <c r="Y91" s="34" t="n"/>
      <c r="Z91" s="34" t="n"/>
      <c r="AA91" s="34" t="n"/>
      <c r="AB91" s="34" t="n"/>
      <c r="AC91" s="34" t="n"/>
      <c r="AD91" s="34" t="n"/>
      <c r="AE91" s="34" t="n"/>
      <c r="AF91" s="34" t="n"/>
      <c r="AG91" s="34" t="n"/>
      <c r="AH91" s="34" t="n"/>
      <c r="AI91" s="34" t="n"/>
      <c r="AJ91" s="34" t="n"/>
      <c r="AK91" s="34" t="n"/>
      <c r="AL91" s="34" t="n"/>
      <c r="AM91" s="34" t="n"/>
      <c r="AN91" s="34" t="n"/>
      <c r="AO91" s="34" t="n"/>
      <c r="AP91" s="34" t="n"/>
      <c r="AQ91" s="34" t="n"/>
      <c r="AR91" s="34" t="n"/>
      <c r="AS91" s="34" t="n"/>
      <c r="AT91" s="34" t="n"/>
      <c r="AU91" s="34" t="n"/>
    </row>
    <row r="92" ht="15.5" customHeight="1" s="213">
      <c r="U92" s="34" t="n"/>
      <c r="V92" s="34" t="n"/>
      <c r="W92" s="34" t="inlineStr">
        <is>
          <t>NMC111</t>
        </is>
      </c>
      <c r="X92" s="34" t="inlineStr">
        <is>
          <t>NMC532</t>
        </is>
      </c>
      <c r="Y92" s="38" t="inlineStr">
        <is>
          <t>NMC622</t>
        </is>
      </c>
      <c r="Z92" s="34" t="inlineStr">
        <is>
          <t>NMC811</t>
        </is>
      </c>
      <c r="AA92" s="34" t="inlineStr">
        <is>
          <t>NCA</t>
        </is>
      </c>
      <c r="AB92" s="40" t="inlineStr">
        <is>
          <t xml:space="preserve">LMO </t>
        </is>
      </c>
      <c r="AC92" s="40" t="inlineStr">
        <is>
          <t xml:space="preserve">LFP </t>
        </is>
      </c>
      <c r="AD92" s="34" t="n"/>
      <c r="AE92" s="34" t="n"/>
      <c r="AF92" s="34" t="inlineStr">
        <is>
          <t>NMC111</t>
        </is>
      </c>
      <c r="AG92" s="34" t="inlineStr">
        <is>
          <t>NMC532</t>
        </is>
      </c>
      <c r="AH92" s="38" t="inlineStr">
        <is>
          <t>NMC622</t>
        </is>
      </c>
      <c r="AI92" s="34" t="inlineStr">
        <is>
          <t>NMC811</t>
        </is>
      </c>
      <c r="AJ92" s="34" t="inlineStr">
        <is>
          <t>NCA</t>
        </is>
      </c>
      <c r="AK92" s="40" t="inlineStr">
        <is>
          <t xml:space="preserve">LMO </t>
        </is>
      </c>
      <c r="AL92" s="40" t="inlineStr">
        <is>
          <t xml:space="preserve">LFP </t>
        </is>
      </c>
      <c r="AM92" s="34" t="n"/>
      <c r="AN92" s="34" t="n"/>
      <c r="AO92" s="34" t="inlineStr">
        <is>
          <t>NMC111</t>
        </is>
      </c>
      <c r="AP92" s="34" t="inlineStr">
        <is>
          <t>NMC532</t>
        </is>
      </c>
      <c r="AQ92" s="38" t="inlineStr">
        <is>
          <t>NMC622</t>
        </is>
      </c>
      <c r="AR92" s="34" t="inlineStr">
        <is>
          <t>NMC811</t>
        </is>
      </c>
      <c r="AS92" s="34" t="inlineStr">
        <is>
          <t>NCA</t>
        </is>
      </c>
      <c r="AT92" s="40" t="inlineStr">
        <is>
          <t xml:space="preserve">LMO </t>
        </is>
      </c>
      <c r="AU92" s="40" t="inlineStr">
        <is>
          <t xml:space="preserve">LFP </t>
        </is>
      </c>
    </row>
    <row r="93" ht="14.5" customHeight="1" s="213">
      <c r="U93" s="33" t="inlineStr">
        <is>
          <t>US</t>
        </is>
      </c>
      <c r="V93" s="48" t="inlineStr">
        <is>
          <t>ELC</t>
        </is>
      </c>
      <c r="W93" s="208">
        <f>W24-W25</f>
        <v/>
      </c>
      <c r="X93" s="208">
        <f>X24-X25</f>
        <v/>
      </c>
      <c r="Y93" s="208">
        <f>Y24-Y25</f>
        <v/>
      </c>
      <c r="Z93" s="208">
        <f>Z24-Z25</f>
        <v/>
      </c>
      <c r="AA93" s="208">
        <f>AA24-AA25</f>
        <v/>
      </c>
      <c r="AB93" s="208">
        <f>AB24-AB25</f>
        <v/>
      </c>
      <c r="AC93" s="208">
        <f>AC24-AC25</f>
        <v/>
      </c>
      <c r="AF93" s="208">
        <f>AF24-AF25</f>
        <v/>
      </c>
      <c r="AG93" s="208">
        <f>AG24-AG25</f>
        <v/>
      </c>
      <c r="AH93" s="208">
        <f>AH24-AH25</f>
        <v/>
      </c>
      <c r="AI93" s="208">
        <f>AI24-AI25</f>
        <v/>
      </c>
      <c r="AJ93" s="208">
        <f>AJ24-AJ25</f>
        <v/>
      </c>
      <c r="AK93" s="208">
        <f>AK24-AK25</f>
        <v/>
      </c>
      <c r="AL93" s="208">
        <f>AL24-AL25</f>
        <v/>
      </c>
      <c r="AO93" s="208">
        <f>AO24-AO25</f>
        <v/>
      </c>
      <c r="AP93" s="208">
        <f>AP24-AP25</f>
        <v/>
      </c>
      <c r="AQ93" s="208">
        <f>AQ24-AQ25</f>
        <v/>
      </c>
      <c r="AR93" s="208">
        <f>AR24-AR25</f>
        <v/>
      </c>
      <c r="AS93" s="208">
        <f>AS24-AS25</f>
        <v/>
      </c>
      <c r="AT93" s="208">
        <f>AT24-AT25</f>
        <v/>
      </c>
      <c r="AU93" s="208">
        <f>AU24-AU25</f>
        <v/>
      </c>
    </row>
    <row r="94" ht="14.5" customHeight="1" s="213">
      <c r="V94" s="49" t="inlineStr">
        <is>
          <t>COAHCO</t>
        </is>
      </c>
      <c r="W94" s="208">
        <f>W26</f>
        <v/>
      </c>
      <c r="X94" s="208">
        <f>X26</f>
        <v/>
      </c>
      <c r="Y94" s="208">
        <f>Y26</f>
        <v/>
      </c>
      <c r="Z94" s="208">
        <f>Z26</f>
        <v/>
      </c>
      <c r="AA94" s="208">
        <f>AA26</f>
        <v/>
      </c>
      <c r="AB94" s="208">
        <f>AB26</f>
        <v/>
      </c>
      <c r="AC94" s="208">
        <f>AC26</f>
        <v/>
      </c>
      <c r="AF94" s="208">
        <f>AF26</f>
        <v/>
      </c>
      <c r="AG94" s="208">
        <f>AG26</f>
        <v/>
      </c>
      <c r="AH94" s="208">
        <f>AH26</f>
        <v/>
      </c>
      <c r="AI94" s="208">
        <f>AI26</f>
        <v/>
      </c>
      <c r="AJ94" s="208">
        <f>AJ26</f>
        <v/>
      </c>
      <c r="AK94" s="208">
        <f>AK26</f>
        <v/>
      </c>
      <c r="AL94" s="208">
        <f>AL26</f>
        <v/>
      </c>
      <c r="AO94" s="208">
        <f>AO26</f>
        <v/>
      </c>
      <c r="AP94" s="208">
        <f>AP26</f>
        <v/>
      </c>
      <c r="AQ94" s="208">
        <f>AQ26</f>
        <v/>
      </c>
      <c r="AR94" s="208">
        <f>AR26</f>
        <v/>
      </c>
      <c r="AS94" s="208">
        <f>AS26</f>
        <v/>
      </c>
      <c r="AT94" s="208">
        <f>AT26</f>
        <v/>
      </c>
      <c r="AU94" s="208">
        <f>AU26</f>
        <v/>
      </c>
    </row>
    <row r="95" ht="14.5" customHeight="1" s="213">
      <c r="V95" s="48" t="inlineStr">
        <is>
          <t>GASNGA</t>
        </is>
      </c>
      <c r="W95" s="208">
        <f>W27</f>
        <v/>
      </c>
      <c r="X95" s="208">
        <f>X27</f>
        <v/>
      </c>
      <c r="Y95" s="208">
        <f>Y27</f>
        <v/>
      </c>
      <c r="Z95" s="208">
        <f>Z27</f>
        <v/>
      </c>
      <c r="AA95" s="208">
        <f>AA27</f>
        <v/>
      </c>
      <c r="AB95" s="208">
        <f>AB27</f>
        <v/>
      </c>
      <c r="AC95" s="208">
        <f>AC27</f>
        <v/>
      </c>
      <c r="AF95" s="208">
        <f>AF27</f>
        <v/>
      </c>
      <c r="AG95" s="208">
        <f>AG27</f>
        <v/>
      </c>
      <c r="AH95" s="208">
        <f>AH27</f>
        <v/>
      </c>
      <c r="AI95" s="208">
        <f>AI27</f>
        <v/>
      </c>
      <c r="AJ95" s="208">
        <f>AJ27</f>
        <v/>
      </c>
      <c r="AK95" s="208">
        <f>AK27</f>
        <v/>
      </c>
      <c r="AL95" s="208">
        <f>AL27</f>
        <v/>
      </c>
      <c r="AO95" s="208">
        <f>AO27</f>
        <v/>
      </c>
      <c r="AP95" s="208">
        <f>AP27</f>
        <v/>
      </c>
      <c r="AQ95" s="208">
        <f>AQ27</f>
        <v/>
      </c>
      <c r="AR95" s="208">
        <f>AR27</f>
        <v/>
      </c>
      <c r="AS95" s="208">
        <f>AS27</f>
        <v/>
      </c>
      <c r="AT95" s="208">
        <f>AT27</f>
        <v/>
      </c>
      <c r="AU95" s="208">
        <f>AU27</f>
        <v/>
      </c>
    </row>
    <row r="96" ht="14.5" customHeight="1" s="213">
      <c r="V96" s="48" t="inlineStr">
        <is>
          <t>OILDST</t>
        </is>
      </c>
      <c r="W96" s="208">
        <f>W28</f>
        <v/>
      </c>
      <c r="X96" s="208">
        <f>X28</f>
        <v/>
      </c>
      <c r="Y96" s="208">
        <f>Y28</f>
        <v/>
      </c>
      <c r="Z96" s="208">
        <f>Z28</f>
        <v/>
      </c>
      <c r="AA96" s="208">
        <f>AA28</f>
        <v/>
      </c>
      <c r="AB96" s="208">
        <f>AB28</f>
        <v/>
      </c>
      <c r="AC96" s="208">
        <f>AC28</f>
        <v/>
      </c>
      <c r="AF96" s="208">
        <f>AF28</f>
        <v/>
      </c>
      <c r="AG96" s="208">
        <f>AG28</f>
        <v/>
      </c>
      <c r="AH96" s="208">
        <f>AH28</f>
        <v/>
      </c>
      <c r="AI96" s="208">
        <f>AI28</f>
        <v/>
      </c>
      <c r="AJ96" s="208">
        <f>AJ28</f>
        <v/>
      </c>
      <c r="AK96" s="208">
        <f>AK28</f>
        <v/>
      </c>
      <c r="AL96" s="208">
        <f>AL28</f>
        <v/>
      </c>
      <c r="AO96" s="208">
        <f>AO28</f>
        <v/>
      </c>
      <c r="AP96" s="208">
        <f>AP28</f>
        <v/>
      </c>
      <c r="AQ96" s="208">
        <f>AQ28</f>
        <v/>
      </c>
      <c r="AR96" s="208">
        <f>AR28</f>
        <v/>
      </c>
      <c r="AS96" s="208">
        <f>AS28</f>
        <v/>
      </c>
      <c r="AT96" s="208">
        <f>AT28</f>
        <v/>
      </c>
      <c r="AU96" s="208">
        <f>AU28</f>
        <v/>
      </c>
    </row>
    <row r="97" ht="14.5" customHeight="1" s="213">
      <c r="U97" s="33" t="inlineStr">
        <is>
          <t>Korea</t>
        </is>
      </c>
      <c r="V97" s="48" t="inlineStr">
        <is>
          <t>ELC</t>
        </is>
      </c>
      <c r="W97" s="208">
        <f>W29-W30</f>
        <v/>
      </c>
      <c r="X97" s="208">
        <f>X29-X30</f>
        <v/>
      </c>
      <c r="Y97" s="208">
        <f>Y29-Y30</f>
        <v/>
      </c>
      <c r="Z97" s="208">
        <f>Z29-Z30</f>
        <v/>
      </c>
      <c r="AA97" s="208">
        <f>AA29-AA30</f>
        <v/>
      </c>
      <c r="AB97" s="208">
        <f>AB29-AB30</f>
        <v/>
      </c>
      <c r="AC97" s="208">
        <f>AC29-AC30</f>
        <v/>
      </c>
      <c r="AF97" s="208">
        <f>AF29-AF30</f>
        <v/>
      </c>
      <c r="AG97" s="208">
        <f>AG29-AG30</f>
        <v/>
      </c>
      <c r="AH97" s="208">
        <f>AH29-AH30</f>
        <v/>
      </c>
      <c r="AI97" s="208">
        <f>AI29-AI30</f>
        <v/>
      </c>
      <c r="AJ97" s="208">
        <f>AJ29-AJ30</f>
        <v/>
      </c>
      <c r="AK97" s="208">
        <f>AK29-AK30</f>
        <v/>
      </c>
      <c r="AL97" s="208">
        <f>AL29-AL30</f>
        <v/>
      </c>
      <c r="AO97" s="208">
        <f>AO29-AO30</f>
        <v/>
      </c>
      <c r="AP97" s="208">
        <f>AP29-AP30</f>
        <v/>
      </c>
      <c r="AQ97" s="208">
        <f>AQ29-AQ30</f>
        <v/>
      </c>
      <c r="AR97" s="208">
        <f>AR29-AR30</f>
        <v/>
      </c>
      <c r="AS97" s="208">
        <f>AS29-AS30</f>
        <v/>
      </c>
      <c r="AT97" s="208">
        <f>AT29-AT30</f>
        <v/>
      </c>
      <c r="AU97" s="208">
        <f>AU29-AU30</f>
        <v/>
      </c>
    </row>
    <row r="98" ht="14.5" customHeight="1" s="213">
      <c r="V98" s="49" t="inlineStr">
        <is>
          <t>COAHCO</t>
        </is>
      </c>
      <c r="W98" s="208">
        <f>W31</f>
        <v/>
      </c>
      <c r="X98" s="208">
        <f>X31</f>
        <v/>
      </c>
      <c r="Y98" s="208">
        <f>Y31</f>
        <v/>
      </c>
      <c r="Z98" s="208">
        <f>Z31</f>
        <v/>
      </c>
      <c r="AA98" s="208">
        <f>AA31</f>
        <v/>
      </c>
      <c r="AB98" s="208">
        <f>AB31</f>
        <v/>
      </c>
      <c r="AC98" s="208">
        <f>AC31</f>
        <v/>
      </c>
      <c r="AF98" s="208">
        <f>AF31</f>
        <v/>
      </c>
      <c r="AG98" s="208">
        <f>AG31</f>
        <v/>
      </c>
      <c r="AH98" s="208">
        <f>AH31</f>
        <v/>
      </c>
      <c r="AI98" s="208">
        <f>AI31</f>
        <v/>
      </c>
      <c r="AJ98" s="208">
        <f>AJ31</f>
        <v/>
      </c>
      <c r="AK98" s="208">
        <f>AK31</f>
        <v/>
      </c>
      <c r="AL98" s="208">
        <f>AL31</f>
        <v/>
      </c>
      <c r="AO98" s="208">
        <f>AO31</f>
        <v/>
      </c>
      <c r="AP98" s="208">
        <f>AP31</f>
        <v/>
      </c>
      <c r="AQ98" s="208">
        <f>AQ31</f>
        <v/>
      </c>
      <c r="AR98" s="208">
        <f>AR31</f>
        <v/>
      </c>
      <c r="AS98" s="208">
        <f>AS31</f>
        <v/>
      </c>
      <c r="AT98" s="208">
        <f>AT31</f>
        <v/>
      </c>
      <c r="AU98" s="208">
        <f>AU31</f>
        <v/>
      </c>
    </row>
    <row r="99" ht="15.5" customHeight="1" s="213">
      <c r="V99" s="48" t="inlineStr">
        <is>
          <t>GASNGA</t>
        </is>
      </c>
      <c r="W99" s="208">
        <f>W32</f>
        <v/>
      </c>
      <c r="X99" s="208">
        <f>X32</f>
        <v/>
      </c>
      <c r="Y99" s="208">
        <f>Y32</f>
        <v/>
      </c>
      <c r="Z99" s="208">
        <f>Z32</f>
        <v/>
      </c>
      <c r="AA99" s="208">
        <f>AA32</f>
        <v/>
      </c>
      <c r="AB99" s="208">
        <f>AB32</f>
        <v/>
      </c>
      <c r="AC99" s="208">
        <f>AC32</f>
        <v/>
      </c>
      <c r="AD99" s="34" t="n"/>
      <c r="AE99" s="34" t="n"/>
      <c r="AF99" s="208">
        <f>AF32</f>
        <v/>
      </c>
      <c r="AG99" s="208">
        <f>AG32</f>
        <v/>
      </c>
      <c r="AH99" s="208">
        <f>AH32</f>
        <v/>
      </c>
      <c r="AI99" s="208">
        <f>AI32</f>
        <v/>
      </c>
      <c r="AJ99" s="208">
        <f>AJ32</f>
        <v/>
      </c>
      <c r="AK99" s="208">
        <f>AK32</f>
        <v/>
      </c>
      <c r="AL99" s="208">
        <f>AL32</f>
        <v/>
      </c>
      <c r="AM99" s="34" t="n"/>
      <c r="AN99" s="34" t="n"/>
      <c r="AO99" s="208">
        <f>AO32</f>
        <v/>
      </c>
      <c r="AP99" s="208">
        <f>AP32</f>
        <v/>
      </c>
      <c r="AQ99" s="208">
        <f>AQ32</f>
        <v/>
      </c>
      <c r="AR99" s="208">
        <f>AR32</f>
        <v/>
      </c>
      <c r="AS99" s="208">
        <f>AS32</f>
        <v/>
      </c>
      <c r="AT99" s="208">
        <f>AT32</f>
        <v/>
      </c>
      <c r="AU99" s="208">
        <f>AU32</f>
        <v/>
      </c>
    </row>
    <row r="100" ht="15.5" customHeight="1" s="213">
      <c r="V100" s="48" t="inlineStr">
        <is>
          <t>OILDST</t>
        </is>
      </c>
      <c r="W100" s="208">
        <f>W33</f>
        <v/>
      </c>
      <c r="X100" s="208">
        <f>X33</f>
        <v/>
      </c>
      <c r="Y100" s="208">
        <f>Y33</f>
        <v/>
      </c>
      <c r="Z100" s="208">
        <f>Z33</f>
        <v/>
      </c>
      <c r="AA100" s="208">
        <f>AA33</f>
        <v/>
      </c>
      <c r="AB100" s="208">
        <f>AB33</f>
        <v/>
      </c>
      <c r="AC100" s="208">
        <f>AC33</f>
        <v/>
      </c>
      <c r="AD100" s="34" t="n"/>
      <c r="AE100" s="34" t="n"/>
      <c r="AF100" s="208">
        <f>AF33</f>
        <v/>
      </c>
      <c r="AG100" s="208">
        <f>AG33</f>
        <v/>
      </c>
      <c r="AH100" s="208">
        <f>AH33</f>
        <v/>
      </c>
      <c r="AI100" s="208">
        <f>AI33</f>
        <v/>
      </c>
      <c r="AJ100" s="208">
        <f>AJ33</f>
        <v/>
      </c>
      <c r="AK100" s="208">
        <f>AK33</f>
        <v/>
      </c>
      <c r="AL100" s="208">
        <f>AL33</f>
        <v/>
      </c>
      <c r="AM100" s="34" t="n"/>
      <c r="AN100" s="34" t="n"/>
      <c r="AO100" s="208">
        <f>AO33</f>
        <v/>
      </c>
      <c r="AP100" s="208">
        <f>AP33</f>
        <v/>
      </c>
      <c r="AQ100" s="208">
        <f>AQ33</f>
        <v/>
      </c>
      <c r="AR100" s="208">
        <f>AR33</f>
        <v/>
      </c>
      <c r="AS100" s="208">
        <f>AS33</f>
        <v/>
      </c>
      <c r="AT100" s="208">
        <f>AT33</f>
        <v/>
      </c>
      <c r="AU100" s="208">
        <f>AU33</f>
        <v/>
      </c>
    </row>
    <row r="101" ht="15.5" customHeight="1" s="213">
      <c r="U101" s="33" t="inlineStr">
        <is>
          <t>CN</t>
        </is>
      </c>
      <c r="V101" s="48" t="inlineStr">
        <is>
          <t>ELC</t>
        </is>
      </c>
      <c r="W101" s="34">
        <f>W34-W35</f>
        <v/>
      </c>
      <c r="X101" s="34">
        <f>X34-X35</f>
        <v/>
      </c>
      <c r="Y101" s="34">
        <f>Y34-Y35</f>
        <v/>
      </c>
      <c r="Z101" s="34">
        <f>Z34-Z35</f>
        <v/>
      </c>
      <c r="AA101" s="34">
        <f>AA34-AA35</f>
        <v/>
      </c>
      <c r="AB101" s="34">
        <f>AB34-AB35</f>
        <v/>
      </c>
      <c r="AC101" s="34">
        <f>AC34-AC35</f>
        <v/>
      </c>
      <c r="AD101" s="34" t="n"/>
      <c r="AE101" s="34" t="n"/>
      <c r="AF101" s="34">
        <f>AF34-AF35</f>
        <v/>
      </c>
      <c r="AG101" s="34">
        <f>AG34-AG35</f>
        <v/>
      </c>
      <c r="AH101" s="34">
        <f>AH34-AH35</f>
        <v/>
      </c>
      <c r="AI101" s="34">
        <f>AI34-AI35</f>
        <v/>
      </c>
      <c r="AJ101" s="34">
        <f>AJ34-AJ35</f>
        <v/>
      </c>
      <c r="AK101" s="34">
        <f>AK34-AK35</f>
        <v/>
      </c>
      <c r="AL101" s="34">
        <f>AL34-AL35</f>
        <v/>
      </c>
      <c r="AM101" s="34" t="n"/>
      <c r="AN101" s="34" t="n"/>
      <c r="AO101" s="34">
        <f>AO34-AO35</f>
        <v/>
      </c>
      <c r="AP101" s="34">
        <f>AP34-AP35</f>
        <v/>
      </c>
      <c r="AQ101" s="34">
        <f>AQ34-AQ35</f>
        <v/>
      </c>
      <c r="AR101" s="34">
        <f>AR34-AR35</f>
        <v/>
      </c>
      <c r="AS101" s="34">
        <f>AS34-AS35</f>
        <v/>
      </c>
      <c r="AT101" s="34">
        <f>AT34-AT35</f>
        <v/>
      </c>
      <c r="AU101" s="34">
        <f>AU34-AU35</f>
        <v/>
      </c>
    </row>
    <row r="102" ht="15.5" customHeight="1" s="213">
      <c r="V102" s="49" t="inlineStr">
        <is>
          <t>COAHCO</t>
        </is>
      </c>
      <c r="W102" s="34">
        <f>W36</f>
        <v/>
      </c>
      <c r="X102" s="34">
        <f>X36</f>
        <v/>
      </c>
      <c r="Y102" s="34">
        <f>Y36</f>
        <v/>
      </c>
      <c r="Z102" s="34">
        <f>Z36</f>
        <v/>
      </c>
      <c r="AA102" s="34">
        <f>AA36</f>
        <v/>
      </c>
      <c r="AB102" s="34">
        <f>AB36</f>
        <v/>
      </c>
      <c r="AC102" s="34">
        <f>AC36</f>
        <v/>
      </c>
      <c r="AD102" s="34" t="n"/>
      <c r="AE102" s="34" t="n"/>
      <c r="AF102" s="34">
        <f>AF36</f>
        <v/>
      </c>
      <c r="AG102" s="34">
        <f>AG36</f>
        <v/>
      </c>
      <c r="AH102" s="34">
        <f>AH36</f>
        <v/>
      </c>
      <c r="AI102" s="34">
        <f>AI36</f>
        <v/>
      </c>
      <c r="AJ102" s="34">
        <f>AJ36</f>
        <v/>
      </c>
      <c r="AK102" s="34">
        <f>AK36</f>
        <v/>
      </c>
      <c r="AL102" s="34">
        <f>AL36</f>
        <v/>
      </c>
      <c r="AM102" s="34" t="n"/>
      <c r="AN102" s="34" t="n"/>
      <c r="AO102" s="34">
        <f>AO36</f>
        <v/>
      </c>
      <c r="AP102" s="34">
        <f>AP36</f>
        <v/>
      </c>
      <c r="AQ102" s="34">
        <f>AQ36</f>
        <v/>
      </c>
      <c r="AR102" s="34">
        <f>AR36</f>
        <v/>
      </c>
      <c r="AS102" s="34">
        <f>AS36</f>
        <v/>
      </c>
      <c r="AT102" s="34">
        <f>AT36</f>
        <v/>
      </c>
      <c r="AU102" s="34">
        <f>AU36</f>
        <v/>
      </c>
    </row>
    <row r="103" ht="15.5" customHeight="1" s="213">
      <c r="V103" s="48" t="inlineStr">
        <is>
          <t>GASNGA</t>
        </is>
      </c>
      <c r="W103" s="34">
        <f>W37</f>
        <v/>
      </c>
      <c r="X103" s="34">
        <f>X37</f>
        <v/>
      </c>
      <c r="Y103" s="34">
        <f>Y37</f>
        <v/>
      </c>
      <c r="Z103" s="34">
        <f>Z37</f>
        <v/>
      </c>
      <c r="AA103" s="34">
        <f>AA37</f>
        <v/>
      </c>
      <c r="AB103" s="34">
        <f>AB37</f>
        <v/>
      </c>
      <c r="AC103" s="34">
        <f>AC37</f>
        <v/>
      </c>
      <c r="AD103" s="34" t="n"/>
      <c r="AE103" s="34" t="n"/>
      <c r="AF103" s="34">
        <f>AF37</f>
        <v/>
      </c>
      <c r="AG103" s="34">
        <f>AG37</f>
        <v/>
      </c>
      <c r="AH103" s="34">
        <f>AH37</f>
        <v/>
      </c>
      <c r="AI103" s="34">
        <f>AI37</f>
        <v/>
      </c>
      <c r="AJ103" s="34">
        <f>AJ37</f>
        <v/>
      </c>
      <c r="AK103" s="34">
        <f>AK37</f>
        <v/>
      </c>
      <c r="AL103" s="34">
        <f>AL37</f>
        <v/>
      </c>
      <c r="AM103" s="34" t="n"/>
      <c r="AN103" s="34" t="n"/>
      <c r="AO103" s="34">
        <f>AO37</f>
        <v/>
      </c>
      <c r="AP103" s="34">
        <f>AP37</f>
        <v/>
      </c>
      <c r="AQ103" s="34">
        <f>AQ37</f>
        <v/>
      </c>
      <c r="AR103" s="34">
        <f>AR37</f>
        <v/>
      </c>
      <c r="AS103" s="34">
        <f>AS37</f>
        <v/>
      </c>
      <c r="AT103" s="34">
        <f>AT37</f>
        <v/>
      </c>
      <c r="AU103" s="34">
        <f>AU37</f>
        <v/>
      </c>
    </row>
    <row r="104" ht="15.5" customHeight="1" s="213">
      <c r="V104" s="48" t="inlineStr">
        <is>
          <t>OILDST</t>
        </is>
      </c>
      <c r="W104" s="34">
        <f>W38</f>
        <v/>
      </c>
      <c r="X104" s="34">
        <f>X38</f>
        <v/>
      </c>
      <c r="Y104" s="34">
        <f>Y38</f>
        <v/>
      </c>
      <c r="Z104" s="34">
        <f>Z38</f>
        <v/>
      </c>
      <c r="AA104" s="34">
        <f>AA38</f>
        <v/>
      </c>
      <c r="AB104" s="34">
        <f>AB38</f>
        <v/>
      </c>
      <c r="AC104" s="34">
        <f>AC38</f>
        <v/>
      </c>
      <c r="AD104" s="34" t="n"/>
      <c r="AE104" s="34" t="n"/>
      <c r="AF104" s="34">
        <f>AF38</f>
        <v/>
      </c>
      <c r="AG104" s="34">
        <f>AG38</f>
        <v/>
      </c>
      <c r="AH104" s="34">
        <f>AH38</f>
        <v/>
      </c>
      <c r="AI104" s="34">
        <f>AI38</f>
        <v/>
      </c>
      <c r="AJ104" s="34">
        <f>AJ38</f>
        <v/>
      </c>
      <c r="AK104" s="34">
        <f>AK38</f>
        <v/>
      </c>
      <c r="AL104" s="34">
        <f>AL38</f>
        <v/>
      </c>
      <c r="AM104" s="34" t="n"/>
      <c r="AN104" s="34" t="n"/>
      <c r="AO104" s="34">
        <f>AO38</f>
        <v/>
      </c>
      <c r="AP104" s="34">
        <f>AP38</f>
        <v/>
      </c>
      <c r="AQ104" s="34">
        <f>AQ38</f>
        <v/>
      </c>
      <c r="AR104" s="34">
        <f>AR38</f>
        <v/>
      </c>
      <c r="AS104" s="34">
        <f>AS38</f>
        <v/>
      </c>
      <c r="AT104" s="34">
        <f>AT38</f>
        <v/>
      </c>
      <c r="AU104" s="34">
        <f>AU38</f>
        <v/>
      </c>
    </row>
    <row r="105" ht="15.5" customHeight="1" s="213">
      <c r="U105" s="55" t="inlineStr">
        <is>
          <t>US</t>
        </is>
      </c>
      <c r="V105" s="48" t="inlineStr">
        <is>
          <t>ELC</t>
        </is>
      </c>
      <c r="W105" s="50">
        <f>W93</f>
        <v/>
      </c>
      <c r="X105" s="50">
        <f>X93</f>
        <v/>
      </c>
      <c r="Y105" s="50">
        <f>Y93</f>
        <v/>
      </c>
      <c r="Z105" s="50">
        <f>Z93</f>
        <v/>
      </c>
      <c r="AA105" s="50">
        <f>AA93</f>
        <v/>
      </c>
      <c r="AB105" s="50">
        <f>AB93</f>
        <v/>
      </c>
      <c r="AC105" s="50">
        <f>AC93</f>
        <v/>
      </c>
      <c r="AD105" s="34" t="n"/>
      <c r="AE105" s="34" t="n"/>
      <c r="AF105" s="50">
        <f>AF93</f>
        <v/>
      </c>
      <c r="AG105" s="50">
        <f>AG93</f>
        <v/>
      </c>
      <c r="AH105" s="50">
        <f>AH93</f>
        <v/>
      </c>
      <c r="AI105" s="50">
        <f>AI93</f>
        <v/>
      </c>
      <c r="AJ105" s="50">
        <f>AJ93</f>
        <v/>
      </c>
      <c r="AK105" s="50">
        <f>AK93</f>
        <v/>
      </c>
      <c r="AL105" s="50">
        <f>AL93</f>
        <v/>
      </c>
      <c r="AM105" s="34" t="n"/>
      <c r="AN105" s="34" t="n"/>
      <c r="AO105" s="50">
        <f>AO93</f>
        <v/>
      </c>
      <c r="AP105" s="50">
        <f>AP93</f>
        <v/>
      </c>
      <c r="AQ105" s="50">
        <f>AQ93</f>
        <v/>
      </c>
      <c r="AR105" s="50">
        <f>AR93</f>
        <v/>
      </c>
      <c r="AS105" s="50">
        <f>AS93</f>
        <v/>
      </c>
      <c r="AT105" s="50">
        <f>AT93</f>
        <v/>
      </c>
      <c r="AU105" s="50">
        <f>AU93</f>
        <v/>
      </c>
    </row>
    <row r="106" ht="15.5" customHeight="1" s="213">
      <c r="V106" s="49" t="inlineStr">
        <is>
          <t>COAHCO</t>
        </is>
      </c>
      <c r="W106" s="50">
        <f>W94</f>
        <v/>
      </c>
      <c r="X106" s="50">
        <f>X94</f>
        <v/>
      </c>
      <c r="Y106" s="50">
        <f>Y94</f>
        <v/>
      </c>
      <c r="Z106" s="50">
        <f>Z94</f>
        <v/>
      </c>
      <c r="AA106" s="50">
        <f>AA94</f>
        <v/>
      </c>
      <c r="AB106" s="50">
        <f>AB94</f>
        <v/>
      </c>
      <c r="AC106" s="50">
        <f>AC94</f>
        <v/>
      </c>
      <c r="AD106" s="34" t="n"/>
      <c r="AE106" s="34" t="n"/>
      <c r="AF106" s="50">
        <f>AF94</f>
        <v/>
      </c>
      <c r="AG106" s="50">
        <f>AG94</f>
        <v/>
      </c>
      <c r="AH106" s="50">
        <f>AH94</f>
        <v/>
      </c>
      <c r="AI106" s="50">
        <f>AI94</f>
        <v/>
      </c>
      <c r="AJ106" s="50">
        <f>AJ94</f>
        <v/>
      </c>
      <c r="AK106" s="50">
        <f>AK94</f>
        <v/>
      </c>
      <c r="AL106" s="50">
        <f>AL94</f>
        <v/>
      </c>
      <c r="AM106" s="34" t="n"/>
      <c r="AN106" s="34" t="n"/>
      <c r="AO106" s="50">
        <f>AO94</f>
        <v/>
      </c>
      <c r="AP106" s="50">
        <f>AP94</f>
        <v/>
      </c>
      <c r="AQ106" s="50">
        <f>AQ94</f>
        <v/>
      </c>
      <c r="AR106" s="50">
        <f>AR94</f>
        <v/>
      </c>
      <c r="AS106" s="50">
        <f>AS94</f>
        <v/>
      </c>
      <c r="AT106" s="50">
        <f>AT94</f>
        <v/>
      </c>
      <c r="AU106" s="50">
        <f>AU94</f>
        <v/>
      </c>
    </row>
    <row r="107" ht="15.5" customHeight="1" s="213">
      <c r="V107" s="48" t="inlineStr">
        <is>
          <t>GASNGA</t>
        </is>
      </c>
      <c r="W107" s="50">
        <f>W95</f>
        <v/>
      </c>
      <c r="X107" s="50">
        <f>X95</f>
        <v/>
      </c>
      <c r="Y107" s="50">
        <f>Y95</f>
        <v/>
      </c>
      <c r="Z107" s="50">
        <f>Z95</f>
        <v/>
      </c>
      <c r="AA107" s="50">
        <f>AA95</f>
        <v/>
      </c>
      <c r="AB107" s="50">
        <f>AB95</f>
        <v/>
      </c>
      <c r="AC107" s="50">
        <f>AC95</f>
        <v/>
      </c>
      <c r="AD107" s="34" t="n"/>
      <c r="AE107" s="34" t="n"/>
      <c r="AF107" s="50">
        <f>AF95</f>
        <v/>
      </c>
      <c r="AG107" s="50">
        <f>AG95</f>
        <v/>
      </c>
      <c r="AH107" s="50">
        <f>AH95</f>
        <v/>
      </c>
      <c r="AI107" s="50">
        <f>AI95</f>
        <v/>
      </c>
      <c r="AJ107" s="50">
        <f>AJ95</f>
        <v/>
      </c>
      <c r="AK107" s="50">
        <f>AK95</f>
        <v/>
      </c>
      <c r="AL107" s="50">
        <f>AL95</f>
        <v/>
      </c>
      <c r="AM107" s="34" t="n"/>
      <c r="AN107" s="34" t="n"/>
      <c r="AO107" s="50">
        <f>AO95</f>
        <v/>
      </c>
      <c r="AP107" s="50">
        <f>AP95</f>
        <v/>
      </c>
      <c r="AQ107" s="50">
        <f>AQ95</f>
        <v/>
      </c>
      <c r="AR107" s="50">
        <f>AR95</f>
        <v/>
      </c>
      <c r="AS107" s="50">
        <f>AS95</f>
        <v/>
      </c>
      <c r="AT107" s="50">
        <f>AT95</f>
        <v/>
      </c>
      <c r="AU107" s="50">
        <f>AU95</f>
        <v/>
      </c>
    </row>
    <row r="108" ht="15.5" customHeight="1" s="213">
      <c r="V108" s="48" t="inlineStr">
        <is>
          <t>OILDST</t>
        </is>
      </c>
      <c r="W108" s="50">
        <f>W96</f>
        <v/>
      </c>
      <c r="X108" s="50">
        <f>X96</f>
        <v/>
      </c>
      <c r="Y108" s="50">
        <f>Y96</f>
        <v/>
      </c>
      <c r="Z108" s="50">
        <f>Z96</f>
        <v/>
      </c>
      <c r="AA108" s="50">
        <f>AA96</f>
        <v/>
      </c>
      <c r="AB108" s="50">
        <f>AB96</f>
        <v/>
      </c>
      <c r="AC108" s="50">
        <f>AC96</f>
        <v/>
      </c>
      <c r="AD108" s="34" t="n"/>
      <c r="AE108" s="34" t="n"/>
      <c r="AF108" s="50">
        <f>AF96</f>
        <v/>
      </c>
      <c r="AG108" s="50">
        <f>AG96</f>
        <v/>
      </c>
      <c r="AH108" s="50">
        <f>AH96</f>
        <v/>
      </c>
      <c r="AI108" s="50">
        <f>AI96</f>
        <v/>
      </c>
      <c r="AJ108" s="50">
        <f>AJ96</f>
        <v/>
      </c>
      <c r="AK108" s="50">
        <f>AK96</f>
        <v/>
      </c>
      <c r="AL108" s="50">
        <f>AL96</f>
        <v/>
      </c>
      <c r="AM108" s="34" t="n"/>
      <c r="AN108" s="34" t="n"/>
      <c r="AO108" s="50">
        <f>AO96</f>
        <v/>
      </c>
      <c r="AP108" s="50">
        <f>AP96</f>
        <v/>
      </c>
      <c r="AQ108" s="50">
        <f>AQ96</f>
        <v/>
      </c>
      <c r="AR108" s="50">
        <f>AR96</f>
        <v/>
      </c>
      <c r="AS108" s="50">
        <f>AS96</f>
        <v/>
      </c>
      <c r="AT108" s="50">
        <f>AT96</f>
        <v/>
      </c>
      <c r="AU108" s="50">
        <f>AU96</f>
        <v/>
      </c>
    </row>
    <row r="112" ht="15.5" customHeight="1" s="213">
      <c r="U112" s="34" t="n"/>
      <c r="V112" s="34" t="n"/>
      <c r="W112" s="34" t="inlineStr">
        <is>
          <t>NMC111</t>
        </is>
      </c>
      <c r="X112" s="34" t="inlineStr">
        <is>
          <t>NMC532</t>
        </is>
      </c>
      <c r="Y112" s="38" t="inlineStr">
        <is>
          <t>NMC622</t>
        </is>
      </c>
      <c r="Z112" s="34" t="inlineStr">
        <is>
          <t>NMC811</t>
        </is>
      </c>
      <c r="AA112" s="34" t="inlineStr">
        <is>
          <t>NCA</t>
        </is>
      </c>
      <c r="AB112" s="40" t="inlineStr">
        <is>
          <t xml:space="preserve">LMO </t>
        </is>
      </c>
      <c r="AC112" s="40" t="inlineStr">
        <is>
          <t xml:space="preserve">LFP </t>
        </is>
      </c>
      <c r="AD112" s="34" t="n"/>
      <c r="AE112" s="34" t="n"/>
      <c r="AF112" s="34" t="inlineStr">
        <is>
          <t>NMC111</t>
        </is>
      </c>
      <c r="AG112" s="34" t="inlineStr">
        <is>
          <t>NMC532</t>
        </is>
      </c>
      <c r="AH112" s="38" t="inlineStr">
        <is>
          <t>NMC622</t>
        </is>
      </c>
      <c r="AI112" s="34" t="inlineStr">
        <is>
          <t>NMC811</t>
        </is>
      </c>
      <c r="AJ112" s="34" t="inlineStr">
        <is>
          <t>NCA</t>
        </is>
      </c>
      <c r="AK112" s="40" t="inlineStr">
        <is>
          <t xml:space="preserve">LMO </t>
        </is>
      </c>
      <c r="AL112" s="40" t="inlineStr">
        <is>
          <t xml:space="preserve">LFP </t>
        </is>
      </c>
      <c r="AM112" s="34" t="n"/>
      <c r="AN112" s="34" t="n"/>
      <c r="AO112" s="34" t="inlineStr">
        <is>
          <t>NMC111</t>
        </is>
      </c>
      <c r="AP112" s="34" t="inlineStr">
        <is>
          <t>NMC532</t>
        </is>
      </c>
      <c r="AQ112" s="38" t="inlineStr">
        <is>
          <t>NMC622</t>
        </is>
      </c>
      <c r="AR112" s="34" t="inlineStr">
        <is>
          <t>NMC811</t>
        </is>
      </c>
      <c r="AS112" s="34" t="inlineStr">
        <is>
          <t>NCA</t>
        </is>
      </c>
      <c r="AT112" s="40" t="inlineStr">
        <is>
          <t xml:space="preserve">LMO </t>
        </is>
      </c>
      <c r="AU112" s="40" t="inlineStr">
        <is>
          <t xml:space="preserve">LFP </t>
        </is>
      </c>
    </row>
    <row r="113" ht="14.5" customHeight="1" s="213">
      <c r="U113" s="33" t="inlineStr">
        <is>
          <t>US</t>
        </is>
      </c>
      <c r="V113" s="48" t="inlineStr">
        <is>
          <t>ELC</t>
        </is>
      </c>
      <c r="W113" s="208">
        <f>W44-W45</f>
        <v/>
      </c>
      <c r="X113" s="208">
        <f>X44-X45</f>
        <v/>
      </c>
      <c r="Y113" s="208">
        <f>Y44-Y45</f>
        <v/>
      </c>
      <c r="Z113" s="208">
        <f>Z44-Z45</f>
        <v/>
      </c>
      <c r="AA113" s="208">
        <f>AA44-AA45</f>
        <v/>
      </c>
      <c r="AB113" s="208">
        <f>AB44-AB45</f>
        <v/>
      </c>
      <c r="AC113" s="208">
        <f>AC44-AC45</f>
        <v/>
      </c>
      <c r="AF113" s="208">
        <f>AF44-AF45</f>
        <v/>
      </c>
      <c r="AG113" s="208">
        <f>AG44-AG45</f>
        <v/>
      </c>
      <c r="AH113" s="208">
        <f>AH44-AH45</f>
        <v/>
      </c>
      <c r="AI113" s="208">
        <f>AI44-AI45</f>
        <v/>
      </c>
      <c r="AJ113" s="208">
        <f>AJ44-AJ45</f>
        <v/>
      </c>
      <c r="AK113" s="208">
        <f>AK44-AK45</f>
        <v/>
      </c>
      <c r="AL113" s="208">
        <f>AL44-AL45</f>
        <v/>
      </c>
      <c r="AO113" s="208">
        <f>AO44-AO45</f>
        <v/>
      </c>
      <c r="AP113" s="208">
        <f>AP44-AP45</f>
        <v/>
      </c>
      <c r="AQ113" s="208">
        <f>AQ44-AQ45</f>
        <v/>
      </c>
      <c r="AR113" s="208">
        <f>AR44-AR45</f>
        <v/>
      </c>
      <c r="AS113" s="208">
        <f>AS44-AS45</f>
        <v/>
      </c>
      <c r="AT113" s="208">
        <f>AT44-AT45</f>
        <v/>
      </c>
      <c r="AU113" s="208">
        <f>AU44-AU45</f>
        <v/>
      </c>
    </row>
    <row r="114" ht="14.5" customHeight="1" s="213">
      <c r="V114" s="49" t="inlineStr">
        <is>
          <t>COAHCO</t>
        </is>
      </c>
      <c r="W114" s="208">
        <f>W46</f>
        <v/>
      </c>
      <c r="X114" s="208">
        <f>X46</f>
        <v/>
      </c>
      <c r="Y114" s="208">
        <f>Y46</f>
        <v/>
      </c>
      <c r="Z114" s="208">
        <f>Z46</f>
        <v/>
      </c>
      <c r="AA114" s="208">
        <f>AA46</f>
        <v/>
      </c>
      <c r="AB114" s="208">
        <f>AB46</f>
        <v/>
      </c>
      <c r="AC114" s="208">
        <f>AC46</f>
        <v/>
      </c>
      <c r="AF114" s="208">
        <f>AF46</f>
        <v/>
      </c>
      <c r="AG114" s="208">
        <f>AG46</f>
        <v/>
      </c>
      <c r="AH114" s="208">
        <f>AH46</f>
        <v/>
      </c>
      <c r="AI114" s="208">
        <f>AI46</f>
        <v/>
      </c>
      <c r="AJ114" s="208">
        <f>AJ46</f>
        <v/>
      </c>
      <c r="AK114" s="208">
        <f>AK46</f>
        <v/>
      </c>
      <c r="AL114" s="208">
        <f>AL46</f>
        <v/>
      </c>
      <c r="AO114" s="208">
        <f>AO46</f>
        <v/>
      </c>
      <c r="AP114" s="208">
        <f>AP46</f>
        <v/>
      </c>
      <c r="AQ114" s="208">
        <f>AQ46</f>
        <v/>
      </c>
      <c r="AR114" s="208">
        <f>AR46</f>
        <v/>
      </c>
      <c r="AS114" s="208">
        <f>AS46</f>
        <v/>
      </c>
      <c r="AT114" s="208">
        <f>AT46</f>
        <v/>
      </c>
      <c r="AU114" s="208">
        <f>AU46</f>
        <v/>
      </c>
    </row>
    <row r="115" ht="14.5" customHeight="1" s="213">
      <c r="V115" s="48" t="inlineStr">
        <is>
          <t>GASNGA</t>
        </is>
      </c>
      <c r="W115" s="208">
        <f>W47</f>
        <v/>
      </c>
      <c r="X115" s="208">
        <f>X47</f>
        <v/>
      </c>
      <c r="Y115" s="208">
        <f>Y47</f>
        <v/>
      </c>
      <c r="Z115" s="208">
        <f>Z47</f>
        <v/>
      </c>
      <c r="AA115" s="208">
        <f>AA47</f>
        <v/>
      </c>
      <c r="AB115" s="208">
        <f>AB47</f>
        <v/>
      </c>
      <c r="AC115" s="208">
        <f>AC47</f>
        <v/>
      </c>
      <c r="AF115" s="208">
        <f>AF47</f>
        <v/>
      </c>
      <c r="AG115" s="208">
        <f>AG47</f>
        <v/>
      </c>
      <c r="AH115" s="208">
        <f>AH47</f>
        <v/>
      </c>
      <c r="AI115" s="208">
        <f>AI47</f>
        <v/>
      </c>
      <c r="AJ115" s="208">
        <f>AJ47</f>
        <v/>
      </c>
      <c r="AK115" s="208">
        <f>AK47</f>
        <v/>
      </c>
      <c r="AL115" s="208">
        <f>AL47</f>
        <v/>
      </c>
      <c r="AO115" s="208">
        <f>AO47</f>
        <v/>
      </c>
      <c r="AP115" s="208">
        <f>AP47</f>
        <v/>
      </c>
      <c r="AQ115" s="208">
        <f>AQ47</f>
        <v/>
      </c>
      <c r="AR115" s="208">
        <f>AR47</f>
        <v/>
      </c>
      <c r="AS115" s="208">
        <f>AS47</f>
        <v/>
      </c>
      <c r="AT115" s="208">
        <f>AT47</f>
        <v/>
      </c>
      <c r="AU115" s="208">
        <f>AU47</f>
        <v/>
      </c>
    </row>
    <row r="116" ht="14.5" customHeight="1" s="213">
      <c r="V116" s="48" t="inlineStr">
        <is>
          <t>OILDST</t>
        </is>
      </c>
      <c r="W116" s="208">
        <f>W48</f>
        <v/>
      </c>
      <c r="X116" s="208">
        <f>X48</f>
        <v/>
      </c>
      <c r="Y116" s="208">
        <f>Y48</f>
        <v/>
      </c>
      <c r="Z116" s="208">
        <f>Z48</f>
        <v/>
      </c>
      <c r="AA116" s="208">
        <f>AA48</f>
        <v/>
      </c>
      <c r="AB116" s="208">
        <f>AB48</f>
        <v/>
      </c>
      <c r="AC116" s="208">
        <f>AC48</f>
        <v/>
      </c>
      <c r="AF116" s="208">
        <f>AF48</f>
        <v/>
      </c>
      <c r="AG116" s="208">
        <f>AG48</f>
        <v/>
      </c>
      <c r="AH116" s="208">
        <f>AH48</f>
        <v/>
      </c>
      <c r="AI116" s="208">
        <f>AI48</f>
        <v/>
      </c>
      <c r="AJ116" s="208">
        <f>AJ48</f>
        <v/>
      </c>
      <c r="AK116" s="208">
        <f>AK48</f>
        <v/>
      </c>
      <c r="AL116" s="208">
        <f>AL48</f>
        <v/>
      </c>
      <c r="AO116" s="208">
        <f>AO48</f>
        <v/>
      </c>
      <c r="AP116" s="208">
        <f>AP48</f>
        <v/>
      </c>
      <c r="AQ116" s="208">
        <f>AQ48</f>
        <v/>
      </c>
      <c r="AR116" s="208">
        <f>AR48</f>
        <v/>
      </c>
      <c r="AS116" s="208">
        <f>AS48</f>
        <v/>
      </c>
      <c r="AT116" s="208">
        <f>AT48</f>
        <v/>
      </c>
      <c r="AU116" s="208">
        <f>AU48</f>
        <v/>
      </c>
    </row>
    <row r="117" ht="14.5" customHeight="1" s="213">
      <c r="U117" s="33" t="inlineStr">
        <is>
          <t>Korea</t>
        </is>
      </c>
      <c r="V117" s="48" t="inlineStr">
        <is>
          <t>ELC</t>
        </is>
      </c>
      <c r="W117" s="208">
        <f>W49-W50</f>
        <v/>
      </c>
      <c r="X117" s="208">
        <f>X49-X50</f>
        <v/>
      </c>
      <c r="Y117" s="208">
        <f>Y49-Y50</f>
        <v/>
      </c>
      <c r="Z117" s="208">
        <f>Z49-Z50</f>
        <v/>
      </c>
      <c r="AA117" s="208">
        <f>AA49-AA50</f>
        <v/>
      </c>
      <c r="AB117" s="208">
        <f>AB49-AB50</f>
        <v/>
      </c>
      <c r="AC117" s="208">
        <f>AC49-AC50</f>
        <v/>
      </c>
      <c r="AF117" s="208">
        <f>AF49-AF50</f>
        <v/>
      </c>
      <c r="AG117" s="208">
        <f>AG49-AG50</f>
        <v/>
      </c>
      <c r="AH117" s="208">
        <f>AH49-AH50</f>
        <v/>
      </c>
      <c r="AI117" s="208">
        <f>AI49-AI50</f>
        <v/>
      </c>
      <c r="AJ117" s="208">
        <f>AJ49-AJ50</f>
        <v/>
      </c>
      <c r="AK117" s="208">
        <f>AK49-AK50</f>
        <v/>
      </c>
      <c r="AL117" s="208">
        <f>AL49-AL50</f>
        <v/>
      </c>
      <c r="AO117" s="208">
        <f>AO49-AO50</f>
        <v/>
      </c>
      <c r="AP117" s="208">
        <f>AP49-AP50</f>
        <v/>
      </c>
      <c r="AQ117" s="208">
        <f>AQ49-AQ50</f>
        <v/>
      </c>
      <c r="AR117" s="208">
        <f>AR49-AR50</f>
        <v/>
      </c>
      <c r="AS117" s="208">
        <f>AS49-AS50</f>
        <v/>
      </c>
      <c r="AT117" s="208">
        <f>AT49-AT50</f>
        <v/>
      </c>
      <c r="AU117" s="208">
        <f>AU49-AU50</f>
        <v/>
      </c>
    </row>
    <row r="118" ht="14.5" customHeight="1" s="213">
      <c r="V118" s="49" t="inlineStr">
        <is>
          <t>COAHCO</t>
        </is>
      </c>
      <c r="W118" s="208">
        <f>W51</f>
        <v/>
      </c>
      <c r="X118" s="208">
        <f>X51</f>
        <v/>
      </c>
      <c r="Y118" s="208">
        <f>Y51</f>
        <v/>
      </c>
      <c r="Z118" s="208">
        <f>Z51</f>
        <v/>
      </c>
      <c r="AA118" s="208">
        <f>AA51</f>
        <v/>
      </c>
      <c r="AB118" s="208">
        <f>AB51</f>
        <v/>
      </c>
      <c r="AC118" s="208">
        <f>AC51</f>
        <v/>
      </c>
      <c r="AF118" s="208">
        <f>AF51</f>
        <v/>
      </c>
      <c r="AG118" s="208">
        <f>AG51</f>
        <v/>
      </c>
      <c r="AH118" s="208">
        <f>AH51</f>
        <v/>
      </c>
      <c r="AI118" s="208">
        <f>AI51</f>
        <v/>
      </c>
      <c r="AJ118" s="208">
        <f>AJ51</f>
        <v/>
      </c>
      <c r="AK118" s="208">
        <f>AK51</f>
        <v/>
      </c>
      <c r="AL118" s="208">
        <f>AL51</f>
        <v/>
      </c>
      <c r="AO118" s="208">
        <f>AO51</f>
        <v/>
      </c>
      <c r="AP118" s="208">
        <f>AP51</f>
        <v/>
      </c>
      <c r="AQ118" s="208">
        <f>AQ51</f>
        <v/>
      </c>
      <c r="AR118" s="208">
        <f>AR51</f>
        <v/>
      </c>
      <c r="AS118" s="208">
        <f>AS51</f>
        <v/>
      </c>
      <c r="AT118" s="208">
        <f>AT51</f>
        <v/>
      </c>
      <c r="AU118" s="208">
        <f>AU51</f>
        <v/>
      </c>
    </row>
    <row r="119" ht="15.5" customHeight="1" s="213">
      <c r="V119" s="48" t="inlineStr">
        <is>
          <t>GASNGA</t>
        </is>
      </c>
      <c r="W119" s="208">
        <f>W52</f>
        <v/>
      </c>
      <c r="X119" s="208">
        <f>X52</f>
        <v/>
      </c>
      <c r="Y119" s="208">
        <f>Y52</f>
        <v/>
      </c>
      <c r="Z119" s="208">
        <f>Z52</f>
        <v/>
      </c>
      <c r="AA119" s="208">
        <f>AA52</f>
        <v/>
      </c>
      <c r="AB119" s="208">
        <f>AB52</f>
        <v/>
      </c>
      <c r="AC119" s="208">
        <f>AC52</f>
        <v/>
      </c>
      <c r="AD119" s="34" t="n"/>
      <c r="AE119" s="34" t="n"/>
      <c r="AF119" s="208">
        <f>AF52</f>
        <v/>
      </c>
      <c r="AG119" s="208">
        <f>AG52</f>
        <v/>
      </c>
      <c r="AH119" s="208">
        <f>AH52</f>
        <v/>
      </c>
      <c r="AI119" s="208">
        <f>AI52</f>
        <v/>
      </c>
      <c r="AJ119" s="208">
        <f>AJ52</f>
        <v/>
      </c>
      <c r="AK119" s="208">
        <f>AK52</f>
        <v/>
      </c>
      <c r="AL119" s="208">
        <f>AL52</f>
        <v/>
      </c>
      <c r="AM119" s="34" t="n"/>
      <c r="AN119" s="34" t="n"/>
      <c r="AO119" s="208">
        <f>AO52</f>
        <v/>
      </c>
      <c r="AP119" s="208">
        <f>AP52</f>
        <v/>
      </c>
      <c r="AQ119" s="208">
        <f>AQ52</f>
        <v/>
      </c>
      <c r="AR119" s="208">
        <f>AR52</f>
        <v/>
      </c>
      <c r="AS119" s="208">
        <f>AS52</f>
        <v/>
      </c>
      <c r="AT119" s="208">
        <f>AT52</f>
        <v/>
      </c>
      <c r="AU119" s="208">
        <f>AU52</f>
        <v/>
      </c>
    </row>
    <row r="120" ht="15.5" customHeight="1" s="213">
      <c r="V120" s="48" t="inlineStr">
        <is>
          <t>OILDST</t>
        </is>
      </c>
      <c r="W120" s="208">
        <f>W53</f>
        <v/>
      </c>
      <c r="X120" s="208">
        <f>X53</f>
        <v/>
      </c>
      <c r="Y120" s="208">
        <f>Y53</f>
        <v/>
      </c>
      <c r="Z120" s="208">
        <f>Z53</f>
        <v/>
      </c>
      <c r="AA120" s="208">
        <f>AA53</f>
        <v/>
      </c>
      <c r="AB120" s="208">
        <f>AB53</f>
        <v/>
      </c>
      <c r="AC120" s="208">
        <f>AC53</f>
        <v/>
      </c>
      <c r="AD120" s="34" t="n"/>
      <c r="AE120" s="34" t="n"/>
      <c r="AF120" s="208">
        <f>AF53</f>
        <v/>
      </c>
      <c r="AG120" s="208">
        <f>AG53</f>
        <v/>
      </c>
      <c r="AH120" s="208">
        <f>AH53</f>
        <v/>
      </c>
      <c r="AI120" s="208">
        <f>AI53</f>
        <v/>
      </c>
      <c r="AJ120" s="208">
        <f>AJ53</f>
        <v/>
      </c>
      <c r="AK120" s="208">
        <f>AK53</f>
        <v/>
      </c>
      <c r="AL120" s="208">
        <f>AL53</f>
        <v/>
      </c>
      <c r="AM120" s="34" t="n"/>
      <c r="AN120" s="34" t="n"/>
      <c r="AO120" s="208">
        <f>AO53</f>
        <v/>
      </c>
      <c r="AP120" s="208">
        <f>AP53</f>
        <v/>
      </c>
      <c r="AQ120" s="208">
        <f>AQ53</f>
        <v/>
      </c>
      <c r="AR120" s="208">
        <f>AR53</f>
        <v/>
      </c>
      <c r="AS120" s="208">
        <f>AS53</f>
        <v/>
      </c>
      <c r="AT120" s="208">
        <f>AT53</f>
        <v/>
      </c>
      <c r="AU120" s="208">
        <f>AU53</f>
        <v/>
      </c>
    </row>
    <row r="121" ht="15.5" customHeight="1" s="213">
      <c r="U121" s="33" t="inlineStr">
        <is>
          <t>CN</t>
        </is>
      </c>
      <c r="V121" s="48" t="inlineStr">
        <is>
          <t>ELC</t>
        </is>
      </c>
      <c r="W121" s="34">
        <f>W54-W55</f>
        <v/>
      </c>
      <c r="X121" s="34">
        <f>X54-X55</f>
        <v/>
      </c>
      <c r="Y121" s="34">
        <f>Y54-Y55</f>
        <v/>
      </c>
      <c r="Z121" s="34">
        <f>Z54-Z55</f>
        <v/>
      </c>
      <c r="AA121" s="34">
        <f>AA54-AA55</f>
        <v/>
      </c>
      <c r="AB121" s="34">
        <f>AB54-AB55</f>
        <v/>
      </c>
      <c r="AC121" s="34">
        <f>AC54-AC55</f>
        <v/>
      </c>
      <c r="AD121" s="34" t="n"/>
      <c r="AE121" s="34" t="n"/>
      <c r="AF121" s="34">
        <f>AF54-AF55</f>
        <v/>
      </c>
      <c r="AG121" s="34">
        <f>AG54-AG55</f>
        <v/>
      </c>
      <c r="AH121" s="34">
        <f>AH54-AH55</f>
        <v/>
      </c>
      <c r="AI121" s="34">
        <f>AI54-AI55</f>
        <v/>
      </c>
      <c r="AJ121" s="34">
        <f>AJ54-AJ55</f>
        <v/>
      </c>
      <c r="AK121" s="34">
        <f>AK54-AK55</f>
        <v/>
      </c>
      <c r="AL121" s="34">
        <f>AL54-AL55</f>
        <v/>
      </c>
      <c r="AM121" s="34" t="n"/>
      <c r="AN121" s="34" t="n"/>
      <c r="AO121" s="34">
        <f>AO54-AO55</f>
        <v/>
      </c>
      <c r="AP121" s="34">
        <f>AP54-AP55</f>
        <v/>
      </c>
      <c r="AQ121" s="34">
        <f>AQ54-AQ55</f>
        <v/>
      </c>
      <c r="AR121" s="34">
        <f>AR54-AR55</f>
        <v/>
      </c>
      <c r="AS121" s="34">
        <f>AS54-AS55</f>
        <v/>
      </c>
      <c r="AT121" s="34">
        <f>AT54-AT55</f>
        <v/>
      </c>
      <c r="AU121" s="34">
        <f>AU54-AU55</f>
        <v/>
      </c>
    </row>
    <row r="122" ht="15.5" customHeight="1" s="213">
      <c r="V122" s="49" t="inlineStr">
        <is>
          <t>COAHCO</t>
        </is>
      </c>
      <c r="W122" s="34">
        <f>W56</f>
        <v/>
      </c>
      <c r="X122" s="34">
        <f>X56</f>
        <v/>
      </c>
      <c r="Y122" s="34">
        <f>Y56</f>
        <v/>
      </c>
      <c r="Z122" s="34">
        <f>Z56</f>
        <v/>
      </c>
      <c r="AA122" s="34">
        <f>AA56</f>
        <v/>
      </c>
      <c r="AB122" s="34">
        <f>AB56</f>
        <v/>
      </c>
      <c r="AC122" s="34">
        <f>AC56</f>
        <v/>
      </c>
      <c r="AD122" s="34" t="n"/>
      <c r="AE122" s="34" t="n"/>
      <c r="AF122" s="34">
        <f>AF56</f>
        <v/>
      </c>
      <c r="AG122" s="34">
        <f>AG56</f>
        <v/>
      </c>
      <c r="AH122" s="34">
        <f>AH56</f>
        <v/>
      </c>
      <c r="AI122" s="34">
        <f>AI56</f>
        <v/>
      </c>
      <c r="AJ122" s="34">
        <f>AJ56</f>
        <v/>
      </c>
      <c r="AK122" s="34">
        <f>AK56</f>
        <v/>
      </c>
      <c r="AL122" s="34">
        <f>AL56</f>
        <v/>
      </c>
      <c r="AM122" s="34" t="n"/>
      <c r="AN122" s="34" t="n"/>
      <c r="AO122" s="34">
        <f>AO56</f>
        <v/>
      </c>
      <c r="AP122" s="34">
        <f>AP56</f>
        <v/>
      </c>
      <c r="AQ122" s="34">
        <f>AQ56</f>
        <v/>
      </c>
      <c r="AR122" s="34">
        <f>AR56</f>
        <v/>
      </c>
      <c r="AS122" s="34">
        <f>AS56</f>
        <v/>
      </c>
      <c r="AT122" s="34">
        <f>AT56</f>
        <v/>
      </c>
      <c r="AU122" s="34">
        <f>AU56</f>
        <v/>
      </c>
    </row>
    <row r="123" ht="15.5" customHeight="1" s="213">
      <c r="V123" s="48" t="inlineStr">
        <is>
          <t>GASNGA</t>
        </is>
      </c>
      <c r="W123" s="34">
        <f>W57</f>
        <v/>
      </c>
      <c r="X123" s="34">
        <f>X57</f>
        <v/>
      </c>
      <c r="Y123" s="34">
        <f>Y57</f>
        <v/>
      </c>
      <c r="Z123" s="34">
        <f>Z57</f>
        <v/>
      </c>
      <c r="AA123" s="34">
        <f>AA57</f>
        <v/>
      </c>
      <c r="AB123" s="34">
        <f>AB57</f>
        <v/>
      </c>
      <c r="AC123" s="34">
        <f>AC57</f>
        <v/>
      </c>
      <c r="AD123" s="34" t="n"/>
      <c r="AE123" s="34" t="n"/>
      <c r="AF123" s="34">
        <f>AF57</f>
        <v/>
      </c>
      <c r="AG123" s="34">
        <f>AG57</f>
        <v/>
      </c>
      <c r="AH123" s="34">
        <f>AH57</f>
        <v/>
      </c>
      <c r="AI123" s="34">
        <f>AI57</f>
        <v/>
      </c>
      <c r="AJ123" s="34">
        <f>AJ57</f>
        <v/>
      </c>
      <c r="AK123" s="34">
        <f>AK57</f>
        <v/>
      </c>
      <c r="AL123" s="34">
        <f>AL57</f>
        <v/>
      </c>
      <c r="AM123" s="34" t="n"/>
      <c r="AN123" s="34" t="n"/>
      <c r="AO123" s="34">
        <f>AO57</f>
        <v/>
      </c>
      <c r="AP123" s="34">
        <f>AP57</f>
        <v/>
      </c>
      <c r="AQ123" s="34">
        <f>AQ57</f>
        <v/>
      </c>
      <c r="AR123" s="34">
        <f>AR57</f>
        <v/>
      </c>
      <c r="AS123" s="34">
        <f>AS57</f>
        <v/>
      </c>
      <c r="AT123" s="34">
        <f>AT57</f>
        <v/>
      </c>
      <c r="AU123" s="34">
        <f>AU57</f>
        <v/>
      </c>
    </row>
    <row r="124" ht="15.5" customHeight="1" s="213">
      <c r="V124" s="48" t="inlineStr">
        <is>
          <t>OILDST</t>
        </is>
      </c>
      <c r="W124" s="34">
        <f>W58</f>
        <v/>
      </c>
      <c r="X124" s="34">
        <f>X58</f>
        <v/>
      </c>
      <c r="Y124" s="34">
        <f>Y58</f>
        <v/>
      </c>
      <c r="Z124" s="34">
        <f>Z58</f>
        <v/>
      </c>
      <c r="AA124" s="34">
        <f>AA58</f>
        <v/>
      </c>
      <c r="AB124" s="34">
        <f>AB58</f>
        <v/>
      </c>
      <c r="AC124" s="34">
        <f>AC58</f>
        <v/>
      </c>
      <c r="AD124" s="34" t="n"/>
      <c r="AE124" s="34" t="n"/>
      <c r="AF124" s="34">
        <f>AF58</f>
        <v/>
      </c>
      <c r="AG124" s="34">
        <f>AG58</f>
        <v/>
      </c>
      <c r="AH124" s="34">
        <f>AH58</f>
        <v/>
      </c>
      <c r="AI124" s="34">
        <f>AI58</f>
        <v/>
      </c>
      <c r="AJ124" s="34">
        <f>AJ58</f>
        <v/>
      </c>
      <c r="AK124" s="34">
        <f>AK58</f>
        <v/>
      </c>
      <c r="AL124" s="34">
        <f>AL58</f>
        <v/>
      </c>
      <c r="AM124" s="34" t="n"/>
      <c r="AN124" s="34" t="n"/>
      <c r="AO124" s="34">
        <f>AO58</f>
        <v/>
      </c>
      <c r="AP124" s="34">
        <f>AP58</f>
        <v/>
      </c>
      <c r="AQ124" s="34">
        <f>AQ58</f>
        <v/>
      </c>
      <c r="AR124" s="34">
        <f>AR58</f>
        <v/>
      </c>
      <c r="AS124" s="34">
        <f>AS58</f>
        <v/>
      </c>
      <c r="AT124" s="34">
        <f>AT58</f>
        <v/>
      </c>
      <c r="AU124" s="34">
        <f>AU58</f>
        <v/>
      </c>
    </row>
    <row r="125" ht="15.5" customHeight="1" s="213">
      <c r="U125" s="55" t="inlineStr">
        <is>
          <t>US</t>
        </is>
      </c>
      <c r="V125" s="48" t="inlineStr">
        <is>
          <t>ELC</t>
        </is>
      </c>
      <c r="W125" s="50">
        <f>W113</f>
        <v/>
      </c>
      <c r="X125" s="50">
        <f>X113</f>
        <v/>
      </c>
      <c r="Y125" s="50">
        <f>Y113</f>
        <v/>
      </c>
      <c r="Z125" s="50">
        <f>Z113</f>
        <v/>
      </c>
      <c r="AA125" s="50">
        <f>AA113</f>
        <v/>
      </c>
      <c r="AB125" s="50">
        <f>AB113</f>
        <v/>
      </c>
      <c r="AC125" s="50">
        <f>AC113</f>
        <v/>
      </c>
      <c r="AD125" s="34" t="n"/>
      <c r="AE125" s="34" t="n"/>
      <c r="AF125" s="50">
        <f>AF113</f>
        <v/>
      </c>
      <c r="AG125" s="50">
        <f>AG113</f>
        <v/>
      </c>
      <c r="AH125" s="50">
        <f>AH113</f>
        <v/>
      </c>
      <c r="AI125" s="50">
        <f>AI113</f>
        <v/>
      </c>
      <c r="AJ125" s="50">
        <f>AJ113</f>
        <v/>
      </c>
      <c r="AK125" s="50">
        <f>AK113</f>
        <v/>
      </c>
      <c r="AL125" s="50">
        <f>AL113</f>
        <v/>
      </c>
      <c r="AM125" s="34" t="n"/>
      <c r="AN125" s="34" t="n"/>
      <c r="AO125" s="50">
        <f>AO113</f>
        <v/>
      </c>
      <c r="AP125" s="50">
        <f>AP113</f>
        <v/>
      </c>
      <c r="AQ125" s="50">
        <f>AQ113</f>
        <v/>
      </c>
      <c r="AR125" s="50">
        <f>AR113</f>
        <v/>
      </c>
      <c r="AS125" s="50">
        <f>AS113</f>
        <v/>
      </c>
      <c r="AT125" s="50">
        <f>AT113</f>
        <v/>
      </c>
      <c r="AU125" s="50">
        <f>AU113</f>
        <v/>
      </c>
    </row>
    <row r="126" ht="15.5" customHeight="1" s="213">
      <c r="V126" s="49" t="inlineStr">
        <is>
          <t>COAHCO</t>
        </is>
      </c>
      <c r="W126" s="50">
        <f>W114</f>
        <v/>
      </c>
      <c r="X126" s="50">
        <f>X114</f>
        <v/>
      </c>
      <c r="Y126" s="50">
        <f>Y114</f>
        <v/>
      </c>
      <c r="Z126" s="50">
        <f>Z114</f>
        <v/>
      </c>
      <c r="AA126" s="50">
        <f>AA114</f>
        <v/>
      </c>
      <c r="AB126" s="50">
        <f>AB114</f>
        <v/>
      </c>
      <c r="AC126" s="50">
        <f>AC114</f>
        <v/>
      </c>
      <c r="AD126" s="34" t="n"/>
      <c r="AE126" s="34" t="n"/>
      <c r="AF126" s="50">
        <f>AF114</f>
        <v/>
      </c>
      <c r="AG126" s="50">
        <f>AG114</f>
        <v/>
      </c>
      <c r="AH126" s="50">
        <f>AH114</f>
        <v/>
      </c>
      <c r="AI126" s="50">
        <f>AI114</f>
        <v/>
      </c>
      <c r="AJ126" s="50">
        <f>AJ114</f>
        <v/>
      </c>
      <c r="AK126" s="50">
        <f>AK114</f>
        <v/>
      </c>
      <c r="AL126" s="50">
        <f>AL114</f>
        <v/>
      </c>
      <c r="AM126" s="34" t="n"/>
      <c r="AN126" s="34" t="n"/>
      <c r="AO126" s="50">
        <f>AO114</f>
        <v/>
      </c>
      <c r="AP126" s="50">
        <f>AP114</f>
        <v/>
      </c>
      <c r="AQ126" s="50">
        <f>AQ114</f>
        <v/>
      </c>
      <c r="AR126" s="50">
        <f>AR114</f>
        <v/>
      </c>
      <c r="AS126" s="50">
        <f>AS114</f>
        <v/>
      </c>
      <c r="AT126" s="50">
        <f>AT114</f>
        <v/>
      </c>
      <c r="AU126" s="50">
        <f>AU114</f>
        <v/>
      </c>
    </row>
    <row r="127" ht="15.5" customHeight="1" s="213">
      <c r="V127" s="48" t="inlineStr">
        <is>
          <t>GASNGA</t>
        </is>
      </c>
      <c r="W127" s="50">
        <f>W115</f>
        <v/>
      </c>
      <c r="X127" s="50">
        <f>X115</f>
        <v/>
      </c>
      <c r="Y127" s="50">
        <f>Y115</f>
        <v/>
      </c>
      <c r="Z127" s="50">
        <f>Z115</f>
        <v/>
      </c>
      <c r="AA127" s="50">
        <f>AA115</f>
        <v/>
      </c>
      <c r="AB127" s="50">
        <f>AB115</f>
        <v/>
      </c>
      <c r="AC127" s="50">
        <f>AC115</f>
        <v/>
      </c>
      <c r="AD127" s="34" t="n"/>
      <c r="AE127" s="34" t="n"/>
      <c r="AF127" s="50">
        <f>AF115</f>
        <v/>
      </c>
      <c r="AG127" s="50">
        <f>AG115</f>
        <v/>
      </c>
      <c r="AH127" s="50">
        <f>AH115</f>
        <v/>
      </c>
      <c r="AI127" s="50">
        <f>AI115</f>
        <v/>
      </c>
      <c r="AJ127" s="50">
        <f>AJ115</f>
        <v/>
      </c>
      <c r="AK127" s="50">
        <f>AK115</f>
        <v/>
      </c>
      <c r="AL127" s="50">
        <f>AL115</f>
        <v/>
      </c>
      <c r="AM127" s="34" t="n"/>
      <c r="AN127" s="34" t="n"/>
      <c r="AO127" s="50">
        <f>AO115</f>
        <v/>
      </c>
      <c r="AP127" s="50">
        <f>AP115</f>
        <v/>
      </c>
      <c r="AQ127" s="50">
        <f>AQ115</f>
        <v/>
      </c>
      <c r="AR127" s="50">
        <f>AR115</f>
        <v/>
      </c>
      <c r="AS127" s="50">
        <f>AS115</f>
        <v/>
      </c>
      <c r="AT127" s="50">
        <f>AT115</f>
        <v/>
      </c>
      <c r="AU127" s="50">
        <f>AU115</f>
        <v/>
      </c>
    </row>
    <row r="128" ht="15.5" customHeight="1" s="213">
      <c r="V128" s="48" t="inlineStr">
        <is>
          <t>OILDST</t>
        </is>
      </c>
      <c r="W128" s="50">
        <f>W116</f>
        <v/>
      </c>
      <c r="X128" s="50">
        <f>X116</f>
        <v/>
      </c>
      <c r="Y128" s="50">
        <f>Y116</f>
        <v/>
      </c>
      <c r="Z128" s="50">
        <f>Z116</f>
        <v/>
      </c>
      <c r="AA128" s="50">
        <f>AA116</f>
        <v/>
      </c>
      <c r="AB128" s="50">
        <f>AB116</f>
        <v/>
      </c>
      <c r="AC128" s="50">
        <f>AC116</f>
        <v/>
      </c>
      <c r="AD128" s="34" t="n"/>
      <c r="AE128" s="34" t="n"/>
      <c r="AF128" s="50">
        <f>AF116</f>
        <v/>
      </c>
      <c r="AG128" s="50">
        <f>AG116</f>
        <v/>
      </c>
      <c r="AH128" s="50">
        <f>AH116</f>
        <v/>
      </c>
      <c r="AI128" s="50">
        <f>AI116</f>
        <v/>
      </c>
      <c r="AJ128" s="50">
        <f>AJ116</f>
        <v/>
      </c>
      <c r="AK128" s="50">
        <f>AK116</f>
        <v/>
      </c>
      <c r="AL128" s="50">
        <f>AL116</f>
        <v/>
      </c>
      <c r="AM128" s="34" t="n"/>
      <c r="AN128" s="34" t="n"/>
      <c r="AO128" s="50">
        <f>AO116</f>
        <v/>
      </c>
      <c r="AP128" s="50">
        <f>AP116</f>
        <v/>
      </c>
      <c r="AQ128" s="50">
        <f>AQ116</f>
        <v/>
      </c>
      <c r="AR128" s="50">
        <f>AR116</f>
        <v/>
      </c>
      <c r="AS128" s="50">
        <f>AS116</f>
        <v/>
      </c>
      <c r="AT128" s="50">
        <f>AT116</f>
        <v/>
      </c>
      <c r="AU128" s="50">
        <f>AU116</f>
        <v/>
      </c>
    </row>
    <row r="160" ht="15.5" customHeight="1" s="213">
      <c r="U160" s="51" t="n"/>
      <c r="V160" s="79" t="inlineStr">
        <is>
          <t>~TFM_UPD: attribute= INPUT</t>
        </is>
      </c>
      <c r="W160" s="51" t="n"/>
      <c r="Y160" s="52" t="n"/>
      <c r="Z160" s="51" t="n"/>
      <c r="AA160" s="79" t="inlineStr">
        <is>
          <t>~TFM_UPD: attribute= INPUT</t>
        </is>
      </c>
      <c r="AB160" s="51" t="n"/>
      <c r="AD160" s="52" t="n"/>
      <c r="AE160" s="51" t="n"/>
      <c r="AF160" s="79" t="inlineStr">
        <is>
          <t>~TFM_UPD: attribute= INPUT</t>
        </is>
      </c>
      <c r="AG160" s="51" t="n"/>
      <c r="AI160" s="52" t="n"/>
      <c r="AJ160" s="51" t="n"/>
      <c r="AK160" s="79" t="inlineStr">
        <is>
          <t>~TFM_UPD: attribute= INPUT</t>
        </is>
      </c>
      <c r="AL160" s="51" t="n"/>
      <c r="AN160" s="52" t="n"/>
      <c r="AO160" s="51" t="n"/>
      <c r="AP160" s="79" t="inlineStr">
        <is>
          <t>~TFM_UPD: attribute= INPUT</t>
        </is>
      </c>
      <c r="AQ160" s="51" t="n"/>
      <c r="AS160" s="52" t="n"/>
      <c r="AT160" s="51" t="n"/>
      <c r="AU160" s="79" t="inlineStr">
        <is>
          <t>~TFM_UPD: attribute= INPUT</t>
        </is>
      </c>
      <c r="AV160" s="51" t="n"/>
      <c r="AW160" s="52" t="n"/>
      <c r="AY160" s="51" t="n"/>
      <c r="AZ160" s="79" t="inlineStr">
        <is>
          <t>~TFM_UPD: attribute= INPUT</t>
        </is>
      </c>
      <c r="BA160" s="51" t="n"/>
    </row>
    <row r="161" ht="15.5" customHeight="1" s="213">
      <c r="U161" s="79" t="inlineStr">
        <is>
          <t>process</t>
        </is>
      </c>
      <c r="V161" s="79" t="inlineStr">
        <is>
          <t>cset_cn</t>
        </is>
      </c>
      <c r="W161" s="79" t="inlineStr">
        <is>
          <t>NorthAm</t>
        </is>
      </c>
      <c r="Y161" s="52" t="n"/>
      <c r="Z161" s="79" t="inlineStr">
        <is>
          <t>process</t>
        </is>
      </c>
      <c r="AA161" s="79" t="inlineStr">
        <is>
          <t>cset_cn</t>
        </is>
      </c>
      <c r="AB161" s="79" t="inlineStr">
        <is>
          <t>NorthAm</t>
        </is>
      </c>
      <c r="AD161" s="52" t="n"/>
      <c r="AE161" s="79" t="inlineStr">
        <is>
          <t>process</t>
        </is>
      </c>
      <c r="AF161" s="79" t="inlineStr">
        <is>
          <t>cset_cn</t>
        </is>
      </c>
      <c r="AG161" s="79" t="inlineStr">
        <is>
          <t>NorthAm</t>
        </is>
      </c>
      <c r="AI161" s="52" t="n"/>
      <c r="AJ161" s="79" t="inlineStr">
        <is>
          <t>process</t>
        </is>
      </c>
      <c r="AK161" s="79" t="inlineStr">
        <is>
          <t>cset_cn</t>
        </is>
      </c>
      <c r="AL161" s="79" t="inlineStr">
        <is>
          <t>NorthAm</t>
        </is>
      </c>
      <c r="AN161" s="52" t="n"/>
      <c r="AO161" s="79" t="inlineStr">
        <is>
          <t>process</t>
        </is>
      </c>
      <c r="AP161" s="79" t="inlineStr">
        <is>
          <t>cset_cn</t>
        </is>
      </c>
      <c r="AQ161" s="79" t="inlineStr">
        <is>
          <t>NorthAm</t>
        </is>
      </c>
      <c r="AS161" s="52" t="n"/>
      <c r="AT161" s="79" t="inlineStr">
        <is>
          <t>process</t>
        </is>
      </c>
      <c r="AU161" s="79" t="inlineStr">
        <is>
          <t>cset_cn</t>
        </is>
      </c>
      <c r="AV161" s="79" t="inlineStr">
        <is>
          <t>NorthAm</t>
        </is>
      </c>
      <c r="AW161" s="52" t="n"/>
      <c r="AY161" s="79" t="inlineStr">
        <is>
          <t>process</t>
        </is>
      </c>
      <c r="AZ161" s="79" t="inlineStr">
        <is>
          <t>cset_cn</t>
        </is>
      </c>
      <c r="BA161" s="79" t="inlineStr">
        <is>
          <t>NorthAm</t>
        </is>
      </c>
    </row>
    <row r="162" ht="15.5" customHeight="1" s="213">
      <c r="U162" s="52" t="inlineStr">
        <is>
          <t>PyroRecy-NMC111</t>
        </is>
      </c>
      <c r="V162" s="53" t="inlineStr">
        <is>
          <t>INDELC</t>
        </is>
      </c>
      <c r="W162" s="52">
        <f>W85</f>
        <v/>
      </c>
      <c r="Y162" s="52" t="n"/>
      <c r="Z162" s="52" t="inlineStr">
        <is>
          <t>PyroRecy-NMC532</t>
        </is>
      </c>
      <c r="AA162" s="53" t="inlineStr">
        <is>
          <t>INDELC</t>
        </is>
      </c>
      <c r="AB162" s="52">
        <f>X85</f>
        <v/>
      </c>
      <c r="AD162" s="52" t="n"/>
      <c r="AE162" s="52" t="inlineStr">
        <is>
          <t>PyroRecy-NMC622</t>
        </is>
      </c>
      <c r="AF162" s="53" t="inlineStr">
        <is>
          <t>INDELC</t>
        </is>
      </c>
      <c r="AG162" s="52">
        <f>Y85</f>
        <v/>
      </c>
      <c r="AI162" s="52" t="n"/>
      <c r="AJ162" s="52" t="inlineStr">
        <is>
          <t>PyroRecy-NMC811</t>
        </is>
      </c>
      <c r="AK162" s="53" t="inlineStr">
        <is>
          <t>INDELC</t>
        </is>
      </c>
      <c r="AL162" s="52">
        <f>Z85</f>
        <v/>
      </c>
      <c r="AN162" s="52" t="n"/>
      <c r="AO162" s="52" t="inlineStr">
        <is>
          <t>PyroRecy-NCA</t>
        </is>
      </c>
      <c r="AP162" s="53" t="inlineStr">
        <is>
          <t>INDELC</t>
        </is>
      </c>
      <c r="AQ162" s="52">
        <f>AA85</f>
        <v/>
      </c>
      <c r="AS162" s="52" t="n"/>
      <c r="AT162" s="52" t="inlineStr">
        <is>
          <t>PyroRecy-LMO</t>
        </is>
      </c>
      <c r="AU162" s="53" t="inlineStr">
        <is>
          <t>INDELC</t>
        </is>
      </c>
      <c r="AV162" s="52">
        <f>AB85</f>
        <v/>
      </c>
      <c r="AW162" s="52" t="n"/>
      <c r="AY162" s="52" t="inlineStr">
        <is>
          <t>PyroRecy-LFP</t>
        </is>
      </c>
      <c r="AZ162" s="53" t="inlineStr">
        <is>
          <t>INDELC</t>
        </is>
      </c>
      <c r="BA162" s="52">
        <f>AC85</f>
        <v/>
      </c>
    </row>
    <row r="163" ht="15.5" customHeight="1" s="213">
      <c r="U163" s="52">
        <f>U162</f>
        <v/>
      </c>
      <c r="V163" s="53" t="inlineStr">
        <is>
          <t>INDCOA</t>
        </is>
      </c>
      <c r="W163" s="52">
        <f>W86</f>
        <v/>
      </c>
      <c r="Y163" s="52" t="n"/>
      <c r="Z163" s="52">
        <f>Z162</f>
        <v/>
      </c>
      <c r="AA163" s="53" t="inlineStr">
        <is>
          <t>INDCOA</t>
        </is>
      </c>
      <c r="AB163" s="52">
        <f>X86</f>
        <v/>
      </c>
      <c r="AD163" s="52" t="n"/>
      <c r="AE163" s="52">
        <f>AE162</f>
        <v/>
      </c>
      <c r="AF163" s="53" t="inlineStr">
        <is>
          <t>INDCOA</t>
        </is>
      </c>
      <c r="AG163" s="52">
        <f>Y86</f>
        <v/>
      </c>
      <c r="AI163" s="52" t="n"/>
      <c r="AJ163" s="52">
        <f>AJ162</f>
        <v/>
      </c>
      <c r="AK163" s="53" t="inlineStr">
        <is>
          <t>INDCOA</t>
        </is>
      </c>
      <c r="AL163" s="52">
        <f>Z86</f>
        <v/>
      </c>
      <c r="AN163" s="52" t="n"/>
      <c r="AO163" s="52">
        <f>AO162</f>
        <v/>
      </c>
      <c r="AP163" s="53" t="inlineStr">
        <is>
          <t>INDCOA</t>
        </is>
      </c>
      <c r="AQ163" s="52">
        <f>AA86</f>
        <v/>
      </c>
      <c r="AS163" s="52" t="n"/>
      <c r="AT163" s="52">
        <f>AT162</f>
        <v/>
      </c>
      <c r="AU163" s="53" t="inlineStr">
        <is>
          <t>INDCOA</t>
        </is>
      </c>
      <c r="AV163" s="52">
        <f>AB86</f>
        <v/>
      </c>
      <c r="AW163" s="52" t="n"/>
      <c r="AY163" s="52">
        <f>AY162</f>
        <v/>
      </c>
      <c r="AZ163" s="53" t="inlineStr">
        <is>
          <t>INDCOA</t>
        </is>
      </c>
      <c r="BA163" s="52">
        <f>AC86</f>
        <v/>
      </c>
    </row>
    <row r="164" ht="15.5" customHeight="1" s="213">
      <c r="U164" s="52">
        <f>U163</f>
        <v/>
      </c>
      <c r="V164" s="53" t="inlineStr">
        <is>
          <t>INDNGA</t>
        </is>
      </c>
      <c r="W164" s="52">
        <f>W87</f>
        <v/>
      </c>
      <c r="Y164" s="52" t="n"/>
      <c r="Z164" s="52">
        <f>Z163</f>
        <v/>
      </c>
      <c r="AA164" s="53" t="inlineStr">
        <is>
          <t>INDNGA</t>
        </is>
      </c>
      <c r="AB164" s="52">
        <f>X87</f>
        <v/>
      </c>
      <c r="AD164" s="52" t="n"/>
      <c r="AE164" s="52">
        <f>AE163</f>
        <v/>
      </c>
      <c r="AF164" s="53" t="inlineStr">
        <is>
          <t>INDNGA</t>
        </is>
      </c>
      <c r="AG164" s="52">
        <f>Y87</f>
        <v/>
      </c>
      <c r="AI164" s="52" t="n"/>
      <c r="AJ164" s="52">
        <f>AJ163</f>
        <v/>
      </c>
      <c r="AK164" s="53" t="inlineStr">
        <is>
          <t>INDNGA</t>
        </is>
      </c>
      <c r="AL164" s="52">
        <f>Z87</f>
        <v/>
      </c>
      <c r="AN164" s="52" t="n"/>
      <c r="AO164" s="52">
        <f>AO163</f>
        <v/>
      </c>
      <c r="AP164" s="53" t="inlineStr">
        <is>
          <t>INDNGA</t>
        </is>
      </c>
      <c r="AQ164" s="52">
        <f>AA87</f>
        <v/>
      </c>
      <c r="AS164" s="52" t="n"/>
      <c r="AT164" s="52">
        <f>AT163</f>
        <v/>
      </c>
      <c r="AU164" s="53" t="inlineStr">
        <is>
          <t>INDNGA</t>
        </is>
      </c>
      <c r="AV164" s="52">
        <f>AB87</f>
        <v/>
      </c>
      <c r="AW164" s="52" t="n"/>
      <c r="AY164" s="52">
        <f>AY163</f>
        <v/>
      </c>
      <c r="AZ164" s="53" t="inlineStr">
        <is>
          <t>INDNGA</t>
        </is>
      </c>
      <c r="BA164" s="52">
        <f>AC87</f>
        <v/>
      </c>
    </row>
    <row r="165" ht="15.5" customHeight="1" s="213">
      <c r="U165" s="52">
        <f>U164</f>
        <v/>
      </c>
      <c r="V165" s="53" t="inlineStr">
        <is>
          <t>INDOIL</t>
        </is>
      </c>
      <c r="W165" s="52">
        <f>W88</f>
        <v/>
      </c>
      <c r="Y165" s="54" t="n"/>
      <c r="Z165" s="52">
        <f>Z164</f>
        <v/>
      </c>
      <c r="AA165" s="53" t="inlineStr">
        <is>
          <t>INDOIL</t>
        </is>
      </c>
      <c r="AB165" s="52">
        <f>X88</f>
        <v/>
      </c>
      <c r="AD165" s="54" t="n"/>
      <c r="AE165" s="52">
        <f>AE164</f>
        <v/>
      </c>
      <c r="AF165" s="53" t="inlineStr">
        <is>
          <t>INDOIL</t>
        </is>
      </c>
      <c r="AG165" s="52">
        <f>Y88</f>
        <v/>
      </c>
      <c r="AI165" s="54" t="n"/>
      <c r="AJ165" s="52">
        <f>AJ164</f>
        <v/>
      </c>
      <c r="AK165" s="53" t="inlineStr">
        <is>
          <t>INDOIL</t>
        </is>
      </c>
      <c r="AL165" s="52">
        <f>Z88</f>
        <v/>
      </c>
      <c r="AN165" s="54" t="n"/>
      <c r="AO165" s="52">
        <f>AO164</f>
        <v/>
      </c>
      <c r="AP165" s="53" t="inlineStr">
        <is>
          <t>INDOIL</t>
        </is>
      </c>
      <c r="AQ165" s="52">
        <f>AA88</f>
        <v/>
      </c>
      <c r="AS165" s="54" t="n"/>
      <c r="AT165" s="52">
        <f>AT164</f>
        <v/>
      </c>
      <c r="AU165" s="53" t="inlineStr">
        <is>
          <t>INDOIL</t>
        </is>
      </c>
      <c r="AV165" s="52">
        <f>AB88</f>
        <v/>
      </c>
      <c r="AW165" s="54" t="n"/>
      <c r="AY165" s="52">
        <f>AY164</f>
        <v/>
      </c>
      <c r="AZ165" s="53" t="inlineStr">
        <is>
          <t>INDOIL</t>
        </is>
      </c>
      <c r="BA165" s="52">
        <f>AC88</f>
        <v/>
      </c>
    </row>
    <row r="166" ht="15.5" customHeight="1" s="213">
      <c r="U166" s="54" t="n"/>
      <c r="V166" s="54" t="n"/>
      <c r="W166" s="54" t="n"/>
      <c r="Y166" s="54" t="n"/>
      <c r="Z166" s="54" t="n"/>
      <c r="AA166" s="54" t="n"/>
      <c r="AB166" s="54" t="n"/>
      <c r="AD166" s="54" t="n"/>
      <c r="AE166" s="54" t="n"/>
      <c r="AF166" s="54" t="n"/>
      <c r="AG166" s="54" t="n"/>
      <c r="AI166" s="54" t="n"/>
      <c r="AJ166" s="54" t="n"/>
      <c r="AK166" s="54" t="n"/>
      <c r="AL166" s="54" t="n"/>
      <c r="AN166" s="54" t="n"/>
      <c r="AO166" s="54" t="n"/>
      <c r="AP166" s="54" t="n"/>
      <c r="AQ166" s="54" t="n"/>
      <c r="AS166" s="54" t="n"/>
      <c r="AT166" s="54" t="n"/>
      <c r="AU166" s="54" t="n"/>
      <c r="AV166" s="54" t="n"/>
      <c r="AW166" s="54" t="n"/>
      <c r="AY166" s="54" t="n"/>
      <c r="AZ166" s="54" t="n"/>
      <c r="BA166" s="54" t="n"/>
    </row>
    <row r="167" ht="15.5" customHeight="1" s="213">
      <c r="U167" s="34" t="n"/>
      <c r="V167" s="34" t="n"/>
      <c r="W167" s="34" t="n"/>
      <c r="Y167" s="34" t="n"/>
      <c r="Z167" s="34" t="n"/>
      <c r="AA167" s="34" t="n"/>
      <c r="AB167" s="34" t="n"/>
      <c r="AD167" s="34" t="n"/>
      <c r="AE167" s="34" t="n"/>
      <c r="AF167" s="34" t="n"/>
      <c r="AG167" s="34" t="n"/>
      <c r="AI167" s="34" t="n"/>
      <c r="AJ167" s="34" t="n"/>
      <c r="AK167" s="34" t="n"/>
      <c r="AL167" s="34" t="n"/>
      <c r="AN167" s="34" t="n"/>
      <c r="AO167" s="34" t="n"/>
      <c r="AP167" s="34" t="n"/>
      <c r="AQ167" s="34" t="n"/>
      <c r="AS167" s="34" t="n"/>
      <c r="AT167" s="34" t="n"/>
      <c r="AU167" s="34" t="n"/>
      <c r="AV167" s="34" t="n"/>
      <c r="AW167" s="34" t="n"/>
      <c r="AY167" s="34" t="n"/>
      <c r="AZ167" s="34" t="n"/>
      <c r="BA167" s="34" t="n"/>
    </row>
    <row r="168" ht="15.5" customHeight="1" s="213">
      <c r="U168" s="34" t="n"/>
      <c r="V168" s="34" t="n"/>
      <c r="W168" s="34" t="n"/>
      <c r="Y168" s="34" t="n"/>
      <c r="Z168" s="34" t="n"/>
      <c r="AA168" s="34" t="n"/>
      <c r="AB168" s="34" t="n"/>
      <c r="AD168" s="34" t="n"/>
      <c r="AE168" s="34" t="n"/>
      <c r="AF168" s="34" t="n"/>
      <c r="AG168" s="34" t="n"/>
      <c r="AI168" s="34" t="n"/>
      <c r="AJ168" s="34" t="n"/>
      <c r="AK168" s="34" t="n"/>
      <c r="AL168" s="34" t="n"/>
      <c r="AN168" s="34" t="n"/>
      <c r="AO168" s="34" t="n"/>
      <c r="AP168" s="34" t="n"/>
      <c r="AQ168" s="34" t="n"/>
      <c r="AS168" s="34" t="n"/>
      <c r="AT168" s="34" t="n"/>
      <c r="AU168" s="34" t="n"/>
      <c r="AV168" s="34" t="n"/>
      <c r="AW168" s="34" t="n"/>
      <c r="AY168" s="34" t="n"/>
      <c r="AZ168" s="34" t="n"/>
      <c r="BA168" s="34" t="n"/>
    </row>
    <row r="169" ht="15.5" customHeight="1" s="213">
      <c r="U169" s="34" t="n"/>
      <c r="V169" s="34" t="n"/>
      <c r="W169" s="34" t="n"/>
      <c r="Y169" s="34" t="n"/>
      <c r="Z169" s="34" t="n"/>
      <c r="AA169" s="34" t="n"/>
      <c r="AB169" s="34" t="n"/>
      <c r="AD169" s="34" t="n"/>
      <c r="AE169" s="34" t="n"/>
      <c r="AF169" s="34" t="n"/>
      <c r="AG169" s="34" t="n"/>
      <c r="AI169" s="34" t="n"/>
      <c r="AJ169" s="34" t="n"/>
      <c r="AK169" s="34" t="n"/>
      <c r="AL169" s="34" t="n"/>
      <c r="AN169" s="34" t="n"/>
      <c r="AO169" s="34" t="n"/>
      <c r="AP169" s="34" t="n"/>
      <c r="AQ169" s="34" t="n"/>
      <c r="AS169" s="34" t="n"/>
      <c r="AT169" s="34" t="n"/>
      <c r="AU169" s="34" t="n"/>
      <c r="AV169" s="34" t="n"/>
      <c r="AW169" s="34" t="n"/>
      <c r="AY169" s="34" t="n"/>
      <c r="AZ169" s="34" t="n"/>
      <c r="BA169" s="34" t="n"/>
    </row>
    <row r="170" ht="15.5" customHeight="1" s="213">
      <c r="U170" s="34" t="n"/>
      <c r="V170" s="34" t="n"/>
      <c r="W170" s="34" t="n"/>
      <c r="Y170" s="34" t="n"/>
      <c r="Z170" s="34" t="n"/>
      <c r="AA170" s="34" t="n"/>
      <c r="AB170" s="34" t="n"/>
      <c r="AD170" s="34" t="n"/>
      <c r="AE170" s="34" t="n"/>
      <c r="AF170" s="34" t="n"/>
      <c r="AG170" s="34" t="n"/>
      <c r="AI170" s="34" t="n"/>
      <c r="AJ170" s="34" t="n"/>
      <c r="AK170" s="34" t="n"/>
      <c r="AL170" s="34" t="n"/>
      <c r="AN170" s="34" t="n"/>
      <c r="AO170" s="34" t="n"/>
      <c r="AP170" s="34" t="n"/>
      <c r="AQ170" s="34" t="n"/>
      <c r="AS170" s="34" t="n"/>
      <c r="AT170" s="34" t="n"/>
      <c r="AU170" s="34" t="n"/>
      <c r="AV170" s="34" t="n"/>
      <c r="AW170" s="34" t="n"/>
      <c r="AY170" s="34" t="n"/>
      <c r="AZ170" s="34" t="n"/>
      <c r="BA170" s="34" t="n"/>
    </row>
    <row r="171" ht="15.5" customHeight="1" s="213">
      <c r="U171" s="34" t="n"/>
      <c r="V171" s="34" t="n"/>
      <c r="W171" s="34" t="n"/>
      <c r="Y171" s="34" t="n"/>
      <c r="Z171" s="34" t="n"/>
      <c r="AA171" s="34" t="n"/>
      <c r="AB171" s="34" t="n"/>
      <c r="AD171" s="34" t="n"/>
      <c r="AE171" s="34" t="n"/>
      <c r="AF171" s="34" t="n"/>
      <c r="AG171" s="34" t="n"/>
      <c r="AI171" s="34" t="n"/>
      <c r="AJ171" s="34" t="n"/>
      <c r="AK171" s="34" t="n"/>
      <c r="AL171" s="34" t="n"/>
      <c r="AN171" s="34" t="n"/>
      <c r="AO171" s="34" t="n"/>
      <c r="AP171" s="34" t="n"/>
      <c r="AQ171" s="34" t="n"/>
      <c r="AS171" s="34" t="n"/>
      <c r="AT171" s="34" t="n"/>
      <c r="AU171" s="34" t="n"/>
      <c r="AV171" s="34" t="n"/>
      <c r="AW171" s="34" t="n"/>
      <c r="AY171" s="34" t="n"/>
      <c r="AZ171" s="34" t="n"/>
      <c r="BA171" s="34" t="n"/>
    </row>
    <row r="172" ht="15.5" customHeight="1" s="213">
      <c r="U172" s="51" t="n"/>
      <c r="V172" s="79" t="inlineStr">
        <is>
          <t>~TFM_UPD: attribute= INPUT</t>
        </is>
      </c>
      <c r="W172" s="51" t="n"/>
      <c r="Y172" s="52" t="n"/>
      <c r="Z172" s="51" t="n"/>
      <c r="AA172" s="79" t="inlineStr">
        <is>
          <t>~TFM_UPD: attribute= INPUT</t>
        </is>
      </c>
      <c r="AB172" s="51" t="n"/>
      <c r="AD172" s="52" t="n"/>
      <c r="AE172" s="51" t="n"/>
      <c r="AF172" s="79" t="inlineStr">
        <is>
          <t>~TFM_UPD: attribute= INPUT</t>
        </is>
      </c>
      <c r="AG172" s="51" t="n"/>
      <c r="AI172" s="52" t="n"/>
      <c r="AJ172" s="51" t="n"/>
      <c r="AK172" s="79" t="inlineStr">
        <is>
          <t>~TFM_UPD: attribute= INPUT</t>
        </is>
      </c>
      <c r="AL172" s="51" t="n"/>
      <c r="AN172" s="52" t="n"/>
      <c r="AO172" s="51" t="n"/>
      <c r="AP172" s="79" t="inlineStr">
        <is>
          <t>~TFM_UPD: attribute= INPUT</t>
        </is>
      </c>
      <c r="AQ172" s="51" t="n"/>
      <c r="AS172" s="52" t="n"/>
      <c r="AT172" s="51" t="n"/>
      <c r="AU172" s="79" t="inlineStr">
        <is>
          <t>~TFM_UPD: attribute= INPUT</t>
        </is>
      </c>
      <c r="AV172" s="51" t="n"/>
      <c r="AW172" s="52" t="n"/>
      <c r="AY172" s="51" t="n"/>
      <c r="AZ172" s="79" t="inlineStr">
        <is>
          <t>~TFM_UPD: attribute= INPUT</t>
        </is>
      </c>
      <c r="BA172" s="51" t="n"/>
    </row>
    <row r="173" ht="15.5" customHeight="1" s="213">
      <c r="U173" s="79" t="inlineStr">
        <is>
          <t>process</t>
        </is>
      </c>
      <c r="V173" s="79" t="inlineStr">
        <is>
          <t>cset_cn</t>
        </is>
      </c>
      <c r="W173" s="79" t="inlineStr">
        <is>
          <t>NorthAm</t>
        </is>
      </c>
      <c r="Y173" s="52" t="n"/>
      <c r="Z173" s="79" t="inlineStr">
        <is>
          <t>process</t>
        </is>
      </c>
      <c r="AA173" s="79" t="inlineStr">
        <is>
          <t>cset_cn</t>
        </is>
      </c>
      <c r="AB173" s="79" t="inlineStr">
        <is>
          <t>NorthAm</t>
        </is>
      </c>
      <c r="AD173" s="52" t="n"/>
      <c r="AE173" s="79" t="inlineStr">
        <is>
          <t>process</t>
        </is>
      </c>
      <c r="AF173" s="79" t="inlineStr">
        <is>
          <t>cset_cn</t>
        </is>
      </c>
      <c r="AG173" s="79" t="inlineStr">
        <is>
          <t>NorthAm</t>
        </is>
      </c>
      <c r="AI173" s="52" t="n"/>
      <c r="AJ173" s="79" t="inlineStr">
        <is>
          <t>process</t>
        </is>
      </c>
      <c r="AK173" s="79" t="inlineStr">
        <is>
          <t>cset_cn</t>
        </is>
      </c>
      <c r="AL173" s="79" t="inlineStr">
        <is>
          <t>NorthAm</t>
        </is>
      </c>
      <c r="AN173" s="52" t="n"/>
      <c r="AO173" s="79" t="inlineStr">
        <is>
          <t>process</t>
        </is>
      </c>
      <c r="AP173" s="79" t="inlineStr">
        <is>
          <t>cset_cn</t>
        </is>
      </c>
      <c r="AQ173" s="79" t="inlineStr">
        <is>
          <t>NorthAm</t>
        </is>
      </c>
      <c r="AS173" s="52" t="n"/>
      <c r="AT173" s="79" t="inlineStr">
        <is>
          <t>process</t>
        </is>
      </c>
      <c r="AU173" s="79" t="inlineStr">
        <is>
          <t>cset_cn</t>
        </is>
      </c>
      <c r="AV173" s="79" t="inlineStr">
        <is>
          <t>NorthAm</t>
        </is>
      </c>
      <c r="AW173" s="52" t="n"/>
      <c r="AY173" s="79" t="inlineStr">
        <is>
          <t>process</t>
        </is>
      </c>
      <c r="AZ173" s="79" t="inlineStr">
        <is>
          <t>cset_cn</t>
        </is>
      </c>
      <c r="BA173" s="79" t="inlineStr">
        <is>
          <t>NorthAm</t>
        </is>
      </c>
    </row>
    <row r="174" ht="15.5" customHeight="1" s="213">
      <c r="U174" s="52" t="inlineStr">
        <is>
          <t>HydRecy-NMC111</t>
        </is>
      </c>
      <c r="V174" s="53" t="inlineStr">
        <is>
          <t>INDELC</t>
        </is>
      </c>
      <c r="W174" s="52">
        <f>W105</f>
        <v/>
      </c>
      <c r="Y174" s="52" t="n"/>
      <c r="Z174" s="52" t="inlineStr">
        <is>
          <t>HydRecy-NMC532</t>
        </is>
      </c>
      <c r="AA174" s="53" t="inlineStr">
        <is>
          <t>INDELC</t>
        </is>
      </c>
      <c r="AB174" s="52">
        <f>X105</f>
        <v/>
      </c>
      <c r="AD174" s="52" t="n"/>
      <c r="AE174" s="52" t="inlineStr">
        <is>
          <t>HydRecy-NMC622</t>
        </is>
      </c>
      <c r="AF174" s="53" t="inlineStr">
        <is>
          <t>INDELC</t>
        </is>
      </c>
      <c r="AG174" s="52">
        <f>Y105</f>
        <v/>
      </c>
      <c r="AI174" s="52" t="n"/>
      <c r="AJ174" s="52" t="inlineStr">
        <is>
          <t>HydRecy-NMC811</t>
        </is>
      </c>
      <c r="AK174" s="53" t="inlineStr">
        <is>
          <t>INDELC</t>
        </is>
      </c>
      <c r="AL174" s="52">
        <f>Z105</f>
        <v/>
      </c>
      <c r="AN174" s="52" t="n"/>
      <c r="AO174" s="52" t="inlineStr">
        <is>
          <t>HydRecy-NCA</t>
        </is>
      </c>
      <c r="AP174" s="53" t="inlineStr">
        <is>
          <t>INDELC</t>
        </is>
      </c>
      <c r="AQ174" s="52">
        <f>AA105</f>
        <v/>
      </c>
      <c r="AS174" s="52" t="n"/>
      <c r="AT174" s="52" t="inlineStr">
        <is>
          <t>HydRecy-LMO</t>
        </is>
      </c>
      <c r="AU174" s="53" t="inlineStr">
        <is>
          <t>INDELC</t>
        </is>
      </c>
      <c r="AV174" s="52">
        <f>AB105</f>
        <v/>
      </c>
      <c r="AW174" s="52" t="n"/>
      <c r="AY174" s="52" t="inlineStr">
        <is>
          <t>HydRecy-LFP</t>
        </is>
      </c>
      <c r="AZ174" s="53" t="inlineStr">
        <is>
          <t>INDELC</t>
        </is>
      </c>
      <c r="BA174" s="52">
        <f>AC105</f>
        <v/>
      </c>
    </row>
    <row r="175" ht="15.5" customHeight="1" s="213">
      <c r="U175" s="52">
        <f>U174</f>
        <v/>
      </c>
      <c r="V175" s="53" t="inlineStr">
        <is>
          <t>INDCOA</t>
        </is>
      </c>
      <c r="W175" s="52">
        <f>W106</f>
        <v/>
      </c>
      <c r="Y175" s="52" t="n"/>
      <c r="Z175" s="52">
        <f>Z174</f>
        <v/>
      </c>
      <c r="AA175" s="53" t="inlineStr">
        <is>
          <t>INDCOA</t>
        </is>
      </c>
      <c r="AB175" s="52">
        <f>X106</f>
        <v/>
      </c>
      <c r="AD175" s="52" t="n"/>
      <c r="AE175" s="52">
        <f>AE174</f>
        <v/>
      </c>
      <c r="AF175" s="53" t="inlineStr">
        <is>
          <t>INDCOA</t>
        </is>
      </c>
      <c r="AG175" s="52">
        <f>Y106</f>
        <v/>
      </c>
      <c r="AI175" s="52" t="n"/>
      <c r="AJ175" s="52">
        <f>AJ174</f>
        <v/>
      </c>
      <c r="AK175" s="53" t="inlineStr">
        <is>
          <t>INDCOA</t>
        </is>
      </c>
      <c r="AL175" s="52">
        <f>Z106</f>
        <v/>
      </c>
      <c r="AN175" s="52" t="n"/>
      <c r="AO175" s="52">
        <f>AO174</f>
        <v/>
      </c>
      <c r="AP175" s="53" t="inlineStr">
        <is>
          <t>INDCOA</t>
        </is>
      </c>
      <c r="AQ175" s="52">
        <f>AA106</f>
        <v/>
      </c>
      <c r="AS175" s="52" t="n"/>
      <c r="AT175" s="52">
        <f>AT174</f>
        <v/>
      </c>
      <c r="AU175" s="53" t="inlineStr">
        <is>
          <t>INDCOA</t>
        </is>
      </c>
      <c r="AV175" s="52">
        <f>AB106</f>
        <v/>
      </c>
      <c r="AW175" s="52" t="n"/>
      <c r="AY175" s="52">
        <f>AY174</f>
        <v/>
      </c>
      <c r="AZ175" s="53" t="inlineStr">
        <is>
          <t>INDCOA</t>
        </is>
      </c>
      <c r="BA175" s="52">
        <f>AC106</f>
        <v/>
      </c>
    </row>
    <row r="176" ht="15.5" customHeight="1" s="213">
      <c r="U176" s="52">
        <f>U175</f>
        <v/>
      </c>
      <c r="V176" s="53" t="inlineStr">
        <is>
          <t>INDNGA</t>
        </is>
      </c>
      <c r="W176" s="52">
        <f>W107</f>
        <v/>
      </c>
      <c r="Y176" s="52" t="n"/>
      <c r="Z176" s="52">
        <f>Z175</f>
        <v/>
      </c>
      <c r="AA176" s="53" t="inlineStr">
        <is>
          <t>INDNGA</t>
        </is>
      </c>
      <c r="AB176" s="52">
        <f>X107</f>
        <v/>
      </c>
      <c r="AD176" s="52" t="n"/>
      <c r="AE176" s="52">
        <f>AE175</f>
        <v/>
      </c>
      <c r="AF176" s="53" t="inlineStr">
        <is>
          <t>INDNGA</t>
        </is>
      </c>
      <c r="AG176" s="52">
        <f>Y107</f>
        <v/>
      </c>
      <c r="AI176" s="52" t="n"/>
      <c r="AJ176" s="52">
        <f>AJ175</f>
        <v/>
      </c>
      <c r="AK176" s="53" t="inlineStr">
        <is>
          <t>INDNGA</t>
        </is>
      </c>
      <c r="AL176" s="52">
        <f>Z107</f>
        <v/>
      </c>
      <c r="AN176" s="52" t="n"/>
      <c r="AO176" s="52">
        <f>AO175</f>
        <v/>
      </c>
      <c r="AP176" s="53" t="inlineStr">
        <is>
          <t>INDNGA</t>
        </is>
      </c>
      <c r="AQ176" s="52">
        <f>AA107</f>
        <v/>
      </c>
      <c r="AS176" s="52" t="n"/>
      <c r="AT176" s="52">
        <f>AT175</f>
        <v/>
      </c>
      <c r="AU176" s="53" t="inlineStr">
        <is>
          <t>INDNGA</t>
        </is>
      </c>
      <c r="AV176" s="52">
        <f>AB107</f>
        <v/>
      </c>
      <c r="AW176" s="52" t="n"/>
      <c r="AY176" s="52">
        <f>AY175</f>
        <v/>
      </c>
      <c r="AZ176" s="53" t="inlineStr">
        <is>
          <t>INDNGA</t>
        </is>
      </c>
      <c r="BA176" s="52">
        <f>AC107</f>
        <v/>
      </c>
    </row>
    <row r="177" ht="15.5" customHeight="1" s="213">
      <c r="U177" s="52">
        <f>U176</f>
        <v/>
      </c>
      <c r="V177" s="53" t="inlineStr">
        <is>
          <t>INDOIL</t>
        </is>
      </c>
      <c r="W177" s="52">
        <f>W108</f>
        <v/>
      </c>
      <c r="Y177" s="54" t="n"/>
      <c r="Z177" s="52">
        <f>Z176</f>
        <v/>
      </c>
      <c r="AA177" s="53" t="inlineStr">
        <is>
          <t>INDOIL</t>
        </is>
      </c>
      <c r="AB177" s="52">
        <f>X108</f>
        <v/>
      </c>
      <c r="AD177" s="54" t="n"/>
      <c r="AE177" s="52">
        <f>AE176</f>
        <v/>
      </c>
      <c r="AF177" s="53" t="inlineStr">
        <is>
          <t>INDOIL</t>
        </is>
      </c>
      <c r="AG177" s="52">
        <f>Y108</f>
        <v/>
      </c>
      <c r="AI177" s="54" t="n"/>
      <c r="AJ177" s="52">
        <f>AJ176</f>
        <v/>
      </c>
      <c r="AK177" s="53" t="inlineStr">
        <is>
          <t>INDOIL</t>
        </is>
      </c>
      <c r="AL177" s="52">
        <f>Z108</f>
        <v/>
      </c>
      <c r="AN177" s="54" t="n"/>
      <c r="AO177" s="52">
        <f>AO176</f>
        <v/>
      </c>
      <c r="AP177" s="53" t="inlineStr">
        <is>
          <t>INDOIL</t>
        </is>
      </c>
      <c r="AQ177" s="52">
        <f>AA108</f>
        <v/>
      </c>
      <c r="AS177" s="54" t="n"/>
      <c r="AT177" s="52">
        <f>AT176</f>
        <v/>
      </c>
      <c r="AU177" s="53" t="inlineStr">
        <is>
          <t>INDOIL</t>
        </is>
      </c>
      <c r="AV177" s="52">
        <f>AB108</f>
        <v/>
      </c>
      <c r="AW177" s="54" t="n"/>
      <c r="AY177" s="52">
        <f>AY176</f>
        <v/>
      </c>
      <c r="AZ177" s="53" t="inlineStr">
        <is>
          <t>INDOIL</t>
        </is>
      </c>
      <c r="BA177" s="52">
        <f>AC108</f>
        <v/>
      </c>
    </row>
    <row r="178" ht="15.5" customHeight="1" s="213">
      <c r="U178" s="54" t="n"/>
      <c r="V178" s="54" t="n"/>
      <c r="W178" s="54" t="n"/>
      <c r="Y178" s="54" t="n"/>
      <c r="Z178" s="54" t="n"/>
      <c r="AA178" s="54" t="n"/>
      <c r="AB178" s="54" t="n"/>
      <c r="AD178" s="54" t="n"/>
      <c r="AE178" s="54" t="n"/>
      <c r="AF178" s="54" t="n"/>
      <c r="AG178" s="54" t="n"/>
      <c r="AI178" s="54" t="n"/>
      <c r="AJ178" s="54" t="n"/>
      <c r="AK178" s="54" t="n"/>
      <c r="AL178" s="54" t="n"/>
      <c r="AN178" s="54" t="n"/>
      <c r="AO178" s="54" t="n"/>
      <c r="AP178" s="54" t="n"/>
      <c r="AQ178" s="54" t="n"/>
      <c r="AS178" s="54" t="n"/>
      <c r="AT178" s="54" t="n"/>
      <c r="AU178" s="54" t="n"/>
      <c r="AV178" s="54" t="n"/>
      <c r="AW178" s="54" t="n"/>
      <c r="AY178" s="54" t="n"/>
      <c r="AZ178" s="54" t="n"/>
      <c r="BA178" s="54" t="n"/>
    </row>
    <row r="183" ht="15.5" customHeight="1" s="213">
      <c r="U183" s="51" t="n"/>
      <c r="V183" s="79" t="inlineStr">
        <is>
          <t>~TFM_UPD: attribute= INPUT</t>
        </is>
      </c>
      <c r="W183" s="51" t="n"/>
      <c r="Y183" s="52" t="n"/>
      <c r="Z183" s="51" t="n"/>
      <c r="AA183" s="79" t="inlineStr">
        <is>
          <t>~TFM_UPD: attribute= INPUT</t>
        </is>
      </c>
      <c r="AB183" s="51" t="n"/>
      <c r="AD183" s="52" t="n"/>
      <c r="AE183" s="51" t="n"/>
      <c r="AF183" s="79" t="inlineStr">
        <is>
          <t>~TFM_UPD: attribute= INPUT</t>
        </is>
      </c>
      <c r="AG183" s="51" t="n"/>
      <c r="AI183" s="52" t="n"/>
      <c r="AJ183" s="51" t="n"/>
      <c r="AK183" s="79" t="inlineStr">
        <is>
          <t>~TFM_UPD: attribute= INPUT</t>
        </is>
      </c>
      <c r="AL183" s="51" t="n"/>
      <c r="AN183" s="52" t="n"/>
      <c r="AO183" s="51" t="n"/>
      <c r="AP183" s="79" t="inlineStr">
        <is>
          <t>~TFM_UPD: attribute= INPUT</t>
        </is>
      </c>
      <c r="AQ183" s="51" t="n"/>
      <c r="AS183" s="52" t="n"/>
      <c r="AT183" s="51" t="n"/>
      <c r="AU183" s="79" t="inlineStr">
        <is>
          <t>~TFM_UPD: attribute= INPUT</t>
        </is>
      </c>
      <c r="AV183" s="51" t="n"/>
      <c r="AW183" s="52" t="n"/>
      <c r="AY183" s="51" t="n"/>
      <c r="AZ183" s="79" t="inlineStr">
        <is>
          <t>~TFM_UPD: attribute= INPUT</t>
        </is>
      </c>
      <c r="BA183" s="51" t="n"/>
    </row>
    <row r="184" ht="15.5" customHeight="1" s="213">
      <c r="U184" s="79" t="inlineStr">
        <is>
          <t>process</t>
        </is>
      </c>
      <c r="V184" s="79" t="inlineStr">
        <is>
          <t>cset_cn</t>
        </is>
      </c>
      <c r="W184" s="79" t="inlineStr">
        <is>
          <t>NorthAm</t>
        </is>
      </c>
      <c r="Y184" s="52" t="n"/>
      <c r="Z184" s="79" t="inlineStr">
        <is>
          <t>process</t>
        </is>
      </c>
      <c r="AA184" s="79" t="inlineStr">
        <is>
          <t>cset_cn</t>
        </is>
      </c>
      <c r="AB184" s="79" t="inlineStr">
        <is>
          <t>NorthAm</t>
        </is>
      </c>
      <c r="AD184" s="52" t="n"/>
      <c r="AE184" s="79" t="inlineStr">
        <is>
          <t>process</t>
        </is>
      </c>
      <c r="AF184" s="79" t="inlineStr">
        <is>
          <t>cset_cn</t>
        </is>
      </c>
      <c r="AG184" s="79" t="inlineStr">
        <is>
          <t>NorthAm</t>
        </is>
      </c>
      <c r="AI184" s="52" t="n"/>
      <c r="AJ184" s="79" t="inlineStr">
        <is>
          <t>process</t>
        </is>
      </c>
      <c r="AK184" s="79" t="inlineStr">
        <is>
          <t>cset_cn</t>
        </is>
      </c>
      <c r="AL184" s="79" t="inlineStr">
        <is>
          <t>NorthAm</t>
        </is>
      </c>
      <c r="AN184" s="52" t="n"/>
      <c r="AO184" s="79" t="inlineStr">
        <is>
          <t>process</t>
        </is>
      </c>
      <c r="AP184" s="79" t="inlineStr">
        <is>
          <t>cset_cn</t>
        </is>
      </c>
      <c r="AQ184" s="79" t="inlineStr">
        <is>
          <t>NorthAm</t>
        </is>
      </c>
      <c r="AS184" s="52" t="n"/>
      <c r="AT184" s="79" t="inlineStr">
        <is>
          <t>process</t>
        </is>
      </c>
      <c r="AU184" s="79" t="inlineStr">
        <is>
          <t>cset_cn</t>
        </is>
      </c>
      <c r="AV184" s="79" t="inlineStr">
        <is>
          <t>NorthAm</t>
        </is>
      </c>
      <c r="AW184" s="52" t="n"/>
      <c r="AY184" s="79" t="inlineStr">
        <is>
          <t>process</t>
        </is>
      </c>
      <c r="AZ184" s="79" t="inlineStr">
        <is>
          <t>cset_cn</t>
        </is>
      </c>
      <c r="BA184" s="79" t="inlineStr">
        <is>
          <t>NorthAm</t>
        </is>
      </c>
    </row>
    <row r="185" ht="15.5" customHeight="1" s="213">
      <c r="U185" s="52" t="inlineStr">
        <is>
          <t>DirRecy-NMC111</t>
        </is>
      </c>
      <c r="V185" s="53" t="inlineStr">
        <is>
          <t>INDELC</t>
        </is>
      </c>
      <c r="W185" s="52">
        <f>W125</f>
        <v/>
      </c>
      <c r="Y185" s="52" t="n"/>
      <c r="Z185" s="52" t="inlineStr">
        <is>
          <t>DirRecy-NMC532</t>
        </is>
      </c>
      <c r="AA185" s="53" t="inlineStr">
        <is>
          <t>INDELC</t>
        </is>
      </c>
      <c r="AB185" s="52">
        <f>X125</f>
        <v/>
      </c>
      <c r="AD185" s="52" t="n"/>
      <c r="AE185" s="52" t="inlineStr">
        <is>
          <t>DirRecy-NMC622</t>
        </is>
      </c>
      <c r="AF185" s="53" t="inlineStr">
        <is>
          <t>INDELC</t>
        </is>
      </c>
      <c r="AG185" s="52">
        <f>Y125</f>
        <v/>
      </c>
      <c r="AI185" s="52" t="n"/>
      <c r="AJ185" s="52" t="inlineStr">
        <is>
          <t>DirRecy-NMC811</t>
        </is>
      </c>
      <c r="AK185" s="53" t="inlineStr">
        <is>
          <t>INDELC</t>
        </is>
      </c>
      <c r="AL185" s="52">
        <f>Z125</f>
        <v/>
      </c>
      <c r="AN185" s="52" t="n"/>
      <c r="AO185" s="52" t="inlineStr">
        <is>
          <t>DirRecy-NCA</t>
        </is>
      </c>
      <c r="AP185" s="53" t="inlineStr">
        <is>
          <t>INDELC</t>
        </is>
      </c>
      <c r="AQ185" s="52">
        <f>AA125</f>
        <v/>
      </c>
      <c r="AS185" s="52" t="n"/>
      <c r="AT185" s="52" t="inlineStr">
        <is>
          <t>DirRecy-LMO</t>
        </is>
      </c>
      <c r="AU185" s="53" t="inlineStr">
        <is>
          <t>INDELC</t>
        </is>
      </c>
      <c r="AV185" s="52">
        <f>AB125</f>
        <v/>
      </c>
      <c r="AW185" s="52" t="n"/>
      <c r="AY185" s="52" t="inlineStr">
        <is>
          <t>DirRecy-LFP</t>
        </is>
      </c>
      <c r="AZ185" s="53" t="inlineStr">
        <is>
          <t>INDELC</t>
        </is>
      </c>
      <c r="BA185" s="52">
        <f>AC125</f>
        <v/>
      </c>
    </row>
    <row r="186" ht="15.5" customHeight="1" s="213">
      <c r="U186" s="52">
        <f>U185</f>
        <v/>
      </c>
      <c r="V186" s="53" t="inlineStr">
        <is>
          <t>INDCOA</t>
        </is>
      </c>
      <c r="W186" s="52">
        <f>W126</f>
        <v/>
      </c>
      <c r="Y186" s="52" t="n"/>
      <c r="Z186" s="52">
        <f>Z185</f>
        <v/>
      </c>
      <c r="AA186" s="53" t="inlineStr">
        <is>
          <t>INDCOA</t>
        </is>
      </c>
      <c r="AB186" s="52">
        <f>X126</f>
        <v/>
      </c>
      <c r="AD186" s="52" t="n"/>
      <c r="AE186" s="52">
        <f>AE185</f>
        <v/>
      </c>
      <c r="AF186" s="53" t="inlineStr">
        <is>
          <t>INDCOA</t>
        </is>
      </c>
      <c r="AG186" s="52">
        <f>Y126</f>
        <v/>
      </c>
      <c r="AI186" s="52" t="n"/>
      <c r="AJ186" s="52">
        <f>AJ185</f>
        <v/>
      </c>
      <c r="AK186" s="53" t="inlineStr">
        <is>
          <t>INDCOA</t>
        </is>
      </c>
      <c r="AL186" s="52">
        <f>Z126</f>
        <v/>
      </c>
      <c r="AN186" s="52" t="n"/>
      <c r="AO186" s="52">
        <f>AO185</f>
        <v/>
      </c>
      <c r="AP186" s="53" t="inlineStr">
        <is>
          <t>INDCOA</t>
        </is>
      </c>
      <c r="AQ186" s="52">
        <f>AA126</f>
        <v/>
      </c>
      <c r="AS186" s="52" t="n"/>
      <c r="AT186" s="52">
        <f>AT185</f>
        <v/>
      </c>
      <c r="AU186" s="53" t="inlineStr">
        <is>
          <t>INDCOA</t>
        </is>
      </c>
      <c r="AV186" s="52">
        <f>AB126</f>
        <v/>
      </c>
      <c r="AW186" s="52" t="n"/>
      <c r="AY186" s="52">
        <f>AY185</f>
        <v/>
      </c>
      <c r="AZ186" s="53" t="inlineStr">
        <is>
          <t>INDCOA</t>
        </is>
      </c>
      <c r="BA186" s="52">
        <f>AC126</f>
        <v/>
      </c>
    </row>
    <row r="187" ht="15.5" customHeight="1" s="213">
      <c r="U187" s="52">
        <f>U186</f>
        <v/>
      </c>
      <c r="V187" s="53" t="inlineStr">
        <is>
          <t>INDNGA</t>
        </is>
      </c>
      <c r="W187" s="52">
        <f>W127</f>
        <v/>
      </c>
      <c r="Y187" s="52" t="n"/>
      <c r="Z187" s="52">
        <f>Z186</f>
        <v/>
      </c>
      <c r="AA187" s="53" t="inlineStr">
        <is>
          <t>INDNGA</t>
        </is>
      </c>
      <c r="AB187" s="52">
        <f>X127</f>
        <v/>
      </c>
      <c r="AD187" s="52" t="n"/>
      <c r="AE187" s="52">
        <f>AE186</f>
        <v/>
      </c>
      <c r="AF187" s="53" t="inlineStr">
        <is>
          <t>INDNGA</t>
        </is>
      </c>
      <c r="AG187" s="52">
        <f>Y127</f>
        <v/>
      </c>
      <c r="AI187" s="52" t="n"/>
      <c r="AJ187" s="52">
        <f>AJ186</f>
        <v/>
      </c>
      <c r="AK187" s="53" t="inlineStr">
        <is>
          <t>INDNGA</t>
        </is>
      </c>
      <c r="AL187" s="52">
        <f>Z127</f>
        <v/>
      </c>
      <c r="AN187" s="52" t="n"/>
      <c r="AO187" s="52">
        <f>AO186</f>
        <v/>
      </c>
      <c r="AP187" s="53" t="inlineStr">
        <is>
          <t>INDNGA</t>
        </is>
      </c>
      <c r="AQ187" s="52">
        <f>AA127</f>
        <v/>
      </c>
      <c r="AS187" s="52" t="n"/>
      <c r="AT187" s="52">
        <f>AT186</f>
        <v/>
      </c>
      <c r="AU187" s="53" t="inlineStr">
        <is>
          <t>INDNGA</t>
        </is>
      </c>
      <c r="AV187" s="52">
        <f>AB127</f>
        <v/>
      </c>
      <c r="AW187" s="52" t="n"/>
      <c r="AY187" s="52">
        <f>AY186</f>
        <v/>
      </c>
      <c r="AZ187" s="53" t="inlineStr">
        <is>
          <t>INDNGA</t>
        </is>
      </c>
      <c r="BA187" s="52">
        <f>AC127</f>
        <v/>
      </c>
    </row>
    <row r="188" ht="15.5" customHeight="1" s="213">
      <c r="U188" s="52">
        <f>U187</f>
        <v/>
      </c>
      <c r="V188" s="53" t="inlineStr">
        <is>
          <t>INDOIL</t>
        </is>
      </c>
      <c r="W188" s="52">
        <f>W128</f>
        <v/>
      </c>
      <c r="Y188" s="54" t="n"/>
      <c r="Z188" s="52">
        <f>Z187</f>
        <v/>
      </c>
      <c r="AA188" s="53" t="inlineStr">
        <is>
          <t>INDOIL</t>
        </is>
      </c>
      <c r="AB188" s="52">
        <f>X128</f>
        <v/>
      </c>
      <c r="AD188" s="54" t="n"/>
      <c r="AE188" s="52">
        <f>AE187</f>
        <v/>
      </c>
      <c r="AF188" s="53" t="inlineStr">
        <is>
          <t>INDOIL</t>
        </is>
      </c>
      <c r="AG188" s="52">
        <f>Y128</f>
        <v/>
      </c>
      <c r="AI188" s="54" t="n"/>
      <c r="AJ188" s="52">
        <f>AJ187</f>
        <v/>
      </c>
      <c r="AK188" s="53" t="inlineStr">
        <is>
          <t>INDOIL</t>
        </is>
      </c>
      <c r="AL188" s="52">
        <f>Z128</f>
        <v/>
      </c>
      <c r="AN188" s="54" t="n"/>
      <c r="AO188" s="52">
        <f>AO187</f>
        <v/>
      </c>
      <c r="AP188" s="53" t="inlineStr">
        <is>
          <t>INDOIL</t>
        </is>
      </c>
      <c r="AQ188" s="52">
        <f>AA128</f>
        <v/>
      </c>
      <c r="AS188" s="54" t="n"/>
      <c r="AT188" s="52">
        <f>AT187</f>
        <v/>
      </c>
      <c r="AU188" s="53" t="inlineStr">
        <is>
          <t>INDOIL</t>
        </is>
      </c>
      <c r="AV188" s="52">
        <f>AB128</f>
        <v/>
      </c>
      <c r="AW188" s="54" t="n"/>
      <c r="AY188" s="52">
        <f>AY187</f>
        <v/>
      </c>
      <c r="AZ188" s="53" t="inlineStr">
        <is>
          <t>INDOIL</t>
        </is>
      </c>
      <c r="BA188" s="52">
        <f>AC128</f>
        <v/>
      </c>
    </row>
    <row r="198" ht="14.5" customHeight="1" s="213">
      <c r="V198" s="208" t="inlineStr">
        <is>
          <t>~TFM_UPD: attribute= INPUT</t>
        </is>
      </c>
      <c r="AA198" s="208" t="inlineStr">
        <is>
          <t>~TFM_UPD: attribute= INPUT</t>
        </is>
      </c>
      <c r="AF198" s="208" t="inlineStr">
        <is>
          <t>~TFM_UPD: attribute= INPUT</t>
        </is>
      </c>
      <c r="AK198" s="208" t="inlineStr">
        <is>
          <t>~TFM_UPD: attribute= INPUT</t>
        </is>
      </c>
      <c r="AP198" s="208" t="inlineStr">
        <is>
          <t>~TFM_UPD: attribute= INPUT</t>
        </is>
      </c>
      <c r="AU198" s="208" t="inlineStr">
        <is>
          <t>~TFM_UPD: attribute= INPUT</t>
        </is>
      </c>
      <c r="AZ198" s="208" t="inlineStr">
        <is>
          <t>~TFM_UPD: attribute= INPUT</t>
        </is>
      </c>
    </row>
    <row r="199" ht="15.5" customHeight="1" s="213">
      <c r="U199" s="208" t="inlineStr">
        <is>
          <t>process</t>
        </is>
      </c>
      <c r="V199" s="208" t="inlineStr">
        <is>
          <t>cset_cn</t>
        </is>
      </c>
      <c r="W199" s="208" t="inlineStr">
        <is>
          <t>NorthAm</t>
        </is>
      </c>
      <c r="X199" s="52" t="inlineStr">
        <is>
          <t>year</t>
        </is>
      </c>
      <c r="Z199" s="208" t="inlineStr">
        <is>
          <t>process</t>
        </is>
      </c>
      <c r="AA199" s="208" t="inlineStr">
        <is>
          <t>cset_cn</t>
        </is>
      </c>
      <c r="AB199" s="208" t="inlineStr">
        <is>
          <t>NorthAm</t>
        </is>
      </c>
      <c r="AC199" s="52" t="inlineStr">
        <is>
          <t>year</t>
        </is>
      </c>
      <c r="AE199" s="208" t="inlineStr">
        <is>
          <t>process</t>
        </is>
      </c>
      <c r="AF199" s="208" t="inlineStr">
        <is>
          <t>cset_cn</t>
        </is>
      </c>
      <c r="AG199" s="208" t="inlineStr">
        <is>
          <t>NorthAm</t>
        </is>
      </c>
      <c r="AH199" s="52" t="inlineStr">
        <is>
          <t>year</t>
        </is>
      </c>
      <c r="AJ199" s="208" t="inlineStr">
        <is>
          <t>process</t>
        </is>
      </c>
      <c r="AK199" s="208" t="inlineStr">
        <is>
          <t>cset_cn</t>
        </is>
      </c>
      <c r="AL199" s="208" t="inlineStr">
        <is>
          <t>NorthAm</t>
        </is>
      </c>
      <c r="AM199" s="52" t="inlineStr">
        <is>
          <t>year</t>
        </is>
      </c>
      <c r="AO199" s="208" t="inlineStr">
        <is>
          <t>process</t>
        </is>
      </c>
      <c r="AP199" s="208" t="inlineStr">
        <is>
          <t>cset_cn</t>
        </is>
      </c>
      <c r="AQ199" s="208" t="inlineStr">
        <is>
          <t>NorthAm</t>
        </is>
      </c>
      <c r="AR199" s="52" t="inlineStr">
        <is>
          <t>year</t>
        </is>
      </c>
      <c r="AT199" s="208" t="inlineStr">
        <is>
          <t>process</t>
        </is>
      </c>
      <c r="AU199" s="208" t="inlineStr">
        <is>
          <t>cset_cn</t>
        </is>
      </c>
      <c r="AV199" s="208" t="inlineStr">
        <is>
          <t>NorthAm</t>
        </is>
      </c>
      <c r="AW199" s="52" t="inlineStr">
        <is>
          <t>year</t>
        </is>
      </c>
      <c r="AY199" s="208" t="inlineStr">
        <is>
          <t>process</t>
        </is>
      </c>
      <c r="AZ199" s="208" t="inlineStr">
        <is>
          <t>cset_cn</t>
        </is>
      </c>
      <c r="BA199" s="208" t="inlineStr">
        <is>
          <t>NorthAm</t>
        </is>
      </c>
      <c r="BB199" s="52" t="inlineStr">
        <is>
          <t>year</t>
        </is>
      </c>
    </row>
    <row r="200" ht="15.5" customHeight="1" s="213">
      <c r="U200" s="208" t="inlineStr">
        <is>
          <t>PyroRecy-NMC111</t>
        </is>
      </c>
      <c r="V200" s="208" t="inlineStr">
        <is>
          <t>INDELC</t>
        </is>
      </c>
      <c r="W200" s="208">
        <f>SUM(W162:W165)</f>
        <v/>
      </c>
      <c r="X200" s="52" t="inlineStr">
        <is>
          <t>2050, 2100</t>
        </is>
      </c>
      <c r="Z200" s="208" t="inlineStr">
        <is>
          <t>PyroRecy-NMC532</t>
        </is>
      </c>
      <c r="AA200" s="208" t="inlineStr">
        <is>
          <t>INDELC</t>
        </is>
      </c>
      <c r="AB200" s="208">
        <f>SUM(AB162:AB165)</f>
        <v/>
      </c>
      <c r="AC200" s="52" t="inlineStr">
        <is>
          <t>2050, 2100</t>
        </is>
      </c>
      <c r="AE200" s="208" t="inlineStr">
        <is>
          <t>PyroRecy-NMC622</t>
        </is>
      </c>
      <c r="AF200" s="208" t="inlineStr">
        <is>
          <t>INDELC</t>
        </is>
      </c>
      <c r="AG200" s="208">
        <f>SUM(AG162:AG165)</f>
        <v/>
      </c>
      <c r="AH200" s="52" t="inlineStr">
        <is>
          <t>2050, 2100</t>
        </is>
      </c>
      <c r="AJ200" s="208" t="inlineStr">
        <is>
          <t>PyroRecy-NMC811</t>
        </is>
      </c>
      <c r="AK200" s="208" t="inlineStr">
        <is>
          <t>INDELC</t>
        </is>
      </c>
      <c r="AL200" s="208">
        <f>SUM(AL162:AL165)</f>
        <v/>
      </c>
      <c r="AM200" s="52" t="inlineStr">
        <is>
          <t>2050, 2100</t>
        </is>
      </c>
      <c r="AO200" s="208" t="inlineStr">
        <is>
          <t>PyroRecy-NCA</t>
        </is>
      </c>
      <c r="AP200" s="208" t="inlineStr">
        <is>
          <t>INDELC</t>
        </is>
      </c>
      <c r="AQ200" s="208">
        <f>SUM(AQ162:AQ165)</f>
        <v/>
      </c>
      <c r="AR200" s="52" t="inlineStr">
        <is>
          <t>2050, 2100</t>
        </is>
      </c>
      <c r="AT200" s="208" t="inlineStr">
        <is>
          <t>PyroRecy-LMO</t>
        </is>
      </c>
      <c r="AU200" s="208" t="inlineStr">
        <is>
          <t>INDELC</t>
        </is>
      </c>
      <c r="AV200" s="208">
        <f>SUM(AV162:AV165)</f>
        <v/>
      </c>
      <c r="AW200" s="52" t="inlineStr">
        <is>
          <t>2050, 2100</t>
        </is>
      </c>
      <c r="AY200" s="208" t="inlineStr">
        <is>
          <t>PyroRecy-LFP</t>
        </is>
      </c>
      <c r="AZ200" s="208" t="inlineStr">
        <is>
          <t>INDELC</t>
        </is>
      </c>
      <c r="BA200" s="208">
        <f>SUM(BA162:BA165)</f>
        <v/>
      </c>
      <c r="BB200" s="52" t="inlineStr">
        <is>
          <t>2050, 2100</t>
        </is>
      </c>
    </row>
    <row r="201" ht="15.5" customHeight="1" s="213">
      <c r="U201" s="208" t="inlineStr">
        <is>
          <t>PyroRecy-NMC111</t>
        </is>
      </c>
      <c r="V201" s="208" t="inlineStr">
        <is>
          <t>INDCOA</t>
        </is>
      </c>
      <c r="W201" s="208" t="n">
        <v>0</v>
      </c>
      <c r="X201" s="52" t="inlineStr">
        <is>
          <t>2050, 2100</t>
        </is>
      </c>
      <c r="Z201" s="208" t="inlineStr">
        <is>
          <t>PyroRecy-NMC532</t>
        </is>
      </c>
      <c r="AA201" s="208" t="inlineStr">
        <is>
          <t>INDCOA</t>
        </is>
      </c>
      <c r="AB201" s="208" t="n">
        <v>0</v>
      </c>
      <c r="AC201" s="52" t="inlineStr">
        <is>
          <t>2050, 2100</t>
        </is>
      </c>
      <c r="AE201" s="208" t="inlineStr">
        <is>
          <t>PyroRecy-NMC622</t>
        </is>
      </c>
      <c r="AF201" s="208" t="inlineStr">
        <is>
          <t>INDCOA</t>
        </is>
      </c>
      <c r="AG201" s="208" t="n">
        <v>0</v>
      </c>
      <c r="AH201" s="52" t="inlineStr">
        <is>
          <t>2050, 2100</t>
        </is>
      </c>
      <c r="AJ201" s="208" t="inlineStr">
        <is>
          <t>PyroRecy-NMC811</t>
        </is>
      </c>
      <c r="AK201" s="208" t="inlineStr">
        <is>
          <t>INDCOA</t>
        </is>
      </c>
      <c r="AL201" s="208" t="n">
        <v>0</v>
      </c>
      <c r="AM201" s="52" t="inlineStr">
        <is>
          <t>2050, 2100</t>
        </is>
      </c>
      <c r="AO201" s="208" t="inlineStr">
        <is>
          <t>PyroRecy-NCA</t>
        </is>
      </c>
      <c r="AP201" s="208" t="inlineStr">
        <is>
          <t>INDCOA</t>
        </is>
      </c>
      <c r="AQ201" s="208" t="n">
        <v>0</v>
      </c>
      <c r="AR201" s="52" t="inlineStr">
        <is>
          <t>2050, 2100</t>
        </is>
      </c>
      <c r="AT201" s="208" t="inlineStr">
        <is>
          <t>PyroRecy-LMO</t>
        </is>
      </c>
      <c r="AU201" s="208" t="inlineStr">
        <is>
          <t>INDCOA</t>
        </is>
      </c>
      <c r="AV201" s="208" t="n">
        <v>0</v>
      </c>
      <c r="AW201" s="52" t="inlineStr">
        <is>
          <t>2050, 2100</t>
        </is>
      </c>
      <c r="AY201" s="208" t="inlineStr">
        <is>
          <t>PyroRecy-LFP</t>
        </is>
      </c>
      <c r="AZ201" s="208" t="inlineStr">
        <is>
          <t>INDCOA</t>
        </is>
      </c>
      <c r="BA201" s="208" t="n">
        <v>0</v>
      </c>
      <c r="BB201" s="52" t="inlineStr">
        <is>
          <t>2050, 2100</t>
        </is>
      </c>
    </row>
    <row r="202" ht="15.5" customHeight="1" s="213">
      <c r="U202" s="208" t="inlineStr">
        <is>
          <t>PyroRecy-NMC111</t>
        </is>
      </c>
      <c r="V202" s="208" t="inlineStr">
        <is>
          <t>INDNGA</t>
        </is>
      </c>
      <c r="W202" s="208" t="n">
        <v>0</v>
      </c>
      <c r="X202" s="52" t="inlineStr">
        <is>
          <t>2050, 2100</t>
        </is>
      </c>
      <c r="Z202" s="208" t="inlineStr">
        <is>
          <t>PyroRecy-NMC532</t>
        </is>
      </c>
      <c r="AA202" s="208" t="inlineStr">
        <is>
          <t>INDNGA</t>
        </is>
      </c>
      <c r="AB202" s="208" t="n">
        <v>0</v>
      </c>
      <c r="AC202" s="52" t="inlineStr">
        <is>
          <t>2050, 2100</t>
        </is>
      </c>
      <c r="AE202" s="208" t="inlineStr">
        <is>
          <t>PyroRecy-NMC622</t>
        </is>
      </c>
      <c r="AF202" s="208" t="inlineStr">
        <is>
          <t>INDNGA</t>
        </is>
      </c>
      <c r="AG202" s="208" t="n">
        <v>0</v>
      </c>
      <c r="AH202" s="52" t="inlineStr">
        <is>
          <t>2050, 2100</t>
        </is>
      </c>
      <c r="AJ202" s="208" t="inlineStr">
        <is>
          <t>PyroRecy-NMC811</t>
        </is>
      </c>
      <c r="AK202" s="208" t="inlineStr">
        <is>
          <t>INDNGA</t>
        </is>
      </c>
      <c r="AL202" s="208" t="n">
        <v>0</v>
      </c>
      <c r="AM202" s="52" t="inlineStr">
        <is>
          <t>2050, 2100</t>
        </is>
      </c>
      <c r="AO202" s="208" t="inlineStr">
        <is>
          <t>PyroRecy-NCA</t>
        </is>
      </c>
      <c r="AP202" s="208" t="inlineStr">
        <is>
          <t>INDNGA</t>
        </is>
      </c>
      <c r="AQ202" s="208" t="n">
        <v>0</v>
      </c>
      <c r="AR202" s="52" t="inlineStr">
        <is>
          <t>2050, 2100</t>
        </is>
      </c>
      <c r="AT202" s="208" t="inlineStr">
        <is>
          <t>PyroRecy-LMO</t>
        </is>
      </c>
      <c r="AU202" s="208" t="inlineStr">
        <is>
          <t>INDNGA</t>
        </is>
      </c>
      <c r="AV202" s="208" t="n">
        <v>0</v>
      </c>
      <c r="AW202" s="52" t="inlineStr">
        <is>
          <t>2050, 2100</t>
        </is>
      </c>
      <c r="AY202" s="208" t="inlineStr">
        <is>
          <t>PyroRecy-LFP</t>
        </is>
      </c>
      <c r="AZ202" s="208" t="inlineStr">
        <is>
          <t>INDNGA</t>
        </is>
      </c>
      <c r="BA202" s="208" t="n">
        <v>0</v>
      </c>
      <c r="BB202" s="52" t="inlineStr">
        <is>
          <t>2050, 2100</t>
        </is>
      </c>
    </row>
    <row r="203" ht="15.5" customHeight="1" s="213">
      <c r="U203" s="208" t="inlineStr">
        <is>
          <t>PyroRecy-NMC111</t>
        </is>
      </c>
      <c r="V203" s="208" t="inlineStr">
        <is>
          <t>INDOIL</t>
        </is>
      </c>
      <c r="W203" s="208" t="n">
        <v>0</v>
      </c>
      <c r="X203" s="52" t="inlineStr">
        <is>
          <t>2050, 2100</t>
        </is>
      </c>
      <c r="Z203" s="208" t="inlineStr">
        <is>
          <t>PyroRecy-NMC532</t>
        </is>
      </c>
      <c r="AA203" s="208" t="inlineStr">
        <is>
          <t>INDOIL</t>
        </is>
      </c>
      <c r="AB203" s="208" t="n">
        <v>0</v>
      </c>
      <c r="AC203" s="52" t="inlineStr">
        <is>
          <t>2050, 2100</t>
        </is>
      </c>
      <c r="AE203" s="208" t="inlineStr">
        <is>
          <t>PyroRecy-NMC622</t>
        </is>
      </c>
      <c r="AF203" s="208" t="inlineStr">
        <is>
          <t>INDOIL</t>
        </is>
      </c>
      <c r="AG203" s="208" t="n">
        <v>0</v>
      </c>
      <c r="AH203" s="52" t="inlineStr">
        <is>
          <t>2050, 2100</t>
        </is>
      </c>
      <c r="AJ203" s="208" t="inlineStr">
        <is>
          <t>PyroRecy-NMC811</t>
        </is>
      </c>
      <c r="AK203" s="208" t="inlineStr">
        <is>
          <t>INDOIL</t>
        </is>
      </c>
      <c r="AL203" s="208" t="n">
        <v>0</v>
      </c>
      <c r="AM203" s="52" t="inlineStr">
        <is>
          <t>2050, 2100</t>
        </is>
      </c>
      <c r="AO203" s="208" t="inlineStr">
        <is>
          <t>PyroRecy-NCA</t>
        </is>
      </c>
      <c r="AP203" s="208" t="inlineStr">
        <is>
          <t>INDOIL</t>
        </is>
      </c>
      <c r="AQ203" s="208" t="n">
        <v>0</v>
      </c>
      <c r="AR203" s="52" t="inlineStr">
        <is>
          <t>2050, 2100</t>
        </is>
      </c>
      <c r="AT203" s="208" t="inlineStr">
        <is>
          <t>PyroRecy-LMO</t>
        </is>
      </c>
      <c r="AU203" s="208" t="inlineStr">
        <is>
          <t>INDOIL</t>
        </is>
      </c>
      <c r="AV203" s="208" t="n">
        <v>0</v>
      </c>
      <c r="AW203" s="52" t="inlineStr">
        <is>
          <t>2050, 2100</t>
        </is>
      </c>
      <c r="AY203" s="208" t="inlineStr">
        <is>
          <t>PyroRecy-LFP</t>
        </is>
      </c>
      <c r="AZ203" s="208" t="inlineStr">
        <is>
          <t>INDOIL</t>
        </is>
      </c>
      <c r="BA203" s="208" t="n">
        <v>0</v>
      </c>
      <c r="BB203" s="52" t="inlineStr">
        <is>
          <t>2050, 2100</t>
        </is>
      </c>
    </row>
    <row r="210" ht="14.5" customHeight="1" s="213">
      <c r="V210" s="208" t="inlineStr">
        <is>
          <t>~TFM_UPD: attribute= INPUT</t>
        </is>
      </c>
      <c r="AA210" s="208" t="inlineStr">
        <is>
          <t>~TFM_UPD: attribute= INPUT</t>
        </is>
      </c>
      <c r="AF210" s="208" t="inlineStr">
        <is>
          <t>~TFM_UPD: attribute= INPUT</t>
        </is>
      </c>
      <c r="AK210" s="208" t="inlineStr">
        <is>
          <t>~TFM_UPD: attribute= INPUT</t>
        </is>
      </c>
      <c r="AP210" s="208" t="inlineStr">
        <is>
          <t>~TFM_UPD: attribute= INPUT</t>
        </is>
      </c>
      <c r="AU210" s="208" t="inlineStr">
        <is>
          <t>~TFM_UPD: attribute= INPUT</t>
        </is>
      </c>
      <c r="AZ210" s="208" t="inlineStr">
        <is>
          <t>~TFM_UPD: attribute= INPUT</t>
        </is>
      </c>
    </row>
    <row r="211" ht="15.5" customHeight="1" s="213">
      <c r="U211" s="208" t="inlineStr">
        <is>
          <t>process</t>
        </is>
      </c>
      <c r="V211" s="208" t="inlineStr">
        <is>
          <t>cset_cn</t>
        </is>
      </c>
      <c r="W211" s="208" t="inlineStr">
        <is>
          <t>NorthAm</t>
        </is>
      </c>
      <c r="X211" s="52" t="inlineStr">
        <is>
          <t>year</t>
        </is>
      </c>
      <c r="Z211" s="208" t="inlineStr">
        <is>
          <t>process</t>
        </is>
      </c>
      <c r="AA211" s="208" t="inlineStr">
        <is>
          <t>cset_cn</t>
        </is>
      </c>
      <c r="AB211" s="208" t="inlineStr">
        <is>
          <t>NorthAm</t>
        </is>
      </c>
      <c r="AC211" s="52" t="inlineStr">
        <is>
          <t>year</t>
        </is>
      </c>
      <c r="AE211" s="208" t="inlineStr">
        <is>
          <t>process</t>
        </is>
      </c>
      <c r="AF211" s="208" t="inlineStr">
        <is>
          <t>cset_cn</t>
        </is>
      </c>
      <c r="AG211" s="208" t="inlineStr">
        <is>
          <t>NorthAm</t>
        </is>
      </c>
      <c r="AH211" s="52" t="inlineStr">
        <is>
          <t>year</t>
        </is>
      </c>
      <c r="AJ211" s="208" t="inlineStr">
        <is>
          <t>process</t>
        </is>
      </c>
      <c r="AK211" s="208" t="inlineStr">
        <is>
          <t>cset_cn</t>
        </is>
      </c>
      <c r="AL211" s="208" t="inlineStr">
        <is>
          <t>NorthAm</t>
        </is>
      </c>
      <c r="AM211" s="52" t="inlineStr">
        <is>
          <t>year</t>
        </is>
      </c>
      <c r="AO211" s="208" t="inlineStr">
        <is>
          <t>process</t>
        </is>
      </c>
      <c r="AP211" s="208" t="inlineStr">
        <is>
          <t>cset_cn</t>
        </is>
      </c>
      <c r="AQ211" s="208" t="inlineStr">
        <is>
          <t>NorthAm</t>
        </is>
      </c>
      <c r="AR211" s="52" t="inlineStr">
        <is>
          <t>year</t>
        </is>
      </c>
      <c r="AT211" s="208" t="inlineStr">
        <is>
          <t>process</t>
        </is>
      </c>
      <c r="AU211" s="208" t="inlineStr">
        <is>
          <t>cset_cn</t>
        </is>
      </c>
      <c r="AV211" s="208" t="inlineStr">
        <is>
          <t>NorthAm</t>
        </is>
      </c>
      <c r="AW211" s="52" t="inlineStr">
        <is>
          <t>year</t>
        </is>
      </c>
      <c r="AY211" s="208" t="inlineStr">
        <is>
          <t>process</t>
        </is>
      </c>
      <c r="AZ211" s="208" t="inlineStr">
        <is>
          <t>cset_cn</t>
        </is>
      </c>
      <c r="BA211" s="208" t="inlineStr">
        <is>
          <t>NorthAm</t>
        </is>
      </c>
      <c r="BB211" s="52" t="inlineStr">
        <is>
          <t>year</t>
        </is>
      </c>
    </row>
    <row r="212" ht="15.5" customHeight="1" s="213">
      <c r="U212" s="208" t="inlineStr">
        <is>
          <t>HydRecy-NMC111</t>
        </is>
      </c>
      <c r="V212" s="208" t="inlineStr">
        <is>
          <t>INDELC</t>
        </is>
      </c>
      <c r="W212" s="208">
        <f>SUM(W174:W177)</f>
        <v/>
      </c>
      <c r="X212" s="52" t="inlineStr">
        <is>
          <t>2050, 2100</t>
        </is>
      </c>
      <c r="Z212" s="208" t="inlineStr">
        <is>
          <t>HydRecy-NMC532</t>
        </is>
      </c>
      <c r="AA212" s="208" t="inlineStr">
        <is>
          <t>INDELC</t>
        </is>
      </c>
      <c r="AB212" s="208">
        <f>SUM(AB174:AB177)</f>
        <v/>
      </c>
      <c r="AC212" s="52" t="inlineStr">
        <is>
          <t>2050, 2100</t>
        </is>
      </c>
      <c r="AE212" s="208" t="inlineStr">
        <is>
          <t>HydRecy-NMC622</t>
        </is>
      </c>
      <c r="AF212" s="208" t="inlineStr">
        <is>
          <t>INDELC</t>
        </is>
      </c>
      <c r="AG212" s="208">
        <f>SUM(AG174:AG177)</f>
        <v/>
      </c>
      <c r="AH212" s="52" t="inlineStr">
        <is>
          <t>2050, 2100</t>
        </is>
      </c>
      <c r="AJ212" s="208" t="inlineStr">
        <is>
          <t>HydRecy-NMC811</t>
        </is>
      </c>
      <c r="AK212" s="208" t="inlineStr">
        <is>
          <t>INDELC</t>
        </is>
      </c>
      <c r="AL212" s="208">
        <f>SUM(AL174:AL177)</f>
        <v/>
      </c>
      <c r="AM212" s="52" t="inlineStr">
        <is>
          <t>2050, 2100</t>
        </is>
      </c>
      <c r="AO212" s="208" t="inlineStr">
        <is>
          <t>HydRecy-NCA</t>
        </is>
      </c>
      <c r="AP212" s="208" t="inlineStr">
        <is>
          <t>INDELC</t>
        </is>
      </c>
      <c r="AQ212" s="208">
        <f>SUM(AQ174:AQ177)</f>
        <v/>
      </c>
      <c r="AR212" s="52" t="inlineStr">
        <is>
          <t>2050, 2100</t>
        </is>
      </c>
      <c r="AT212" s="208" t="inlineStr">
        <is>
          <t>HydRecy-LMO</t>
        </is>
      </c>
      <c r="AU212" s="208" t="inlineStr">
        <is>
          <t>INDELC</t>
        </is>
      </c>
      <c r="AV212" s="208">
        <f>SUM(AV174:AV177)</f>
        <v/>
      </c>
      <c r="AW212" s="52" t="inlineStr">
        <is>
          <t>2050, 2100</t>
        </is>
      </c>
      <c r="AY212" s="208" t="inlineStr">
        <is>
          <t>HydRecy-LFP</t>
        </is>
      </c>
      <c r="AZ212" s="208" t="inlineStr">
        <is>
          <t>INDELC</t>
        </is>
      </c>
      <c r="BA212" s="208">
        <f>SUM(BA174:BA177)</f>
        <v/>
      </c>
      <c r="BB212" s="52" t="inlineStr">
        <is>
          <t>2050, 2100</t>
        </is>
      </c>
    </row>
    <row r="213" ht="15.5" customHeight="1" s="213">
      <c r="U213" s="208" t="inlineStr">
        <is>
          <t>HydRecy-NMC111</t>
        </is>
      </c>
      <c r="V213" s="208" t="inlineStr">
        <is>
          <t>INDCOA</t>
        </is>
      </c>
      <c r="W213" s="208" t="n">
        <v>0</v>
      </c>
      <c r="X213" s="52" t="inlineStr">
        <is>
          <t>2050, 2100</t>
        </is>
      </c>
      <c r="Z213" s="208" t="inlineStr">
        <is>
          <t>HydRecy-NMC532</t>
        </is>
      </c>
      <c r="AA213" s="208" t="inlineStr">
        <is>
          <t>INDCOA</t>
        </is>
      </c>
      <c r="AB213" s="208" t="n">
        <v>0</v>
      </c>
      <c r="AC213" s="52" t="inlineStr">
        <is>
          <t>2050, 2100</t>
        </is>
      </c>
      <c r="AE213" s="208" t="inlineStr">
        <is>
          <t>HydRecy-NMC622</t>
        </is>
      </c>
      <c r="AF213" s="208" t="inlineStr">
        <is>
          <t>INDCOA</t>
        </is>
      </c>
      <c r="AG213" s="208" t="n">
        <v>0</v>
      </c>
      <c r="AH213" s="52" t="inlineStr">
        <is>
          <t>2050, 2100</t>
        </is>
      </c>
      <c r="AJ213" s="208" t="inlineStr">
        <is>
          <t>HydRecy-NMC811</t>
        </is>
      </c>
      <c r="AK213" s="208" t="inlineStr">
        <is>
          <t>INDCOA</t>
        </is>
      </c>
      <c r="AL213" s="208" t="n">
        <v>0</v>
      </c>
      <c r="AM213" s="52" t="inlineStr">
        <is>
          <t>2050, 2100</t>
        </is>
      </c>
      <c r="AO213" s="208" t="inlineStr">
        <is>
          <t>HydRecy-NCA</t>
        </is>
      </c>
      <c r="AP213" s="208" t="inlineStr">
        <is>
          <t>INDCOA</t>
        </is>
      </c>
      <c r="AQ213" s="208" t="n">
        <v>0</v>
      </c>
      <c r="AR213" s="52" t="inlineStr">
        <is>
          <t>2050, 2100</t>
        </is>
      </c>
      <c r="AT213" s="208" t="inlineStr">
        <is>
          <t>HydRecy-LMO</t>
        </is>
      </c>
      <c r="AU213" s="208" t="inlineStr">
        <is>
          <t>INDCOA</t>
        </is>
      </c>
      <c r="AV213" s="208" t="n">
        <v>0</v>
      </c>
      <c r="AW213" s="52" t="inlineStr">
        <is>
          <t>2050, 2100</t>
        </is>
      </c>
      <c r="AY213" s="208" t="inlineStr">
        <is>
          <t>HydRecy-LFP</t>
        </is>
      </c>
      <c r="AZ213" s="208" t="inlineStr">
        <is>
          <t>INDCOA</t>
        </is>
      </c>
      <c r="BA213" s="208" t="n">
        <v>0</v>
      </c>
      <c r="BB213" s="52" t="inlineStr">
        <is>
          <t>2050, 2100</t>
        </is>
      </c>
    </row>
    <row r="214" ht="15.5" customHeight="1" s="213">
      <c r="U214" s="208" t="inlineStr">
        <is>
          <t>HydRecy-NMC111</t>
        </is>
      </c>
      <c r="V214" s="208" t="inlineStr">
        <is>
          <t>INDNGA</t>
        </is>
      </c>
      <c r="W214" s="208" t="n">
        <v>0</v>
      </c>
      <c r="X214" s="52" t="inlineStr">
        <is>
          <t>2050, 2100</t>
        </is>
      </c>
      <c r="Z214" s="208" t="inlineStr">
        <is>
          <t>HydRecy-NMC532</t>
        </is>
      </c>
      <c r="AA214" s="208" t="inlineStr">
        <is>
          <t>INDNGA</t>
        </is>
      </c>
      <c r="AB214" s="208" t="n">
        <v>0</v>
      </c>
      <c r="AC214" s="52" t="inlineStr">
        <is>
          <t>2050, 2100</t>
        </is>
      </c>
      <c r="AE214" s="208" t="inlineStr">
        <is>
          <t>HydRecy-NMC622</t>
        </is>
      </c>
      <c r="AF214" s="208" t="inlineStr">
        <is>
          <t>INDNGA</t>
        </is>
      </c>
      <c r="AG214" s="208" t="n">
        <v>0</v>
      </c>
      <c r="AH214" s="52" t="inlineStr">
        <is>
          <t>2050, 2100</t>
        </is>
      </c>
      <c r="AJ214" s="208" t="inlineStr">
        <is>
          <t>HydRecy-NMC811</t>
        </is>
      </c>
      <c r="AK214" s="208" t="inlineStr">
        <is>
          <t>INDNGA</t>
        </is>
      </c>
      <c r="AL214" s="208" t="n">
        <v>0</v>
      </c>
      <c r="AM214" s="52" t="inlineStr">
        <is>
          <t>2050, 2100</t>
        </is>
      </c>
      <c r="AO214" s="208" t="inlineStr">
        <is>
          <t>HydRecy-NCA</t>
        </is>
      </c>
      <c r="AP214" s="208" t="inlineStr">
        <is>
          <t>INDNGA</t>
        </is>
      </c>
      <c r="AQ214" s="208" t="n">
        <v>0</v>
      </c>
      <c r="AR214" s="52" t="inlineStr">
        <is>
          <t>2050, 2100</t>
        </is>
      </c>
      <c r="AT214" s="208" t="inlineStr">
        <is>
          <t>HydRecy-LMO</t>
        </is>
      </c>
      <c r="AU214" s="208" t="inlineStr">
        <is>
          <t>INDNGA</t>
        </is>
      </c>
      <c r="AV214" s="208" t="n">
        <v>0</v>
      </c>
      <c r="AW214" s="52" t="inlineStr">
        <is>
          <t>2050, 2100</t>
        </is>
      </c>
      <c r="AY214" s="208" t="inlineStr">
        <is>
          <t>HydRecy-LFP</t>
        </is>
      </c>
      <c r="AZ214" s="208" t="inlineStr">
        <is>
          <t>INDNGA</t>
        </is>
      </c>
      <c r="BA214" s="208" t="n">
        <v>0</v>
      </c>
      <c r="BB214" s="52" t="inlineStr">
        <is>
          <t>2050, 2100</t>
        </is>
      </c>
    </row>
    <row r="215" ht="15.5" customHeight="1" s="213">
      <c r="U215" s="208" t="inlineStr">
        <is>
          <t>HydRecy-NMC111</t>
        </is>
      </c>
      <c r="V215" s="208" t="inlineStr">
        <is>
          <t>INDOIL</t>
        </is>
      </c>
      <c r="W215" s="208" t="n">
        <v>0</v>
      </c>
      <c r="X215" s="52" t="inlineStr">
        <is>
          <t>2050, 2100</t>
        </is>
      </c>
      <c r="Z215" s="208" t="inlineStr">
        <is>
          <t>HydRecy-NMC532</t>
        </is>
      </c>
      <c r="AA215" s="208" t="inlineStr">
        <is>
          <t>INDOIL</t>
        </is>
      </c>
      <c r="AB215" s="208" t="n">
        <v>0</v>
      </c>
      <c r="AC215" s="52" t="inlineStr">
        <is>
          <t>2050, 2100</t>
        </is>
      </c>
      <c r="AE215" s="208" t="inlineStr">
        <is>
          <t>HydRecy-NMC622</t>
        </is>
      </c>
      <c r="AF215" s="208" t="inlineStr">
        <is>
          <t>INDOIL</t>
        </is>
      </c>
      <c r="AG215" s="208" t="n">
        <v>0</v>
      </c>
      <c r="AH215" s="52" t="inlineStr">
        <is>
          <t>2050, 2100</t>
        </is>
      </c>
      <c r="AJ215" s="208" t="inlineStr">
        <is>
          <t>HydRecy-NMC811</t>
        </is>
      </c>
      <c r="AK215" s="208" t="inlineStr">
        <is>
          <t>INDOIL</t>
        </is>
      </c>
      <c r="AL215" s="208" t="n">
        <v>0</v>
      </c>
      <c r="AM215" s="52" t="inlineStr">
        <is>
          <t>2050, 2100</t>
        </is>
      </c>
      <c r="AO215" s="208" t="inlineStr">
        <is>
          <t>HydRecy-NCA</t>
        </is>
      </c>
      <c r="AP215" s="208" t="inlineStr">
        <is>
          <t>INDOIL</t>
        </is>
      </c>
      <c r="AQ215" s="208" t="n">
        <v>0</v>
      </c>
      <c r="AR215" s="52" t="inlineStr">
        <is>
          <t>2050, 2100</t>
        </is>
      </c>
      <c r="AT215" s="208" t="inlineStr">
        <is>
          <t>HydRecy-LMO</t>
        </is>
      </c>
      <c r="AU215" s="208" t="inlineStr">
        <is>
          <t>INDOIL</t>
        </is>
      </c>
      <c r="AV215" s="208" t="n">
        <v>0</v>
      </c>
      <c r="AW215" s="52" t="inlineStr">
        <is>
          <t>2050, 2100</t>
        </is>
      </c>
      <c r="AY215" s="208" t="inlineStr">
        <is>
          <t>HydRecy-LFP</t>
        </is>
      </c>
      <c r="AZ215" s="208" t="inlineStr">
        <is>
          <t>INDOIL</t>
        </is>
      </c>
      <c r="BA215" s="208" t="n">
        <v>0</v>
      </c>
      <c r="BB215" s="52" t="inlineStr">
        <is>
          <t>2050, 2100</t>
        </is>
      </c>
    </row>
    <row r="221" ht="14.5" customHeight="1" s="213">
      <c r="V221" s="208" t="inlineStr">
        <is>
          <t>~TFM_UPD: attribute= INPUT</t>
        </is>
      </c>
      <c r="AA221" s="208" t="inlineStr">
        <is>
          <t>~TFM_UPD: attribute= INPUT</t>
        </is>
      </c>
      <c r="AF221" s="208" t="inlineStr">
        <is>
          <t>~TFM_UPD: attribute= INPUT</t>
        </is>
      </c>
      <c r="AK221" s="208" t="inlineStr">
        <is>
          <t>~TFM_UPD: attribute= INPUT</t>
        </is>
      </c>
      <c r="AP221" s="208" t="inlineStr">
        <is>
          <t>~TFM_UPD: attribute= INPUT</t>
        </is>
      </c>
      <c r="AU221" s="208" t="inlineStr">
        <is>
          <t>~TFM_UPD: attribute= INPUT</t>
        </is>
      </c>
      <c r="AZ221" s="208" t="inlineStr">
        <is>
          <t>~TFM_UPD: attribute= INPUT</t>
        </is>
      </c>
    </row>
    <row r="222" ht="15.5" customHeight="1" s="213">
      <c r="U222" s="208" t="inlineStr">
        <is>
          <t>process</t>
        </is>
      </c>
      <c r="V222" s="208" t="inlineStr">
        <is>
          <t>cset_cn</t>
        </is>
      </c>
      <c r="W222" s="208" t="inlineStr">
        <is>
          <t>NorthAm</t>
        </is>
      </c>
      <c r="X222" s="52" t="inlineStr">
        <is>
          <t>year</t>
        </is>
      </c>
      <c r="Z222" s="208" t="inlineStr">
        <is>
          <t>process</t>
        </is>
      </c>
      <c r="AA222" s="208" t="inlineStr">
        <is>
          <t>cset_cn</t>
        </is>
      </c>
      <c r="AB222" s="208" t="inlineStr">
        <is>
          <t>NorthAm</t>
        </is>
      </c>
      <c r="AC222" s="52" t="inlineStr">
        <is>
          <t>year</t>
        </is>
      </c>
      <c r="AE222" s="208" t="inlineStr">
        <is>
          <t>process</t>
        </is>
      </c>
      <c r="AF222" s="208" t="inlineStr">
        <is>
          <t>cset_cn</t>
        </is>
      </c>
      <c r="AG222" s="208" t="inlineStr">
        <is>
          <t>NorthAm</t>
        </is>
      </c>
      <c r="AH222" s="52" t="inlineStr">
        <is>
          <t>year</t>
        </is>
      </c>
      <c r="AJ222" s="208" t="inlineStr">
        <is>
          <t>process</t>
        </is>
      </c>
      <c r="AK222" s="208" t="inlineStr">
        <is>
          <t>cset_cn</t>
        </is>
      </c>
      <c r="AL222" s="208" t="inlineStr">
        <is>
          <t>NorthAm</t>
        </is>
      </c>
      <c r="AM222" s="52" t="inlineStr">
        <is>
          <t>year</t>
        </is>
      </c>
      <c r="AO222" s="208" t="inlineStr">
        <is>
          <t>process</t>
        </is>
      </c>
      <c r="AP222" s="208" t="inlineStr">
        <is>
          <t>cset_cn</t>
        </is>
      </c>
      <c r="AQ222" s="208" t="inlineStr">
        <is>
          <t>NorthAm</t>
        </is>
      </c>
      <c r="AR222" s="52" t="inlineStr">
        <is>
          <t>year</t>
        </is>
      </c>
      <c r="AT222" s="208" t="inlineStr">
        <is>
          <t>process</t>
        </is>
      </c>
      <c r="AU222" s="208" t="inlineStr">
        <is>
          <t>cset_cn</t>
        </is>
      </c>
      <c r="AV222" s="208" t="inlineStr">
        <is>
          <t>NorthAm</t>
        </is>
      </c>
      <c r="AW222" s="52" t="inlineStr">
        <is>
          <t>year</t>
        </is>
      </c>
      <c r="AY222" s="208" t="inlineStr">
        <is>
          <t>process</t>
        </is>
      </c>
      <c r="AZ222" s="208" t="inlineStr">
        <is>
          <t>cset_cn</t>
        </is>
      </c>
      <c r="BA222" s="208" t="inlineStr">
        <is>
          <t>NorthAm</t>
        </is>
      </c>
      <c r="BB222" s="52" t="inlineStr">
        <is>
          <t>year</t>
        </is>
      </c>
    </row>
    <row r="223" ht="15.5" customHeight="1" s="213">
      <c r="U223" s="208" t="inlineStr">
        <is>
          <t>DirRecy-NMC111</t>
        </is>
      </c>
      <c r="V223" s="208" t="inlineStr">
        <is>
          <t>INDELC</t>
        </is>
      </c>
      <c r="W223" s="208">
        <f>SUM(W185:W188)</f>
        <v/>
      </c>
      <c r="X223" s="52" t="inlineStr">
        <is>
          <t>2050, 2100</t>
        </is>
      </c>
      <c r="Z223" s="208" t="inlineStr">
        <is>
          <t>DirRecy-NMC532</t>
        </is>
      </c>
      <c r="AA223" s="208" t="inlineStr">
        <is>
          <t>INDELC</t>
        </is>
      </c>
      <c r="AB223" s="208">
        <f>SUM(AB185:AB188)</f>
        <v/>
      </c>
      <c r="AC223" s="52" t="inlineStr">
        <is>
          <t>2050, 2100</t>
        </is>
      </c>
      <c r="AE223" s="208" t="inlineStr">
        <is>
          <t>DirRecy-NMC622</t>
        </is>
      </c>
      <c r="AF223" s="208" t="inlineStr">
        <is>
          <t>INDELC</t>
        </is>
      </c>
      <c r="AG223" s="208">
        <f>SUM(AG185:AG188)</f>
        <v/>
      </c>
      <c r="AH223" s="52" t="inlineStr">
        <is>
          <t>2050, 2100</t>
        </is>
      </c>
      <c r="AJ223" s="208" t="inlineStr">
        <is>
          <t>DirRecy-NMC811</t>
        </is>
      </c>
      <c r="AK223" s="208" t="inlineStr">
        <is>
          <t>INDELC</t>
        </is>
      </c>
      <c r="AL223" s="208">
        <f>SUM(AL185:AL188)</f>
        <v/>
      </c>
      <c r="AM223" s="52" t="inlineStr">
        <is>
          <t>2050, 2100</t>
        </is>
      </c>
      <c r="AO223" s="208" t="inlineStr">
        <is>
          <t>DirRecy-NCA</t>
        </is>
      </c>
      <c r="AP223" s="208" t="inlineStr">
        <is>
          <t>INDELC</t>
        </is>
      </c>
      <c r="AQ223" s="208">
        <f>SUM(AQ185:AQ188)</f>
        <v/>
      </c>
      <c r="AR223" s="52" t="inlineStr">
        <is>
          <t>2050, 2100</t>
        </is>
      </c>
      <c r="AT223" s="208" t="inlineStr">
        <is>
          <t>DirRecy-LMO</t>
        </is>
      </c>
      <c r="AU223" s="208" t="inlineStr">
        <is>
          <t>INDELC</t>
        </is>
      </c>
      <c r="AV223" s="208">
        <f>SUM(AV185:AV188)</f>
        <v/>
      </c>
      <c r="AW223" s="52" t="inlineStr">
        <is>
          <t>2050, 2100</t>
        </is>
      </c>
      <c r="AY223" s="208" t="inlineStr">
        <is>
          <t>DirRecy-LFP</t>
        </is>
      </c>
      <c r="AZ223" s="208" t="inlineStr">
        <is>
          <t>INDELC</t>
        </is>
      </c>
      <c r="BA223" s="208">
        <f>SUM(BA185:BA188)</f>
        <v/>
      </c>
      <c r="BB223" s="52" t="inlineStr">
        <is>
          <t>2050, 2100</t>
        </is>
      </c>
    </row>
    <row r="224" ht="15.5" customHeight="1" s="213">
      <c r="U224" s="208" t="inlineStr">
        <is>
          <t>DirRecy-NMC111</t>
        </is>
      </c>
      <c r="V224" s="208" t="inlineStr">
        <is>
          <t>INDCOA</t>
        </is>
      </c>
      <c r="W224" s="208" t="n">
        <v>0</v>
      </c>
      <c r="X224" s="52" t="inlineStr">
        <is>
          <t>2050, 2100</t>
        </is>
      </c>
      <c r="Z224" s="208" t="inlineStr">
        <is>
          <t>DirRecy-NMC532</t>
        </is>
      </c>
      <c r="AA224" s="208" t="inlineStr">
        <is>
          <t>INDCOA</t>
        </is>
      </c>
      <c r="AB224" s="208" t="n">
        <v>0</v>
      </c>
      <c r="AC224" s="52" t="inlineStr">
        <is>
          <t>2050, 2100</t>
        </is>
      </c>
      <c r="AE224" s="208" t="inlineStr">
        <is>
          <t>DirRecy-NMC622</t>
        </is>
      </c>
      <c r="AF224" s="208" t="inlineStr">
        <is>
          <t>INDCOA</t>
        </is>
      </c>
      <c r="AG224" s="208" t="n">
        <v>0</v>
      </c>
      <c r="AH224" s="52" t="inlineStr">
        <is>
          <t>2050, 2100</t>
        </is>
      </c>
      <c r="AJ224" s="208" t="inlineStr">
        <is>
          <t>DirRecy-NMC811</t>
        </is>
      </c>
      <c r="AK224" s="208" t="inlineStr">
        <is>
          <t>INDCOA</t>
        </is>
      </c>
      <c r="AL224" s="208" t="n">
        <v>0</v>
      </c>
      <c r="AM224" s="52" t="inlineStr">
        <is>
          <t>2050, 2100</t>
        </is>
      </c>
      <c r="AO224" s="208" t="inlineStr">
        <is>
          <t>DirRecy-NCA</t>
        </is>
      </c>
      <c r="AP224" s="208" t="inlineStr">
        <is>
          <t>INDCOA</t>
        </is>
      </c>
      <c r="AQ224" s="208" t="n">
        <v>0</v>
      </c>
      <c r="AR224" s="52" t="inlineStr">
        <is>
          <t>2050, 2100</t>
        </is>
      </c>
      <c r="AT224" s="208" t="inlineStr">
        <is>
          <t>DirRecy-LMO</t>
        </is>
      </c>
      <c r="AU224" s="208" t="inlineStr">
        <is>
          <t>INDCOA</t>
        </is>
      </c>
      <c r="AV224" s="208" t="n">
        <v>0</v>
      </c>
      <c r="AW224" s="52" t="inlineStr">
        <is>
          <t>2050, 2100</t>
        </is>
      </c>
      <c r="AY224" s="208" t="inlineStr">
        <is>
          <t>DirRecy-LFP</t>
        </is>
      </c>
      <c r="AZ224" s="208" t="inlineStr">
        <is>
          <t>INDCOA</t>
        </is>
      </c>
      <c r="BA224" s="208" t="n">
        <v>0</v>
      </c>
      <c r="BB224" s="52" t="inlineStr">
        <is>
          <t>2050, 2100</t>
        </is>
      </c>
    </row>
    <row r="225" ht="15.5" customHeight="1" s="213">
      <c r="U225" s="208" t="inlineStr">
        <is>
          <t>DirRecy-NMC111</t>
        </is>
      </c>
      <c r="V225" s="208" t="inlineStr">
        <is>
          <t>INDNGA</t>
        </is>
      </c>
      <c r="W225" s="208" t="n">
        <v>0</v>
      </c>
      <c r="X225" s="52" t="inlineStr">
        <is>
          <t>2050, 2100</t>
        </is>
      </c>
      <c r="Z225" s="208" t="inlineStr">
        <is>
          <t>DirRecy-NMC532</t>
        </is>
      </c>
      <c r="AA225" s="208" t="inlineStr">
        <is>
          <t>INDNGA</t>
        </is>
      </c>
      <c r="AB225" s="208" t="n">
        <v>0</v>
      </c>
      <c r="AC225" s="52" t="inlineStr">
        <is>
          <t>2050, 2100</t>
        </is>
      </c>
      <c r="AE225" s="208" t="inlineStr">
        <is>
          <t>DirRecy-NMC622</t>
        </is>
      </c>
      <c r="AF225" s="208" t="inlineStr">
        <is>
          <t>INDNGA</t>
        </is>
      </c>
      <c r="AG225" s="208" t="n">
        <v>0</v>
      </c>
      <c r="AH225" s="52" t="inlineStr">
        <is>
          <t>2050, 2100</t>
        </is>
      </c>
      <c r="AJ225" s="208" t="inlineStr">
        <is>
          <t>DirRecy-NMC811</t>
        </is>
      </c>
      <c r="AK225" s="208" t="inlineStr">
        <is>
          <t>INDNGA</t>
        </is>
      </c>
      <c r="AL225" s="208" t="n">
        <v>0</v>
      </c>
      <c r="AM225" s="52" t="inlineStr">
        <is>
          <t>2050, 2100</t>
        </is>
      </c>
      <c r="AO225" s="208" t="inlineStr">
        <is>
          <t>DirRecy-NCA</t>
        </is>
      </c>
      <c r="AP225" s="208" t="inlineStr">
        <is>
          <t>INDNGA</t>
        </is>
      </c>
      <c r="AQ225" s="208" t="n">
        <v>0</v>
      </c>
      <c r="AR225" s="52" t="inlineStr">
        <is>
          <t>2050, 2100</t>
        </is>
      </c>
      <c r="AT225" s="208" t="inlineStr">
        <is>
          <t>DirRecy-LMO</t>
        </is>
      </c>
      <c r="AU225" s="208" t="inlineStr">
        <is>
          <t>INDNGA</t>
        </is>
      </c>
      <c r="AV225" s="208" t="n">
        <v>0</v>
      </c>
      <c r="AW225" s="52" t="inlineStr">
        <is>
          <t>2050, 2100</t>
        </is>
      </c>
      <c r="AY225" s="208" t="inlineStr">
        <is>
          <t>DirRecy-LFP</t>
        </is>
      </c>
      <c r="AZ225" s="208" t="inlineStr">
        <is>
          <t>INDNGA</t>
        </is>
      </c>
      <c r="BA225" s="208" t="n">
        <v>0</v>
      </c>
      <c r="BB225" s="52" t="inlineStr">
        <is>
          <t>2050, 2100</t>
        </is>
      </c>
    </row>
    <row r="226" ht="15.5" customHeight="1" s="213">
      <c r="U226" s="208" t="inlineStr">
        <is>
          <t>DirRecy-NMC111</t>
        </is>
      </c>
      <c r="V226" s="208" t="inlineStr">
        <is>
          <t>INDOIL</t>
        </is>
      </c>
      <c r="W226" s="208" t="n">
        <v>0</v>
      </c>
      <c r="X226" s="52" t="inlineStr">
        <is>
          <t>2050, 2100</t>
        </is>
      </c>
      <c r="Z226" s="208" t="inlineStr">
        <is>
          <t>DirRecy-NMC532</t>
        </is>
      </c>
      <c r="AA226" s="208" t="inlineStr">
        <is>
          <t>INDOIL</t>
        </is>
      </c>
      <c r="AB226" s="208" t="n">
        <v>0</v>
      </c>
      <c r="AC226" s="52" t="inlineStr">
        <is>
          <t>2050, 2100</t>
        </is>
      </c>
      <c r="AE226" s="208" t="inlineStr">
        <is>
          <t>DirRecy-NMC622</t>
        </is>
      </c>
      <c r="AF226" s="208" t="inlineStr">
        <is>
          <t>INDOIL</t>
        </is>
      </c>
      <c r="AG226" s="208" t="n">
        <v>0</v>
      </c>
      <c r="AH226" s="52" t="inlineStr">
        <is>
          <t>2050, 2100</t>
        </is>
      </c>
      <c r="AJ226" s="208" t="inlineStr">
        <is>
          <t>DirRecy-NMC811</t>
        </is>
      </c>
      <c r="AK226" s="208" t="inlineStr">
        <is>
          <t>INDOIL</t>
        </is>
      </c>
      <c r="AL226" s="208" t="n">
        <v>0</v>
      </c>
      <c r="AM226" s="52" t="inlineStr">
        <is>
          <t>2050, 2100</t>
        </is>
      </c>
      <c r="AO226" s="208" t="inlineStr">
        <is>
          <t>DirRecy-NCA</t>
        </is>
      </c>
      <c r="AP226" s="208" t="inlineStr">
        <is>
          <t>INDOIL</t>
        </is>
      </c>
      <c r="AQ226" s="208" t="n">
        <v>0</v>
      </c>
      <c r="AR226" s="52" t="inlineStr">
        <is>
          <t>2050, 2100</t>
        </is>
      </c>
      <c r="AT226" s="208" t="inlineStr">
        <is>
          <t>DirRecy-LMO</t>
        </is>
      </c>
      <c r="AU226" s="208" t="inlineStr">
        <is>
          <t>INDOIL</t>
        </is>
      </c>
      <c r="AV226" s="208" t="n">
        <v>0</v>
      </c>
      <c r="AW226" s="52" t="inlineStr">
        <is>
          <t>2050, 2100</t>
        </is>
      </c>
      <c r="AY226" s="208" t="inlineStr">
        <is>
          <t>DirRecy-LFP</t>
        </is>
      </c>
      <c r="AZ226" s="208" t="inlineStr">
        <is>
          <t>INDOIL</t>
        </is>
      </c>
      <c r="BA226" s="208" t="n">
        <v>0</v>
      </c>
      <c r="BB226" s="52" t="inlineStr">
        <is>
          <t>2050, 2100</t>
        </is>
      </c>
    </row>
  </sheetData>
  <mergeCells count="64">
    <mergeCell ref="AZ4:AZ8"/>
    <mergeCell ref="U105:U108"/>
    <mergeCell ref="C42:J42"/>
    <mergeCell ref="BA22:BA23"/>
    <mergeCell ref="A4:A8"/>
    <mergeCell ref="AZ21:BI21"/>
    <mergeCell ref="U77:U80"/>
    <mergeCell ref="B2:B3"/>
    <mergeCell ref="A14:A18"/>
    <mergeCell ref="U24:U28"/>
    <mergeCell ref="B42:B43"/>
    <mergeCell ref="U101:U104"/>
    <mergeCell ref="AB1:AC1"/>
    <mergeCell ref="A44:A48"/>
    <mergeCell ref="U54:U58"/>
    <mergeCell ref="A29:A33"/>
    <mergeCell ref="A9:A13"/>
    <mergeCell ref="U4:U8"/>
    <mergeCell ref="BB42:BI42"/>
    <mergeCell ref="U125:U128"/>
    <mergeCell ref="A2:A3"/>
    <mergeCell ref="C22:J22"/>
    <mergeCell ref="U14:U18"/>
    <mergeCell ref="U29:U33"/>
    <mergeCell ref="AZ29:AZ33"/>
    <mergeCell ref="BA42:BA43"/>
    <mergeCell ref="A49:A53"/>
    <mergeCell ref="U97:U100"/>
    <mergeCell ref="AZ1:BI1"/>
    <mergeCell ref="A1:J1"/>
    <mergeCell ref="A34:A38"/>
    <mergeCell ref="U93:U96"/>
    <mergeCell ref="U44:U48"/>
    <mergeCell ref="AZ14:AZ18"/>
    <mergeCell ref="A22:A23"/>
    <mergeCell ref="AZ22:AZ23"/>
    <mergeCell ref="U9:U13"/>
    <mergeCell ref="A42:A43"/>
    <mergeCell ref="U49:U53"/>
    <mergeCell ref="AZ44:AZ48"/>
    <mergeCell ref="A24:A28"/>
    <mergeCell ref="U34:U38"/>
    <mergeCell ref="C2:J2"/>
    <mergeCell ref="U121:U124"/>
    <mergeCell ref="AZ34:AZ38"/>
    <mergeCell ref="AZ9:AZ13"/>
    <mergeCell ref="AZ2:AZ3"/>
    <mergeCell ref="U73:U76"/>
    <mergeCell ref="AZ42:AZ43"/>
    <mergeCell ref="A41:J41"/>
    <mergeCell ref="A54:A58"/>
    <mergeCell ref="AZ24:AZ28"/>
    <mergeCell ref="BB22:BI22"/>
    <mergeCell ref="AZ49:AZ53"/>
    <mergeCell ref="U85:U88"/>
    <mergeCell ref="AZ54:AZ58"/>
    <mergeCell ref="B22:B23"/>
    <mergeCell ref="U117:U120"/>
    <mergeCell ref="A21:J21"/>
    <mergeCell ref="AZ41:BI41"/>
    <mergeCell ref="U113:U116"/>
    <mergeCell ref="BB2:BI2"/>
    <mergeCell ref="BA2:BA3"/>
    <mergeCell ref="U81:U8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O226"/>
  <sheetViews>
    <sheetView topLeftCell="D125" zoomScale="44" zoomScaleNormal="44" workbookViewId="0">
      <selection pane="topLeft" activeCell="X163" sqref="X163"/>
    </sheetView>
  </sheetViews>
  <sheetFormatPr baseColWidth="8" defaultColWidth="8.72428571428571" defaultRowHeight="14.5"/>
  <cols>
    <col width="8.71428571428571" customWidth="1" style="208" min="1" max="1"/>
    <col width="43.8571428571429" customWidth="1" style="208" min="2" max="2"/>
    <col width="8.71428571428571" customWidth="1" style="208" min="3" max="20"/>
    <col width="19.2857142857143" customWidth="1" style="208" min="21" max="21"/>
    <col width="25.5714285714286" customWidth="1" style="208" min="22" max="22"/>
    <col width="19.8571428571429" customWidth="1" style="208" min="23" max="23"/>
    <col width="15.2857142857143" customWidth="1" style="208" min="24" max="29"/>
    <col width="8.71428571428571" customWidth="1" style="208" min="30" max="30"/>
    <col width="14" customWidth="1" style="208" min="31" max="31"/>
    <col width="15.2857142857143" customWidth="1" style="208" min="32" max="38"/>
    <col width="14" customWidth="1" style="208" min="39" max="40"/>
    <col width="15.2857142857143" customWidth="1" style="208" min="41" max="47"/>
    <col width="14" customWidth="1" style="208" min="48" max="53"/>
    <col width="8.71428571428571" customWidth="1" style="208" min="54" max="67"/>
    <col width="8.71428571428571" customWidth="1" style="213" min="68" max="16384"/>
  </cols>
  <sheetData>
    <row r="1" ht="15.5" customHeight="1" s="213">
      <c r="A1" s="33" t="inlineStr">
        <is>
          <t xml:space="preserve">Pyrometallurgical </t>
        </is>
      </c>
      <c r="K1" s="34" t="n"/>
      <c r="L1" s="34" t="inlineStr">
        <is>
          <t>ktonne/GWh</t>
        </is>
      </c>
      <c r="M1" s="34" t="n"/>
      <c r="N1" s="34" t="n"/>
      <c r="O1" s="34" t="n"/>
      <c r="P1" s="34" t="n"/>
      <c r="Q1" s="34" t="n"/>
      <c r="R1" s="34" t="n"/>
      <c r="S1" s="34" t="n"/>
      <c r="T1" s="34" t="n"/>
      <c r="U1" s="34" t="n"/>
      <c r="V1" s="34" t="n"/>
      <c r="W1" s="34" t="inlineStr">
        <is>
          <t>if energy use for LFP and LMO=1.0*that for NMC611</t>
        </is>
      </c>
      <c r="X1" s="34" t="n"/>
      <c r="Y1" s="34" t="n"/>
      <c r="Z1" s="34" t="n"/>
      <c r="AA1" s="34" t="n"/>
      <c r="AB1" s="35" t="inlineStr">
        <is>
          <t>Fill the data gap of EverBatt, 
by using a sensitivity analysis</t>
        </is>
      </c>
      <c r="AD1" s="34" t="n"/>
      <c r="AE1" s="34" t="n"/>
      <c r="AF1" s="34" t="inlineStr">
        <is>
          <t>if energy use for LFP and LMO=1.15*that for NMC611</t>
        </is>
      </c>
      <c r="AG1" s="34" t="n"/>
      <c r="AH1" s="34" t="n"/>
      <c r="AI1" s="34" t="n"/>
      <c r="AJ1" s="34" t="n"/>
      <c r="AK1" s="34" t="n"/>
      <c r="AL1" s="34" t="n"/>
      <c r="AM1" s="34" t="n"/>
      <c r="AN1" s="34" t="n"/>
      <c r="AO1" s="34" t="inlineStr">
        <is>
          <t>if energy use for LFP and LMO=0.85*that for NMC611</t>
        </is>
      </c>
      <c r="AP1" s="34" t="n"/>
      <c r="AQ1" s="34" t="n"/>
      <c r="AR1" s="34" t="n"/>
      <c r="AS1" s="34" t="n"/>
      <c r="AT1" s="34" t="n"/>
      <c r="AU1" s="34" t="n"/>
      <c r="AZ1" s="33" t="inlineStr">
        <is>
          <t xml:space="preserve">Pyrometallurgical </t>
        </is>
      </c>
      <c r="BJ1" s="34" t="n"/>
      <c r="BK1" s="34" t="n"/>
      <c r="BL1" s="34" t="n"/>
      <c r="BM1" s="34" t="n"/>
      <c r="BN1" s="34" t="n"/>
      <c r="BO1" s="34" t="n"/>
    </row>
    <row r="2" ht="30" customHeight="1" s="213">
      <c r="A2" s="33" t="inlineStr">
        <is>
          <t>Location</t>
        </is>
      </c>
      <c r="B2" s="33" t="inlineStr">
        <is>
          <t xml:space="preserve">Energy use (PJ/GWh battery produced) </t>
        </is>
      </c>
      <c r="C2" s="33" t="inlineStr">
        <is>
          <t xml:space="preserve">Chemistry </t>
        </is>
      </c>
      <c r="K2" s="34" t="n"/>
      <c r="L2" s="34" t="n"/>
      <c r="M2" s="34" t="n"/>
      <c r="N2" s="34" t="n"/>
      <c r="O2" s="34" t="n"/>
      <c r="P2" s="34" t="n"/>
      <c r="Q2" s="34" t="n"/>
      <c r="R2" s="34" t="n"/>
      <c r="S2" s="34" t="n"/>
      <c r="T2" s="34" t="n"/>
      <c r="U2" s="34" t="n"/>
      <c r="V2" s="36" t="inlineStr">
        <is>
          <t>INPUT</t>
        </is>
      </c>
      <c r="W2" s="34" t="n"/>
      <c r="X2" s="34" t="n"/>
      <c r="Y2" s="34" t="n"/>
      <c r="Z2" s="34" t="n"/>
      <c r="AA2" s="34" t="n"/>
      <c r="AB2" s="34" t="n"/>
      <c r="AC2" s="34" t="n"/>
      <c r="AD2" s="34" t="n"/>
      <c r="AE2" s="34" t="n"/>
      <c r="AF2" s="34" t="n"/>
      <c r="AG2" s="34" t="n"/>
      <c r="AH2" s="34" t="n"/>
      <c r="AI2" s="34" t="n"/>
      <c r="AJ2" s="34" t="n"/>
      <c r="AK2" s="34" t="n"/>
      <c r="AL2" s="34" t="n"/>
      <c r="AM2" s="34" t="n"/>
      <c r="AN2" s="34" t="n"/>
      <c r="AO2" s="34" t="n"/>
      <c r="AP2" s="34" t="n"/>
      <c r="AQ2" s="34" t="n"/>
      <c r="AR2" s="34" t="n"/>
      <c r="AS2" s="34" t="n"/>
      <c r="AT2" s="34" t="n"/>
      <c r="AU2" s="34" t="n"/>
      <c r="AZ2" s="33" t="inlineStr">
        <is>
          <t>Location</t>
        </is>
      </c>
      <c r="BA2" s="33" t="inlineStr">
        <is>
          <t xml:space="preserve">Energy use (PJ/GWh battery produced) </t>
        </is>
      </c>
      <c r="BB2" s="33" t="inlineStr">
        <is>
          <t xml:space="preserve">Chemistry </t>
        </is>
      </c>
      <c r="BJ2" s="34" t="n"/>
      <c r="BK2" s="34" t="n"/>
      <c r="BL2" s="34" t="n"/>
      <c r="BM2" s="34" t="n"/>
      <c r="BN2" s="34" t="n"/>
      <c r="BO2" s="34" t="n"/>
    </row>
    <row r="3" ht="30" customHeight="1" s="213">
      <c r="C3" s="37" t="inlineStr">
        <is>
          <t xml:space="preserve">LCO </t>
        </is>
      </c>
      <c r="D3" s="34" t="inlineStr">
        <is>
          <t>NMC111</t>
        </is>
      </c>
      <c r="E3" s="34" t="inlineStr">
        <is>
          <t>NMC532</t>
        </is>
      </c>
      <c r="F3" s="38" t="inlineStr">
        <is>
          <t>NMC622</t>
        </is>
      </c>
      <c r="G3" s="34" t="inlineStr">
        <is>
          <t>NMC811</t>
        </is>
      </c>
      <c r="H3" s="34" t="inlineStr">
        <is>
          <t>NCA</t>
        </is>
      </c>
      <c r="I3" s="34" t="inlineStr">
        <is>
          <t xml:space="preserve">LMO </t>
        </is>
      </c>
      <c r="J3" s="34" t="inlineStr">
        <is>
          <t xml:space="preserve">LFP </t>
        </is>
      </c>
      <c r="K3" s="34" t="n"/>
      <c r="L3" s="39" t="inlineStr">
        <is>
          <t xml:space="preserve">LCO </t>
        </is>
      </c>
      <c r="M3" s="34" t="inlineStr">
        <is>
          <t>NMC111</t>
        </is>
      </c>
      <c r="N3" s="34" t="inlineStr">
        <is>
          <t>NMC532</t>
        </is>
      </c>
      <c r="O3" s="34" t="inlineStr">
        <is>
          <t>NMC622</t>
        </is>
      </c>
      <c r="P3" s="34" t="inlineStr">
        <is>
          <t>NMC811</t>
        </is>
      </c>
      <c r="Q3" s="34" t="inlineStr">
        <is>
          <t>NCA</t>
        </is>
      </c>
      <c r="R3" s="34" t="inlineStr">
        <is>
          <t xml:space="preserve">LMO </t>
        </is>
      </c>
      <c r="S3" s="34" t="inlineStr">
        <is>
          <t xml:space="preserve">LFP </t>
        </is>
      </c>
      <c r="T3" s="34" t="n"/>
      <c r="U3" s="34" t="n"/>
      <c r="V3" s="36" t="inlineStr">
        <is>
          <t>PJ/ktonne</t>
        </is>
      </c>
      <c r="W3" s="34" t="inlineStr">
        <is>
          <t>NMC111</t>
        </is>
      </c>
      <c r="X3" s="34" t="inlineStr">
        <is>
          <t>NMC532</t>
        </is>
      </c>
      <c r="Y3" s="38" t="inlineStr">
        <is>
          <t>NMC622</t>
        </is>
      </c>
      <c r="Z3" s="34" t="inlineStr">
        <is>
          <t>NMC811</t>
        </is>
      </c>
      <c r="AA3" s="34" t="inlineStr">
        <is>
          <t>NCA</t>
        </is>
      </c>
      <c r="AB3" s="40" t="inlineStr">
        <is>
          <t xml:space="preserve">LMO </t>
        </is>
      </c>
      <c r="AC3" s="40" t="inlineStr">
        <is>
          <t xml:space="preserve">LFP </t>
        </is>
      </c>
      <c r="AD3" s="34" t="n"/>
      <c r="AE3" s="34" t="n"/>
      <c r="AF3" s="34" t="inlineStr">
        <is>
          <t>NMC111</t>
        </is>
      </c>
      <c r="AG3" s="34" t="inlineStr">
        <is>
          <t>NMC532</t>
        </is>
      </c>
      <c r="AH3" s="38" t="inlineStr">
        <is>
          <t>NMC622</t>
        </is>
      </c>
      <c r="AI3" s="34" t="inlineStr">
        <is>
          <t>NMC811</t>
        </is>
      </c>
      <c r="AJ3" s="34" t="inlineStr">
        <is>
          <t>NCA</t>
        </is>
      </c>
      <c r="AK3" s="40" t="inlineStr">
        <is>
          <t xml:space="preserve">LMO </t>
        </is>
      </c>
      <c r="AL3" s="40" t="inlineStr">
        <is>
          <t xml:space="preserve">LFP </t>
        </is>
      </c>
      <c r="AM3" s="34" t="n"/>
      <c r="AN3" s="34" t="n"/>
      <c r="AO3" s="34" t="inlineStr">
        <is>
          <t>NMC111</t>
        </is>
      </c>
      <c r="AP3" s="34" t="inlineStr">
        <is>
          <t>NMC532</t>
        </is>
      </c>
      <c r="AQ3" s="38" t="inlineStr">
        <is>
          <t>NMC622</t>
        </is>
      </c>
      <c r="AR3" s="34" t="inlineStr">
        <is>
          <t>NMC811</t>
        </is>
      </c>
      <c r="AS3" s="34" t="inlineStr">
        <is>
          <t>NCA</t>
        </is>
      </c>
      <c r="AT3" s="40" t="inlineStr">
        <is>
          <t xml:space="preserve">LMO </t>
        </is>
      </c>
      <c r="AU3" s="40" t="inlineStr">
        <is>
          <t xml:space="preserve">LFP </t>
        </is>
      </c>
      <c r="BB3" s="37" t="inlineStr">
        <is>
          <t xml:space="preserve">LCO </t>
        </is>
      </c>
      <c r="BC3" s="34" t="inlineStr">
        <is>
          <t>NMC111</t>
        </is>
      </c>
      <c r="BD3" s="34" t="inlineStr">
        <is>
          <t>NMC532</t>
        </is>
      </c>
      <c r="BE3" s="38" t="inlineStr">
        <is>
          <t>NMC622</t>
        </is>
      </c>
      <c r="BF3" s="34" t="inlineStr">
        <is>
          <t>NMC811</t>
        </is>
      </c>
      <c r="BG3" s="34" t="inlineStr">
        <is>
          <t>NCA</t>
        </is>
      </c>
      <c r="BH3" s="34" t="inlineStr">
        <is>
          <t xml:space="preserve">LMO </t>
        </is>
      </c>
      <c r="BI3" s="34" t="inlineStr">
        <is>
          <t xml:space="preserve">LFP </t>
        </is>
      </c>
      <c r="BJ3" s="34" t="n"/>
      <c r="BK3" s="39" t="n"/>
      <c r="BL3" s="34" t="n"/>
      <c r="BM3" s="34" t="n"/>
      <c r="BN3" s="34" t="n"/>
      <c r="BO3" s="34" t="n"/>
    </row>
    <row r="4" ht="15.5" customHeight="1" s="213">
      <c r="A4" s="33" t="inlineStr">
        <is>
          <t>US</t>
        </is>
      </c>
      <c r="B4" s="41" t="inlineStr">
        <is>
          <t xml:space="preserve">     Total Energy</t>
        </is>
      </c>
      <c r="C4" s="249">
        <f>BB4/1000</f>
        <v/>
      </c>
      <c r="D4" s="249">
        <f>BC4/1000</f>
        <v/>
      </c>
      <c r="E4" s="249">
        <f>BD4/1000</f>
        <v/>
      </c>
      <c r="F4" s="249">
        <f>BE4/1000</f>
        <v/>
      </c>
      <c r="G4" s="249">
        <f>BF4/1000</f>
        <v/>
      </c>
      <c r="H4" s="249">
        <f>BG4/1000</f>
        <v/>
      </c>
      <c r="I4" s="249">
        <f>BH4/1000</f>
        <v/>
      </c>
      <c r="J4" s="249">
        <f>BI4/1000</f>
        <v/>
      </c>
      <c r="K4" s="34" t="n"/>
      <c r="L4" s="39" t="n"/>
      <c r="M4" s="43" t="n">
        <v>5.937</v>
      </c>
      <c r="N4" s="43" t="n">
        <v>5.845</v>
      </c>
      <c r="O4" s="43" t="n">
        <v>5.575</v>
      </c>
      <c r="P4" s="43" t="n">
        <v>5.276</v>
      </c>
      <c r="Q4" s="43" t="n">
        <v>5.363</v>
      </c>
      <c r="R4" s="43" t="n">
        <v>6.645</v>
      </c>
      <c r="S4" s="43" t="n">
        <v>5.654</v>
      </c>
      <c r="T4" s="43" t="n"/>
      <c r="U4" s="33" t="inlineStr">
        <is>
          <t>US</t>
        </is>
      </c>
      <c r="V4" s="41" t="inlineStr">
        <is>
          <t xml:space="preserve">     Total Energy</t>
        </is>
      </c>
      <c r="W4" s="250">
        <f>D4/M4</f>
        <v/>
      </c>
      <c r="X4" s="250">
        <f>E4/N4</f>
        <v/>
      </c>
      <c r="Y4" s="250">
        <f>F4/O4</f>
        <v/>
      </c>
      <c r="Z4" s="250">
        <f>G4/P4</f>
        <v/>
      </c>
      <c r="AA4" s="250">
        <f>H4/Q4</f>
        <v/>
      </c>
      <c r="AB4" s="251">
        <f>I4/R4</f>
        <v/>
      </c>
      <c r="AC4" s="251">
        <f>J4/S4</f>
        <v/>
      </c>
      <c r="AD4" s="34" t="n"/>
      <c r="AE4" s="34" t="n"/>
      <c r="AF4" s="250">
        <f>W4</f>
        <v/>
      </c>
      <c r="AG4" s="250">
        <f>X4</f>
        <v/>
      </c>
      <c r="AH4" s="250">
        <f>Y4</f>
        <v/>
      </c>
      <c r="AI4" s="250">
        <f>Z4</f>
        <v/>
      </c>
      <c r="AJ4" s="250">
        <f>AA4</f>
        <v/>
      </c>
      <c r="AK4" s="252">
        <f>AB4*1.15</f>
        <v/>
      </c>
      <c r="AL4" s="252">
        <f>AC4*1.15</f>
        <v/>
      </c>
      <c r="AM4" s="34" t="n"/>
      <c r="AN4" s="34" t="n"/>
      <c r="AO4" s="250">
        <f>W4</f>
        <v/>
      </c>
      <c r="AP4" s="250">
        <f>X4</f>
        <v/>
      </c>
      <c r="AQ4" s="250">
        <f>Y4</f>
        <v/>
      </c>
      <c r="AR4" s="250">
        <f>Z4</f>
        <v/>
      </c>
      <c r="AS4" s="250">
        <f>AA4</f>
        <v/>
      </c>
      <c r="AT4" s="252">
        <f>AB4*0.85</f>
        <v/>
      </c>
      <c r="AU4" s="252">
        <f>AC4*0.85</f>
        <v/>
      </c>
      <c r="AZ4" s="33" t="inlineStr">
        <is>
          <t>US</t>
        </is>
      </c>
      <c r="BA4" s="41" t="inlineStr">
        <is>
          <t xml:space="preserve">     Total Energy</t>
        </is>
      </c>
      <c r="BB4" s="249" t="n">
        <v>837.4</v>
      </c>
      <c r="BC4" s="250" t="n">
        <v>808.1</v>
      </c>
      <c r="BD4" s="250" t="n">
        <v>770.5</v>
      </c>
      <c r="BE4" s="250" t="n">
        <v>760</v>
      </c>
      <c r="BF4" s="250" t="n">
        <v>755.1</v>
      </c>
      <c r="BG4" s="250" t="n">
        <v>796</v>
      </c>
      <c r="BH4" s="250" t="n">
        <v>760</v>
      </c>
      <c r="BI4" s="250" t="n">
        <v>760</v>
      </c>
      <c r="BJ4" s="34" t="n"/>
      <c r="BK4" s="39" t="n"/>
      <c r="BL4" s="43" t="n"/>
      <c r="BM4" s="43" t="n"/>
      <c r="BN4" s="43" t="n"/>
      <c r="BO4" s="43" t="n"/>
    </row>
    <row r="5" ht="15.5" customHeight="1" s="213">
      <c r="B5" s="41" t="inlineStr">
        <is>
          <t xml:space="preserve">     Fossil fuels</t>
        </is>
      </c>
      <c r="C5" s="249">
        <f>BB5/1000</f>
        <v/>
      </c>
      <c r="D5" s="249">
        <f>BC5/1000</f>
        <v/>
      </c>
      <c r="E5" s="249">
        <f>BD5/1000</f>
        <v/>
      </c>
      <c r="F5" s="249">
        <f>BE5/1000</f>
        <v/>
      </c>
      <c r="G5" s="249">
        <f>BF5/1000</f>
        <v/>
      </c>
      <c r="H5" s="249">
        <f>BG5/1000</f>
        <v/>
      </c>
      <c r="I5" s="249">
        <f>BH5/1000</f>
        <v/>
      </c>
      <c r="J5" s="249">
        <f>BI5/1000</f>
        <v/>
      </c>
      <c r="K5" s="34" t="n"/>
      <c r="L5" s="34" t="n"/>
      <c r="M5" s="47" t="n">
        <v>5.937</v>
      </c>
      <c r="N5" s="47" t="n">
        <v>5.845</v>
      </c>
      <c r="O5" s="47" t="n">
        <v>5.575</v>
      </c>
      <c r="P5" s="47" t="n">
        <v>5.276</v>
      </c>
      <c r="Q5" s="47" t="n">
        <v>5.363</v>
      </c>
      <c r="R5" s="47" t="n">
        <v>6.645</v>
      </c>
      <c r="S5" s="47" t="n">
        <v>5.654</v>
      </c>
      <c r="T5" s="47" t="n"/>
      <c r="V5" s="41" t="inlineStr">
        <is>
          <t xml:space="preserve">     Fossil fuels</t>
        </is>
      </c>
      <c r="W5" s="250">
        <f>D5/M5</f>
        <v/>
      </c>
      <c r="X5" s="250">
        <f>E5/N5</f>
        <v/>
      </c>
      <c r="Y5" s="250">
        <f>F5/O5</f>
        <v/>
      </c>
      <c r="Z5" s="250">
        <f>G5/P5</f>
        <v/>
      </c>
      <c r="AA5" s="250">
        <f>H5/Q5</f>
        <v/>
      </c>
      <c r="AB5" s="251">
        <f>I5/R5</f>
        <v/>
      </c>
      <c r="AC5" s="251">
        <f>J5/S5</f>
        <v/>
      </c>
      <c r="AD5" s="34" t="n"/>
      <c r="AE5" s="34" t="n"/>
      <c r="AF5" s="250">
        <f>W5</f>
        <v/>
      </c>
      <c r="AG5" s="250">
        <f>X5</f>
        <v/>
      </c>
      <c r="AH5" s="250">
        <f>Y5</f>
        <v/>
      </c>
      <c r="AI5" s="250">
        <f>Z5</f>
        <v/>
      </c>
      <c r="AJ5" s="250">
        <f>AA5</f>
        <v/>
      </c>
      <c r="AK5" s="252">
        <f>AB5*1.15</f>
        <v/>
      </c>
      <c r="AL5" s="252">
        <f>AC5*1.15</f>
        <v/>
      </c>
      <c r="AM5" s="34" t="n"/>
      <c r="AN5" s="34" t="n"/>
      <c r="AO5" s="250">
        <f>W5</f>
        <v/>
      </c>
      <c r="AP5" s="250">
        <f>X5</f>
        <v/>
      </c>
      <c r="AQ5" s="250">
        <f>Y5</f>
        <v/>
      </c>
      <c r="AR5" s="250">
        <f>Z5</f>
        <v/>
      </c>
      <c r="AS5" s="250">
        <f>AA5</f>
        <v/>
      </c>
      <c r="AT5" s="252">
        <f>AB5*0.85</f>
        <v/>
      </c>
      <c r="AU5" s="252">
        <f>AC5*0.85</f>
        <v/>
      </c>
      <c r="BA5" s="41" t="inlineStr">
        <is>
          <t xml:space="preserve">     Fossil fuels</t>
        </is>
      </c>
      <c r="BB5" s="249" t="n">
        <v>770.1</v>
      </c>
      <c r="BC5" s="250" t="n">
        <v>745.7</v>
      </c>
      <c r="BD5" s="250" t="n">
        <v>711.5</v>
      </c>
      <c r="BE5" s="250" t="n">
        <v>702.1</v>
      </c>
      <c r="BF5" s="250" t="n">
        <v>694.8</v>
      </c>
      <c r="BG5" s="250" t="n">
        <v>733.8</v>
      </c>
      <c r="BH5" s="250" t="n">
        <v>702.1</v>
      </c>
      <c r="BI5" s="250" t="n">
        <v>702.1</v>
      </c>
      <c r="BJ5" s="34" t="n"/>
      <c r="BK5" s="34" t="n"/>
      <c r="BL5" s="47" t="n"/>
      <c r="BM5" s="47" t="n"/>
      <c r="BN5" s="47" t="n"/>
      <c r="BO5" s="47" t="n"/>
    </row>
    <row r="6" ht="15.5" customHeight="1" s="213">
      <c r="B6" s="41" t="inlineStr">
        <is>
          <t xml:space="preserve">     Coal</t>
        </is>
      </c>
      <c r="C6" s="249">
        <f>BB6/1000</f>
        <v/>
      </c>
      <c r="D6" s="249">
        <f>BC6/1000</f>
        <v/>
      </c>
      <c r="E6" s="249">
        <f>BD6/1000</f>
        <v/>
      </c>
      <c r="F6" s="249">
        <f>BE6/1000</f>
        <v/>
      </c>
      <c r="G6" s="249">
        <f>BF6/1000</f>
        <v/>
      </c>
      <c r="H6" s="249">
        <f>BG6/1000</f>
        <v/>
      </c>
      <c r="I6" s="249">
        <f>BH6/1000</f>
        <v/>
      </c>
      <c r="J6" s="249">
        <f>BI6/1000</f>
        <v/>
      </c>
      <c r="K6" s="34" t="n"/>
      <c r="L6" s="34" t="n"/>
      <c r="M6" s="47" t="n">
        <v>5.937</v>
      </c>
      <c r="N6" s="47" t="n">
        <v>5.845</v>
      </c>
      <c r="O6" s="47" t="n">
        <v>5.575</v>
      </c>
      <c r="P6" s="47" t="n">
        <v>5.276</v>
      </c>
      <c r="Q6" s="47" t="n">
        <v>5.363</v>
      </c>
      <c r="R6" s="47" t="n">
        <v>6.645</v>
      </c>
      <c r="S6" s="47" t="n">
        <v>5.654</v>
      </c>
      <c r="T6" s="47" t="n"/>
      <c r="V6" s="41" t="inlineStr">
        <is>
          <t xml:space="preserve">     Coal</t>
        </is>
      </c>
      <c r="W6" s="250">
        <f>D6/M6</f>
        <v/>
      </c>
      <c r="X6" s="250">
        <f>E6/N6</f>
        <v/>
      </c>
      <c r="Y6" s="250">
        <f>F6/O6</f>
        <v/>
      </c>
      <c r="Z6" s="250">
        <f>G6/P6</f>
        <v/>
      </c>
      <c r="AA6" s="250">
        <f>H6/Q6</f>
        <v/>
      </c>
      <c r="AB6" s="251">
        <f>I6/R6</f>
        <v/>
      </c>
      <c r="AC6" s="251">
        <f>J6/S6</f>
        <v/>
      </c>
      <c r="AD6" s="34" t="n"/>
      <c r="AE6" s="34" t="n"/>
      <c r="AF6" s="250">
        <f>W6</f>
        <v/>
      </c>
      <c r="AG6" s="250">
        <f>X6</f>
        <v/>
      </c>
      <c r="AH6" s="250">
        <f>Y6</f>
        <v/>
      </c>
      <c r="AI6" s="250">
        <f>Z6</f>
        <v/>
      </c>
      <c r="AJ6" s="250">
        <f>AA6</f>
        <v/>
      </c>
      <c r="AK6" s="252">
        <f>AB6*1.15</f>
        <v/>
      </c>
      <c r="AL6" s="252">
        <f>AC6*1.15</f>
        <v/>
      </c>
      <c r="AM6" s="34" t="n"/>
      <c r="AN6" s="34" t="n"/>
      <c r="AO6" s="250">
        <f>W6</f>
        <v/>
      </c>
      <c r="AP6" s="250">
        <f>X6</f>
        <v/>
      </c>
      <c r="AQ6" s="250">
        <f>Y6</f>
        <v/>
      </c>
      <c r="AR6" s="250">
        <f>Z6</f>
        <v/>
      </c>
      <c r="AS6" s="250">
        <f>AA6</f>
        <v/>
      </c>
      <c r="AT6" s="252">
        <f>AB6*0.85</f>
        <v/>
      </c>
      <c r="AU6" s="252">
        <f>AC6*0.85</f>
        <v/>
      </c>
      <c r="BA6" s="41" t="inlineStr">
        <is>
          <t xml:space="preserve">     Coal</t>
        </is>
      </c>
      <c r="BB6" s="249" t="n">
        <v>198.6</v>
      </c>
      <c r="BC6" s="250" t="n">
        <v>171.7</v>
      </c>
      <c r="BD6" s="250" t="n">
        <v>161.1</v>
      </c>
      <c r="BE6" s="250" t="n">
        <v>157.9</v>
      </c>
      <c r="BF6" s="250" t="n">
        <v>152.1</v>
      </c>
      <c r="BG6" s="250" t="n">
        <v>158.8</v>
      </c>
      <c r="BH6" s="250" t="n">
        <v>157.9</v>
      </c>
      <c r="BI6" s="250" t="n">
        <v>157.9</v>
      </c>
      <c r="BJ6" s="34" t="n"/>
      <c r="BK6" s="34" t="n"/>
      <c r="BL6" s="47" t="n"/>
      <c r="BM6" s="47" t="n"/>
      <c r="BN6" s="47" t="n"/>
      <c r="BO6" s="47" t="n"/>
    </row>
    <row r="7" ht="15.5" customHeight="1" s="213">
      <c r="B7" s="41" t="inlineStr">
        <is>
          <t xml:space="preserve">     Natural gas</t>
        </is>
      </c>
      <c r="C7" s="249">
        <f>BB7/1000</f>
        <v/>
      </c>
      <c r="D7" s="249">
        <f>BC7/1000</f>
        <v/>
      </c>
      <c r="E7" s="249">
        <f>BD7/1000</f>
        <v/>
      </c>
      <c r="F7" s="249">
        <f>BE7/1000</f>
        <v/>
      </c>
      <c r="G7" s="249">
        <f>BF7/1000</f>
        <v/>
      </c>
      <c r="H7" s="249">
        <f>BG7/1000</f>
        <v/>
      </c>
      <c r="I7" s="249">
        <f>BH7/1000</f>
        <v/>
      </c>
      <c r="J7" s="249">
        <f>BI7/1000</f>
        <v/>
      </c>
      <c r="K7" s="34" t="n"/>
      <c r="L7" s="34" t="n"/>
      <c r="M7" s="47" t="n">
        <v>5.937</v>
      </c>
      <c r="N7" s="47" t="n">
        <v>5.845</v>
      </c>
      <c r="O7" s="47" t="n">
        <v>5.575</v>
      </c>
      <c r="P7" s="47" t="n">
        <v>5.276</v>
      </c>
      <c r="Q7" s="47" t="n">
        <v>5.363</v>
      </c>
      <c r="R7" s="47" t="n">
        <v>6.645</v>
      </c>
      <c r="S7" s="47" t="n">
        <v>5.654</v>
      </c>
      <c r="T7" s="47" t="n"/>
      <c r="V7" s="41" t="inlineStr">
        <is>
          <t xml:space="preserve">     Natural gas</t>
        </is>
      </c>
      <c r="W7" s="250">
        <f>D7/M7</f>
        <v/>
      </c>
      <c r="X7" s="250">
        <f>E7/N7</f>
        <v/>
      </c>
      <c r="Y7" s="250">
        <f>F7/O7</f>
        <v/>
      </c>
      <c r="Z7" s="250">
        <f>G7/P7</f>
        <v/>
      </c>
      <c r="AA7" s="250">
        <f>H7/Q7</f>
        <v/>
      </c>
      <c r="AB7" s="251">
        <f>I7/R7</f>
        <v/>
      </c>
      <c r="AC7" s="251">
        <f>J7/S7</f>
        <v/>
      </c>
      <c r="AD7" s="34" t="n"/>
      <c r="AE7" s="34" t="n"/>
      <c r="AF7" s="250">
        <f>W7</f>
        <v/>
      </c>
      <c r="AG7" s="250">
        <f>X7</f>
        <v/>
      </c>
      <c r="AH7" s="250">
        <f>Y7</f>
        <v/>
      </c>
      <c r="AI7" s="250">
        <f>Z7</f>
        <v/>
      </c>
      <c r="AJ7" s="250">
        <f>AA7</f>
        <v/>
      </c>
      <c r="AK7" s="252">
        <f>AB7*1.15</f>
        <v/>
      </c>
      <c r="AL7" s="252">
        <f>AC7*1.15</f>
        <v/>
      </c>
      <c r="AM7" s="34" t="n"/>
      <c r="AN7" s="34" t="n"/>
      <c r="AO7" s="250">
        <f>W7</f>
        <v/>
      </c>
      <c r="AP7" s="250">
        <f>X7</f>
        <v/>
      </c>
      <c r="AQ7" s="250">
        <f>Y7</f>
        <v/>
      </c>
      <c r="AR7" s="250">
        <f>Z7</f>
        <v/>
      </c>
      <c r="AS7" s="250">
        <f>AA7</f>
        <v/>
      </c>
      <c r="AT7" s="252">
        <f>AB7*0.85</f>
        <v/>
      </c>
      <c r="AU7" s="252">
        <f>AC7*0.85</f>
        <v/>
      </c>
      <c r="BA7" s="41" t="inlineStr">
        <is>
          <t xml:space="preserve">     Natural gas</t>
        </is>
      </c>
      <c r="BB7" s="249" t="n">
        <v>487</v>
      </c>
      <c r="BC7" s="250" t="n">
        <v>496.7</v>
      </c>
      <c r="BD7" s="250" t="n">
        <v>475.8</v>
      </c>
      <c r="BE7" s="250" t="n">
        <v>470.5</v>
      </c>
      <c r="BF7" s="250" t="n">
        <v>466.5</v>
      </c>
      <c r="BG7" s="250" t="n">
        <v>496</v>
      </c>
      <c r="BH7" s="250" t="n">
        <v>470.5</v>
      </c>
      <c r="BI7" s="250" t="n">
        <v>470.5</v>
      </c>
      <c r="BJ7" s="34" t="n"/>
      <c r="BK7" s="34" t="n"/>
      <c r="BL7" s="47" t="n"/>
      <c r="BM7" s="47" t="n"/>
      <c r="BN7" s="47" t="n"/>
      <c r="BO7" s="47" t="n"/>
    </row>
    <row r="8" ht="15.5" customHeight="1" s="213">
      <c r="B8" s="41" t="inlineStr">
        <is>
          <t xml:space="preserve">     Petroleum</t>
        </is>
      </c>
      <c r="C8" s="249">
        <f>BB8/1000</f>
        <v/>
      </c>
      <c r="D8" s="249">
        <f>BC8/1000</f>
        <v/>
      </c>
      <c r="E8" s="249">
        <f>BD8/1000</f>
        <v/>
      </c>
      <c r="F8" s="249">
        <f>BE8/1000</f>
        <v/>
      </c>
      <c r="G8" s="249">
        <f>BF8/1000</f>
        <v/>
      </c>
      <c r="H8" s="249">
        <f>BG8/1000</f>
        <v/>
      </c>
      <c r="I8" s="249">
        <f>BH8/1000</f>
        <v/>
      </c>
      <c r="J8" s="249">
        <f>BI8/1000</f>
        <v/>
      </c>
      <c r="K8" s="34" t="n"/>
      <c r="L8" s="34" t="n"/>
      <c r="M8" s="47" t="n">
        <v>5.937</v>
      </c>
      <c r="N8" s="47" t="n">
        <v>5.845</v>
      </c>
      <c r="O8" s="47" t="n">
        <v>5.575</v>
      </c>
      <c r="P8" s="47" t="n">
        <v>5.276</v>
      </c>
      <c r="Q8" s="47" t="n">
        <v>5.363</v>
      </c>
      <c r="R8" s="47" t="n">
        <v>6.645</v>
      </c>
      <c r="S8" s="47" t="n">
        <v>5.654</v>
      </c>
      <c r="T8" s="47" t="n"/>
      <c r="V8" s="41" t="inlineStr">
        <is>
          <t xml:space="preserve">     Petroleum</t>
        </is>
      </c>
      <c r="W8" s="250">
        <f>D8/M8</f>
        <v/>
      </c>
      <c r="X8" s="250">
        <f>E8/N8</f>
        <v/>
      </c>
      <c r="Y8" s="250">
        <f>F8/O8</f>
        <v/>
      </c>
      <c r="Z8" s="250">
        <f>G8/P8</f>
        <v/>
      </c>
      <c r="AA8" s="250">
        <f>H8/Q8</f>
        <v/>
      </c>
      <c r="AB8" s="251">
        <f>I8/R8</f>
        <v/>
      </c>
      <c r="AC8" s="251">
        <f>J8/S8</f>
        <v/>
      </c>
      <c r="AD8" s="34" t="n"/>
      <c r="AE8" s="34" t="n"/>
      <c r="AF8" s="250">
        <f>W8</f>
        <v/>
      </c>
      <c r="AG8" s="250">
        <f>X8</f>
        <v/>
      </c>
      <c r="AH8" s="250">
        <f>Y8</f>
        <v/>
      </c>
      <c r="AI8" s="250">
        <f>Z8</f>
        <v/>
      </c>
      <c r="AJ8" s="250">
        <f>AA8</f>
        <v/>
      </c>
      <c r="AK8" s="252">
        <f>AB8*1.15</f>
        <v/>
      </c>
      <c r="AL8" s="252">
        <f>AC8*1.15</f>
        <v/>
      </c>
      <c r="AM8" s="34" t="n"/>
      <c r="AN8" s="34" t="n"/>
      <c r="AO8" s="250">
        <f>W8</f>
        <v/>
      </c>
      <c r="AP8" s="250">
        <f>X8</f>
        <v/>
      </c>
      <c r="AQ8" s="250">
        <f>Y8</f>
        <v/>
      </c>
      <c r="AR8" s="250">
        <f>Z8</f>
        <v/>
      </c>
      <c r="AS8" s="250">
        <f>AA8</f>
        <v/>
      </c>
      <c r="AT8" s="252">
        <f>AB8*0.85</f>
        <v/>
      </c>
      <c r="AU8" s="252">
        <f>AC8*0.85</f>
        <v/>
      </c>
      <c r="BA8" s="41" t="inlineStr">
        <is>
          <t xml:space="preserve">     Petroleum</t>
        </is>
      </c>
      <c r="BB8" s="249" t="n">
        <v>84.5</v>
      </c>
      <c r="BC8" s="250" t="n">
        <v>77.3</v>
      </c>
      <c r="BD8" s="250" t="n">
        <v>74.5</v>
      </c>
      <c r="BE8" s="250" t="n">
        <v>73.59999999999999</v>
      </c>
      <c r="BF8" s="250" t="n">
        <v>76.09999999999999</v>
      </c>
      <c r="BG8" s="250" t="n">
        <v>78.90000000000001</v>
      </c>
      <c r="BH8" s="250" t="n">
        <v>73.59999999999999</v>
      </c>
      <c r="BI8" s="250" t="n">
        <v>73.59999999999999</v>
      </c>
      <c r="BJ8" s="34" t="n"/>
      <c r="BK8" s="34" t="n"/>
      <c r="BL8" s="47" t="n"/>
      <c r="BM8" s="47" t="n"/>
      <c r="BN8" s="47" t="n"/>
      <c r="BO8" s="47" t="n"/>
    </row>
    <row r="9" ht="15.5" customHeight="1" s="213">
      <c r="A9" s="33" t="inlineStr">
        <is>
          <t>Korea</t>
        </is>
      </c>
      <c r="B9" s="41" t="inlineStr">
        <is>
          <t xml:space="preserve">     Total Energy</t>
        </is>
      </c>
      <c r="C9" s="249">
        <f>BB9/1000</f>
        <v/>
      </c>
      <c r="D9" s="249">
        <f>BC9/1000</f>
        <v/>
      </c>
      <c r="E9" s="249">
        <f>BD9/1000</f>
        <v/>
      </c>
      <c r="F9" s="249">
        <f>BE9/1000</f>
        <v/>
      </c>
      <c r="G9" s="249">
        <f>BF9/1000</f>
        <v/>
      </c>
      <c r="H9" s="249">
        <f>BG9/1000</f>
        <v/>
      </c>
      <c r="I9" s="249">
        <f>BH9/1000</f>
        <v/>
      </c>
      <c r="J9" s="249">
        <f>BI9/1000</f>
        <v/>
      </c>
      <c r="K9" s="34" t="n"/>
      <c r="L9" s="34" t="n"/>
      <c r="M9" s="47" t="n">
        <v>5.937</v>
      </c>
      <c r="N9" s="47" t="n">
        <v>5.845</v>
      </c>
      <c r="O9" s="47" t="n">
        <v>5.575</v>
      </c>
      <c r="P9" s="47" t="n">
        <v>5.276</v>
      </c>
      <c r="Q9" s="47" t="n">
        <v>5.363</v>
      </c>
      <c r="R9" s="47" t="n">
        <v>6.645</v>
      </c>
      <c r="S9" s="47" t="n">
        <v>5.654</v>
      </c>
      <c r="T9" s="47" t="n"/>
      <c r="U9" s="33" t="inlineStr">
        <is>
          <t>Korea</t>
        </is>
      </c>
      <c r="V9" s="41" t="inlineStr">
        <is>
          <t xml:space="preserve">     Total Energy</t>
        </is>
      </c>
      <c r="W9" s="250">
        <f>D9/M9</f>
        <v/>
      </c>
      <c r="X9" s="250">
        <f>E9/N9</f>
        <v/>
      </c>
      <c r="Y9" s="250">
        <f>F9/O9</f>
        <v/>
      </c>
      <c r="Z9" s="250">
        <f>G9/P9</f>
        <v/>
      </c>
      <c r="AA9" s="250">
        <f>H9/Q9</f>
        <v/>
      </c>
      <c r="AB9" s="251">
        <f>I9/R9</f>
        <v/>
      </c>
      <c r="AC9" s="251">
        <f>J9/S9</f>
        <v/>
      </c>
      <c r="AD9" s="34" t="n"/>
      <c r="AE9" s="34" t="n"/>
      <c r="AF9" s="250">
        <f>W9</f>
        <v/>
      </c>
      <c r="AG9" s="250">
        <f>X9</f>
        <v/>
      </c>
      <c r="AH9" s="250">
        <f>Y9</f>
        <v/>
      </c>
      <c r="AI9" s="250">
        <f>Z9</f>
        <v/>
      </c>
      <c r="AJ9" s="250">
        <f>AA9</f>
        <v/>
      </c>
      <c r="AK9" s="252">
        <f>AB9*1.15</f>
        <v/>
      </c>
      <c r="AL9" s="252">
        <f>AC9*1.15</f>
        <v/>
      </c>
      <c r="AM9" s="34" t="n"/>
      <c r="AN9" s="34" t="n"/>
      <c r="AO9" s="250">
        <f>W9</f>
        <v/>
      </c>
      <c r="AP9" s="250">
        <f>X9</f>
        <v/>
      </c>
      <c r="AQ9" s="250">
        <f>Y9</f>
        <v/>
      </c>
      <c r="AR9" s="250">
        <f>Z9</f>
        <v/>
      </c>
      <c r="AS9" s="250">
        <f>AA9</f>
        <v/>
      </c>
      <c r="AT9" s="252">
        <f>AB9*0.85</f>
        <v/>
      </c>
      <c r="AU9" s="252">
        <f>AC9*0.85</f>
        <v/>
      </c>
      <c r="AZ9" s="33" t="inlineStr">
        <is>
          <t>Korea</t>
        </is>
      </c>
      <c r="BA9" s="41" t="inlineStr">
        <is>
          <t xml:space="preserve">     Total Energy</t>
        </is>
      </c>
      <c r="BB9" s="249" t="n">
        <v>855</v>
      </c>
      <c r="BC9" s="250" t="n">
        <v>824.1</v>
      </c>
      <c r="BD9" s="250" t="n">
        <v>785.7</v>
      </c>
      <c r="BE9" s="250" t="n">
        <v>775</v>
      </c>
      <c r="BF9" s="250" t="n">
        <v>770.2</v>
      </c>
      <c r="BG9" s="250" t="n">
        <v>811.6</v>
      </c>
      <c r="BH9" s="250" t="n">
        <v>775</v>
      </c>
      <c r="BI9" s="250" t="n">
        <v>775</v>
      </c>
      <c r="BJ9" s="34" t="n"/>
      <c r="BK9" s="34" t="n"/>
      <c r="BL9" s="47" t="n"/>
      <c r="BM9" s="47" t="n"/>
      <c r="BN9" s="47" t="n"/>
      <c r="BO9" s="47" t="n"/>
    </row>
    <row r="10" ht="15.5" customHeight="1" s="213">
      <c r="B10" s="41" t="inlineStr">
        <is>
          <t xml:space="preserve">     Fossil fuels</t>
        </is>
      </c>
      <c r="C10" s="249">
        <f>BB10/1000</f>
        <v/>
      </c>
      <c r="D10" s="249">
        <f>BC10/1000</f>
        <v/>
      </c>
      <c r="E10" s="249">
        <f>BD10/1000</f>
        <v/>
      </c>
      <c r="F10" s="249">
        <f>BE10/1000</f>
        <v/>
      </c>
      <c r="G10" s="249">
        <f>BF10/1000</f>
        <v/>
      </c>
      <c r="H10" s="249">
        <f>BG10/1000</f>
        <v/>
      </c>
      <c r="I10" s="249">
        <f>BH10/1000</f>
        <v/>
      </c>
      <c r="J10" s="249">
        <f>BI10/1000</f>
        <v/>
      </c>
      <c r="K10" s="34" t="n"/>
      <c r="L10" s="34" t="n"/>
      <c r="M10" s="47" t="n">
        <v>5.937</v>
      </c>
      <c r="N10" s="47" t="n">
        <v>5.845</v>
      </c>
      <c r="O10" s="47" t="n">
        <v>5.575</v>
      </c>
      <c r="P10" s="47" t="n">
        <v>5.276</v>
      </c>
      <c r="Q10" s="47" t="n">
        <v>5.363</v>
      </c>
      <c r="R10" s="47" t="n">
        <v>6.645</v>
      </c>
      <c r="S10" s="47" t="n">
        <v>5.654</v>
      </c>
      <c r="T10" s="47" t="n"/>
      <c r="V10" s="41" t="inlineStr">
        <is>
          <t xml:space="preserve">     Fossil fuels</t>
        </is>
      </c>
      <c r="W10" s="250">
        <f>D10/M10</f>
        <v/>
      </c>
      <c r="X10" s="250">
        <f>E10/N10</f>
        <v/>
      </c>
      <c r="Y10" s="250">
        <f>F10/O10</f>
        <v/>
      </c>
      <c r="Z10" s="250">
        <f>G10/P10</f>
        <v/>
      </c>
      <c r="AA10" s="250">
        <f>H10/Q10</f>
        <v/>
      </c>
      <c r="AB10" s="251">
        <f>I10/R10</f>
        <v/>
      </c>
      <c r="AC10" s="251">
        <f>J10/S10</f>
        <v/>
      </c>
      <c r="AD10" s="34" t="n"/>
      <c r="AE10" s="34" t="n"/>
      <c r="AF10" s="250">
        <f>W10</f>
        <v/>
      </c>
      <c r="AG10" s="250">
        <f>X10</f>
        <v/>
      </c>
      <c r="AH10" s="250">
        <f>Y10</f>
        <v/>
      </c>
      <c r="AI10" s="250">
        <f>Z10</f>
        <v/>
      </c>
      <c r="AJ10" s="250">
        <f>AA10</f>
        <v/>
      </c>
      <c r="AK10" s="252">
        <f>AB10*1.15</f>
        <v/>
      </c>
      <c r="AL10" s="252">
        <f>AC10*1.15</f>
        <v/>
      </c>
      <c r="AM10" s="34" t="n"/>
      <c r="AN10" s="34" t="n"/>
      <c r="AO10" s="250">
        <f>W10</f>
        <v/>
      </c>
      <c r="AP10" s="250">
        <f>X10</f>
        <v/>
      </c>
      <c r="AQ10" s="250">
        <f>Y10</f>
        <v/>
      </c>
      <c r="AR10" s="250">
        <f>Z10</f>
        <v/>
      </c>
      <c r="AS10" s="250">
        <f>AA10</f>
        <v/>
      </c>
      <c r="AT10" s="252">
        <f>AB10*0.85</f>
        <v/>
      </c>
      <c r="AU10" s="252">
        <f>AC10*0.85</f>
        <v/>
      </c>
      <c r="BA10" s="41" t="inlineStr">
        <is>
          <t xml:space="preserve">     Fossil fuels</t>
        </is>
      </c>
      <c r="BB10" s="249" t="n">
        <v>788.8</v>
      </c>
      <c r="BC10" s="250" t="n">
        <v>762.6</v>
      </c>
      <c r="BD10" s="250" t="n">
        <v>727.5</v>
      </c>
      <c r="BE10" s="250" t="n">
        <v>717.9</v>
      </c>
      <c r="BF10" s="250" t="n">
        <v>710.7</v>
      </c>
      <c r="BG10" s="250" t="n">
        <v>750.3</v>
      </c>
      <c r="BH10" s="250" t="n">
        <v>717.9</v>
      </c>
      <c r="BI10" s="250" t="n">
        <v>717.9</v>
      </c>
      <c r="BJ10" s="34" t="n"/>
      <c r="BK10" s="34" t="n"/>
      <c r="BL10" s="47" t="n"/>
      <c r="BM10" s="47" t="n"/>
      <c r="BN10" s="47" t="n"/>
      <c r="BO10" s="47" t="n"/>
    </row>
    <row r="11" ht="15.5" customHeight="1" s="213">
      <c r="B11" s="41" t="inlineStr">
        <is>
          <t xml:space="preserve">     Coal</t>
        </is>
      </c>
      <c r="C11" s="249">
        <f>BB11/1000</f>
        <v/>
      </c>
      <c r="D11" s="249">
        <f>BC11/1000</f>
        <v/>
      </c>
      <c r="E11" s="249">
        <f>BD11/1000</f>
        <v/>
      </c>
      <c r="F11" s="249">
        <f>BE11/1000</f>
        <v/>
      </c>
      <c r="G11" s="249">
        <f>BF11/1000</f>
        <v/>
      </c>
      <c r="H11" s="249">
        <f>BG11/1000</f>
        <v/>
      </c>
      <c r="I11" s="249">
        <f>BH11/1000</f>
        <v/>
      </c>
      <c r="J11" s="249">
        <f>BI11/1000</f>
        <v/>
      </c>
      <c r="K11" s="34" t="n"/>
      <c r="L11" s="34" t="n"/>
      <c r="M11" s="47" t="n">
        <v>5.937</v>
      </c>
      <c r="N11" s="47" t="n">
        <v>5.845</v>
      </c>
      <c r="O11" s="47" t="n">
        <v>5.575</v>
      </c>
      <c r="P11" s="47" t="n">
        <v>5.276</v>
      </c>
      <c r="Q11" s="47" t="n">
        <v>5.363</v>
      </c>
      <c r="R11" s="47" t="n">
        <v>6.645</v>
      </c>
      <c r="S11" s="47" t="n">
        <v>5.654</v>
      </c>
      <c r="T11" s="47" t="n"/>
      <c r="V11" s="41" t="inlineStr">
        <is>
          <t xml:space="preserve">     Coal</t>
        </is>
      </c>
      <c r="W11" s="250">
        <f>D11/M11</f>
        <v/>
      </c>
      <c r="X11" s="250">
        <f>E11/N11</f>
        <v/>
      </c>
      <c r="Y11" s="250">
        <f>F11/O11</f>
        <v/>
      </c>
      <c r="Z11" s="250">
        <f>G11/P11</f>
        <v/>
      </c>
      <c r="AA11" s="250">
        <f>H11/Q11</f>
        <v/>
      </c>
      <c r="AB11" s="251">
        <f>I11/R11</f>
        <v/>
      </c>
      <c r="AC11" s="251">
        <f>J11/S11</f>
        <v/>
      </c>
      <c r="AD11" s="34" t="n"/>
      <c r="AE11" s="34" t="n"/>
      <c r="AF11" s="250">
        <f>W11</f>
        <v/>
      </c>
      <c r="AG11" s="250">
        <f>X11</f>
        <v/>
      </c>
      <c r="AH11" s="250">
        <f>Y11</f>
        <v/>
      </c>
      <c r="AI11" s="250">
        <f>Z11</f>
        <v/>
      </c>
      <c r="AJ11" s="250">
        <f>AA11</f>
        <v/>
      </c>
      <c r="AK11" s="252">
        <f>AB11*1.15</f>
        <v/>
      </c>
      <c r="AL11" s="252">
        <f>AC11*1.15</f>
        <v/>
      </c>
      <c r="AM11" s="34" t="n"/>
      <c r="AN11" s="34" t="n"/>
      <c r="AO11" s="250">
        <f>W11</f>
        <v/>
      </c>
      <c r="AP11" s="250">
        <f>X11</f>
        <v/>
      </c>
      <c r="AQ11" s="250">
        <f>Y11</f>
        <v/>
      </c>
      <c r="AR11" s="250">
        <f>Z11</f>
        <v/>
      </c>
      <c r="AS11" s="250">
        <f>AA11</f>
        <v/>
      </c>
      <c r="AT11" s="252">
        <f>AB11*0.85</f>
        <v/>
      </c>
      <c r="AU11" s="252">
        <f>AC11*0.85</f>
        <v/>
      </c>
      <c r="BA11" s="41" t="inlineStr">
        <is>
          <t xml:space="preserve">     Coal</t>
        </is>
      </c>
      <c r="BB11" s="249" t="n">
        <v>238.1</v>
      </c>
      <c r="BC11" s="250" t="n">
        <v>207.5</v>
      </c>
      <c r="BD11" s="250" t="n">
        <v>195.1</v>
      </c>
      <c r="BE11" s="250" t="n">
        <v>191.6</v>
      </c>
      <c r="BF11" s="250" t="n">
        <v>186</v>
      </c>
      <c r="BG11" s="250" t="n">
        <v>193.8</v>
      </c>
      <c r="BH11" s="250" t="n">
        <v>191.6</v>
      </c>
      <c r="BI11" s="250" t="n">
        <v>191.6</v>
      </c>
      <c r="BJ11" s="34" t="n"/>
      <c r="BK11" s="34" t="n"/>
      <c r="BL11" s="47" t="n"/>
      <c r="BM11" s="47" t="n"/>
      <c r="BN11" s="47" t="n"/>
      <c r="BO11" s="47" t="n"/>
    </row>
    <row r="12" ht="15.5" customHeight="1" s="213">
      <c r="B12" s="41" t="inlineStr">
        <is>
          <t xml:space="preserve">     Natural gas</t>
        </is>
      </c>
      <c r="C12" s="249">
        <f>BB12/1000</f>
        <v/>
      </c>
      <c r="D12" s="249">
        <f>BC12/1000</f>
        <v/>
      </c>
      <c r="E12" s="249">
        <f>BD12/1000</f>
        <v/>
      </c>
      <c r="F12" s="249">
        <f>BE12/1000</f>
        <v/>
      </c>
      <c r="G12" s="249">
        <f>BF12/1000</f>
        <v/>
      </c>
      <c r="H12" s="249">
        <f>BG12/1000</f>
        <v/>
      </c>
      <c r="I12" s="249">
        <f>BH12/1000</f>
        <v/>
      </c>
      <c r="J12" s="249">
        <f>BI12/1000</f>
        <v/>
      </c>
      <c r="K12" s="34" t="n"/>
      <c r="L12" s="34" t="n"/>
      <c r="M12" s="47" t="n">
        <v>5.937</v>
      </c>
      <c r="N12" s="47" t="n">
        <v>5.845</v>
      </c>
      <c r="O12" s="47" t="n">
        <v>5.575</v>
      </c>
      <c r="P12" s="47" t="n">
        <v>5.276</v>
      </c>
      <c r="Q12" s="47" t="n">
        <v>5.363</v>
      </c>
      <c r="R12" s="47" t="n">
        <v>6.645</v>
      </c>
      <c r="S12" s="47" t="n">
        <v>5.654</v>
      </c>
      <c r="T12" s="47" t="n"/>
      <c r="V12" s="41" t="inlineStr">
        <is>
          <t xml:space="preserve">     Natural gas</t>
        </is>
      </c>
      <c r="W12" s="250">
        <f>D12/M12</f>
        <v/>
      </c>
      <c r="X12" s="250">
        <f>E12/N12</f>
        <v/>
      </c>
      <c r="Y12" s="250">
        <f>F12/O12</f>
        <v/>
      </c>
      <c r="Z12" s="250">
        <f>G12/P12</f>
        <v/>
      </c>
      <c r="AA12" s="250">
        <f>H12/Q12</f>
        <v/>
      </c>
      <c r="AB12" s="251">
        <f>I12/R12</f>
        <v/>
      </c>
      <c r="AC12" s="251">
        <f>J12/S12</f>
        <v/>
      </c>
      <c r="AD12" s="34" t="n"/>
      <c r="AE12" s="34" t="n"/>
      <c r="AF12" s="250">
        <f>W12</f>
        <v/>
      </c>
      <c r="AG12" s="250">
        <f>X12</f>
        <v/>
      </c>
      <c r="AH12" s="250">
        <f>Y12</f>
        <v/>
      </c>
      <c r="AI12" s="250">
        <f>Z12</f>
        <v/>
      </c>
      <c r="AJ12" s="250">
        <f>AA12</f>
        <v/>
      </c>
      <c r="AK12" s="252">
        <f>AB12*1.15</f>
        <v/>
      </c>
      <c r="AL12" s="252">
        <f>AC12*1.15</f>
        <v/>
      </c>
      <c r="AM12" s="34" t="n"/>
      <c r="AN12" s="34" t="n"/>
      <c r="AO12" s="250">
        <f>W12</f>
        <v/>
      </c>
      <c r="AP12" s="250">
        <f>X12</f>
        <v/>
      </c>
      <c r="AQ12" s="250">
        <f>Y12</f>
        <v/>
      </c>
      <c r="AR12" s="250">
        <f>Z12</f>
        <v/>
      </c>
      <c r="AS12" s="250">
        <f>AA12</f>
        <v/>
      </c>
      <c r="AT12" s="252">
        <f>AB12*0.85</f>
        <v/>
      </c>
      <c r="AU12" s="252">
        <f>AC12*0.85</f>
        <v/>
      </c>
      <c r="BA12" s="41" t="inlineStr">
        <is>
          <t xml:space="preserve">     Natural gas</t>
        </is>
      </c>
      <c r="BB12" s="249" t="n">
        <v>462.9</v>
      </c>
      <c r="BC12" s="250" t="n">
        <v>474.9</v>
      </c>
      <c r="BD12" s="250" t="n">
        <v>455.1</v>
      </c>
      <c r="BE12" s="250" t="n">
        <v>450</v>
      </c>
      <c r="BF12" s="250" t="n">
        <v>445.9</v>
      </c>
      <c r="BG12" s="250" t="n">
        <v>474.7</v>
      </c>
      <c r="BH12" s="250" t="n">
        <v>450</v>
      </c>
      <c r="BI12" s="250" t="n">
        <v>450</v>
      </c>
      <c r="BJ12" s="34" t="n"/>
      <c r="BK12" s="34" t="n"/>
      <c r="BL12" s="47" t="n"/>
      <c r="BM12" s="47" t="n"/>
      <c r="BN12" s="47" t="n"/>
      <c r="BO12" s="47" t="n"/>
    </row>
    <row r="13" ht="15.5" customHeight="1" s="213">
      <c r="B13" s="41" t="inlineStr">
        <is>
          <t xml:space="preserve">     Petroleum</t>
        </is>
      </c>
      <c r="C13" s="249">
        <f>BB13/1000</f>
        <v/>
      </c>
      <c r="D13" s="249">
        <f>BC13/1000</f>
        <v/>
      </c>
      <c r="E13" s="249">
        <f>BD13/1000</f>
        <v/>
      </c>
      <c r="F13" s="249">
        <f>BE13/1000</f>
        <v/>
      </c>
      <c r="G13" s="249">
        <f>BF13/1000</f>
        <v/>
      </c>
      <c r="H13" s="249">
        <f>BG13/1000</f>
        <v/>
      </c>
      <c r="I13" s="249">
        <f>BH13/1000</f>
        <v/>
      </c>
      <c r="J13" s="249">
        <f>BI13/1000</f>
        <v/>
      </c>
      <c r="K13" s="34" t="n"/>
      <c r="L13" s="34" t="n"/>
      <c r="M13" s="47" t="n">
        <v>5.937</v>
      </c>
      <c r="N13" s="47" t="n">
        <v>5.845</v>
      </c>
      <c r="O13" s="47" t="n">
        <v>5.575</v>
      </c>
      <c r="P13" s="47" t="n">
        <v>5.276</v>
      </c>
      <c r="Q13" s="47" t="n">
        <v>5.363</v>
      </c>
      <c r="R13" s="47" t="n">
        <v>6.645</v>
      </c>
      <c r="S13" s="47" t="n">
        <v>5.654</v>
      </c>
      <c r="T13" s="47" t="n"/>
      <c r="V13" s="41" t="inlineStr">
        <is>
          <t xml:space="preserve">     Petroleum</t>
        </is>
      </c>
      <c r="W13" s="250">
        <f>D13/M13</f>
        <v/>
      </c>
      <c r="X13" s="250">
        <f>E13/N13</f>
        <v/>
      </c>
      <c r="Y13" s="250">
        <f>F13/O13</f>
        <v/>
      </c>
      <c r="Z13" s="250">
        <f>G13/P13</f>
        <v/>
      </c>
      <c r="AA13" s="250">
        <f>H13/Q13</f>
        <v/>
      </c>
      <c r="AB13" s="251">
        <f>I13/R13</f>
        <v/>
      </c>
      <c r="AC13" s="251">
        <f>J13/S13</f>
        <v/>
      </c>
      <c r="AD13" s="34" t="n"/>
      <c r="AE13" s="34" t="n"/>
      <c r="AF13" s="250">
        <f>W13</f>
        <v/>
      </c>
      <c r="AG13" s="250">
        <f>X13</f>
        <v/>
      </c>
      <c r="AH13" s="250">
        <f>Y13</f>
        <v/>
      </c>
      <c r="AI13" s="250">
        <f>Z13</f>
        <v/>
      </c>
      <c r="AJ13" s="250">
        <f>AA13</f>
        <v/>
      </c>
      <c r="AK13" s="252">
        <f>AB13*1.15</f>
        <v/>
      </c>
      <c r="AL13" s="252">
        <f>AC13*1.15</f>
        <v/>
      </c>
      <c r="AM13" s="34" t="n"/>
      <c r="AN13" s="34" t="n"/>
      <c r="AO13" s="250">
        <f>W13</f>
        <v/>
      </c>
      <c r="AP13" s="250">
        <f>X13</f>
        <v/>
      </c>
      <c r="AQ13" s="250">
        <f>Y13</f>
        <v/>
      </c>
      <c r="AR13" s="250">
        <f>Z13</f>
        <v/>
      </c>
      <c r="AS13" s="250">
        <f>AA13</f>
        <v/>
      </c>
      <c r="AT13" s="252">
        <f>AB13*0.85</f>
        <v/>
      </c>
      <c r="AU13" s="252">
        <f>AC13*0.85</f>
        <v/>
      </c>
      <c r="BA13" s="41" t="inlineStr">
        <is>
          <t xml:space="preserve">     Petroleum</t>
        </is>
      </c>
      <c r="BB13" s="249" t="n">
        <v>87.7</v>
      </c>
      <c r="BC13" s="250" t="n">
        <v>80.2</v>
      </c>
      <c r="BD13" s="250" t="n">
        <v>77.2</v>
      </c>
      <c r="BE13" s="250" t="n">
        <v>76.3</v>
      </c>
      <c r="BF13" s="250" t="n">
        <v>78.90000000000001</v>
      </c>
      <c r="BG13" s="250" t="n">
        <v>81.7</v>
      </c>
      <c r="BH13" s="250" t="n">
        <v>76.3</v>
      </c>
      <c r="BI13" s="250" t="n">
        <v>76.3</v>
      </c>
      <c r="BJ13" s="34" t="n"/>
      <c r="BK13" s="34" t="n"/>
      <c r="BL13" s="47" t="n"/>
      <c r="BM13" s="47" t="n"/>
      <c r="BN13" s="47" t="n"/>
      <c r="BO13" s="47" t="n"/>
    </row>
    <row r="14" ht="15.5" customHeight="1" s="213">
      <c r="A14" s="33" t="inlineStr">
        <is>
          <t>China</t>
        </is>
      </c>
      <c r="B14" s="41" t="inlineStr">
        <is>
          <t xml:space="preserve">     Total Energy</t>
        </is>
      </c>
      <c r="C14" s="249">
        <f>BB14/1000</f>
        <v/>
      </c>
      <c r="D14" s="249">
        <f>BC14/1000</f>
        <v/>
      </c>
      <c r="E14" s="249">
        <f>BD14/1000</f>
        <v/>
      </c>
      <c r="F14" s="249">
        <f>BE14/1000</f>
        <v/>
      </c>
      <c r="G14" s="249">
        <f>BF14/1000</f>
        <v/>
      </c>
      <c r="H14" s="249">
        <f>BG14/1000</f>
        <v/>
      </c>
      <c r="I14" s="249">
        <f>BH14/1000</f>
        <v/>
      </c>
      <c r="J14" s="249">
        <f>BI14/1000</f>
        <v/>
      </c>
      <c r="K14" s="34" t="n"/>
      <c r="L14" s="34" t="n"/>
      <c r="M14" s="47" t="n">
        <v>5.937</v>
      </c>
      <c r="N14" s="47" t="n">
        <v>5.845</v>
      </c>
      <c r="O14" s="47" t="n">
        <v>5.575</v>
      </c>
      <c r="P14" s="47" t="n">
        <v>5.276</v>
      </c>
      <c r="Q14" s="47" t="n">
        <v>5.363</v>
      </c>
      <c r="R14" s="47" t="n">
        <v>6.645</v>
      </c>
      <c r="S14" s="47" t="n">
        <v>5.654</v>
      </c>
      <c r="T14" s="47" t="n"/>
      <c r="U14" s="33" t="inlineStr">
        <is>
          <t>China</t>
        </is>
      </c>
      <c r="V14" s="41" t="inlineStr">
        <is>
          <t xml:space="preserve">     Total Energy</t>
        </is>
      </c>
      <c r="W14" s="250">
        <f>D14/M14</f>
        <v/>
      </c>
      <c r="X14" s="250">
        <f>E14/N14</f>
        <v/>
      </c>
      <c r="Y14" s="250">
        <f>F14/O14</f>
        <v/>
      </c>
      <c r="Z14" s="250">
        <f>G14/P14</f>
        <v/>
      </c>
      <c r="AA14" s="250">
        <f>H14/Q14</f>
        <v/>
      </c>
      <c r="AB14" s="251">
        <f>I14/R14</f>
        <v/>
      </c>
      <c r="AC14" s="251">
        <f>J14/S14</f>
        <v/>
      </c>
      <c r="AD14" s="34" t="n"/>
      <c r="AE14" s="34" t="n"/>
      <c r="AF14" s="250">
        <f>W14</f>
        <v/>
      </c>
      <c r="AG14" s="250">
        <f>X14</f>
        <v/>
      </c>
      <c r="AH14" s="250">
        <f>Y14</f>
        <v/>
      </c>
      <c r="AI14" s="250">
        <f>Z14</f>
        <v/>
      </c>
      <c r="AJ14" s="250">
        <f>AA14</f>
        <v/>
      </c>
      <c r="AK14" s="252">
        <f>AB14*1.15</f>
        <v/>
      </c>
      <c r="AL14" s="252">
        <f>AC14*1.15</f>
        <v/>
      </c>
      <c r="AM14" s="34" t="n"/>
      <c r="AN14" s="34" t="n"/>
      <c r="AO14" s="250">
        <f>W14</f>
        <v/>
      </c>
      <c r="AP14" s="250">
        <f>X14</f>
        <v/>
      </c>
      <c r="AQ14" s="250">
        <f>Y14</f>
        <v/>
      </c>
      <c r="AR14" s="250">
        <f>Z14</f>
        <v/>
      </c>
      <c r="AS14" s="250">
        <f>AA14</f>
        <v/>
      </c>
      <c r="AT14" s="252">
        <f>AB14*0.85</f>
        <v/>
      </c>
      <c r="AU14" s="252">
        <f>AC14*0.85</f>
        <v/>
      </c>
      <c r="AZ14" s="33" t="inlineStr">
        <is>
          <t>China</t>
        </is>
      </c>
      <c r="BA14" s="41" t="inlineStr">
        <is>
          <t xml:space="preserve">     Total Energy</t>
        </is>
      </c>
      <c r="BB14" s="249" t="n">
        <v>870.5</v>
      </c>
      <c r="BC14" s="250" t="n">
        <v>838.1</v>
      </c>
      <c r="BD14" s="250" t="n">
        <v>799</v>
      </c>
      <c r="BE14" s="250" t="n">
        <v>788.2</v>
      </c>
      <c r="BF14" s="250" t="n">
        <v>783.5</v>
      </c>
      <c r="BG14" s="250" t="n">
        <v>825.3</v>
      </c>
      <c r="BH14" s="250" t="n">
        <v>788.2</v>
      </c>
      <c r="BI14" s="250" t="n">
        <v>788.2</v>
      </c>
      <c r="BJ14" s="34" t="n"/>
      <c r="BK14" s="34" t="n"/>
      <c r="BL14" s="47" t="n"/>
      <c r="BM14" s="47" t="n"/>
      <c r="BN14" s="47" t="n"/>
      <c r="BO14" s="47" t="n"/>
    </row>
    <row r="15" ht="15.5" customHeight="1" s="213">
      <c r="B15" s="41" t="inlineStr">
        <is>
          <t xml:space="preserve">     Fossil fuels</t>
        </is>
      </c>
      <c r="C15" s="249">
        <f>BB15/1000</f>
        <v/>
      </c>
      <c r="D15" s="249">
        <f>BC15/1000</f>
        <v/>
      </c>
      <c r="E15" s="249">
        <f>BD15/1000</f>
        <v/>
      </c>
      <c r="F15" s="249">
        <f>BE15/1000</f>
        <v/>
      </c>
      <c r="G15" s="249">
        <f>BF15/1000</f>
        <v/>
      </c>
      <c r="H15" s="249">
        <f>BG15/1000</f>
        <v/>
      </c>
      <c r="I15" s="249">
        <f>BH15/1000</f>
        <v/>
      </c>
      <c r="J15" s="249">
        <f>BI15/1000</f>
        <v/>
      </c>
      <c r="K15" s="34" t="n"/>
      <c r="L15" s="34" t="n"/>
      <c r="M15" s="47" t="n">
        <v>5.937</v>
      </c>
      <c r="N15" s="47" t="n">
        <v>5.845</v>
      </c>
      <c r="O15" s="47" t="n">
        <v>5.575</v>
      </c>
      <c r="P15" s="47" t="n">
        <v>5.276</v>
      </c>
      <c r="Q15" s="47" t="n">
        <v>5.363</v>
      </c>
      <c r="R15" s="47" t="n">
        <v>6.645</v>
      </c>
      <c r="S15" s="47" t="n">
        <v>5.654</v>
      </c>
      <c r="T15" s="47" t="n"/>
      <c r="V15" s="41" t="inlineStr">
        <is>
          <t xml:space="preserve">     Fossil fuels</t>
        </is>
      </c>
      <c r="W15" s="250">
        <f>D15/M15</f>
        <v/>
      </c>
      <c r="X15" s="250">
        <f>E15/N15</f>
        <v/>
      </c>
      <c r="Y15" s="250">
        <f>F15/O15</f>
        <v/>
      </c>
      <c r="Z15" s="250">
        <f>G15/P15</f>
        <v/>
      </c>
      <c r="AA15" s="250">
        <f>H15/Q15</f>
        <v/>
      </c>
      <c r="AB15" s="251">
        <f>I15/R15</f>
        <v/>
      </c>
      <c r="AC15" s="251">
        <f>J15/S15</f>
        <v/>
      </c>
      <c r="AD15" s="34" t="n"/>
      <c r="AE15" s="34" t="n"/>
      <c r="AF15" s="250">
        <f>W15</f>
        <v/>
      </c>
      <c r="AG15" s="250">
        <f>X15</f>
        <v/>
      </c>
      <c r="AH15" s="250">
        <f>Y15</f>
        <v/>
      </c>
      <c r="AI15" s="250">
        <f>Z15</f>
        <v/>
      </c>
      <c r="AJ15" s="250">
        <f>AA15</f>
        <v/>
      </c>
      <c r="AK15" s="252">
        <f>AB15*1.15</f>
        <v/>
      </c>
      <c r="AL15" s="252">
        <f>AC15*1.15</f>
        <v/>
      </c>
      <c r="AM15" s="34" t="n"/>
      <c r="AN15" s="34" t="n"/>
      <c r="AO15" s="250">
        <f>W15</f>
        <v/>
      </c>
      <c r="AP15" s="250">
        <f>X15</f>
        <v/>
      </c>
      <c r="AQ15" s="250">
        <f>Y15</f>
        <v/>
      </c>
      <c r="AR15" s="250">
        <f>Z15</f>
        <v/>
      </c>
      <c r="AS15" s="250">
        <f>AA15</f>
        <v/>
      </c>
      <c r="AT15" s="252">
        <f>AB15*0.85</f>
        <v/>
      </c>
      <c r="AU15" s="252">
        <f>AC15*0.85</f>
        <v/>
      </c>
      <c r="BA15" s="41" t="inlineStr">
        <is>
          <t xml:space="preserve">     Fossil fuels</t>
        </is>
      </c>
      <c r="BB15" s="249" t="n">
        <v>801.2</v>
      </c>
      <c r="BC15" s="250" t="n">
        <v>773.8</v>
      </c>
      <c r="BD15" s="250" t="n">
        <v>738.2</v>
      </c>
      <c r="BE15" s="250" t="n">
        <v>728.5</v>
      </c>
      <c r="BF15" s="250" t="n">
        <v>721.4</v>
      </c>
      <c r="BG15" s="250" t="n">
        <v>761.3</v>
      </c>
      <c r="BH15" s="250" t="n">
        <v>728.5</v>
      </c>
      <c r="BI15" s="250" t="n">
        <v>728.5</v>
      </c>
      <c r="BJ15" s="34" t="n"/>
      <c r="BK15" s="34" t="n"/>
      <c r="BL15" s="47" t="n"/>
      <c r="BM15" s="47" t="n"/>
      <c r="BN15" s="47" t="n"/>
      <c r="BO15" s="47" t="n"/>
    </row>
    <row r="16" ht="15.5" customHeight="1" s="213">
      <c r="B16" s="41" t="inlineStr">
        <is>
          <t xml:space="preserve">     Coal</t>
        </is>
      </c>
      <c r="C16" s="249">
        <f>BB16/1000</f>
        <v/>
      </c>
      <c r="D16" s="249">
        <f>BC16/1000</f>
        <v/>
      </c>
      <c r="E16" s="249">
        <f>BD16/1000</f>
        <v/>
      </c>
      <c r="F16" s="249">
        <f>BE16/1000</f>
        <v/>
      </c>
      <c r="G16" s="249">
        <f>BF16/1000</f>
        <v/>
      </c>
      <c r="H16" s="249">
        <f>BG16/1000</f>
        <v/>
      </c>
      <c r="I16" s="249">
        <f>BH16/1000</f>
        <v/>
      </c>
      <c r="J16" s="249">
        <f>BI16/1000</f>
        <v/>
      </c>
      <c r="K16" s="34" t="n"/>
      <c r="L16" s="34" t="n"/>
      <c r="M16" s="47" t="n">
        <v>5.937</v>
      </c>
      <c r="N16" s="47" t="n">
        <v>5.845</v>
      </c>
      <c r="O16" s="47" t="n">
        <v>5.575</v>
      </c>
      <c r="P16" s="47" t="n">
        <v>5.276</v>
      </c>
      <c r="Q16" s="47" t="n">
        <v>5.363</v>
      </c>
      <c r="R16" s="47" t="n">
        <v>6.645</v>
      </c>
      <c r="S16" s="47" t="n">
        <v>5.654</v>
      </c>
      <c r="T16" s="47" t="n"/>
      <c r="V16" s="41" t="inlineStr">
        <is>
          <t xml:space="preserve">     Coal</t>
        </is>
      </c>
      <c r="W16" s="250">
        <f>D16/M16</f>
        <v/>
      </c>
      <c r="X16" s="250">
        <f>E16/N16</f>
        <v/>
      </c>
      <c r="Y16" s="250">
        <f>F16/O16</f>
        <v/>
      </c>
      <c r="Z16" s="250">
        <f>G16/P16</f>
        <v/>
      </c>
      <c r="AA16" s="250">
        <f>H16/Q16</f>
        <v/>
      </c>
      <c r="AB16" s="251">
        <f>I16/R16</f>
        <v/>
      </c>
      <c r="AC16" s="251">
        <f>J16/S16</f>
        <v/>
      </c>
      <c r="AD16" s="34" t="n"/>
      <c r="AE16" s="34" t="n"/>
      <c r="AF16" s="250">
        <f>W16</f>
        <v/>
      </c>
      <c r="AG16" s="250">
        <f>X16</f>
        <v/>
      </c>
      <c r="AH16" s="250">
        <f>Y16</f>
        <v/>
      </c>
      <c r="AI16" s="250">
        <f>Z16</f>
        <v/>
      </c>
      <c r="AJ16" s="250">
        <f>AA16</f>
        <v/>
      </c>
      <c r="AK16" s="252">
        <f>AB16*1.15</f>
        <v/>
      </c>
      <c r="AL16" s="252">
        <f>AC16*1.15</f>
        <v/>
      </c>
      <c r="AM16" s="34" t="n"/>
      <c r="AN16" s="34" t="n"/>
      <c r="AO16" s="250">
        <f>W16</f>
        <v/>
      </c>
      <c r="AP16" s="250">
        <f>X16</f>
        <v/>
      </c>
      <c r="AQ16" s="250">
        <f>Y16</f>
        <v/>
      </c>
      <c r="AR16" s="250">
        <f>Z16</f>
        <v/>
      </c>
      <c r="AS16" s="250">
        <f>AA16</f>
        <v/>
      </c>
      <c r="AT16" s="252">
        <f>AB16*0.85</f>
        <v/>
      </c>
      <c r="AU16" s="252">
        <f>AC16*0.85</f>
        <v/>
      </c>
      <c r="BA16" s="41" t="inlineStr">
        <is>
          <t xml:space="preserve">     Coal</t>
        </is>
      </c>
      <c r="BB16" s="249" t="n">
        <v>302.1</v>
      </c>
      <c r="BC16" s="250" t="n">
        <v>265.4</v>
      </c>
      <c r="BD16" s="250" t="n">
        <v>250.2</v>
      </c>
      <c r="BE16" s="250" t="n">
        <v>246</v>
      </c>
      <c r="BF16" s="250" t="n">
        <v>240.8</v>
      </c>
      <c r="BG16" s="250" t="n">
        <v>250.6</v>
      </c>
      <c r="BH16" s="250" t="n">
        <v>246</v>
      </c>
      <c r="BI16" s="250" t="n">
        <v>246</v>
      </c>
      <c r="BJ16" s="34" t="n"/>
      <c r="BK16" s="34" t="n"/>
      <c r="BL16" s="47" t="n"/>
      <c r="BM16" s="47" t="n"/>
      <c r="BN16" s="47" t="n"/>
      <c r="BO16" s="47" t="n"/>
    </row>
    <row r="17" ht="15.5" customHeight="1" s="213">
      <c r="B17" s="41" t="inlineStr">
        <is>
          <t xml:space="preserve">     Natural gas</t>
        </is>
      </c>
      <c r="C17" s="249">
        <f>BB17/1000</f>
        <v/>
      </c>
      <c r="D17" s="249">
        <f>BC17/1000</f>
        <v/>
      </c>
      <c r="E17" s="249">
        <f>BD17/1000</f>
        <v/>
      </c>
      <c r="F17" s="249">
        <f>BE17/1000</f>
        <v/>
      </c>
      <c r="G17" s="249">
        <f>BF17/1000</f>
        <v/>
      </c>
      <c r="H17" s="249">
        <f>BG17/1000</f>
        <v/>
      </c>
      <c r="I17" s="249">
        <f>BH17/1000</f>
        <v/>
      </c>
      <c r="J17" s="249">
        <f>BI17/1000</f>
        <v/>
      </c>
      <c r="K17" s="34" t="n"/>
      <c r="L17" s="34" t="n"/>
      <c r="M17" s="47" t="n">
        <v>5.937</v>
      </c>
      <c r="N17" s="47" t="n">
        <v>5.845</v>
      </c>
      <c r="O17" s="47" t="n">
        <v>5.575</v>
      </c>
      <c r="P17" s="47" t="n">
        <v>5.276</v>
      </c>
      <c r="Q17" s="47" t="n">
        <v>5.363</v>
      </c>
      <c r="R17" s="47" t="n">
        <v>6.645</v>
      </c>
      <c r="S17" s="47" t="n">
        <v>5.654</v>
      </c>
      <c r="T17" s="47" t="n"/>
      <c r="V17" s="41" t="inlineStr">
        <is>
          <t xml:space="preserve">     Natural gas</t>
        </is>
      </c>
      <c r="W17" s="250">
        <f>D17/M17</f>
        <v/>
      </c>
      <c r="X17" s="250">
        <f>E17/N17</f>
        <v/>
      </c>
      <c r="Y17" s="250">
        <f>F17/O17</f>
        <v/>
      </c>
      <c r="Z17" s="250">
        <f>G17/P17</f>
        <v/>
      </c>
      <c r="AA17" s="250">
        <f>H17/Q17</f>
        <v/>
      </c>
      <c r="AB17" s="251">
        <f>I17/R17</f>
        <v/>
      </c>
      <c r="AC17" s="251">
        <f>J17/S17</f>
        <v/>
      </c>
      <c r="AD17" s="34" t="n"/>
      <c r="AE17" s="34" t="n"/>
      <c r="AF17" s="250">
        <f>W17</f>
        <v/>
      </c>
      <c r="AG17" s="250">
        <f>X17</f>
        <v/>
      </c>
      <c r="AH17" s="250">
        <f>Y17</f>
        <v/>
      </c>
      <c r="AI17" s="250">
        <f>Z17</f>
        <v/>
      </c>
      <c r="AJ17" s="250">
        <f>AA17</f>
        <v/>
      </c>
      <c r="AK17" s="252">
        <f>AB17*1.15</f>
        <v/>
      </c>
      <c r="AL17" s="252">
        <f>AC17*1.15</f>
        <v/>
      </c>
      <c r="AM17" s="34" t="n"/>
      <c r="AN17" s="34" t="n"/>
      <c r="AO17" s="250">
        <f>W17</f>
        <v/>
      </c>
      <c r="AP17" s="250">
        <f>X17</f>
        <v/>
      </c>
      <c r="AQ17" s="250">
        <f>Y17</f>
        <v/>
      </c>
      <c r="AR17" s="250">
        <f>Z17</f>
        <v/>
      </c>
      <c r="AS17" s="250">
        <f>AA17</f>
        <v/>
      </c>
      <c r="AT17" s="252">
        <f>AB17*0.85</f>
        <v/>
      </c>
      <c r="AU17" s="252">
        <f>AC17*0.85</f>
        <v/>
      </c>
      <c r="BA17" s="41" t="inlineStr">
        <is>
          <t xml:space="preserve">     Natural gas</t>
        </is>
      </c>
      <c r="BB17" s="249" t="n">
        <v>413.7</v>
      </c>
      <c r="BC17" s="250" t="n">
        <v>430.4</v>
      </c>
      <c r="BD17" s="250" t="n">
        <v>412.7</v>
      </c>
      <c r="BE17" s="250" t="n">
        <v>408.1</v>
      </c>
      <c r="BF17" s="250" t="n">
        <v>403.7</v>
      </c>
      <c r="BG17" s="250" t="n">
        <v>431.1</v>
      </c>
      <c r="BH17" s="250" t="n">
        <v>408.1</v>
      </c>
      <c r="BI17" s="250" t="n">
        <v>408.1</v>
      </c>
      <c r="BJ17" s="34" t="n"/>
      <c r="BK17" s="34" t="n"/>
      <c r="BL17" s="47" t="n"/>
      <c r="BM17" s="47" t="n"/>
      <c r="BN17" s="47" t="n"/>
      <c r="BO17" s="47" t="n"/>
    </row>
    <row r="18" ht="15.5" customHeight="1" s="213">
      <c r="B18" s="41" t="inlineStr">
        <is>
          <t xml:space="preserve">     Petroleum</t>
        </is>
      </c>
      <c r="C18" s="249">
        <f>BB18/1000</f>
        <v/>
      </c>
      <c r="D18" s="249">
        <f>BC18/1000</f>
        <v/>
      </c>
      <c r="E18" s="249">
        <f>BD18/1000</f>
        <v/>
      </c>
      <c r="F18" s="249">
        <f>BE18/1000</f>
        <v/>
      </c>
      <c r="G18" s="249">
        <f>BF18/1000</f>
        <v/>
      </c>
      <c r="H18" s="249">
        <f>BG18/1000</f>
        <v/>
      </c>
      <c r="I18" s="249">
        <f>BH18/1000</f>
        <v/>
      </c>
      <c r="J18" s="249">
        <f>BI18/1000</f>
        <v/>
      </c>
      <c r="K18" s="34" t="n"/>
      <c r="L18" s="34" t="n"/>
      <c r="M18" s="47" t="n">
        <v>5.937</v>
      </c>
      <c r="N18" s="47" t="n">
        <v>5.845</v>
      </c>
      <c r="O18" s="47" t="n">
        <v>5.575</v>
      </c>
      <c r="P18" s="47" t="n">
        <v>5.276</v>
      </c>
      <c r="Q18" s="47" t="n">
        <v>5.363</v>
      </c>
      <c r="R18" s="47" t="n">
        <v>6.645</v>
      </c>
      <c r="S18" s="47" t="n">
        <v>5.654</v>
      </c>
      <c r="T18" s="47" t="n"/>
      <c r="V18" s="41" t="inlineStr">
        <is>
          <t xml:space="preserve">     Petroleum</t>
        </is>
      </c>
      <c r="W18" s="250">
        <f>D18/M18</f>
        <v/>
      </c>
      <c r="X18" s="250">
        <f>E18/N18</f>
        <v/>
      </c>
      <c r="Y18" s="250">
        <f>F18/O18</f>
        <v/>
      </c>
      <c r="Z18" s="250">
        <f>G18/P18</f>
        <v/>
      </c>
      <c r="AA18" s="250">
        <f>H18/Q18</f>
        <v/>
      </c>
      <c r="AB18" s="251">
        <f>I18/R18</f>
        <v/>
      </c>
      <c r="AC18" s="251">
        <f>J18/S18</f>
        <v/>
      </c>
      <c r="AD18" s="34" t="n"/>
      <c r="AE18" s="34" t="n"/>
      <c r="AF18" s="250">
        <f>W18</f>
        <v/>
      </c>
      <c r="AG18" s="250">
        <f>X18</f>
        <v/>
      </c>
      <c r="AH18" s="250">
        <f>Y18</f>
        <v/>
      </c>
      <c r="AI18" s="250">
        <f>Z18</f>
        <v/>
      </c>
      <c r="AJ18" s="250">
        <f>AA18</f>
        <v/>
      </c>
      <c r="AK18" s="252">
        <f>AB18*1.15</f>
        <v/>
      </c>
      <c r="AL18" s="252">
        <f>AC18*1.15</f>
        <v/>
      </c>
      <c r="AM18" s="34" t="n"/>
      <c r="AN18" s="34" t="n"/>
      <c r="AO18" s="250">
        <f>W18</f>
        <v/>
      </c>
      <c r="AP18" s="250">
        <f>X18</f>
        <v/>
      </c>
      <c r="AQ18" s="250">
        <f>Y18</f>
        <v/>
      </c>
      <c r="AR18" s="250">
        <f>Z18</f>
        <v/>
      </c>
      <c r="AS18" s="250">
        <f>AA18</f>
        <v/>
      </c>
      <c r="AT18" s="252">
        <f>AB18*0.85</f>
        <v/>
      </c>
      <c r="AU18" s="252">
        <f>AC18*0.85</f>
        <v/>
      </c>
      <c r="BA18" s="41" t="inlineStr">
        <is>
          <t xml:space="preserve">     Petroleum</t>
        </is>
      </c>
      <c r="BB18" s="249" t="n">
        <v>85.3</v>
      </c>
      <c r="BC18" s="250" t="n">
        <v>78.09999999999999</v>
      </c>
      <c r="BD18" s="250" t="n">
        <v>75.2</v>
      </c>
      <c r="BE18" s="250" t="n">
        <v>74.3</v>
      </c>
      <c r="BF18" s="250" t="n">
        <v>76.8</v>
      </c>
      <c r="BG18" s="250" t="n">
        <v>79.7</v>
      </c>
      <c r="BH18" s="250" t="n">
        <v>74.3</v>
      </c>
      <c r="BI18" s="250" t="n">
        <v>74.3</v>
      </c>
      <c r="BJ18" s="34" t="n"/>
      <c r="BK18" s="34" t="n"/>
      <c r="BL18" s="47" t="n"/>
      <c r="BM18" s="47" t="n"/>
      <c r="BN18" s="47" t="n"/>
      <c r="BO18" s="47" t="n"/>
    </row>
    <row r="19" ht="15.5" customHeight="1" s="213">
      <c r="A19" s="34" t="n"/>
      <c r="B19" s="34" t="n"/>
      <c r="C19" s="37" t="n"/>
      <c r="D19" s="34" t="n"/>
      <c r="E19" s="34" t="n"/>
      <c r="F19" s="34" t="n"/>
      <c r="G19" s="34" t="n"/>
      <c r="H19" s="34" t="n"/>
      <c r="I19" s="34" t="n"/>
      <c r="J19" s="34" t="n"/>
      <c r="K19" s="34" t="n"/>
      <c r="L19" s="34" t="n"/>
      <c r="M19" s="34" t="n"/>
      <c r="N19" s="34"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Z19" s="34" t="n"/>
      <c r="BA19" s="34" t="n"/>
      <c r="BB19" s="37" t="n"/>
      <c r="BC19" s="34" t="n"/>
      <c r="BD19" s="34" t="n"/>
      <c r="BE19" s="34" t="n"/>
      <c r="BF19" s="34" t="n"/>
      <c r="BG19" s="34" t="n"/>
      <c r="BH19" s="34" t="n"/>
      <c r="BI19" s="34" t="n"/>
      <c r="BJ19" s="34" t="n"/>
      <c r="BK19" s="34" t="n"/>
      <c r="BL19" s="34" t="n"/>
      <c r="BM19" s="34" t="n"/>
      <c r="BN19" s="34" t="n"/>
      <c r="BO19" s="34" t="n"/>
    </row>
    <row r="20" ht="15.5" customHeight="1" s="213">
      <c r="A20" s="34" t="n"/>
      <c r="B20" s="34" t="n"/>
      <c r="C20" s="37" t="n"/>
      <c r="D20" s="34" t="n"/>
      <c r="E20" s="34" t="n"/>
      <c r="F20" s="34" t="n"/>
      <c r="G20" s="34" t="n"/>
      <c r="H20" s="34" t="n"/>
      <c r="I20" s="34" t="n"/>
      <c r="J20" s="34" t="n"/>
      <c r="K20" s="34" t="n"/>
      <c r="L20" s="34" t="n"/>
      <c r="M20" s="34" t="n"/>
      <c r="N20" s="34"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Z20" s="34" t="n"/>
      <c r="BA20" s="34" t="n"/>
      <c r="BB20" s="37" t="n"/>
      <c r="BC20" s="34" t="n"/>
      <c r="BD20" s="34" t="n"/>
      <c r="BE20" s="34" t="n"/>
      <c r="BF20" s="34" t="n"/>
      <c r="BG20" s="34" t="n"/>
      <c r="BH20" s="34" t="n"/>
      <c r="BI20" s="34" t="n"/>
      <c r="BJ20" s="34" t="n"/>
      <c r="BK20" s="34" t="n"/>
      <c r="BL20" s="34" t="n"/>
      <c r="BM20" s="34" t="n"/>
      <c r="BN20" s="34" t="n"/>
      <c r="BO20" s="34" t="n"/>
    </row>
    <row r="21" ht="15.5" customHeight="1" s="213">
      <c r="A21" s="33" t="inlineStr">
        <is>
          <t xml:space="preserve">Hydrometallurgical </t>
        </is>
      </c>
      <c r="K21" s="34" t="n"/>
      <c r="L21" s="34" t="n"/>
      <c r="M21" s="34" t="n"/>
      <c r="N21" s="34"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Z21" s="33" t="inlineStr">
        <is>
          <t xml:space="preserve">Hydrometallurgical </t>
        </is>
      </c>
      <c r="BJ21" s="34" t="n"/>
      <c r="BK21" s="34" t="n"/>
      <c r="BL21" s="34" t="n"/>
      <c r="BM21" s="34" t="n"/>
      <c r="BN21" s="34" t="n"/>
      <c r="BO21" s="34" t="n"/>
    </row>
    <row r="22" ht="15.5" customHeight="1" s="213">
      <c r="A22" s="33" t="inlineStr">
        <is>
          <t>Location</t>
        </is>
      </c>
      <c r="B22" s="33" t="inlineStr">
        <is>
          <t xml:space="preserve">Energy use (MJ/kWh battery produced) </t>
        </is>
      </c>
      <c r="C22" s="33" t="inlineStr">
        <is>
          <t xml:space="preserve">Chemistry </t>
        </is>
      </c>
      <c r="K22" s="34" t="n"/>
      <c r="L22" s="34" t="n"/>
      <c r="M22" s="34" t="n"/>
      <c r="N22" s="34"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Z22" s="33" t="inlineStr">
        <is>
          <t>Location</t>
        </is>
      </c>
      <c r="BA22" s="33" t="inlineStr">
        <is>
          <t xml:space="preserve">Energy use (MJ/kWh battery produced) </t>
        </is>
      </c>
      <c r="BB22" s="33" t="inlineStr">
        <is>
          <t xml:space="preserve">Chemistry </t>
        </is>
      </c>
      <c r="BJ22" s="34" t="n"/>
      <c r="BK22" s="34" t="n"/>
      <c r="BL22" s="34" t="n"/>
      <c r="BM22" s="34" t="n"/>
      <c r="BN22" s="34" t="n"/>
      <c r="BO22" s="34" t="n"/>
    </row>
    <row r="23" ht="30" customHeight="1" s="213">
      <c r="C23" s="37" t="inlineStr">
        <is>
          <t xml:space="preserve">LCO </t>
        </is>
      </c>
      <c r="D23" s="34" t="inlineStr">
        <is>
          <t>NMC111</t>
        </is>
      </c>
      <c r="E23" s="34" t="inlineStr">
        <is>
          <t>NMC532</t>
        </is>
      </c>
      <c r="F23" s="38" t="inlineStr">
        <is>
          <t>NMC622</t>
        </is>
      </c>
      <c r="G23" s="34" t="inlineStr">
        <is>
          <t>NMC811</t>
        </is>
      </c>
      <c r="H23" s="34" t="inlineStr">
        <is>
          <t>NCA</t>
        </is>
      </c>
      <c r="I23" s="34" t="inlineStr">
        <is>
          <t xml:space="preserve">LMO </t>
        </is>
      </c>
      <c r="J23" s="34" t="inlineStr">
        <is>
          <t xml:space="preserve">LFP </t>
        </is>
      </c>
      <c r="K23" s="34" t="n"/>
      <c r="L23" s="34" t="n"/>
      <c r="M23" s="34" t="inlineStr">
        <is>
          <t>NMC111</t>
        </is>
      </c>
      <c r="N23" s="34" t="inlineStr">
        <is>
          <t>NMC532</t>
        </is>
      </c>
      <c r="O23" s="34" t="inlineStr">
        <is>
          <t>NMC622</t>
        </is>
      </c>
      <c r="P23" s="34" t="inlineStr">
        <is>
          <t>NMC811</t>
        </is>
      </c>
      <c r="Q23" s="34" t="inlineStr">
        <is>
          <t>NCA</t>
        </is>
      </c>
      <c r="R23" s="34" t="inlineStr">
        <is>
          <t xml:space="preserve">LMO </t>
        </is>
      </c>
      <c r="S23" s="34" t="inlineStr">
        <is>
          <t xml:space="preserve">LFP </t>
        </is>
      </c>
      <c r="T23" s="34" t="n"/>
      <c r="U23" s="34" t="n"/>
      <c r="V23" s="36" t="inlineStr">
        <is>
          <t>PJ/ktonne</t>
        </is>
      </c>
      <c r="W23" s="34" t="inlineStr">
        <is>
          <t>NMC111</t>
        </is>
      </c>
      <c r="X23" s="34" t="inlineStr">
        <is>
          <t>NMC532</t>
        </is>
      </c>
      <c r="Y23" s="38" t="inlineStr">
        <is>
          <t>NMC622</t>
        </is>
      </c>
      <c r="Z23" s="34" t="inlineStr">
        <is>
          <t>NMC811</t>
        </is>
      </c>
      <c r="AA23" s="34" t="inlineStr">
        <is>
          <t>NCA</t>
        </is>
      </c>
      <c r="AB23" s="40" t="inlineStr">
        <is>
          <t xml:space="preserve">LMO </t>
        </is>
      </c>
      <c r="AC23" s="40" t="inlineStr">
        <is>
          <t xml:space="preserve">LFP </t>
        </is>
      </c>
      <c r="AD23" s="34" t="n"/>
      <c r="AE23" s="34" t="n"/>
      <c r="AF23" s="34" t="inlineStr">
        <is>
          <t>NMC111</t>
        </is>
      </c>
      <c r="AG23" s="34" t="inlineStr">
        <is>
          <t>NMC532</t>
        </is>
      </c>
      <c r="AH23" s="38" t="inlineStr">
        <is>
          <t>NMC622</t>
        </is>
      </c>
      <c r="AI23" s="34" t="inlineStr">
        <is>
          <t>NMC811</t>
        </is>
      </c>
      <c r="AJ23" s="34" t="inlineStr">
        <is>
          <t>NCA</t>
        </is>
      </c>
      <c r="AK23" s="40" t="inlineStr">
        <is>
          <t xml:space="preserve">LMO </t>
        </is>
      </c>
      <c r="AL23" s="40" t="inlineStr">
        <is>
          <t xml:space="preserve">LFP </t>
        </is>
      </c>
      <c r="AM23" s="34" t="n"/>
      <c r="AN23" s="34" t="n"/>
      <c r="AO23" s="34" t="inlineStr">
        <is>
          <t>NMC111</t>
        </is>
      </c>
      <c r="AP23" s="34" t="inlineStr">
        <is>
          <t>NMC532</t>
        </is>
      </c>
      <c r="AQ23" s="38" t="inlineStr">
        <is>
          <t>NMC622</t>
        </is>
      </c>
      <c r="AR23" s="34" t="inlineStr">
        <is>
          <t>NMC811</t>
        </is>
      </c>
      <c r="AS23" s="34" t="inlineStr">
        <is>
          <t>NCA</t>
        </is>
      </c>
      <c r="AT23" s="40" t="inlineStr">
        <is>
          <t xml:space="preserve">LMO </t>
        </is>
      </c>
      <c r="AU23" s="40" t="inlineStr">
        <is>
          <t xml:space="preserve">LFP </t>
        </is>
      </c>
      <c r="BB23" s="37" t="inlineStr">
        <is>
          <t xml:space="preserve">LCO </t>
        </is>
      </c>
      <c r="BC23" s="34" t="inlineStr">
        <is>
          <t>NMC111</t>
        </is>
      </c>
      <c r="BD23" s="34" t="inlineStr">
        <is>
          <t>NMC532</t>
        </is>
      </c>
      <c r="BE23" s="38" t="inlineStr">
        <is>
          <t>NMC622</t>
        </is>
      </c>
      <c r="BF23" s="34" t="inlineStr">
        <is>
          <t>NMC811</t>
        </is>
      </c>
      <c r="BG23" s="34" t="inlineStr">
        <is>
          <t>NCA</t>
        </is>
      </c>
      <c r="BH23" s="34" t="inlineStr">
        <is>
          <t xml:space="preserve">LMO </t>
        </is>
      </c>
      <c r="BI23" s="34" t="inlineStr">
        <is>
          <t xml:space="preserve">LFP </t>
        </is>
      </c>
      <c r="BJ23" s="34" t="n"/>
      <c r="BK23" s="34" t="n"/>
      <c r="BL23" s="34" t="n"/>
      <c r="BM23" s="34" t="n"/>
      <c r="BN23" s="34" t="n"/>
      <c r="BO23" s="34" t="n"/>
    </row>
    <row r="24" ht="15.5" customHeight="1" s="213">
      <c r="A24" s="33" t="inlineStr">
        <is>
          <t>US</t>
        </is>
      </c>
      <c r="B24" s="41" t="inlineStr">
        <is>
          <t xml:space="preserve">     Total Energy</t>
        </is>
      </c>
      <c r="C24" s="249">
        <f>BB24/1000</f>
        <v/>
      </c>
      <c r="D24" s="249">
        <f>BC24/1000</f>
        <v/>
      </c>
      <c r="E24" s="249">
        <f>BD24/1000</f>
        <v/>
      </c>
      <c r="F24" s="249">
        <f>BE24/1000</f>
        <v/>
      </c>
      <c r="G24" s="249">
        <f>BF24/1000</f>
        <v/>
      </c>
      <c r="H24" s="249">
        <f>BG24/1000</f>
        <v/>
      </c>
      <c r="I24" s="249">
        <f>BH24/1000</f>
        <v/>
      </c>
      <c r="J24" s="249">
        <f>BI24/1000</f>
        <v/>
      </c>
      <c r="K24" s="34" t="n"/>
      <c r="L24" s="34" t="n"/>
      <c r="M24" s="43" t="n">
        <v>5.937</v>
      </c>
      <c r="N24" s="43" t="n">
        <v>5.845</v>
      </c>
      <c r="O24" s="43" t="n">
        <v>5.575</v>
      </c>
      <c r="P24" s="43" t="n">
        <v>5.276</v>
      </c>
      <c r="Q24" s="43" t="n">
        <v>5.363</v>
      </c>
      <c r="R24" s="43" t="n">
        <v>6.645</v>
      </c>
      <c r="S24" s="43" t="n">
        <v>5.654</v>
      </c>
      <c r="T24" s="43" t="n"/>
      <c r="U24" s="33" t="inlineStr">
        <is>
          <t>US</t>
        </is>
      </c>
      <c r="V24" s="41" t="inlineStr">
        <is>
          <t xml:space="preserve">     Total Energy</t>
        </is>
      </c>
      <c r="W24" s="250">
        <f>D24/M24</f>
        <v/>
      </c>
      <c r="X24" s="250">
        <f>E24/N24</f>
        <v/>
      </c>
      <c r="Y24" s="250">
        <f>F24/O24</f>
        <v/>
      </c>
      <c r="Z24" s="250">
        <f>G24/P24</f>
        <v/>
      </c>
      <c r="AA24" s="250">
        <f>H24/Q24</f>
        <v/>
      </c>
      <c r="AB24" s="251">
        <f>I24/R24</f>
        <v/>
      </c>
      <c r="AC24" s="251">
        <f>J24/S24</f>
        <v/>
      </c>
      <c r="AD24" s="34" t="n"/>
      <c r="AE24" s="34" t="n"/>
      <c r="AF24" s="250">
        <f>W24</f>
        <v/>
      </c>
      <c r="AG24" s="250">
        <f>X24</f>
        <v/>
      </c>
      <c r="AH24" s="250">
        <f>Y24</f>
        <v/>
      </c>
      <c r="AI24" s="250">
        <f>Z24</f>
        <v/>
      </c>
      <c r="AJ24" s="250">
        <f>AA24</f>
        <v/>
      </c>
      <c r="AK24" s="252">
        <f>AB24*1.15</f>
        <v/>
      </c>
      <c r="AL24" s="252">
        <f>AC24*1.15</f>
        <v/>
      </c>
      <c r="AM24" s="34" t="n"/>
      <c r="AN24" s="34" t="n"/>
      <c r="AO24" s="250">
        <f>W24</f>
        <v/>
      </c>
      <c r="AP24" s="250">
        <f>X24</f>
        <v/>
      </c>
      <c r="AQ24" s="250">
        <f>Y24</f>
        <v/>
      </c>
      <c r="AR24" s="250">
        <f>Z24</f>
        <v/>
      </c>
      <c r="AS24" s="250">
        <f>AA24</f>
        <v/>
      </c>
      <c r="AT24" s="252">
        <f>AB24*0.85</f>
        <v/>
      </c>
      <c r="AU24" s="252">
        <f>AC24*0.85</f>
        <v/>
      </c>
      <c r="AZ24" s="33" t="inlineStr">
        <is>
          <t>US</t>
        </is>
      </c>
      <c r="BA24" s="41" t="inlineStr">
        <is>
          <t xml:space="preserve">     Total Energy</t>
        </is>
      </c>
      <c r="BB24" s="249" t="n">
        <v>889.8</v>
      </c>
      <c r="BC24" s="250" t="n">
        <v>843.2</v>
      </c>
      <c r="BD24" s="250" t="n">
        <v>803.8</v>
      </c>
      <c r="BE24" s="250" t="n">
        <v>794.6</v>
      </c>
      <c r="BF24" s="250" t="n">
        <v>766.5</v>
      </c>
      <c r="BG24" s="250" t="n">
        <v>806.6</v>
      </c>
      <c r="BH24" s="250" t="n">
        <v>794.6</v>
      </c>
      <c r="BI24" s="250" t="n">
        <v>794.6</v>
      </c>
      <c r="BJ24" s="34" t="n"/>
      <c r="BK24" s="34" t="n"/>
      <c r="BL24" s="43" t="n"/>
      <c r="BM24" s="43" t="n"/>
      <c r="BN24" s="43" t="n"/>
      <c r="BO24" s="43" t="n"/>
    </row>
    <row r="25" ht="15.5" customHeight="1" s="213">
      <c r="B25" s="41" t="inlineStr">
        <is>
          <t xml:space="preserve">     Fossil fuels</t>
        </is>
      </c>
      <c r="C25" s="249">
        <f>BB25/1000</f>
        <v/>
      </c>
      <c r="D25" s="249">
        <f>BC25/1000</f>
        <v/>
      </c>
      <c r="E25" s="249">
        <f>BD25/1000</f>
        <v/>
      </c>
      <c r="F25" s="249">
        <f>BE25/1000</f>
        <v/>
      </c>
      <c r="G25" s="249">
        <f>BF25/1000</f>
        <v/>
      </c>
      <c r="H25" s="249">
        <f>BG25/1000</f>
        <v/>
      </c>
      <c r="I25" s="249">
        <f>BH25/1000</f>
        <v/>
      </c>
      <c r="J25" s="249">
        <f>BI25/1000</f>
        <v/>
      </c>
      <c r="K25" s="34" t="n"/>
      <c r="L25" s="34" t="n"/>
      <c r="M25" s="47" t="n">
        <v>5.937</v>
      </c>
      <c r="N25" s="47" t="n">
        <v>5.845</v>
      </c>
      <c r="O25" s="47" t="n">
        <v>5.575</v>
      </c>
      <c r="P25" s="47" t="n">
        <v>5.276</v>
      </c>
      <c r="Q25" s="47" t="n">
        <v>5.363</v>
      </c>
      <c r="R25" s="47" t="n">
        <v>6.645</v>
      </c>
      <c r="S25" s="47" t="n">
        <v>5.654</v>
      </c>
      <c r="T25" s="47" t="n"/>
      <c r="V25" s="41" t="inlineStr">
        <is>
          <t xml:space="preserve">     Fossil fuels</t>
        </is>
      </c>
      <c r="W25" s="250">
        <f>D25/M25</f>
        <v/>
      </c>
      <c r="X25" s="250">
        <f>E25/N25</f>
        <v/>
      </c>
      <c r="Y25" s="250">
        <f>F25/O25</f>
        <v/>
      </c>
      <c r="Z25" s="250">
        <f>G25/P25</f>
        <v/>
      </c>
      <c r="AA25" s="250">
        <f>H25/Q25</f>
        <v/>
      </c>
      <c r="AB25" s="251">
        <f>I25/R25</f>
        <v/>
      </c>
      <c r="AC25" s="251">
        <f>J25/S25</f>
        <v/>
      </c>
      <c r="AD25" s="34" t="n"/>
      <c r="AE25" s="34" t="n"/>
      <c r="AF25" s="250">
        <f>W25</f>
        <v/>
      </c>
      <c r="AG25" s="250">
        <f>X25</f>
        <v/>
      </c>
      <c r="AH25" s="250">
        <f>Y25</f>
        <v/>
      </c>
      <c r="AI25" s="250">
        <f>Z25</f>
        <v/>
      </c>
      <c r="AJ25" s="250">
        <f>AA25</f>
        <v/>
      </c>
      <c r="AK25" s="252">
        <f>AB25*1.15</f>
        <v/>
      </c>
      <c r="AL25" s="252">
        <f>AC25*1.15</f>
        <v/>
      </c>
      <c r="AM25" s="34" t="n"/>
      <c r="AN25" s="34" t="n"/>
      <c r="AO25" s="250">
        <f>W25</f>
        <v/>
      </c>
      <c r="AP25" s="250">
        <f>X25</f>
        <v/>
      </c>
      <c r="AQ25" s="250">
        <f>Y25</f>
        <v/>
      </c>
      <c r="AR25" s="250">
        <f>Z25</f>
        <v/>
      </c>
      <c r="AS25" s="250">
        <f>AA25</f>
        <v/>
      </c>
      <c r="AT25" s="252">
        <f>AB25*0.85</f>
        <v/>
      </c>
      <c r="AU25" s="252">
        <f>AC25*0.85</f>
        <v/>
      </c>
      <c r="BA25" s="41" t="inlineStr">
        <is>
          <t xml:space="preserve">     Fossil fuels</t>
        </is>
      </c>
      <c r="BB25" s="249" t="n">
        <v>812.4</v>
      </c>
      <c r="BC25" s="250" t="n">
        <v>774.6</v>
      </c>
      <c r="BD25" s="250" t="n">
        <v>739</v>
      </c>
      <c r="BE25" s="250" t="n">
        <v>730.7</v>
      </c>
      <c r="BF25" s="250" t="n">
        <v>704.5</v>
      </c>
      <c r="BG25" s="250" t="n">
        <v>742.4</v>
      </c>
      <c r="BH25" s="250" t="n">
        <v>730.7</v>
      </c>
      <c r="BI25" s="250" t="n">
        <v>730.7</v>
      </c>
      <c r="BJ25" s="34" t="n"/>
      <c r="BK25" s="34" t="n"/>
      <c r="BL25" s="47" t="n"/>
      <c r="BM25" s="47" t="n"/>
      <c r="BN25" s="47" t="n"/>
      <c r="BO25" s="47" t="n"/>
    </row>
    <row r="26" ht="15.5" customHeight="1" s="213">
      <c r="B26" s="41" t="inlineStr">
        <is>
          <t xml:space="preserve">     Coal</t>
        </is>
      </c>
      <c r="C26" s="249">
        <f>BB26/1000</f>
        <v/>
      </c>
      <c r="D26" s="249">
        <f>BC26/1000</f>
        <v/>
      </c>
      <c r="E26" s="249">
        <f>BD26/1000</f>
        <v/>
      </c>
      <c r="F26" s="249">
        <f>BE26/1000</f>
        <v/>
      </c>
      <c r="G26" s="249">
        <f>BF26/1000</f>
        <v/>
      </c>
      <c r="H26" s="249">
        <f>BG26/1000</f>
        <v/>
      </c>
      <c r="I26" s="249">
        <f>BH26/1000</f>
        <v/>
      </c>
      <c r="J26" s="249">
        <f>BI26/1000</f>
        <v/>
      </c>
      <c r="K26" s="34" t="n"/>
      <c r="L26" s="34" t="n"/>
      <c r="M26" s="47" t="n">
        <v>5.937</v>
      </c>
      <c r="N26" s="47" t="n">
        <v>5.845</v>
      </c>
      <c r="O26" s="47" t="n">
        <v>5.575</v>
      </c>
      <c r="P26" s="47" t="n">
        <v>5.276</v>
      </c>
      <c r="Q26" s="47" t="n">
        <v>5.363</v>
      </c>
      <c r="R26" s="47" t="n">
        <v>6.645</v>
      </c>
      <c r="S26" s="47" t="n">
        <v>5.654</v>
      </c>
      <c r="T26" s="47" t="n"/>
      <c r="V26" s="41" t="inlineStr">
        <is>
          <t xml:space="preserve">     Coal</t>
        </is>
      </c>
      <c r="W26" s="250">
        <f>D26/M26</f>
        <v/>
      </c>
      <c r="X26" s="250">
        <f>E26/N26</f>
        <v/>
      </c>
      <c r="Y26" s="250">
        <f>F26/O26</f>
        <v/>
      </c>
      <c r="Z26" s="250">
        <f>G26/P26</f>
        <v/>
      </c>
      <c r="AA26" s="250">
        <f>H26/Q26</f>
        <v/>
      </c>
      <c r="AB26" s="251">
        <f>I26/R26</f>
        <v/>
      </c>
      <c r="AC26" s="251">
        <f>J26/S26</f>
        <v/>
      </c>
      <c r="AD26" s="34" t="n"/>
      <c r="AE26" s="34" t="n"/>
      <c r="AF26" s="250">
        <f>W26</f>
        <v/>
      </c>
      <c r="AG26" s="250">
        <f>X26</f>
        <v/>
      </c>
      <c r="AH26" s="250">
        <f>Y26</f>
        <v/>
      </c>
      <c r="AI26" s="250">
        <f>Z26</f>
        <v/>
      </c>
      <c r="AJ26" s="250">
        <f>AA26</f>
        <v/>
      </c>
      <c r="AK26" s="252">
        <f>AB26*1.15</f>
        <v/>
      </c>
      <c r="AL26" s="252">
        <f>AC26*1.15</f>
        <v/>
      </c>
      <c r="AM26" s="34" t="n"/>
      <c r="AN26" s="34" t="n"/>
      <c r="AO26" s="250">
        <f>W26</f>
        <v/>
      </c>
      <c r="AP26" s="250">
        <f>X26</f>
        <v/>
      </c>
      <c r="AQ26" s="250">
        <f>Y26</f>
        <v/>
      </c>
      <c r="AR26" s="250">
        <f>Z26</f>
        <v/>
      </c>
      <c r="AS26" s="250">
        <f>AA26</f>
        <v/>
      </c>
      <c r="AT26" s="252">
        <f>AB26*0.85</f>
        <v/>
      </c>
      <c r="AU26" s="252">
        <f>AC26*0.85</f>
        <v/>
      </c>
      <c r="BA26" s="41" t="inlineStr">
        <is>
          <t xml:space="preserve">     Coal</t>
        </is>
      </c>
      <c r="BB26" s="249" t="n">
        <v>169.9</v>
      </c>
      <c r="BC26" s="250" t="n">
        <v>149.7</v>
      </c>
      <c r="BD26" s="250" t="n">
        <v>141.8</v>
      </c>
      <c r="BE26" s="250" t="n">
        <v>139.9</v>
      </c>
      <c r="BF26" s="250" t="n">
        <v>135.9</v>
      </c>
      <c r="BG26" s="250" t="n">
        <v>140.8</v>
      </c>
      <c r="BH26" s="250" t="n">
        <v>139.9</v>
      </c>
      <c r="BI26" s="250" t="n">
        <v>139.9</v>
      </c>
      <c r="BJ26" s="34" t="n"/>
      <c r="BK26" s="34" t="n"/>
      <c r="BL26" s="47" t="n"/>
      <c r="BM26" s="47" t="n"/>
      <c r="BN26" s="47" t="n"/>
      <c r="BO26" s="47" t="n"/>
    </row>
    <row r="27" ht="15.5" customHeight="1" s="213">
      <c r="B27" s="41" t="inlineStr">
        <is>
          <t xml:space="preserve">     Natural gas</t>
        </is>
      </c>
      <c r="C27" s="249">
        <f>BB27/1000</f>
        <v/>
      </c>
      <c r="D27" s="249">
        <f>BC27/1000</f>
        <v/>
      </c>
      <c r="E27" s="249">
        <f>BD27/1000</f>
        <v/>
      </c>
      <c r="F27" s="249">
        <f>BE27/1000</f>
        <v/>
      </c>
      <c r="G27" s="249">
        <f>BF27/1000</f>
        <v/>
      </c>
      <c r="H27" s="249">
        <f>BG27/1000</f>
        <v/>
      </c>
      <c r="I27" s="249">
        <f>BH27/1000</f>
        <v/>
      </c>
      <c r="J27" s="249">
        <f>BI27/1000</f>
        <v/>
      </c>
      <c r="K27" s="34" t="n"/>
      <c r="L27" s="34" t="n"/>
      <c r="M27" s="47" t="n">
        <v>5.937</v>
      </c>
      <c r="N27" s="47" t="n">
        <v>5.845</v>
      </c>
      <c r="O27" s="47" t="n">
        <v>5.575</v>
      </c>
      <c r="P27" s="47" t="n">
        <v>5.276</v>
      </c>
      <c r="Q27" s="47" t="n">
        <v>5.363</v>
      </c>
      <c r="R27" s="47" t="n">
        <v>6.645</v>
      </c>
      <c r="S27" s="47" t="n">
        <v>5.654</v>
      </c>
      <c r="T27" s="47" t="n"/>
      <c r="V27" s="41" t="inlineStr">
        <is>
          <t xml:space="preserve">     Natural gas</t>
        </is>
      </c>
      <c r="W27" s="250">
        <f>D27/M27</f>
        <v/>
      </c>
      <c r="X27" s="250">
        <f>E27/N27</f>
        <v/>
      </c>
      <c r="Y27" s="250">
        <f>F27/O27</f>
        <v/>
      </c>
      <c r="Z27" s="250">
        <f>G27/P27</f>
        <v/>
      </c>
      <c r="AA27" s="250">
        <f>H27/Q27</f>
        <v/>
      </c>
      <c r="AB27" s="251">
        <f>I27/R27</f>
        <v/>
      </c>
      <c r="AC27" s="251">
        <f>J27/S27</f>
        <v/>
      </c>
      <c r="AD27" s="34" t="n"/>
      <c r="AE27" s="34" t="n"/>
      <c r="AF27" s="250">
        <f>W27</f>
        <v/>
      </c>
      <c r="AG27" s="250">
        <f>X27</f>
        <v/>
      </c>
      <c r="AH27" s="250">
        <f>Y27</f>
        <v/>
      </c>
      <c r="AI27" s="250">
        <f>Z27</f>
        <v/>
      </c>
      <c r="AJ27" s="250">
        <f>AA27</f>
        <v/>
      </c>
      <c r="AK27" s="252">
        <f>AB27*1.15</f>
        <v/>
      </c>
      <c r="AL27" s="252">
        <f>AC27*1.15</f>
        <v/>
      </c>
      <c r="AM27" s="34" t="n"/>
      <c r="AN27" s="34" t="n"/>
      <c r="AO27" s="250">
        <f>W27</f>
        <v/>
      </c>
      <c r="AP27" s="250">
        <f>X27</f>
        <v/>
      </c>
      <c r="AQ27" s="250">
        <f>Y27</f>
        <v/>
      </c>
      <c r="AR27" s="250">
        <f>Z27</f>
        <v/>
      </c>
      <c r="AS27" s="250">
        <f>AA27</f>
        <v/>
      </c>
      <c r="AT27" s="252">
        <f>AB27*0.85</f>
        <v/>
      </c>
      <c r="AU27" s="252">
        <f>AC27*0.85</f>
        <v/>
      </c>
      <c r="BA27" s="41" t="inlineStr">
        <is>
          <t xml:space="preserve">     Natural gas</t>
        </is>
      </c>
      <c r="BB27" s="249" t="n">
        <v>597.8</v>
      </c>
      <c r="BC27" s="250" t="n">
        <v>580.7</v>
      </c>
      <c r="BD27" s="250" t="n">
        <v>554</v>
      </c>
      <c r="BE27" s="250" t="n">
        <v>547.8</v>
      </c>
      <c r="BF27" s="250" t="n">
        <v>526</v>
      </c>
      <c r="BG27" s="250" t="n">
        <v>557.5</v>
      </c>
      <c r="BH27" s="250" t="n">
        <v>547.8</v>
      </c>
      <c r="BI27" s="250" t="n">
        <v>547.8</v>
      </c>
      <c r="BJ27" s="34" t="n"/>
      <c r="BK27" s="34" t="n"/>
      <c r="BL27" s="47" t="n"/>
      <c r="BM27" s="47" t="n"/>
      <c r="BN27" s="47" t="n"/>
      <c r="BO27" s="47" t="n"/>
    </row>
    <row r="28" ht="15.5" customHeight="1" s="213">
      <c r="B28" s="41" t="inlineStr">
        <is>
          <t xml:space="preserve">     Petroleum</t>
        </is>
      </c>
      <c r="C28" s="249">
        <f>BB28/1000</f>
        <v/>
      </c>
      <c r="D28" s="249">
        <f>BC28/1000</f>
        <v/>
      </c>
      <c r="E28" s="249">
        <f>BD28/1000</f>
        <v/>
      </c>
      <c r="F28" s="249">
        <f>BE28/1000</f>
        <v/>
      </c>
      <c r="G28" s="249">
        <f>BF28/1000</f>
        <v/>
      </c>
      <c r="H28" s="249">
        <f>BG28/1000</f>
        <v/>
      </c>
      <c r="I28" s="249">
        <f>BH28/1000</f>
        <v/>
      </c>
      <c r="J28" s="249">
        <f>BI28/1000</f>
        <v/>
      </c>
      <c r="K28" s="34" t="n"/>
      <c r="L28" s="34" t="n"/>
      <c r="M28" s="47" t="n">
        <v>5.937</v>
      </c>
      <c r="N28" s="47" t="n">
        <v>5.845</v>
      </c>
      <c r="O28" s="47" t="n">
        <v>5.575</v>
      </c>
      <c r="P28" s="47" t="n">
        <v>5.276</v>
      </c>
      <c r="Q28" s="47" t="n">
        <v>5.363</v>
      </c>
      <c r="R28" s="47" t="n">
        <v>6.645</v>
      </c>
      <c r="S28" s="47" t="n">
        <v>5.654</v>
      </c>
      <c r="T28" s="47" t="n"/>
      <c r="V28" s="41" t="inlineStr">
        <is>
          <t xml:space="preserve">     Petroleum</t>
        </is>
      </c>
      <c r="W28" s="250">
        <f>D28/M28</f>
        <v/>
      </c>
      <c r="X28" s="250">
        <f>E28/N28</f>
        <v/>
      </c>
      <c r="Y28" s="250">
        <f>F28/O28</f>
        <v/>
      </c>
      <c r="Z28" s="250">
        <f>G28/P28</f>
        <v/>
      </c>
      <c r="AA28" s="250">
        <f>H28/Q28</f>
        <v/>
      </c>
      <c r="AB28" s="251">
        <f>I28/R28</f>
        <v/>
      </c>
      <c r="AC28" s="251">
        <f>J28/S28</f>
        <v/>
      </c>
      <c r="AD28" s="34" t="n"/>
      <c r="AE28" s="34" t="n"/>
      <c r="AF28" s="250">
        <f>W28</f>
        <v/>
      </c>
      <c r="AG28" s="250">
        <f>X28</f>
        <v/>
      </c>
      <c r="AH28" s="250">
        <f>Y28</f>
        <v/>
      </c>
      <c r="AI28" s="250">
        <f>Z28</f>
        <v/>
      </c>
      <c r="AJ28" s="250">
        <f>AA28</f>
        <v/>
      </c>
      <c r="AK28" s="252">
        <f>AB28*1.15</f>
        <v/>
      </c>
      <c r="AL28" s="252">
        <f>AC28*1.15</f>
        <v/>
      </c>
      <c r="AM28" s="34" t="n"/>
      <c r="AN28" s="34" t="n"/>
      <c r="AO28" s="250">
        <f>W28</f>
        <v/>
      </c>
      <c r="AP28" s="250">
        <f>X28</f>
        <v/>
      </c>
      <c r="AQ28" s="250">
        <f>Y28</f>
        <v/>
      </c>
      <c r="AR28" s="250">
        <f>Z28</f>
        <v/>
      </c>
      <c r="AS28" s="250">
        <f>AA28</f>
        <v/>
      </c>
      <c r="AT28" s="252">
        <f>AB28*0.85</f>
        <v/>
      </c>
      <c r="AU28" s="252">
        <f>AC28*0.85</f>
        <v/>
      </c>
      <c r="BA28" s="41" t="inlineStr">
        <is>
          <t xml:space="preserve">     Petroleum</t>
        </is>
      </c>
      <c r="BB28" s="249" t="n">
        <v>85</v>
      </c>
      <c r="BC28" s="250" t="n">
        <v>78.59999999999999</v>
      </c>
      <c r="BD28" s="250" t="n">
        <v>76.3</v>
      </c>
      <c r="BE28" s="250" t="n">
        <v>75.90000000000001</v>
      </c>
      <c r="BF28" s="250" t="n">
        <v>73.7</v>
      </c>
      <c r="BG28" s="250" t="n">
        <v>76</v>
      </c>
      <c r="BH28" s="250" t="n">
        <v>75.90000000000001</v>
      </c>
      <c r="BI28" s="250" t="n">
        <v>75.90000000000001</v>
      </c>
      <c r="BJ28" s="34" t="n"/>
      <c r="BK28" s="34" t="n"/>
      <c r="BL28" s="47" t="n"/>
      <c r="BM28" s="47" t="n"/>
      <c r="BN28" s="47" t="n"/>
      <c r="BO28" s="47" t="n"/>
    </row>
    <row r="29" ht="15.5" customHeight="1" s="213">
      <c r="A29" s="33" t="inlineStr">
        <is>
          <t>Korea</t>
        </is>
      </c>
      <c r="B29" s="41" t="inlineStr">
        <is>
          <t xml:space="preserve">     Total Energy</t>
        </is>
      </c>
      <c r="C29" s="249">
        <f>BB29/1000</f>
        <v/>
      </c>
      <c r="D29" s="249">
        <f>BC29/1000</f>
        <v/>
      </c>
      <c r="E29" s="249">
        <f>BD29/1000</f>
        <v/>
      </c>
      <c r="F29" s="249">
        <f>BE29/1000</f>
        <v/>
      </c>
      <c r="G29" s="249">
        <f>BF29/1000</f>
        <v/>
      </c>
      <c r="H29" s="249">
        <f>BG29/1000</f>
        <v/>
      </c>
      <c r="I29" s="249">
        <f>BH29/1000</f>
        <v/>
      </c>
      <c r="J29" s="249">
        <f>BI29/1000</f>
        <v/>
      </c>
      <c r="K29" s="34" t="n"/>
      <c r="L29" s="34" t="n"/>
      <c r="M29" s="47" t="n">
        <v>5.937</v>
      </c>
      <c r="N29" s="47" t="n">
        <v>5.845</v>
      </c>
      <c r="O29" s="47" t="n">
        <v>5.575</v>
      </c>
      <c r="P29" s="47" t="n">
        <v>5.276</v>
      </c>
      <c r="Q29" s="47" t="n">
        <v>5.363</v>
      </c>
      <c r="R29" s="47" t="n">
        <v>6.645</v>
      </c>
      <c r="S29" s="47" t="n">
        <v>5.654</v>
      </c>
      <c r="T29" s="47" t="n"/>
      <c r="U29" s="33" t="inlineStr">
        <is>
          <t>Korea</t>
        </is>
      </c>
      <c r="V29" s="41" t="inlineStr">
        <is>
          <t xml:space="preserve">     Total Energy</t>
        </is>
      </c>
      <c r="W29" s="250">
        <f>D29/M29</f>
        <v/>
      </c>
      <c r="X29" s="250">
        <f>E29/N29</f>
        <v/>
      </c>
      <c r="Y29" s="250">
        <f>F29/O29</f>
        <v/>
      </c>
      <c r="Z29" s="250">
        <f>G29/P29</f>
        <v/>
      </c>
      <c r="AA29" s="250">
        <f>H29/Q29</f>
        <v/>
      </c>
      <c r="AB29" s="251">
        <f>I29/R29</f>
        <v/>
      </c>
      <c r="AC29" s="251">
        <f>J29/S29</f>
        <v/>
      </c>
      <c r="AD29" s="34" t="n"/>
      <c r="AE29" s="34" t="n"/>
      <c r="AF29" s="250">
        <f>W29</f>
        <v/>
      </c>
      <c r="AG29" s="250">
        <f>X29</f>
        <v/>
      </c>
      <c r="AH29" s="250">
        <f>Y29</f>
        <v/>
      </c>
      <c r="AI29" s="250">
        <f>Z29</f>
        <v/>
      </c>
      <c r="AJ29" s="250">
        <f>AA29</f>
        <v/>
      </c>
      <c r="AK29" s="252">
        <f>AB29*1.15</f>
        <v/>
      </c>
      <c r="AL29" s="252">
        <f>AC29*1.15</f>
        <v/>
      </c>
      <c r="AM29" s="34" t="n"/>
      <c r="AN29" s="34" t="n"/>
      <c r="AO29" s="250">
        <f>W29</f>
        <v/>
      </c>
      <c r="AP29" s="250">
        <f>X29</f>
        <v/>
      </c>
      <c r="AQ29" s="250">
        <f>Y29</f>
        <v/>
      </c>
      <c r="AR29" s="250">
        <f>Z29</f>
        <v/>
      </c>
      <c r="AS29" s="250">
        <f>AA29</f>
        <v/>
      </c>
      <c r="AT29" s="252">
        <f>AB29*0.85</f>
        <v/>
      </c>
      <c r="AU29" s="252">
        <f>AC29*0.85</f>
        <v/>
      </c>
      <c r="AZ29" s="33" t="inlineStr">
        <is>
          <t>Korea</t>
        </is>
      </c>
      <c r="BA29" s="41" t="inlineStr">
        <is>
          <t xml:space="preserve">     Total Energy</t>
        </is>
      </c>
      <c r="BB29" s="249" t="n">
        <v>906.8</v>
      </c>
      <c r="BC29" s="250" t="n">
        <v>858.6</v>
      </c>
      <c r="BD29" s="250" t="n">
        <v>818.4</v>
      </c>
      <c r="BE29" s="250" t="n">
        <v>809.1</v>
      </c>
      <c r="BF29" s="250" t="n">
        <v>781.1</v>
      </c>
      <c r="BG29" s="250" t="n">
        <v>821.7</v>
      </c>
      <c r="BH29" s="250" t="n">
        <v>809.1</v>
      </c>
      <c r="BI29" s="250" t="n">
        <v>809.1</v>
      </c>
      <c r="BJ29" s="34" t="n"/>
      <c r="BK29" s="34" t="n"/>
      <c r="BL29" s="47" t="n"/>
      <c r="BM29" s="47" t="n"/>
      <c r="BN29" s="47" t="n"/>
      <c r="BO29" s="47" t="n"/>
    </row>
    <row r="30" ht="15.5" customHeight="1" s="213">
      <c r="B30" s="41" t="inlineStr">
        <is>
          <t xml:space="preserve">     Fossil fuels</t>
        </is>
      </c>
      <c r="C30" s="249">
        <f>BB30/1000</f>
        <v/>
      </c>
      <c r="D30" s="249">
        <f>BC30/1000</f>
        <v/>
      </c>
      <c r="E30" s="249">
        <f>BD30/1000</f>
        <v/>
      </c>
      <c r="F30" s="249">
        <f>BE30/1000</f>
        <v/>
      </c>
      <c r="G30" s="249">
        <f>BF30/1000</f>
        <v/>
      </c>
      <c r="H30" s="249">
        <f>BG30/1000</f>
        <v/>
      </c>
      <c r="I30" s="249">
        <f>BH30/1000</f>
        <v/>
      </c>
      <c r="J30" s="249">
        <f>BI30/1000</f>
        <v/>
      </c>
      <c r="K30" s="34" t="n"/>
      <c r="L30" s="34" t="n"/>
      <c r="M30" s="47" t="n">
        <v>5.937</v>
      </c>
      <c r="N30" s="47" t="n">
        <v>5.845</v>
      </c>
      <c r="O30" s="47" t="n">
        <v>5.575</v>
      </c>
      <c r="P30" s="47" t="n">
        <v>5.276</v>
      </c>
      <c r="Q30" s="47" t="n">
        <v>5.363</v>
      </c>
      <c r="R30" s="47" t="n">
        <v>6.645</v>
      </c>
      <c r="S30" s="47" t="n">
        <v>5.654</v>
      </c>
      <c r="T30" s="47" t="n"/>
      <c r="V30" s="41" t="inlineStr">
        <is>
          <t xml:space="preserve">     Fossil fuels</t>
        </is>
      </c>
      <c r="W30" s="250">
        <f>D30/M30</f>
        <v/>
      </c>
      <c r="X30" s="250">
        <f>E30/N30</f>
        <v/>
      </c>
      <c r="Y30" s="250">
        <f>F30/O30</f>
        <v/>
      </c>
      <c r="Z30" s="250">
        <f>G30/P30</f>
        <v/>
      </c>
      <c r="AA30" s="250">
        <f>H30/Q30</f>
        <v/>
      </c>
      <c r="AB30" s="251">
        <f>I30/R30</f>
        <v/>
      </c>
      <c r="AC30" s="251">
        <f>J30/S30</f>
        <v/>
      </c>
      <c r="AD30" s="34" t="n"/>
      <c r="AE30" s="34" t="n"/>
      <c r="AF30" s="250">
        <f>W30</f>
        <v/>
      </c>
      <c r="AG30" s="250">
        <f>X30</f>
        <v/>
      </c>
      <c r="AH30" s="250">
        <f>Y30</f>
        <v/>
      </c>
      <c r="AI30" s="250">
        <f>Z30</f>
        <v/>
      </c>
      <c r="AJ30" s="250">
        <f>AA30</f>
        <v/>
      </c>
      <c r="AK30" s="252">
        <f>AB30*1.15</f>
        <v/>
      </c>
      <c r="AL30" s="252">
        <f>AC30*1.15</f>
        <v/>
      </c>
      <c r="AM30" s="34" t="n"/>
      <c r="AN30" s="34" t="n"/>
      <c r="AO30" s="250">
        <f>W30</f>
        <v/>
      </c>
      <c r="AP30" s="250">
        <f>X30</f>
        <v/>
      </c>
      <c r="AQ30" s="250">
        <f>Y30</f>
        <v/>
      </c>
      <c r="AR30" s="250">
        <f>Z30</f>
        <v/>
      </c>
      <c r="AS30" s="250">
        <f>AA30</f>
        <v/>
      </c>
      <c r="AT30" s="252">
        <f>AB30*0.85</f>
        <v/>
      </c>
      <c r="AU30" s="252">
        <f>AC30*0.85</f>
        <v/>
      </c>
      <c r="BA30" s="41" t="inlineStr">
        <is>
          <t xml:space="preserve">     Fossil fuels</t>
        </is>
      </c>
      <c r="BB30" s="249" t="n">
        <v>830.3</v>
      </c>
      <c r="BC30" s="250" t="n">
        <v>790.9</v>
      </c>
      <c r="BD30" s="250" t="n">
        <v>754.5</v>
      </c>
      <c r="BE30" s="250" t="n">
        <v>746</v>
      </c>
      <c r="BF30" s="250" t="n">
        <v>719.9</v>
      </c>
      <c r="BG30" s="250" t="n">
        <v>758.4</v>
      </c>
      <c r="BH30" s="250" t="n">
        <v>746</v>
      </c>
      <c r="BI30" s="250" t="n">
        <v>746</v>
      </c>
      <c r="BJ30" s="34" t="n"/>
      <c r="BK30" s="34" t="n"/>
      <c r="BL30" s="47" t="n"/>
      <c r="BM30" s="47" t="n"/>
      <c r="BN30" s="47" t="n"/>
      <c r="BO30" s="47" t="n"/>
    </row>
    <row r="31" ht="15.5" customHeight="1" s="213">
      <c r="B31" s="41" t="inlineStr">
        <is>
          <t xml:space="preserve">     Coal</t>
        </is>
      </c>
      <c r="C31" s="249">
        <f>BB31/1000</f>
        <v/>
      </c>
      <c r="D31" s="249">
        <f>BC31/1000</f>
        <v/>
      </c>
      <c r="E31" s="249">
        <f>BD31/1000</f>
        <v/>
      </c>
      <c r="F31" s="249">
        <f>BE31/1000</f>
        <v/>
      </c>
      <c r="G31" s="249">
        <f>BF31/1000</f>
        <v/>
      </c>
      <c r="H31" s="249">
        <f>BG31/1000</f>
        <v/>
      </c>
      <c r="I31" s="249">
        <f>BH31/1000</f>
        <v/>
      </c>
      <c r="J31" s="249">
        <f>BI31/1000</f>
        <v/>
      </c>
      <c r="K31" s="34" t="n"/>
      <c r="L31" s="34" t="n"/>
      <c r="M31" s="47" t="n">
        <v>5.937</v>
      </c>
      <c r="N31" s="47" t="n">
        <v>5.845</v>
      </c>
      <c r="O31" s="47" t="n">
        <v>5.575</v>
      </c>
      <c r="P31" s="47" t="n">
        <v>5.276</v>
      </c>
      <c r="Q31" s="47" t="n">
        <v>5.363</v>
      </c>
      <c r="R31" s="47" t="n">
        <v>6.645</v>
      </c>
      <c r="S31" s="47" t="n">
        <v>5.654</v>
      </c>
      <c r="T31" s="47" t="n"/>
      <c r="V31" s="41" t="inlineStr">
        <is>
          <t xml:space="preserve">     Coal</t>
        </is>
      </c>
      <c r="W31" s="250">
        <f>D31/M31</f>
        <v/>
      </c>
      <c r="X31" s="250">
        <f>E31/N31</f>
        <v/>
      </c>
      <c r="Y31" s="250">
        <f>F31/O31</f>
        <v/>
      </c>
      <c r="Z31" s="250">
        <f>G31/P31</f>
        <v/>
      </c>
      <c r="AA31" s="250">
        <f>H31/Q31</f>
        <v/>
      </c>
      <c r="AB31" s="251">
        <f>I31/R31</f>
        <v/>
      </c>
      <c r="AC31" s="251">
        <f>J31/S31</f>
        <v/>
      </c>
      <c r="AD31" s="34" t="n"/>
      <c r="AE31" s="34" t="n"/>
      <c r="AF31" s="250">
        <f>W31</f>
        <v/>
      </c>
      <c r="AG31" s="250">
        <f>X31</f>
        <v/>
      </c>
      <c r="AH31" s="250">
        <f>Y31</f>
        <v/>
      </c>
      <c r="AI31" s="250">
        <f>Z31</f>
        <v/>
      </c>
      <c r="AJ31" s="250">
        <f>AA31</f>
        <v/>
      </c>
      <c r="AK31" s="252">
        <f>AB31*1.15</f>
        <v/>
      </c>
      <c r="AL31" s="252">
        <f>AC31*1.15</f>
        <v/>
      </c>
      <c r="AM31" s="34" t="n"/>
      <c r="AN31" s="34" t="n"/>
      <c r="AO31" s="250">
        <f>W31</f>
        <v/>
      </c>
      <c r="AP31" s="250">
        <f>X31</f>
        <v/>
      </c>
      <c r="AQ31" s="250">
        <f>Y31</f>
        <v/>
      </c>
      <c r="AR31" s="250">
        <f>Z31</f>
        <v/>
      </c>
      <c r="AS31" s="250">
        <f>AA31</f>
        <v/>
      </c>
      <c r="AT31" s="252">
        <f>AB31*0.85</f>
        <v/>
      </c>
      <c r="AU31" s="252">
        <f>AC31*0.85</f>
        <v/>
      </c>
      <c r="BA31" s="41" t="inlineStr">
        <is>
          <t xml:space="preserve">     Coal</t>
        </is>
      </c>
      <c r="BB31" s="249" t="n">
        <v>207.9</v>
      </c>
      <c r="BC31" s="250" t="n">
        <v>184.2</v>
      </c>
      <c r="BD31" s="250" t="n">
        <v>174.6</v>
      </c>
      <c r="BE31" s="250" t="n">
        <v>172.4</v>
      </c>
      <c r="BF31" s="250" t="n">
        <v>168.7</v>
      </c>
      <c r="BG31" s="250" t="n">
        <v>174.7</v>
      </c>
      <c r="BH31" s="250" t="n">
        <v>172.4</v>
      </c>
      <c r="BI31" s="250" t="n">
        <v>172.4</v>
      </c>
      <c r="BJ31" s="34" t="n"/>
      <c r="BK31" s="34" t="n"/>
      <c r="BL31" s="47" t="n"/>
      <c r="BM31" s="47" t="n"/>
      <c r="BN31" s="47" t="n"/>
      <c r="BO31" s="47" t="n"/>
    </row>
    <row r="32" ht="15.5" customHeight="1" s="213">
      <c r="B32" s="41" t="inlineStr">
        <is>
          <t xml:space="preserve">     Natural gas</t>
        </is>
      </c>
      <c r="C32" s="249">
        <f>BB32/1000</f>
        <v/>
      </c>
      <c r="D32" s="249">
        <f>BC32/1000</f>
        <v/>
      </c>
      <c r="E32" s="249">
        <f>BD32/1000</f>
        <v/>
      </c>
      <c r="F32" s="249">
        <f>BE32/1000</f>
        <v/>
      </c>
      <c r="G32" s="249">
        <f>BF32/1000</f>
        <v/>
      </c>
      <c r="H32" s="249">
        <f>BG32/1000</f>
        <v/>
      </c>
      <c r="I32" s="249">
        <f>BH32/1000</f>
        <v/>
      </c>
      <c r="J32" s="249">
        <f>BI32/1000</f>
        <v/>
      </c>
      <c r="K32" s="34" t="n"/>
      <c r="L32" s="34" t="n"/>
      <c r="M32" s="47" t="n">
        <v>5.937</v>
      </c>
      <c r="N32" s="47" t="n">
        <v>5.845</v>
      </c>
      <c r="O32" s="47" t="n">
        <v>5.575</v>
      </c>
      <c r="P32" s="47" t="n">
        <v>5.276</v>
      </c>
      <c r="Q32" s="47" t="n">
        <v>5.363</v>
      </c>
      <c r="R32" s="47" t="n">
        <v>6.645</v>
      </c>
      <c r="S32" s="47" t="n">
        <v>5.654</v>
      </c>
      <c r="T32" s="47" t="n"/>
      <c r="V32" s="41" t="inlineStr">
        <is>
          <t xml:space="preserve">     Natural gas</t>
        </is>
      </c>
      <c r="W32" s="250">
        <f>D32/M32</f>
        <v/>
      </c>
      <c r="X32" s="250">
        <f>E32/N32</f>
        <v/>
      </c>
      <c r="Y32" s="250">
        <f>F32/O32</f>
        <v/>
      </c>
      <c r="Z32" s="250">
        <f>G32/P32</f>
        <v/>
      </c>
      <c r="AA32" s="250">
        <f>H32/Q32</f>
        <v/>
      </c>
      <c r="AB32" s="251">
        <f>I32/R32</f>
        <v/>
      </c>
      <c r="AC32" s="251">
        <f>J32/S32</f>
        <v/>
      </c>
      <c r="AD32" s="34" t="n"/>
      <c r="AE32" s="34" t="n"/>
      <c r="AF32" s="250">
        <f>W32</f>
        <v/>
      </c>
      <c r="AG32" s="250">
        <f>X32</f>
        <v/>
      </c>
      <c r="AH32" s="250">
        <f>Y32</f>
        <v/>
      </c>
      <c r="AI32" s="250">
        <f>Z32</f>
        <v/>
      </c>
      <c r="AJ32" s="250">
        <f>AA32</f>
        <v/>
      </c>
      <c r="AK32" s="252">
        <f>AB32*1.15</f>
        <v/>
      </c>
      <c r="AL32" s="252">
        <f>AC32*1.15</f>
        <v/>
      </c>
      <c r="AM32" s="34" t="n"/>
      <c r="AN32" s="34" t="n"/>
      <c r="AO32" s="250">
        <f>W32</f>
        <v/>
      </c>
      <c r="AP32" s="250">
        <f>X32</f>
        <v/>
      </c>
      <c r="AQ32" s="250">
        <f>Y32</f>
        <v/>
      </c>
      <c r="AR32" s="250">
        <f>Z32</f>
        <v/>
      </c>
      <c r="AS32" s="250">
        <f>AA32</f>
        <v/>
      </c>
      <c r="AT32" s="252">
        <f>AB32*0.85</f>
        <v/>
      </c>
      <c r="AU32" s="252">
        <f>AC32*0.85</f>
        <v/>
      </c>
      <c r="BA32" s="41" t="inlineStr">
        <is>
          <t xml:space="preserve">     Natural gas</t>
        </is>
      </c>
      <c r="BB32" s="249" t="n">
        <v>574.7</v>
      </c>
      <c r="BC32" s="250" t="n">
        <v>559.7</v>
      </c>
      <c r="BD32" s="250" t="n">
        <v>534</v>
      </c>
      <c r="BE32" s="250" t="n">
        <v>528</v>
      </c>
      <c r="BF32" s="250" t="n">
        <v>506.1</v>
      </c>
      <c r="BG32" s="250" t="n">
        <v>536.9</v>
      </c>
      <c r="BH32" s="250" t="n">
        <v>528</v>
      </c>
      <c r="BI32" s="250" t="n">
        <v>528</v>
      </c>
      <c r="BJ32" s="34" t="n"/>
      <c r="BK32" s="34" t="n"/>
      <c r="BL32" s="47" t="n"/>
      <c r="BM32" s="47" t="n"/>
      <c r="BN32" s="47" t="n"/>
      <c r="BO32" s="47" t="n"/>
    </row>
    <row r="33" ht="15.5" customHeight="1" s="213">
      <c r="B33" s="41" t="inlineStr">
        <is>
          <t xml:space="preserve">     Petroleum</t>
        </is>
      </c>
      <c r="C33" s="249">
        <f>BB33/1000</f>
        <v/>
      </c>
      <c r="D33" s="249">
        <f>BC33/1000</f>
        <v/>
      </c>
      <c r="E33" s="249">
        <f>BD33/1000</f>
        <v/>
      </c>
      <c r="F33" s="249">
        <f>BE33/1000</f>
        <v/>
      </c>
      <c r="G33" s="249">
        <f>BF33/1000</f>
        <v/>
      </c>
      <c r="H33" s="249">
        <f>BG33/1000</f>
        <v/>
      </c>
      <c r="I33" s="249">
        <f>BH33/1000</f>
        <v/>
      </c>
      <c r="J33" s="249">
        <f>BI33/1000</f>
        <v/>
      </c>
      <c r="K33" s="34" t="n"/>
      <c r="L33" s="34" t="n"/>
      <c r="M33" s="47" t="n">
        <v>5.937</v>
      </c>
      <c r="N33" s="47" t="n">
        <v>5.845</v>
      </c>
      <c r="O33" s="47" t="n">
        <v>5.575</v>
      </c>
      <c r="P33" s="47" t="n">
        <v>5.276</v>
      </c>
      <c r="Q33" s="47" t="n">
        <v>5.363</v>
      </c>
      <c r="R33" s="47" t="n">
        <v>6.645</v>
      </c>
      <c r="S33" s="47" t="n">
        <v>5.654</v>
      </c>
      <c r="T33" s="47" t="n"/>
      <c r="V33" s="41" t="inlineStr">
        <is>
          <t xml:space="preserve">     Petroleum</t>
        </is>
      </c>
      <c r="W33" s="250">
        <f>D33/M33</f>
        <v/>
      </c>
      <c r="X33" s="250">
        <f>E33/N33</f>
        <v/>
      </c>
      <c r="Y33" s="250">
        <f>F33/O33</f>
        <v/>
      </c>
      <c r="Z33" s="250">
        <f>G33/P33</f>
        <v/>
      </c>
      <c r="AA33" s="250">
        <f>H33/Q33</f>
        <v/>
      </c>
      <c r="AB33" s="251">
        <f>I33/R33</f>
        <v/>
      </c>
      <c r="AC33" s="251">
        <f>J33/S33</f>
        <v/>
      </c>
      <c r="AD33" s="34" t="n"/>
      <c r="AE33" s="34" t="n"/>
      <c r="AF33" s="250">
        <f>W33</f>
        <v/>
      </c>
      <c r="AG33" s="250">
        <f>X33</f>
        <v/>
      </c>
      <c r="AH33" s="250">
        <f>Y33</f>
        <v/>
      </c>
      <c r="AI33" s="250">
        <f>Z33</f>
        <v/>
      </c>
      <c r="AJ33" s="250">
        <f>AA33</f>
        <v/>
      </c>
      <c r="AK33" s="252">
        <f>AB33*1.15</f>
        <v/>
      </c>
      <c r="AL33" s="252">
        <f>AC33*1.15</f>
        <v/>
      </c>
      <c r="AM33" s="34" t="n"/>
      <c r="AN33" s="34" t="n"/>
      <c r="AO33" s="250">
        <f>W33</f>
        <v/>
      </c>
      <c r="AP33" s="250">
        <f>X33</f>
        <v/>
      </c>
      <c r="AQ33" s="250">
        <f>Y33</f>
        <v/>
      </c>
      <c r="AR33" s="250">
        <f>Z33</f>
        <v/>
      </c>
      <c r="AS33" s="250">
        <f>AA33</f>
        <v/>
      </c>
      <c r="AT33" s="252">
        <f>AB33*0.85</f>
        <v/>
      </c>
      <c r="AU33" s="252">
        <f>AC33*0.85</f>
        <v/>
      </c>
      <c r="BA33" s="41" t="inlineStr">
        <is>
          <t xml:space="preserve">     Petroleum</t>
        </is>
      </c>
      <c r="BB33" s="249" t="n">
        <v>88</v>
      </c>
      <c r="BC33" s="250" t="n">
        <v>81.40000000000001</v>
      </c>
      <c r="BD33" s="250" t="n">
        <v>79</v>
      </c>
      <c r="BE33" s="250" t="n">
        <v>78.5</v>
      </c>
      <c r="BF33" s="250" t="n">
        <v>76.40000000000001</v>
      </c>
      <c r="BG33" s="250" t="n">
        <v>78.7</v>
      </c>
      <c r="BH33" s="250" t="n">
        <v>78.5</v>
      </c>
      <c r="BI33" s="250" t="n">
        <v>78.5</v>
      </c>
      <c r="BJ33" s="34" t="n"/>
      <c r="BK33" s="34" t="n"/>
      <c r="BL33" s="47" t="n"/>
      <c r="BM33" s="47" t="n"/>
      <c r="BN33" s="47" t="n"/>
      <c r="BO33" s="47" t="n"/>
    </row>
    <row r="34" ht="15.5" customHeight="1" s="213">
      <c r="A34" s="33" t="inlineStr">
        <is>
          <t>China</t>
        </is>
      </c>
      <c r="B34" s="41" t="inlineStr">
        <is>
          <t xml:space="preserve">     Total Energy</t>
        </is>
      </c>
      <c r="C34" s="249">
        <f>BB34/1000</f>
        <v/>
      </c>
      <c r="D34" s="249">
        <f>BC34/1000</f>
        <v/>
      </c>
      <c r="E34" s="249">
        <f>BD34/1000</f>
        <v/>
      </c>
      <c r="F34" s="249">
        <f>BE34/1000</f>
        <v/>
      </c>
      <c r="G34" s="249">
        <f>BF34/1000</f>
        <v/>
      </c>
      <c r="H34" s="249">
        <f>BG34/1000</f>
        <v/>
      </c>
      <c r="I34" s="249">
        <f>BH34/1000</f>
        <v/>
      </c>
      <c r="J34" s="249">
        <f>BI34/1000</f>
        <v/>
      </c>
      <c r="K34" s="34" t="n"/>
      <c r="L34" s="34" t="n"/>
      <c r="M34" s="47" t="n">
        <v>5.937</v>
      </c>
      <c r="N34" s="47" t="n">
        <v>5.845</v>
      </c>
      <c r="O34" s="47" t="n">
        <v>5.575</v>
      </c>
      <c r="P34" s="47" t="n">
        <v>5.276</v>
      </c>
      <c r="Q34" s="47" t="n">
        <v>5.363</v>
      </c>
      <c r="R34" s="47" t="n">
        <v>6.645</v>
      </c>
      <c r="S34" s="47" t="n">
        <v>5.654</v>
      </c>
      <c r="T34" s="47" t="n"/>
      <c r="U34" s="33" t="inlineStr">
        <is>
          <t>China</t>
        </is>
      </c>
      <c r="V34" s="41" t="inlineStr">
        <is>
          <t xml:space="preserve">     Total Energy</t>
        </is>
      </c>
      <c r="W34" s="250">
        <f>D34/M34</f>
        <v/>
      </c>
      <c r="X34" s="250">
        <f>E34/N34</f>
        <v/>
      </c>
      <c r="Y34" s="250">
        <f>F34/O34</f>
        <v/>
      </c>
      <c r="Z34" s="250">
        <f>G34/P34</f>
        <v/>
      </c>
      <c r="AA34" s="250">
        <f>H34/Q34</f>
        <v/>
      </c>
      <c r="AB34" s="251">
        <f>I34/R34</f>
        <v/>
      </c>
      <c r="AC34" s="251">
        <f>J34/S34</f>
        <v/>
      </c>
      <c r="AD34" s="34" t="n"/>
      <c r="AE34" s="34" t="n"/>
      <c r="AF34" s="250">
        <f>W34</f>
        <v/>
      </c>
      <c r="AG34" s="250">
        <f>X34</f>
        <v/>
      </c>
      <c r="AH34" s="250">
        <f>Y34</f>
        <v/>
      </c>
      <c r="AI34" s="250">
        <f>Z34</f>
        <v/>
      </c>
      <c r="AJ34" s="250">
        <f>AA34</f>
        <v/>
      </c>
      <c r="AK34" s="252">
        <f>AB34*1.15</f>
        <v/>
      </c>
      <c r="AL34" s="252">
        <f>AC34*1.15</f>
        <v/>
      </c>
      <c r="AM34" s="34" t="n"/>
      <c r="AN34" s="34" t="n"/>
      <c r="AO34" s="250">
        <f>W34</f>
        <v/>
      </c>
      <c r="AP34" s="250">
        <f>X34</f>
        <v/>
      </c>
      <c r="AQ34" s="250">
        <f>Y34</f>
        <v/>
      </c>
      <c r="AR34" s="250">
        <f>Z34</f>
        <v/>
      </c>
      <c r="AS34" s="250">
        <f>AA34</f>
        <v/>
      </c>
      <c r="AT34" s="252">
        <f>AB34*0.85</f>
        <v/>
      </c>
      <c r="AU34" s="252">
        <f>AC34*0.85</f>
        <v/>
      </c>
      <c r="AZ34" s="33" t="inlineStr">
        <is>
          <t>China</t>
        </is>
      </c>
      <c r="BA34" s="41" t="inlineStr">
        <is>
          <t xml:space="preserve">     Total Energy</t>
        </is>
      </c>
      <c r="BB34" s="249" t="n">
        <v>921.7</v>
      </c>
      <c r="BC34" s="250" t="n">
        <v>872.1</v>
      </c>
      <c r="BD34" s="250" t="n">
        <v>831.3</v>
      </c>
      <c r="BE34" s="250" t="n">
        <v>821.8</v>
      </c>
      <c r="BF34" s="250" t="n">
        <v>794</v>
      </c>
      <c r="BG34" s="250" t="n">
        <v>835</v>
      </c>
      <c r="BH34" s="250" t="n">
        <v>821.8</v>
      </c>
      <c r="BI34" s="250" t="n">
        <v>821.8</v>
      </c>
      <c r="BJ34" s="34" t="n"/>
      <c r="BK34" s="34" t="n"/>
      <c r="BL34" s="47" t="n"/>
      <c r="BM34" s="47" t="n"/>
      <c r="BN34" s="47" t="n"/>
      <c r="BO34" s="47" t="n"/>
    </row>
    <row r="35" ht="15.5" customHeight="1" s="213">
      <c r="B35" s="41" t="inlineStr">
        <is>
          <t xml:space="preserve">     Fossil fuels</t>
        </is>
      </c>
      <c r="C35" s="249">
        <f>BB35/1000</f>
        <v/>
      </c>
      <c r="D35" s="249">
        <f>BC35/1000</f>
        <v/>
      </c>
      <c r="E35" s="249">
        <f>BD35/1000</f>
        <v/>
      </c>
      <c r="F35" s="249">
        <f>BE35/1000</f>
        <v/>
      </c>
      <c r="G35" s="249">
        <f>BF35/1000</f>
        <v/>
      </c>
      <c r="H35" s="249">
        <f>BG35/1000</f>
        <v/>
      </c>
      <c r="I35" s="249">
        <f>BH35/1000</f>
        <v/>
      </c>
      <c r="J35" s="249">
        <f>BI35/1000</f>
        <v/>
      </c>
      <c r="K35" s="34" t="n"/>
      <c r="L35" s="34" t="n"/>
      <c r="M35" s="47" t="n">
        <v>5.937</v>
      </c>
      <c r="N35" s="47" t="n">
        <v>5.845</v>
      </c>
      <c r="O35" s="47" t="n">
        <v>5.575</v>
      </c>
      <c r="P35" s="47" t="n">
        <v>5.276</v>
      </c>
      <c r="Q35" s="47" t="n">
        <v>5.363</v>
      </c>
      <c r="R35" s="47" t="n">
        <v>6.645</v>
      </c>
      <c r="S35" s="47" t="n">
        <v>5.654</v>
      </c>
      <c r="T35" s="47" t="n"/>
      <c r="V35" s="41" t="inlineStr">
        <is>
          <t xml:space="preserve">     Fossil fuels</t>
        </is>
      </c>
      <c r="W35" s="250">
        <f>D35/M35</f>
        <v/>
      </c>
      <c r="X35" s="250">
        <f>E35/N35</f>
        <v/>
      </c>
      <c r="Y35" s="250">
        <f>F35/O35</f>
        <v/>
      </c>
      <c r="Z35" s="250">
        <f>G35/P35</f>
        <v/>
      </c>
      <c r="AA35" s="250">
        <f>H35/Q35</f>
        <v/>
      </c>
      <c r="AB35" s="251">
        <f>I35/R35</f>
        <v/>
      </c>
      <c r="AC35" s="251">
        <f>J35/S35</f>
        <v/>
      </c>
      <c r="AD35" s="34" t="n"/>
      <c r="AE35" s="34" t="n"/>
      <c r="AF35" s="250">
        <f>W35</f>
        <v/>
      </c>
      <c r="AG35" s="250">
        <f>X35</f>
        <v/>
      </c>
      <c r="AH35" s="250">
        <f>Y35</f>
        <v/>
      </c>
      <c r="AI35" s="250">
        <f>Z35</f>
        <v/>
      </c>
      <c r="AJ35" s="250">
        <f>AA35</f>
        <v/>
      </c>
      <c r="AK35" s="252">
        <f>AB35*1.15</f>
        <v/>
      </c>
      <c r="AL35" s="252">
        <f>AC35*1.15</f>
        <v/>
      </c>
      <c r="AM35" s="34" t="n"/>
      <c r="AN35" s="34" t="n"/>
      <c r="AO35" s="250">
        <f>W35</f>
        <v/>
      </c>
      <c r="AP35" s="250">
        <f>X35</f>
        <v/>
      </c>
      <c r="AQ35" s="250">
        <f>Y35</f>
        <v/>
      </c>
      <c r="AR35" s="250">
        <f>Z35</f>
        <v/>
      </c>
      <c r="AS35" s="250">
        <f>AA35</f>
        <v/>
      </c>
      <c r="AT35" s="252">
        <f>AB35*0.85</f>
        <v/>
      </c>
      <c r="AU35" s="252">
        <f>AC35*0.85</f>
        <v/>
      </c>
      <c r="BA35" s="41" t="inlineStr">
        <is>
          <t xml:space="preserve">     Fossil fuels</t>
        </is>
      </c>
      <c r="BB35" s="249" t="n">
        <v>842.2</v>
      </c>
      <c r="BC35" s="250" t="n">
        <v>801.8</v>
      </c>
      <c r="BD35" s="250" t="n">
        <v>764.8</v>
      </c>
      <c r="BE35" s="250" t="n">
        <v>756.2</v>
      </c>
      <c r="BF35" s="250" t="n">
        <v>730.2</v>
      </c>
      <c r="BG35" s="250" t="n">
        <v>769.1</v>
      </c>
      <c r="BH35" s="250" t="n">
        <v>756.2</v>
      </c>
      <c r="BI35" s="250" t="n">
        <v>756.2</v>
      </c>
      <c r="BJ35" s="34" t="n"/>
      <c r="BK35" s="34" t="n"/>
      <c r="BL35" s="47" t="n"/>
      <c r="BM35" s="47" t="n"/>
      <c r="BN35" s="47" t="n"/>
      <c r="BO35" s="47" t="n"/>
    </row>
    <row r="36" ht="15.5" customHeight="1" s="213">
      <c r="B36" s="41" t="inlineStr">
        <is>
          <t xml:space="preserve">     Coal</t>
        </is>
      </c>
      <c r="C36" s="249">
        <f>BB36/1000</f>
        <v/>
      </c>
      <c r="D36" s="249">
        <f>BC36/1000</f>
        <v/>
      </c>
      <c r="E36" s="249">
        <f>BD36/1000</f>
        <v/>
      </c>
      <c r="F36" s="249">
        <f>BE36/1000</f>
        <v/>
      </c>
      <c r="G36" s="249">
        <f>BF36/1000</f>
        <v/>
      </c>
      <c r="H36" s="249">
        <f>BG36/1000</f>
        <v/>
      </c>
      <c r="I36" s="249">
        <f>BH36/1000</f>
        <v/>
      </c>
      <c r="J36" s="249">
        <f>BI36/1000</f>
        <v/>
      </c>
      <c r="K36" s="34" t="n"/>
      <c r="L36" s="34" t="n"/>
      <c r="M36" s="47" t="n">
        <v>5.937</v>
      </c>
      <c r="N36" s="47" t="n">
        <v>5.845</v>
      </c>
      <c r="O36" s="47" t="n">
        <v>5.575</v>
      </c>
      <c r="P36" s="47" t="n">
        <v>5.276</v>
      </c>
      <c r="Q36" s="47" t="n">
        <v>5.363</v>
      </c>
      <c r="R36" s="47" t="n">
        <v>6.645</v>
      </c>
      <c r="S36" s="47" t="n">
        <v>5.654</v>
      </c>
      <c r="T36" s="47" t="n"/>
      <c r="V36" s="41" t="inlineStr">
        <is>
          <t xml:space="preserve">     Coal</t>
        </is>
      </c>
      <c r="W36" s="250">
        <f>D36/M36</f>
        <v/>
      </c>
      <c r="X36" s="250">
        <f>E36/N36</f>
        <v/>
      </c>
      <c r="Y36" s="250">
        <f>F36/O36</f>
        <v/>
      </c>
      <c r="Z36" s="250">
        <f>G36/P36</f>
        <v/>
      </c>
      <c r="AA36" s="250">
        <f>H36/Q36</f>
        <v/>
      </c>
      <c r="AB36" s="251">
        <f>I36/R36</f>
        <v/>
      </c>
      <c r="AC36" s="251">
        <f>J36/S36</f>
        <v/>
      </c>
      <c r="AD36" s="34" t="n"/>
      <c r="AE36" s="34" t="n"/>
      <c r="AF36" s="250">
        <f>W36</f>
        <v/>
      </c>
      <c r="AG36" s="250">
        <f>X36</f>
        <v/>
      </c>
      <c r="AH36" s="250">
        <f>Y36</f>
        <v/>
      </c>
      <c r="AI36" s="250">
        <f>Z36</f>
        <v/>
      </c>
      <c r="AJ36" s="250">
        <f>AA36</f>
        <v/>
      </c>
      <c r="AK36" s="252">
        <f>AB36*1.15</f>
        <v/>
      </c>
      <c r="AL36" s="252">
        <f>AC36*1.15</f>
        <v/>
      </c>
      <c r="AM36" s="34" t="n"/>
      <c r="AN36" s="34" t="n"/>
      <c r="AO36" s="250">
        <f>W36</f>
        <v/>
      </c>
      <c r="AP36" s="250">
        <f>X36</f>
        <v/>
      </c>
      <c r="AQ36" s="250">
        <f>Y36</f>
        <v/>
      </c>
      <c r="AR36" s="250">
        <f>Z36</f>
        <v/>
      </c>
      <c r="AS36" s="250">
        <f>AA36</f>
        <v/>
      </c>
      <c r="AT36" s="252">
        <f>AB36*0.85</f>
        <v/>
      </c>
      <c r="AU36" s="252">
        <f>AC36*0.85</f>
        <v/>
      </c>
      <c r="BA36" s="41" t="inlineStr">
        <is>
          <t xml:space="preserve">     Coal</t>
        </is>
      </c>
      <c r="BB36" s="249" t="n">
        <v>269.4</v>
      </c>
      <c r="BC36" s="250" t="n">
        <v>240.1</v>
      </c>
      <c r="BD36" s="250" t="n">
        <v>227.8</v>
      </c>
      <c r="BE36" s="250" t="n">
        <v>224.9</v>
      </c>
      <c r="BF36" s="250" t="n">
        <v>221.7</v>
      </c>
      <c r="BG36" s="250" t="n">
        <v>229.6</v>
      </c>
      <c r="BH36" s="250" t="n">
        <v>224.9</v>
      </c>
      <c r="BI36" s="250" t="n">
        <v>224.9</v>
      </c>
      <c r="BJ36" s="34" t="n"/>
      <c r="BK36" s="34" t="n"/>
      <c r="BL36" s="47" t="n"/>
      <c r="BM36" s="47" t="n"/>
      <c r="BN36" s="47" t="n"/>
      <c r="BO36" s="47" t="n"/>
    </row>
    <row r="37" ht="15.5" customHeight="1" s="213">
      <c r="B37" s="41" t="inlineStr">
        <is>
          <t xml:space="preserve">     Natural gas</t>
        </is>
      </c>
      <c r="C37" s="249">
        <f>BB37/1000</f>
        <v/>
      </c>
      <c r="D37" s="249">
        <f>BC37/1000</f>
        <v/>
      </c>
      <c r="E37" s="249">
        <f>BD37/1000</f>
        <v/>
      </c>
      <c r="F37" s="249">
        <f>BE37/1000</f>
        <v/>
      </c>
      <c r="G37" s="249">
        <f>BF37/1000</f>
        <v/>
      </c>
      <c r="H37" s="249">
        <f>BG37/1000</f>
        <v/>
      </c>
      <c r="I37" s="249">
        <f>BH37/1000</f>
        <v/>
      </c>
      <c r="J37" s="249">
        <f>BI37/1000</f>
        <v/>
      </c>
      <c r="K37" s="34" t="n"/>
      <c r="L37" s="34" t="n"/>
      <c r="M37" s="47" t="n">
        <v>5.937</v>
      </c>
      <c r="N37" s="47" t="n">
        <v>5.845</v>
      </c>
      <c r="O37" s="47" t="n">
        <v>5.575</v>
      </c>
      <c r="P37" s="47" t="n">
        <v>5.276</v>
      </c>
      <c r="Q37" s="47" t="n">
        <v>5.363</v>
      </c>
      <c r="R37" s="47" t="n">
        <v>6.645</v>
      </c>
      <c r="S37" s="47" t="n">
        <v>5.654</v>
      </c>
      <c r="T37" s="47" t="n"/>
      <c r="V37" s="41" t="inlineStr">
        <is>
          <t xml:space="preserve">     Natural gas</t>
        </is>
      </c>
      <c r="W37" s="250">
        <f>D37/M37</f>
        <v/>
      </c>
      <c r="X37" s="250">
        <f>E37/N37</f>
        <v/>
      </c>
      <c r="Y37" s="250">
        <f>F37/O37</f>
        <v/>
      </c>
      <c r="Z37" s="250">
        <f>G37/P37</f>
        <v/>
      </c>
      <c r="AA37" s="250">
        <f>H37/Q37</f>
        <v/>
      </c>
      <c r="AB37" s="251">
        <f>I37/R37</f>
        <v/>
      </c>
      <c r="AC37" s="251">
        <f>J37/S37</f>
        <v/>
      </c>
      <c r="AD37" s="34" t="n"/>
      <c r="AE37" s="34" t="n"/>
      <c r="AF37" s="250">
        <f>W37</f>
        <v/>
      </c>
      <c r="AG37" s="250">
        <f>X37</f>
        <v/>
      </c>
      <c r="AH37" s="250">
        <f>Y37</f>
        <v/>
      </c>
      <c r="AI37" s="250">
        <f>Z37</f>
        <v/>
      </c>
      <c r="AJ37" s="250">
        <f>AA37</f>
        <v/>
      </c>
      <c r="AK37" s="252">
        <f>AB37*1.15</f>
        <v/>
      </c>
      <c r="AL37" s="252">
        <f>AC37*1.15</f>
        <v/>
      </c>
      <c r="AM37" s="34" t="n"/>
      <c r="AN37" s="34" t="n"/>
      <c r="AO37" s="250">
        <f>W37</f>
        <v/>
      </c>
      <c r="AP37" s="250">
        <f>X37</f>
        <v/>
      </c>
      <c r="AQ37" s="250">
        <f>Y37</f>
        <v/>
      </c>
      <c r="AR37" s="250">
        <f>Z37</f>
        <v/>
      </c>
      <c r="AS37" s="250">
        <f>AA37</f>
        <v/>
      </c>
      <c r="AT37" s="252">
        <f>AB37*0.85</f>
        <v/>
      </c>
      <c r="AU37" s="252">
        <f>AC37*0.85</f>
        <v/>
      </c>
      <c r="BA37" s="41" t="inlineStr">
        <is>
          <t xml:space="preserve">     Natural gas</t>
        </is>
      </c>
      <c r="BB37" s="249" t="n">
        <v>527.3</v>
      </c>
      <c r="BC37" s="250" t="n">
        <v>516.7</v>
      </c>
      <c r="BD37" s="250" t="n">
        <v>493.1</v>
      </c>
      <c r="BE37" s="250" t="n">
        <v>487.5</v>
      </c>
      <c r="BF37" s="250" t="n">
        <v>465.3</v>
      </c>
      <c r="BG37" s="250" t="n">
        <v>494.6</v>
      </c>
      <c r="BH37" s="250" t="n">
        <v>487.5</v>
      </c>
      <c r="BI37" s="250" t="n">
        <v>487.5</v>
      </c>
      <c r="BJ37" s="34" t="n"/>
      <c r="BK37" s="34" t="n"/>
      <c r="BL37" s="47" t="n"/>
      <c r="BM37" s="47" t="n"/>
      <c r="BN37" s="47" t="n"/>
      <c r="BO37" s="47" t="n"/>
    </row>
    <row r="38" ht="15.5" customHeight="1" s="213">
      <c r="B38" s="41" t="inlineStr">
        <is>
          <t xml:space="preserve">     Petroleum</t>
        </is>
      </c>
      <c r="C38" s="249">
        <f>BB38/1000</f>
        <v/>
      </c>
      <c r="D38" s="249">
        <f>BC38/1000</f>
        <v/>
      </c>
      <c r="E38" s="249">
        <f>BD38/1000</f>
        <v/>
      </c>
      <c r="F38" s="249">
        <f>BE38/1000</f>
        <v/>
      </c>
      <c r="G38" s="249">
        <f>BF38/1000</f>
        <v/>
      </c>
      <c r="H38" s="249">
        <f>BG38/1000</f>
        <v/>
      </c>
      <c r="I38" s="249">
        <f>BH38/1000</f>
        <v/>
      </c>
      <c r="J38" s="249">
        <f>BI38/1000</f>
        <v/>
      </c>
      <c r="K38" s="34" t="n"/>
      <c r="L38" s="34" t="n"/>
      <c r="M38" s="47" t="n">
        <v>5.937</v>
      </c>
      <c r="N38" s="47" t="n">
        <v>5.845</v>
      </c>
      <c r="O38" s="47" t="n">
        <v>5.575</v>
      </c>
      <c r="P38" s="47" t="n">
        <v>5.276</v>
      </c>
      <c r="Q38" s="47" t="n">
        <v>5.363</v>
      </c>
      <c r="R38" s="47" t="n">
        <v>6.645</v>
      </c>
      <c r="S38" s="47" t="n">
        <v>5.654</v>
      </c>
      <c r="T38" s="47" t="n"/>
      <c r="V38" s="41" t="inlineStr">
        <is>
          <t xml:space="preserve">     Petroleum</t>
        </is>
      </c>
      <c r="W38" s="250">
        <f>D38/M38</f>
        <v/>
      </c>
      <c r="X38" s="250">
        <f>E38/N38</f>
        <v/>
      </c>
      <c r="Y38" s="250">
        <f>F38/O38</f>
        <v/>
      </c>
      <c r="Z38" s="250">
        <f>G38/P38</f>
        <v/>
      </c>
      <c r="AA38" s="250">
        <f>H38/Q38</f>
        <v/>
      </c>
      <c r="AB38" s="251">
        <f>I38/R38</f>
        <v/>
      </c>
      <c r="AC38" s="251">
        <f>J38/S38</f>
        <v/>
      </c>
      <c r="AD38" s="34" t="n"/>
      <c r="AE38" s="34" t="n"/>
      <c r="AF38" s="250">
        <f>W38</f>
        <v/>
      </c>
      <c r="AG38" s="250">
        <f>X38</f>
        <v/>
      </c>
      <c r="AH38" s="250">
        <f>Y38</f>
        <v/>
      </c>
      <c r="AI38" s="250">
        <f>Z38</f>
        <v/>
      </c>
      <c r="AJ38" s="250">
        <f>AA38</f>
        <v/>
      </c>
      <c r="AK38" s="252">
        <f>AB38*1.15</f>
        <v/>
      </c>
      <c r="AL38" s="252">
        <f>AC38*1.15</f>
        <v/>
      </c>
      <c r="AM38" s="34" t="n"/>
      <c r="AN38" s="34" t="n"/>
      <c r="AO38" s="250">
        <f>W38</f>
        <v/>
      </c>
      <c r="AP38" s="250">
        <f>X38</f>
        <v/>
      </c>
      <c r="AQ38" s="250">
        <f>Y38</f>
        <v/>
      </c>
      <c r="AR38" s="250">
        <f>Z38</f>
        <v/>
      </c>
      <c r="AS38" s="250">
        <f>AA38</f>
        <v/>
      </c>
      <c r="AT38" s="252">
        <f>AB38*0.85</f>
        <v/>
      </c>
      <c r="AU38" s="252">
        <f>AC38*0.85</f>
        <v/>
      </c>
      <c r="BA38" s="41" t="inlineStr">
        <is>
          <t xml:space="preserve">     Petroleum</t>
        </is>
      </c>
      <c r="BB38" s="249" t="n">
        <v>85.8</v>
      </c>
      <c r="BC38" s="250" t="n">
        <v>79.3</v>
      </c>
      <c r="BD38" s="250" t="n">
        <v>77.09999999999999</v>
      </c>
      <c r="BE38" s="250" t="n">
        <v>76.59999999999999</v>
      </c>
      <c r="BF38" s="250" t="n">
        <v>74.40000000000001</v>
      </c>
      <c r="BG38" s="250" t="n">
        <v>76.7</v>
      </c>
      <c r="BH38" s="250" t="n">
        <v>76.59999999999999</v>
      </c>
      <c r="BI38" s="250" t="n">
        <v>76.59999999999999</v>
      </c>
      <c r="BJ38" s="34" t="n"/>
      <c r="BK38" s="34" t="n"/>
      <c r="BL38" s="47" t="n"/>
      <c r="BM38" s="47" t="n"/>
      <c r="BN38" s="47" t="n"/>
      <c r="BO38" s="47" t="n"/>
    </row>
    <row r="39" ht="15.5" customHeight="1" s="213">
      <c r="A39" s="34" t="n"/>
      <c r="B39" s="34" t="n"/>
      <c r="C39" s="37" t="n"/>
      <c r="D39" s="34" t="n"/>
      <c r="E39" s="34" t="n"/>
      <c r="F39" s="34" t="n"/>
      <c r="G39" s="34" t="n"/>
      <c r="H39" s="34" t="n"/>
      <c r="I39" s="34" t="n"/>
      <c r="J39" s="34" t="n"/>
      <c r="K39" s="34" t="n"/>
      <c r="L39" s="34" t="n"/>
      <c r="M39" s="34" t="n"/>
      <c r="N39" s="34" t="n"/>
      <c r="O39" s="34" t="n"/>
      <c r="P39" s="34" t="n"/>
      <c r="Q39" s="34" t="n"/>
      <c r="R39" s="34" t="n"/>
      <c r="S39" s="34" t="n"/>
      <c r="T39" s="34" t="n"/>
      <c r="AZ39" s="34" t="n"/>
      <c r="BA39" s="34" t="n"/>
      <c r="BB39" s="37" t="n"/>
      <c r="BC39" s="34" t="n"/>
      <c r="BD39" s="34" t="n"/>
      <c r="BE39" s="34" t="n"/>
      <c r="BF39" s="34" t="n"/>
      <c r="BG39" s="34" t="n"/>
      <c r="BH39" s="34" t="n"/>
      <c r="BI39" s="34" t="n"/>
      <c r="BJ39" s="34" t="n"/>
      <c r="BK39" s="34" t="n"/>
      <c r="BL39" s="34" t="n"/>
      <c r="BM39" s="34" t="n"/>
      <c r="BN39" s="34" t="n"/>
      <c r="BO39" s="34" t="n"/>
    </row>
    <row r="40" ht="15.5" customHeight="1" s="213">
      <c r="A40" s="34" t="n"/>
      <c r="B40" s="34" t="n"/>
      <c r="C40" s="37" t="n"/>
      <c r="D40" s="34" t="n"/>
      <c r="E40" s="34" t="n"/>
      <c r="F40" s="34" t="n"/>
      <c r="G40" s="34" t="n"/>
      <c r="H40" s="34" t="n"/>
      <c r="I40" s="34" t="n"/>
      <c r="J40" s="34" t="n"/>
      <c r="K40" s="34" t="n"/>
      <c r="L40" s="34" t="n"/>
      <c r="M40" s="34" t="n"/>
      <c r="N40" s="34" t="n"/>
      <c r="O40" s="34" t="n"/>
      <c r="P40" s="34" t="n"/>
      <c r="Q40" s="34" t="n"/>
      <c r="R40" s="34" t="n"/>
      <c r="S40" s="34" t="n"/>
      <c r="T40" s="34" t="n"/>
      <c r="AZ40" s="34" t="n"/>
      <c r="BA40" s="34" t="n"/>
      <c r="BB40" s="37" t="n"/>
      <c r="BC40" s="34" t="n"/>
      <c r="BD40" s="34" t="n"/>
      <c r="BE40" s="34" t="n"/>
      <c r="BF40" s="34" t="n"/>
      <c r="BG40" s="34" t="n"/>
      <c r="BH40" s="34" t="n"/>
      <c r="BI40" s="34" t="n"/>
      <c r="BJ40" s="34" t="n"/>
      <c r="BK40" s="34" t="n"/>
      <c r="BL40" s="34" t="n"/>
      <c r="BM40" s="34" t="n"/>
      <c r="BN40" s="34" t="n"/>
      <c r="BO40" s="34" t="n"/>
    </row>
    <row r="41" ht="15.5" customHeight="1" s="213">
      <c r="A41" s="33" t="inlineStr">
        <is>
          <t xml:space="preserve">Direct </t>
        </is>
      </c>
      <c r="K41" s="34" t="n"/>
      <c r="L41" s="34" t="n"/>
      <c r="M41" s="34" t="n"/>
      <c r="N41" s="34" t="n"/>
      <c r="O41" s="34" t="n"/>
      <c r="P41" s="34" t="n"/>
      <c r="Q41" s="34" t="n"/>
      <c r="R41" s="34" t="n"/>
      <c r="S41" s="34" t="n"/>
      <c r="T41" s="34" t="n"/>
      <c r="AZ41" s="33" t="inlineStr">
        <is>
          <t xml:space="preserve">Direct </t>
        </is>
      </c>
      <c r="BJ41" s="34" t="n"/>
      <c r="BK41" s="34" t="n"/>
      <c r="BL41" s="34" t="n"/>
      <c r="BM41" s="34" t="n"/>
      <c r="BN41" s="34" t="n"/>
      <c r="BO41" s="34" t="n"/>
    </row>
    <row r="42" ht="15.5" customHeight="1" s="213">
      <c r="A42" s="33" t="inlineStr">
        <is>
          <t>Location</t>
        </is>
      </c>
      <c r="B42" s="33" t="inlineStr">
        <is>
          <t xml:space="preserve">Energy use (MJ/kWh battery produced) </t>
        </is>
      </c>
      <c r="C42" s="33" t="inlineStr">
        <is>
          <t xml:space="preserve">Chemistry </t>
        </is>
      </c>
      <c r="K42" s="34" t="n"/>
      <c r="L42" s="34" t="n"/>
      <c r="M42" s="34" t="n"/>
      <c r="N42" s="34" t="n"/>
      <c r="O42" s="34" t="n"/>
      <c r="P42" s="34" t="n"/>
      <c r="Q42" s="34" t="n"/>
      <c r="R42" s="34" t="n"/>
      <c r="S42" s="34" t="n"/>
      <c r="T42" s="34" t="n"/>
      <c r="AZ42" s="33" t="inlineStr">
        <is>
          <t>Location</t>
        </is>
      </c>
      <c r="BA42" s="33" t="inlineStr">
        <is>
          <t xml:space="preserve">Energy use (MJ/kWh battery produced) </t>
        </is>
      </c>
      <c r="BB42" s="33" t="inlineStr">
        <is>
          <t xml:space="preserve">Chemistry </t>
        </is>
      </c>
      <c r="BJ42" s="34" t="n"/>
      <c r="BK42" s="34" t="n"/>
      <c r="BL42" s="34" t="n"/>
      <c r="BM42" s="34" t="n"/>
      <c r="BN42" s="34" t="n"/>
      <c r="BO42" s="34" t="n"/>
    </row>
    <row r="43" ht="30" customHeight="1" s="213">
      <c r="C43" s="37" t="inlineStr">
        <is>
          <t xml:space="preserve">LCO </t>
        </is>
      </c>
      <c r="D43" s="34" t="inlineStr">
        <is>
          <t>NMC111</t>
        </is>
      </c>
      <c r="E43" s="34" t="inlineStr">
        <is>
          <t>NMC532</t>
        </is>
      </c>
      <c r="F43" s="38" t="inlineStr">
        <is>
          <t>NMC622</t>
        </is>
      </c>
      <c r="G43" s="34" t="inlineStr">
        <is>
          <t>NMC811</t>
        </is>
      </c>
      <c r="H43" s="34" t="inlineStr">
        <is>
          <t>NCA</t>
        </is>
      </c>
      <c r="I43" s="34" t="inlineStr">
        <is>
          <t xml:space="preserve">LMO </t>
        </is>
      </c>
      <c r="J43" s="34" t="inlineStr">
        <is>
          <t xml:space="preserve">LFP </t>
        </is>
      </c>
      <c r="K43" s="34" t="n"/>
      <c r="L43" s="34" t="n"/>
      <c r="M43" s="34" t="inlineStr">
        <is>
          <t>NMC111</t>
        </is>
      </c>
      <c r="N43" s="34" t="inlineStr">
        <is>
          <t>NMC532</t>
        </is>
      </c>
      <c r="O43" s="34" t="inlineStr">
        <is>
          <t>NMC622</t>
        </is>
      </c>
      <c r="P43" s="34" t="inlineStr">
        <is>
          <t>NMC811</t>
        </is>
      </c>
      <c r="Q43" s="34" t="inlineStr">
        <is>
          <t>NCA</t>
        </is>
      </c>
      <c r="R43" s="34" t="inlineStr">
        <is>
          <t xml:space="preserve">LMO </t>
        </is>
      </c>
      <c r="S43" s="34" t="inlineStr">
        <is>
          <t xml:space="preserve">LFP </t>
        </is>
      </c>
      <c r="T43" s="34" t="n"/>
      <c r="U43" s="34" t="n"/>
      <c r="V43" s="36" t="inlineStr">
        <is>
          <t>PJ/ktonne</t>
        </is>
      </c>
      <c r="W43" s="34" t="inlineStr">
        <is>
          <t>NMC111</t>
        </is>
      </c>
      <c r="X43" s="34" t="inlineStr">
        <is>
          <t>NMC532</t>
        </is>
      </c>
      <c r="Y43" s="38" t="inlineStr">
        <is>
          <t>NMC622</t>
        </is>
      </c>
      <c r="Z43" s="34" t="inlineStr">
        <is>
          <t>NMC811</t>
        </is>
      </c>
      <c r="AA43" s="34" t="inlineStr">
        <is>
          <t>NCA</t>
        </is>
      </c>
      <c r="AB43" s="40" t="inlineStr">
        <is>
          <t xml:space="preserve">LMO </t>
        </is>
      </c>
      <c r="AC43" s="40" t="inlineStr">
        <is>
          <t xml:space="preserve">LFP </t>
        </is>
      </c>
      <c r="AD43" s="34" t="n"/>
      <c r="AE43" s="34" t="n"/>
      <c r="AF43" s="34" t="inlineStr">
        <is>
          <t>NMC111</t>
        </is>
      </c>
      <c r="AG43" s="34" t="inlineStr">
        <is>
          <t>NMC532</t>
        </is>
      </c>
      <c r="AH43" s="38" t="inlineStr">
        <is>
          <t>NMC622</t>
        </is>
      </c>
      <c r="AI43" s="34" t="inlineStr">
        <is>
          <t>NMC811</t>
        </is>
      </c>
      <c r="AJ43" s="34" t="inlineStr">
        <is>
          <t>NCA</t>
        </is>
      </c>
      <c r="AK43" s="40" t="inlineStr">
        <is>
          <t xml:space="preserve">LMO </t>
        </is>
      </c>
      <c r="AL43" s="40" t="inlineStr">
        <is>
          <t xml:space="preserve">LFP </t>
        </is>
      </c>
      <c r="AO43" s="34" t="inlineStr">
        <is>
          <t>NMC111</t>
        </is>
      </c>
      <c r="AP43" s="34" t="inlineStr">
        <is>
          <t>NMC532</t>
        </is>
      </c>
      <c r="AQ43" s="38" t="inlineStr">
        <is>
          <t>NMC622</t>
        </is>
      </c>
      <c r="AR43" s="34" t="inlineStr">
        <is>
          <t>NMC811</t>
        </is>
      </c>
      <c r="AS43" s="34" t="inlineStr">
        <is>
          <t>NCA</t>
        </is>
      </c>
      <c r="AT43" s="40" t="inlineStr">
        <is>
          <t xml:space="preserve">LMO </t>
        </is>
      </c>
      <c r="AU43" s="40" t="inlineStr">
        <is>
          <t xml:space="preserve">LFP </t>
        </is>
      </c>
      <c r="BB43" s="37" t="inlineStr">
        <is>
          <t xml:space="preserve">LCO </t>
        </is>
      </c>
      <c r="BC43" s="34" t="inlineStr">
        <is>
          <t>NMC111</t>
        </is>
      </c>
      <c r="BD43" s="34" t="inlineStr">
        <is>
          <t>NMC532</t>
        </is>
      </c>
      <c r="BE43" s="38" t="inlineStr">
        <is>
          <t>NMC622</t>
        </is>
      </c>
      <c r="BF43" s="34" t="inlineStr">
        <is>
          <t>NMC811</t>
        </is>
      </c>
      <c r="BG43" s="34" t="inlineStr">
        <is>
          <t>NCA</t>
        </is>
      </c>
      <c r="BH43" s="34" t="inlineStr">
        <is>
          <t xml:space="preserve">LMO </t>
        </is>
      </c>
      <c r="BI43" s="34" t="inlineStr">
        <is>
          <t xml:space="preserve">LFP </t>
        </is>
      </c>
      <c r="BJ43" s="34" t="n"/>
      <c r="BK43" s="34" t="n"/>
      <c r="BL43" s="34" t="n"/>
      <c r="BM43" s="34" t="n"/>
      <c r="BN43" s="34" t="n"/>
      <c r="BO43" s="34" t="n"/>
    </row>
    <row r="44" ht="15.5" customHeight="1" s="213">
      <c r="A44" s="33" t="inlineStr">
        <is>
          <t>US</t>
        </is>
      </c>
      <c r="B44" s="41" t="inlineStr">
        <is>
          <t xml:space="preserve">     Total Energy</t>
        </is>
      </c>
      <c r="C44" s="249">
        <f>BB44/1000</f>
        <v/>
      </c>
      <c r="D44" s="249">
        <f>BC44/1000</f>
        <v/>
      </c>
      <c r="E44" s="249">
        <f>BD44/1000</f>
        <v/>
      </c>
      <c r="F44" s="249">
        <f>BE44/1000</f>
        <v/>
      </c>
      <c r="G44" s="249">
        <f>BF44/1000</f>
        <v/>
      </c>
      <c r="H44" s="249">
        <f>BG44/1000</f>
        <v/>
      </c>
      <c r="I44" s="249">
        <f>BH44/1000</f>
        <v/>
      </c>
      <c r="J44" s="249">
        <f>BI44/1000</f>
        <v/>
      </c>
      <c r="K44" s="34" t="n"/>
      <c r="L44" s="34" t="n"/>
      <c r="M44" s="43" t="n">
        <v>5.937</v>
      </c>
      <c r="N44" s="43" t="n">
        <v>5.845</v>
      </c>
      <c r="O44" s="43" t="n">
        <v>5.575</v>
      </c>
      <c r="P44" s="43" t="n">
        <v>5.276</v>
      </c>
      <c r="Q44" s="43" t="n">
        <v>5.363</v>
      </c>
      <c r="R44" s="43" t="n">
        <v>6.645</v>
      </c>
      <c r="S44" s="43" t="n">
        <v>5.654</v>
      </c>
      <c r="T44" s="43" t="n"/>
      <c r="U44" s="33" t="inlineStr">
        <is>
          <t>US</t>
        </is>
      </c>
      <c r="V44" s="41" t="inlineStr">
        <is>
          <t xml:space="preserve">     Total Energy</t>
        </is>
      </c>
      <c r="W44" s="250">
        <f>D44/M44</f>
        <v/>
      </c>
      <c r="X44" s="250">
        <f>E44/N44</f>
        <v/>
      </c>
      <c r="Y44" s="250">
        <f>F44/O44</f>
        <v/>
      </c>
      <c r="Z44" s="250">
        <f>G44/P44</f>
        <v/>
      </c>
      <c r="AA44" s="250">
        <f>H44/Q44</f>
        <v/>
      </c>
      <c r="AB44" s="251">
        <f>I44/R44</f>
        <v/>
      </c>
      <c r="AC44" s="251">
        <f>J44/S44</f>
        <v/>
      </c>
      <c r="AD44" s="34" t="n"/>
      <c r="AE44" s="34" t="n"/>
      <c r="AF44" s="250">
        <f>W44</f>
        <v/>
      </c>
      <c r="AG44" s="250">
        <f>X44</f>
        <v/>
      </c>
      <c r="AH44" s="250">
        <f>Y44</f>
        <v/>
      </c>
      <c r="AI44" s="250">
        <f>Z44</f>
        <v/>
      </c>
      <c r="AJ44" s="250">
        <f>AA44</f>
        <v/>
      </c>
      <c r="AK44" s="252">
        <f>AB44*1.15</f>
        <v/>
      </c>
      <c r="AL44" s="252">
        <f>AC44*1.15</f>
        <v/>
      </c>
      <c r="AO44" s="250">
        <f>W44</f>
        <v/>
      </c>
      <c r="AP44" s="250">
        <f>X44</f>
        <v/>
      </c>
      <c r="AQ44" s="250">
        <f>Y44</f>
        <v/>
      </c>
      <c r="AR44" s="250">
        <f>Z44</f>
        <v/>
      </c>
      <c r="AS44" s="250">
        <f>AA44</f>
        <v/>
      </c>
      <c r="AT44" s="252">
        <f>AB44*0.85</f>
        <v/>
      </c>
      <c r="AU44" s="252">
        <f>AC44*0.85</f>
        <v/>
      </c>
      <c r="AZ44" s="33" t="inlineStr">
        <is>
          <t>US</t>
        </is>
      </c>
      <c r="BA44" s="41" t="inlineStr">
        <is>
          <t xml:space="preserve">     Total Energy</t>
        </is>
      </c>
      <c r="BB44" s="249" t="n">
        <v>665.2</v>
      </c>
      <c r="BC44" s="250" t="n">
        <v>586.4</v>
      </c>
      <c r="BD44" s="250" t="n">
        <v>567.9</v>
      </c>
      <c r="BE44" s="250" t="n">
        <v>563.6</v>
      </c>
      <c r="BF44" s="250" t="n">
        <v>540.9</v>
      </c>
      <c r="BG44" s="250" t="n">
        <v>552.1</v>
      </c>
      <c r="BH44" s="250" t="n">
        <v>563.6</v>
      </c>
      <c r="BI44" s="250" t="n">
        <v>563.6</v>
      </c>
      <c r="BJ44" s="34" t="n"/>
      <c r="BK44" s="34" t="n"/>
      <c r="BL44" s="43" t="n"/>
      <c r="BM44" s="43" t="n"/>
      <c r="BN44" s="43" t="n"/>
      <c r="BO44" s="43" t="n"/>
    </row>
    <row r="45" ht="15.5" customHeight="1" s="213">
      <c r="B45" s="41" t="inlineStr">
        <is>
          <t xml:space="preserve">     Fossil fuels</t>
        </is>
      </c>
      <c r="C45" s="249">
        <f>BB45/1000</f>
        <v/>
      </c>
      <c r="D45" s="249">
        <f>BC45/1000</f>
        <v/>
      </c>
      <c r="E45" s="249">
        <f>BD45/1000</f>
        <v/>
      </c>
      <c r="F45" s="249">
        <f>BE45/1000</f>
        <v/>
      </c>
      <c r="G45" s="249">
        <f>BF45/1000</f>
        <v/>
      </c>
      <c r="H45" s="249">
        <f>BG45/1000</f>
        <v/>
      </c>
      <c r="I45" s="249">
        <f>BH45/1000</f>
        <v/>
      </c>
      <c r="J45" s="249">
        <f>BI45/1000</f>
        <v/>
      </c>
      <c r="K45" s="34" t="n"/>
      <c r="L45" s="34" t="n"/>
      <c r="M45" s="47" t="n">
        <v>5.937</v>
      </c>
      <c r="N45" s="47" t="n">
        <v>5.845</v>
      </c>
      <c r="O45" s="47" t="n">
        <v>5.575</v>
      </c>
      <c r="P45" s="47" t="n">
        <v>5.276</v>
      </c>
      <c r="Q45" s="47" t="n">
        <v>5.363</v>
      </c>
      <c r="R45" s="47" t="n">
        <v>6.645</v>
      </c>
      <c r="S45" s="47" t="n">
        <v>5.654</v>
      </c>
      <c r="T45" s="47" t="n"/>
      <c r="V45" s="41" t="inlineStr">
        <is>
          <t xml:space="preserve">     Fossil fuels</t>
        </is>
      </c>
      <c r="W45" s="250">
        <f>D45/M45</f>
        <v/>
      </c>
      <c r="X45" s="250">
        <f>E45/N45</f>
        <v/>
      </c>
      <c r="Y45" s="250">
        <f>F45/O45</f>
        <v/>
      </c>
      <c r="Z45" s="250">
        <f>G45/P45</f>
        <v/>
      </c>
      <c r="AA45" s="250">
        <f>H45/Q45</f>
        <v/>
      </c>
      <c r="AB45" s="251">
        <f>I45/R45</f>
        <v/>
      </c>
      <c r="AC45" s="251">
        <f>J45/S45</f>
        <v/>
      </c>
      <c r="AD45" s="34" t="n"/>
      <c r="AE45" s="34" t="n"/>
      <c r="AF45" s="250">
        <f>W45</f>
        <v/>
      </c>
      <c r="AG45" s="250">
        <f>X45</f>
        <v/>
      </c>
      <c r="AH45" s="250">
        <f>Y45</f>
        <v/>
      </c>
      <c r="AI45" s="250">
        <f>Z45</f>
        <v/>
      </c>
      <c r="AJ45" s="250">
        <f>AA45</f>
        <v/>
      </c>
      <c r="AK45" s="252">
        <f>AB45*1.15</f>
        <v/>
      </c>
      <c r="AL45" s="252">
        <f>AC45*1.15</f>
        <v/>
      </c>
      <c r="AO45" s="250">
        <f>W45</f>
        <v/>
      </c>
      <c r="AP45" s="250">
        <f>X45</f>
        <v/>
      </c>
      <c r="AQ45" s="250">
        <f>Y45</f>
        <v/>
      </c>
      <c r="AR45" s="250">
        <f>Z45</f>
        <v/>
      </c>
      <c r="AS45" s="250">
        <f>AA45</f>
        <v/>
      </c>
      <c r="AT45" s="252">
        <f>AB45*0.85</f>
        <v/>
      </c>
      <c r="AU45" s="252">
        <f>AC45*0.85</f>
        <v/>
      </c>
      <c r="BA45" s="41" t="inlineStr">
        <is>
          <t xml:space="preserve">     Fossil fuels</t>
        </is>
      </c>
      <c r="BB45" s="249" t="n">
        <v>609.2</v>
      </c>
      <c r="BC45" s="250" t="n">
        <v>539.6</v>
      </c>
      <c r="BD45" s="250" t="n">
        <v>523.2</v>
      </c>
      <c r="BE45" s="250" t="n">
        <v>519.3</v>
      </c>
      <c r="BF45" s="250" t="n">
        <v>499</v>
      </c>
      <c r="BG45" s="250" t="n">
        <v>509.1</v>
      </c>
      <c r="BH45" s="250" t="n">
        <v>519.3</v>
      </c>
      <c r="BI45" s="250" t="n">
        <v>519.3</v>
      </c>
      <c r="BJ45" s="34" t="n"/>
      <c r="BK45" s="34" t="n"/>
      <c r="BL45" s="47" t="n"/>
      <c r="BM45" s="47" t="n"/>
      <c r="BN45" s="47" t="n"/>
      <c r="BO45" s="47" t="n"/>
    </row>
    <row r="46" ht="15.5" customHeight="1" s="213">
      <c r="B46" s="41" t="inlineStr">
        <is>
          <t xml:space="preserve">     Coal</t>
        </is>
      </c>
      <c r="C46" s="249">
        <f>BB46/1000</f>
        <v/>
      </c>
      <c r="D46" s="249">
        <f>BC46/1000</f>
        <v/>
      </c>
      <c r="E46" s="249">
        <f>BD46/1000</f>
        <v/>
      </c>
      <c r="F46" s="249">
        <f>BE46/1000</f>
        <v/>
      </c>
      <c r="G46" s="249">
        <f>BF46/1000</f>
        <v/>
      </c>
      <c r="H46" s="249">
        <f>BG46/1000</f>
        <v/>
      </c>
      <c r="I46" s="249">
        <f>BH46/1000</f>
        <v/>
      </c>
      <c r="J46" s="249">
        <f>BI46/1000</f>
        <v/>
      </c>
      <c r="K46" s="34" t="n"/>
      <c r="L46" s="34" t="n"/>
      <c r="M46" s="47" t="n">
        <v>5.937</v>
      </c>
      <c r="N46" s="47" t="n">
        <v>5.845</v>
      </c>
      <c r="O46" s="47" t="n">
        <v>5.575</v>
      </c>
      <c r="P46" s="47" t="n">
        <v>5.276</v>
      </c>
      <c r="Q46" s="47" t="n">
        <v>5.363</v>
      </c>
      <c r="R46" s="47" t="n">
        <v>6.645</v>
      </c>
      <c r="S46" s="47" t="n">
        <v>5.654</v>
      </c>
      <c r="T46" s="47" t="n"/>
      <c r="V46" s="41" t="inlineStr">
        <is>
          <t xml:space="preserve">     Coal</t>
        </is>
      </c>
      <c r="W46" s="250">
        <f>D46/M46</f>
        <v/>
      </c>
      <c r="X46" s="250">
        <f>E46/N46</f>
        <v/>
      </c>
      <c r="Y46" s="250">
        <f>F46/O46</f>
        <v/>
      </c>
      <c r="Z46" s="250">
        <f>G46/P46</f>
        <v/>
      </c>
      <c r="AA46" s="250">
        <f>H46/Q46</f>
        <v/>
      </c>
      <c r="AB46" s="251">
        <f>I46/R46</f>
        <v/>
      </c>
      <c r="AC46" s="251">
        <f>J46/S46</f>
        <v/>
      </c>
      <c r="AD46" s="34" t="n"/>
      <c r="AE46" s="34" t="n"/>
      <c r="AF46" s="250">
        <f>W46</f>
        <v/>
      </c>
      <c r="AG46" s="250">
        <f>X46</f>
        <v/>
      </c>
      <c r="AH46" s="250">
        <f>Y46</f>
        <v/>
      </c>
      <c r="AI46" s="250">
        <f>Z46</f>
        <v/>
      </c>
      <c r="AJ46" s="250">
        <f>AA46</f>
        <v/>
      </c>
      <c r="AK46" s="252">
        <f>AB46*1.15</f>
        <v/>
      </c>
      <c r="AL46" s="252">
        <f>AC46*1.15</f>
        <v/>
      </c>
      <c r="AO46" s="250">
        <f>W46</f>
        <v/>
      </c>
      <c r="AP46" s="250">
        <f>X46</f>
        <v/>
      </c>
      <c r="AQ46" s="250">
        <f>Y46</f>
        <v/>
      </c>
      <c r="AR46" s="250">
        <f>Z46</f>
        <v/>
      </c>
      <c r="AS46" s="250">
        <f>AA46</f>
        <v/>
      </c>
      <c r="AT46" s="252">
        <f>AB46*0.85</f>
        <v/>
      </c>
      <c r="AU46" s="252">
        <f>AC46*0.85</f>
        <v/>
      </c>
      <c r="BA46" s="41" t="inlineStr">
        <is>
          <t xml:space="preserve">     Coal</t>
        </is>
      </c>
      <c r="BB46" s="249" t="n">
        <v>142.9</v>
      </c>
      <c r="BC46" s="250" t="n">
        <v>119.4</v>
      </c>
      <c r="BD46" s="250" t="n">
        <v>114</v>
      </c>
      <c r="BE46" s="250" t="n">
        <v>112.7</v>
      </c>
      <c r="BF46" s="250" t="n">
        <v>106.1</v>
      </c>
      <c r="BG46" s="250" t="n">
        <v>109.4</v>
      </c>
      <c r="BH46" s="250" t="n">
        <v>112.7</v>
      </c>
      <c r="BI46" s="250" t="n">
        <v>112.7</v>
      </c>
      <c r="BJ46" s="34" t="n"/>
      <c r="BK46" s="34" t="n"/>
      <c r="BL46" s="47" t="n"/>
      <c r="BM46" s="47" t="n"/>
      <c r="BN46" s="47" t="n"/>
      <c r="BO46" s="47" t="n"/>
    </row>
    <row r="47" ht="15.5" customHeight="1" s="213">
      <c r="B47" s="41" t="inlineStr">
        <is>
          <t xml:space="preserve">     Natural gas</t>
        </is>
      </c>
      <c r="C47" s="249">
        <f>BB47/1000</f>
        <v/>
      </c>
      <c r="D47" s="249">
        <f>BC47/1000</f>
        <v/>
      </c>
      <c r="E47" s="249">
        <f>BD47/1000</f>
        <v/>
      </c>
      <c r="F47" s="249">
        <f>BE47/1000</f>
        <v/>
      </c>
      <c r="G47" s="249">
        <f>BF47/1000</f>
        <v/>
      </c>
      <c r="H47" s="249">
        <f>BG47/1000</f>
        <v/>
      </c>
      <c r="I47" s="249">
        <f>BH47/1000</f>
        <v/>
      </c>
      <c r="J47" s="249">
        <f>BI47/1000</f>
        <v/>
      </c>
      <c r="K47" s="34" t="n"/>
      <c r="L47" s="34" t="n"/>
      <c r="M47" s="47" t="n">
        <v>5.937</v>
      </c>
      <c r="N47" s="47" t="n">
        <v>5.845</v>
      </c>
      <c r="O47" s="47" t="n">
        <v>5.575</v>
      </c>
      <c r="P47" s="47" t="n">
        <v>5.276</v>
      </c>
      <c r="Q47" s="47" t="n">
        <v>5.363</v>
      </c>
      <c r="R47" s="47" t="n">
        <v>6.645</v>
      </c>
      <c r="S47" s="47" t="n">
        <v>5.654</v>
      </c>
      <c r="T47" s="47" t="n"/>
      <c r="V47" s="41" t="inlineStr">
        <is>
          <t xml:space="preserve">     Natural gas</t>
        </is>
      </c>
      <c r="W47" s="250">
        <f>D47/M47</f>
        <v/>
      </c>
      <c r="X47" s="250">
        <f>E47/N47</f>
        <v/>
      </c>
      <c r="Y47" s="250">
        <f>F47/O47</f>
        <v/>
      </c>
      <c r="Z47" s="250">
        <f>G47/P47</f>
        <v/>
      </c>
      <c r="AA47" s="250">
        <f>H47/Q47</f>
        <v/>
      </c>
      <c r="AB47" s="251">
        <f>I47/R47</f>
        <v/>
      </c>
      <c r="AC47" s="251">
        <f>J47/S47</f>
        <v/>
      </c>
      <c r="AD47" s="34" t="n"/>
      <c r="AE47" s="34" t="n"/>
      <c r="AF47" s="250">
        <f>W47</f>
        <v/>
      </c>
      <c r="AG47" s="250">
        <f>X47</f>
        <v/>
      </c>
      <c r="AH47" s="250">
        <f>Y47</f>
        <v/>
      </c>
      <c r="AI47" s="250">
        <f>Z47</f>
        <v/>
      </c>
      <c r="AJ47" s="250">
        <f>AA47</f>
        <v/>
      </c>
      <c r="AK47" s="252">
        <f>AB47*1.15</f>
        <v/>
      </c>
      <c r="AL47" s="252">
        <f>AC47*1.15</f>
        <v/>
      </c>
      <c r="AO47" s="250">
        <f>W47</f>
        <v/>
      </c>
      <c r="AP47" s="250">
        <f>X47</f>
        <v/>
      </c>
      <c r="AQ47" s="250">
        <f>Y47</f>
        <v/>
      </c>
      <c r="AR47" s="250">
        <f>Z47</f>
        <v/>
      </c>
      <c r="AS47" s="250">
        <f>AA47</f>
        <v/>
      </c>
      <c r="AT47" s="252">
        <f>AB47*0.85</f>
        <v/>
      </c>
      <c r="AU47" s="252">
        <f>AC47*0.85</f>
        <v/>
      </c>
      <c r="BA47" s="41" t="inlineStr">
        <is>
          <t xml:space="preserve">     Natural gas</t>
        </is>
      </c>
      <c r="BB47" s="249" t="n">
        <v>425.6</v>
      </c>
      <c r="BC47" s="250" t="n">
        <v>380.7</v>
      </c>
      <c r="BD47" s="250" t="n">
        <v>370.3</v>
      </c>
      <c r="BE47" s="250" t="n">
        <v>367.9</v>
      </c>
      <c r="BF47" s="250" t="n">
        <v>355.2</v>
      </c>
      <c r="BG47" s="250" t="n">
        <v>361.3</v>
      </c>
      <c r="BH47" s="250" t="n">
        <v>367.9</v>
      </c>
      <c r="BI47" s="250" t="n">
        <v>367.9</v>
      </c>
      <c r="BJ47" s="34" t="n"/>
      <c r="BK47" s="34" t="n"/>
      <c r="BL47" s="47" t="n"/>
      <c r="BM47" s="47" t="n"/>
      <c r="BN47" s="47" t="n"/>
      <c r="BO47" s="47" t="n"/>
    </row>
    <row r="48" ht="15.5" customHeight="1" s="213">
      <c r="B48" s="41" t="inlineStr">
        <is>
          <t xml:space="preserve">     Petroleum</t>
        </is>
      </c>
      <c r="C48" s="249">
        <f>BB48/1000</f>
        <v/>
      </c>
      <c r="D48" s="249">
        <f>BC48/1000</f>
        <v/>
      </c>
      <c r="E48" s="249">
        <f>BD48/1000</f>
        <v/>
      </c>
      <c r="F48" s="249">
        <f>BE48/1000</f>
        <v/>
      </c>
      <c r="G48" s="249">
        <f>BF48/1000</f>
        <v/>
      </c>
      <c r="H48" s="249">
        <f>BG48/1000</f>
        <v/>
      </c>
      <c r="I48" s="249">
        <f>BH48/1000</f>
        <v/>
      </c>
      <c r="J48" s="249">
        <f>BI48/1000</f>
        <v/>
      </c>
      <c r="K48" s="34" t="n"/>
      <c r="L48" s="34" t="n"/>
      <c r="M48" s="47" t="n">
        <v>5.937</v>
      </c>
      <c r="N48" s="47" t="n">
        <v>5.845</v>
      </c>
      <c r="O48" s="47" t="n">
        <v>5.575</v>
      </c>
      <c r="P48" s="47" t="n">
        <v>5.276</v>
      </c>
      <c r="Q48" s="47" t="n">
        <v>5.363</v>
      </c>
      <c r="R48" s="47" t="n">
        <v>6.645</v>
      </c>
      <c r="S48" s="47" t="n">
        <v>5.654</v>
      </c>
      <c r="T48" s="47" t="n"/>
      <c r="V48" s="41" t="inlineStr">
        <is>
          <t xml:space="preserve">     Petroleum</t>
        </is>
      </c>
      <c r="W48" s="250">
        <f>D48/M48</f>
        <v/>
      </c>
      <c r="X48" s="250">
        <f>E48/N48</f>
        <v/>
      </c>
      <c r="Y48" s="250">
        <f>F48/O48</f>
        <v/>
      </c>
      <c r="Z48" s="250">
        <f>G48/P48</f>
        <v/>
      </c>
      <c r="AA48" s="250">
        <f>H48/Q48</f>
        <v/>
      </c>
      <c r="AB48" s="251">
        <f>I48/R48</f>
        <v/>
      </c>
      <c r="AC48" s="251">
        <f>J48/S48</f>
        <v/>
      </c>
      <c r="AD48" s="34" t="n"/>
      <c r="AE48" s="34" t="n"/>
      <c r="AF48" s="250">
        <f>W48</f>
        <v/>
      </c>
      <c r="AG48" s="250">
        <f>X48</f>
        <v/>
      </c>
      <c r="AH48" s="250">
        <f>Y48</f>
        <v/>
      </c>
      <c r="AI48" s="250">
        <f>Z48</f>
        <v/>
      </c>
      <c r="AJ48" s="250">
        <f>AA48</f>
        <v/>
      </c>
      <c r="AK48" s="252">
        <f>AB48*1.15</f>
        <v/>
      </c>
      <c r="AL48" s="252">
        <f>AC48*1.15</f>
        <v/>
      </c>
      <c r="AO48" s="250">
        <f>W48</f>
        <v/>
      </c>
      <c r="AP48" s="250">
        <f>X48</f>
        <v/>
      </c>
      <c r="AQ48" s="250">
        <f>Y48</f>
        <v/>
      </c>
      <c r="AR48" s="250">
        <f>Z48</f>
        <v/>
      </c>
      <c r="AS48" s="250">
        <f>AA48</f>
        <v/>
      </c>
      <c r="AT48" s="252">
        <f>AB48*0.85</f>
        <v/>
      </c>
      <c r="AU48" s="252">
        <f>AC48*0.85</f>
        <v/>
      </c>
      <c r="BA48" s="41" t="inlineStr">
        <is>
          <t xml:space="preserve">     Petroleum</t>
        </is>
      </c>
      <c r="BB48" s="249" t="n">
        <v>84.59999999999999</v>
      </c>
      <c r="BC48" s="250" t="n">
        <v>77</v>
      </c>
      <c r="BD48" s="250" t="n">
        <v>74.90000000000001</v>
      </c>
      <c r="BE48" s="250" t="n">
        <v>74.40000000000001</v>
      </c>
      <c r="BF48" s="250" t="n">
        <v>71.7</v>
      </c>
      <c r="BG48" s="250" t="n">
        <v>73.09999999999999</v>
      </c>
      <c r="BH48" s="250" t="n">
        <v>74.40000000000001</v>
      </c>
      <c r="BI48" s="250" t="n">
        <v>74.40000000000001</v>
      </c>
      <c r="BJ48" s="34" t="n"/>
      <c r="BK48" s="34" t="n"/>
      <c r="BL48" s="47" t="n"/>
      <c r="BM48" s="47" t="n"/>
      <c r="BN48" s="47" t="n"/>
      <c r="BO48" s="47" t="n"/>
    </row>
    <row r="49" ht="15.5" customHeight="1" s="213">
      <c r="A49" s="33" t="inlineStr">
        <is>
          <t>Korea</t>
        </is>
      </c>
      <c r="B49" s="41" t="inlineStr">
        <is>
          <t xml:space="preserve">     Total Energy</t>
        </is>
      </c>
      <c r="C49" s="249">
        <f>BB49/1000</f>
        <v/>
      </c>
      <c r="D49" s="249">
        <f>BC49/1000</f>
        <v/>
      </c>
      <c r="E49" s="249">
        <f>BD49/1000</f>
        <v/>
      </c>
      <c r="F49" s="249">
        <f>BE49/1000</f>
        <v/>
      </c>
      <c r="G49" s="249">
        <f>BF49/1000</f>
        <v/>
      </c>
      <c r="H49" s="249">
        <f>BG49/1000</f>
        <v/>
      </c>
      <c r="I49" s="249">
        <f>BH49/1000</f>
        <v/>
      </c>
      <c r="J49" s="249">
        <f>BI49/1000</f>
        <v/>
      </c>
      <c r="K49" s="34" t="n"/>
      <c r="L49" s="34" t="n"/>
      <c r="M49" s="47" t="n">
        <v>5.937</v>
      </c>
      <c r="N49" s="47" t="n">
        <v>5.845</v>
      </c>
      <c r="O49" s="47" t="n">
        <v>5.575</v>
      </c>
      <c r="P49" s="47" t="n">
        <v>5.276</v>
      </c>
      <c r="Q49" s="47" t="n">
        <v>5.363</v>
      </c>
      <c r="R49" s="47" t="n">
        <v>6.645</v>
      </c>
      <c r="S49" s="47" t="n">
        <v>5.654</v>
      </c>
      <c r="T49" s="47" t="n"/>
      <c r="U49" s="33" t="inlineStr">
        <is>
          <t>Korea</t>
        </is>
      </c>
      <c r="V49" s="41" t="inlineStr">
        <is>
          <t xml:space="preserve">     Total Energy</t>
        </is>
      </c>
      <c r="W49" s="250">
        <f>D49/M49</f>
        <v/>
      </c>
      <c r="X49" s="250">
        <f>E49/N49</f>
        <v/>
      </c>
      <c r="Y49" s="250">
        <f>F49/O49</f>
        <v/>
      </c>
      <c r="Z49" s="250">
        <f>G49/P49</f>
        <v/>
      </c>
      <c r="AA49" s="250">
        <f>H49/Q49</f>
        <v/>
      </c>
      <c r="AB49" s="251">
        <f>I49/R49</f>
        <v/>
      </c>
      <c r="AC49" s="251">
        <f>J49/S49</f>
        <v/>
      </c>
      <c r="AD49" s="34" t="n"/>
      <c r="AE49" s="34" t="n"/>
      <c r="AF49" s="250">
        <f>W49</f>
        <v/>
      </c>
      <c r="AG49" s="250">
        <f>X49</f>
        <v/>
      </c>
      <c r="AH49" s="250">
        <f>Y49</f>
        <v/>
      </c>
      <c r="AI49" s="250">
        <f>Z49</f>
        <v/>
      </c>
      <c r="AJ49" s="250">
        <f>AA49</f>
        <v/>
      </c>
      <c r="AK49" s="252">
        <f>AB49*1.15</f>
        <v/>
      </c>
      <c r="AL49" s="252">
        <f>AC49*1.15</f>
        <v/>
      </c>
      <c r="AO49" s="250">
        <f>W49</f>
        <v/>
      </c>
      <c r="AP49" s="250">
        <f>X49</f>
        <v/>
      </c>
      <c r="AQ49" s="250">
        <f>Y49</f>
        <v/>
      </c>
      <c r="AR49" s="250">
        <f>Z49</f>
        <v/>
      </c>
      <c r="AS49" s="250">
        <f>AA49</f>
        <v/>
      </c>
      <c r="AT49" s="252">
        <f>AB49*0.85</f>
        <v/>
      </c>
      <c r="AU49" s="252">
        <f>AC49*0.85</f>
        <v/>
      </c>
      <c r="AZ49" s="33" t="inlineStr">
        <is>
          <t>Korea</t>
        </is>
      </c>
      <c r="BA49" s="41" t="inlineStr">
        <is>
          <t xml:space="preserve">     Total Energy</t>
        </is>
      </c>
      <c r="BB49" s="249" t="n">
        <v>679.2</v>
      </c>
      <c r="BC49" s="250" t="n">
        <v>598.4</v>
      </c>
      <c r="BD49" s="250" t="n">
        <v>579.4</v>
      </c>
      <c r="BE49" s="250" t="n">
        <v>575</v>
      </c>
      <c r="BF49" s="250" t="n">
        <v>551.7</v>
      </c>
      <c r="BG49" s="250" t="n">
        <v>563.2</v>
      </c>
      <c r="BH49" s="250" t="n">
        <v>575</v>
      </c>
      <c r="BI49" s="250" t="n">
        <v>575</v>
      </c>
      <c r="BJ49" s="34" t="n"/>
      <c r="BK49" s="34" t="n"/>
      <c r="BL49" s="47" t="n"/>
      <c r="BM49" s="47" t="n"/>
      <c r="BN49" s="47" t="n"/>
      <c r="BO49" s="47" t="n"/>
    </row>
    <row r="50" ht="15.5" customHeight="1" s="213">
      <c r="B50" s="41" t="inlineStr">
        <is>
          <t xml:space="preserve">     Fossil fuels</t>
        </is>
      </c>
      <c r="C50" s="249">
        <f>BB50/1000</f>
        <v/>
      </c>
      <c r="D50" s="249">
        <f>BC50/1000</f>
        <v/>
      </c>
      <c r="E50" s="249">
        <f>BD50/1000</f>
        <v/>
      </c>
      <c r="F50" s="249">
        <f>BE50/1000</f>
        <v/>
      </c>
      <c r="G50" s="249">
        <f>BF50/1000</f>
        <v/>
      </c>
      <c r="H50" s="249">
        <f>BG50/1000</f>
        <v/>
      </c>
      <c r="I50" s="249">
        <f>BH50/1000</f>
        <v/>
      </c>
      <c r="J50" s="249">
        <f>BI50/1000</f>
        <v/>
      </c>
      <c r="K50" s="34" t="n"/>
      <c r="L50" s="34" t="n"/>
      <c r="M50" s="47" t="n">
        <v>5.937</v>
      </c>
      <c r="N50" s="47" t="n">
        <v>5.845</v>
      </c>
      <c r="O50" s="47" t="n">
        <v>5.575</v>
      </c>
      <c r="P50" s="47" t="n">
        <v>5.276</v>
      </c>
      <c r="Q50" s="47" t="n">
        <v>5.363</v>
      </c>
      <c r="R50" s="47" t="n">
        <v>6.645</v>
      </c>
      <c r="S50" s="47" t="n">
        <v>5.654</v>
      </c>
      <c r="T50" s="47" t="n"/>
      <c r="V50" s="41" t="inlineStr">
        <is>
          <t xml:space="preserve">     Fossil fuels</t>
        </is>
      </c>
      <c r="W50" s="250">
        <f>D50/M50</f>
        <v/>
      </c>
      <c r="X50" s="250">
        <f>E50/N50</f>
        <v/>
      </c>
      <c r="Y50" s="250">
        <f>F50/O50</f>
        <v/>
      </c>
      <c r="Z50" s="250">
        <f>G50/P50</f>
        <v/>
      </c>
      <c r="AA50" s="250">
        <f>H50/Q50</f>
        <v/>
      </c>
      <c r="AB50" s="251">
        <f>I50/R50</f>
        <v/>
      </c>
      <c r="AC50" s="251">
        <f>J50/S50</f>
        <v/>
      </c>
      <c r="AD50" s="34" t="n"/>
      <c r="AE50" s="34" t="n"/>
      <c r="AF50" s="250">
        <f>W50</f>
        <v/>
      </c>
      <c r="AG50" s="250">
        <f>X50</f>
        <v/>
      </c>
      <c r="AH50" s="250">
        <f>Y50</f>
        <v/>
      </c>
      <c r="AI50" s="250">
        <f>Z50</f>
        <v/>
      </c>
      <c r="AJ50" s="250">
        <f>AA50</f>
        <v/>
      </c>
      <c r="AK50" s="252">
        <f>AB50*1.15</f>
        <v/>
      </c>
      <c r="AL50" s="252">
        <f>AC50*1.15</f>
        <v/>
      </c>
      <c r="AO50" s="250">
        <f>W50</f>
        <v/>
      </c>
      <c r="AP50" s="250">
        <f>X50</f>
        <v/>
      </c>
      <c r="AQ50" s="250">
        <f>Y50</f>
        <v/>
      </c>
      <c r="AR50" s="250">
        <f>Z50</f>
        <v/>
      </c>
      <c r="AS50" s="250">
        <f>AA50</f>
        <v/>
      </c>
      <c r="AT50" s="252">
        <f>AB50*0.85</f>
        <v/>
      </c>
      <c r="AU50" s="252">
        <f>AC50*0.85</f>
        <v/>
      </c>
      <c r="BA50" s="41" t="inlineStr">
        <is>
          <t xml:space="preserve">     Fossil fuels</t>
        </is>
      </c>
      <c r="BB50" s="249" t="n">
        <v>624.1</v>
      </c>
      <c r="BC50" s="250" t="n">
        <v>552.3</v>
      </c>
      <c r="BD50" s="250" t="n">
        <v>535.3</v>
      </c>
      <c r="BE50" s="250" t="n">
        <v>531.4</v>
      </c>
      <c r="BF50" s="250" t="n">
        <v>510.5</v>
      </c>
      <c r="BG50" s="250" t="n">
        <v>520.9</v>
      </c>
      <c r="BH50" s="250" t="n">
        <v>531.4</v>
      </c>
      <c r="BI50" s="250" t="n">
        <v>531.4</v>
      </c>
      <c r="BJ50" s="34" t="n"/>
      <c r="BK50" s="34" t="n"/>
      <c r="BL50" s="47" t="n"/>
      <c r="BM50" s="47" t="n"/>
      <c r="BN50" s="47" t="n"/>
      <c r="BO50" s="47" t="n"/>
    </row>
    <row r="51" ht="15.5" customHeight="1" s="213">
      <c r="B51" s="41" t="inlineStr">
        <is>
          <t xml:space="preserve">     Coal</t>
        </is>
      </c>
      <c r="C51" s="249">
        <f>BB51/1000</f>
        <v/>
      </c>
      <c r="D51" s="249">
        <f>BC51/1000</f>
        <v/>
      </c>
      <c r="E51" s="249">
        <f>BD51/1000</f>
        <v/>
      </c>
      <c r="F51" s="249">
        <f>BE51/1000</f>
        <v/>
      </c>
      <c r="G51" s="249">
        <f>BF51/1000</f>
        <v/>
      </c>
      <c r="H51" s="249">
        <f>BG51/1000</f>
        <v/>
      </c>
      <c r="I51" s="249">
        <f>BH51/1000</f>
        <v/>
      </c>
      <c r="J51" s="249">
        <f>BI51/1000</f>
        <v/>
      </c>
      <c r="K51" s="34" t="n"/>
      <c r="L51" s="34" t="n"/>
      <c r="M51" s="47" t="n">
        <v>5.937</v>
      </c>
      <c r="N51" s="47" t="n">
        <v>5.845</v>
      </c>
      <c r="O51" s="47" t="n">
        <v>5.575</v>
      </c>
      <c r="P51" s="47" t="n">
        <v>5.276</v>
      </c>
      <c r="Q51" s="47" t="n">
        <v>5.363</v>
      </c>
      <c r="R51" s="47" t="n">
        <v>6.645</v>
      </c>
      <c r="S51" s="47" t="n">
        <v>5.654</v>
      </c>
      <c r="T51" s="47" t="n"/>
      <c r="V51" s="41" t="inlineStr">
        <is>
          <t xml:space="preserve">     Coal</t>
        </is>
      </c>
      <c r="W51" s="250">
        <f>D51/M51</f>
        <v/>
      </c>
      <c r="X51" s="250">
        <f>E51/N51</f>
        <v/>
      </c>
      <c r="Y51" s="250">
        <f>F51/O51</f>
        <v/>
      </c>
      <c r="Z51" s="250">
        <f>G51/P51</f>
        <v/>
      </c>
      <c r="AA51" s="250">
        <f>H51/Q51</f>
        <v/>
      </c>
      <c r="AB51" s="251">
        <f>I51/R51</f>
        <v/>
      </c>
      <c r="AC51" s="251">
        <f>J51/S51</f>
        <v/>
      </c>
      <c r="AD51" s="34" t="n"/>
      <c r="AE51" s="34" t="n"/>
      <c r="AF51" s="250">
        <f>W51</f>
        <v/>
      </c>
      <c r="AG51" s="250">
        <f>X51</f>
        <v/>
      </c>
      <c r="AH51" s="250">
        <f>Y51</f>
        <v/>
      </c>
      <c r="AI51" s="250">
        <f>Z51</f>
        <v/>
      </c>
      <c r="AJ51" s="250">
        <f>AA51</f>
        <v/>
      </c>
      <c r="AK51" s="252">
        <f>AB51*1.15</f>
        <v/>
      </c>
      <c r="AL51" s="252">
        <f>AC51*1.15</f>
        <v/>
      </c>
      <c r="AO51" s="250">
        <f>W51</f>
        <v/>
      </c>
      <c r="AP51" s="250">
        <f>X51</f>
        <v/>
      </c>
      <c r="AQ51" s="250">
        <f>Y51</f>
        <v/>
      </c>
      <c r="AR51" s="250">
        <f>Z51</f>
        <v/>
      </c>
      <c r="AS51" s="250">
        <f>AA51</f>
        <v/>
      </c>
      <c r="AT51" s="252">
        <f>AB51*0.85</f>
        <v/>
      </c>
      <c r="AU51" s="252">
        <f>AC51*0.85</f>
        <v/>
      </c>
      <c r="BA51" s="41" t="inlineStr">
        <is>
          <t xml:space="preserve">     Coal</t>
        </is>
      </c>
      <c r="BB51" s="249" t="n">
        <v>174.5</v>
      </c>
      <c r="BC51" s="250" t="n">
        <v>146.3</v>
      </c>
      <c r="BD51" s="250" t="n">
        <v>139.8</v>
      </c>
      <c r="BE51" s="250" t="n">
        <v>138.3</v>
      </c>
      <c r="BF51" s="250" t="n">
        <v>130.4</v>
      </c>
      <c r="BG51" s="250" t="n">
        <v>134.3</v>
      </c>
      <c r="BH51" s="250" t="n">
        <v>138.3</v>
      </c>
      <c r="BI51" s="250" t="n">
        <v>138.3</v>
      </c>
      <c r="BJ51" s="34" t="n"/>
      <c r="BK51" s="34" t="n"/>
      <c r="BL51" s="47" t="n"/>
      <c r="BM51" s="47" t="n"/>
      <c r="BN51" s="47" t="n"/>
      <c r="BO51" s="47" t="n"/>
    </row>
    <row r="52" ht="15.5" customHeight="1" s="213">
      <c r="B52" s="41" t="inlineStr">
        <is>
          <t xml:space="preserve">     Natural gas</t>
        </is>
      </c>
      <c r="C52" s="249">
        <f>BB52/1000</f>
        <v/>
      </c>
      <c r="D52" s="249">
        <f>BC52/1000</f>
        <v/>
      </c>
      <c r="E52" s="249">
        <f>BD52/1000</f>
        <v/>
      </c>
      <c r="F52" s="249">
        <f>BE52/1000</f>
        <v/>
      </c>
      <c r="G52" s="249">
        <f>BF52/1000</f>
        <v/>
      </c>
      <c r="H52" s="249">
        <f>BG52/1000</f>
        <v/>
      </c>
      <c r="I52" s="249">
        <f>BH52/1000</f>
        <v/>
      </c>
      <c r="J52" s="249">
        <f>BI52/1000</f>
        <v/>
      </c>
      <c r="K52" s="34" t="n"/>
      <c r="L52" s="34" t="n"/>
      <c r="M52" s="47" t="n">
        <v>5.937</v>
      </c>
      <c r="N52" s="47" t="n">
        <v>5.845</v>
      </c>
      <c r="O52" s="47" t="n">
        <v>5.575</v>
      </c>
      <c r="P52" s="47" t="n">
        <v>5.276</v>
      </c>
      <c r="Q52" s="47" t="n">
        <v>5.363</v>
      </c>
      <c r="R52" s="47" t="n">
        <v>6.645</v>
      </c>
      <c r="S52" s="47" t="n">
        <v>5.654</v>
      </c>
      <c r="T52" s="47" t="n"/>
      <c r="V52" s="41" t="inlineStr">
        <is>
          <t xml:space="preserve">     Natural gas</t>
        </is>
      </c>
      <c r="W52" s="250">
        <f>D52/M52</f>
        <v/>
      </c>
      <c r="X52" s="250">
        <f>E52/N52</f>
        <v/>
      </c>
      <c r="Y52" s="250">
        <f>F52/O52</f>
        <v/>
      </c>
      <c r="Z52" s="250">
        <f>G52/P52</f>
        <v/>
      </c>
      <c r="AA52" s="250">
        <f>H52/Q52</f>
        <v/>
      </c>
      <c r="AB52" s="251">
        <f>I52/R52</f>
        <v/>
      </c>
      <c r="AC52" s="251">
        <f>J52/S52</f>
        <v/>
      </c>
      <c r="AD52" s="34" t="n"/>
      <c r="AE52" s="34" t="n"/>
      <c r="AF52" s="250">
        <f>W52</f>
        <v/>
      </c>
      <c r="AG52" s="250">
        <f>X52</f>
        <v/>
      </c>
      <c r="AH52" s="250">
        <f>Y52</f>
        <v/>
      </c>
      <c r="AI52" s="250">
        <f>Z52</f>
        <v/>
      </c>
      <c r="AJ52" s="250">
        <f>AA52</f>
        <v/>
      </c>
      <c r="AK52" s="252">
        <f>AB52*1.15</f>
        <v/>
      </c>
      <c r="AL52" s="252">
        <f>AC52*1.15</f>
        <v/>
      </c>
      <c r="AO52" s="250">
        <f>W52</f>
        <v/>
      </c>
      <c r="AP52" s="250">
        <f>X52</f>
        <v/>
      </c>
      <c r="AQ52" s="250">
        <f>Y52</f>
        <v/>
      </c>
      <c r="AR52" s="250">
        <f>Z52</f>
        <v/>
      </c>
      <c r="AS52" s="250">
        <f>AA52</f>
        <v/>
      </c>
      <c r="AT52" s="252">
        <f>AB52*0.85</f>
        <v/>
      </c>
      <c r="AU52" s="252">
        <f>AC52*0.85</f>
        <v/>
      </c>
      <c r="BA52" s="41" t="inlineStr">
        <is>
          <t xml:space="preserve">     Natural gas</t>
        </is>
      </c>
      <c r="BB52" s="249" t="n">
        <v>406.4</v>
      </c>
      <c r="BC52" s="250" t="n">
        <v>364.3</v>
      </c>
      <c r="BD52" s="250" t="n">
        <v>354.6</v>
      </c>
      <c r="BE52" s="250" t="n">
        <v>352.3</v>
      </c>
      <c r="BF52" s="250" t="n">
        <v>340.4</v>
      </c>
      <c r="BG52" s="250" t="n">
        <v>346.2</v>
      </c>
      <c r="BH52" s="250" t="n">
        <v>352.3</v>
      </c>
      <c r="BI52" s="250" t="n">
        <v>352.3</v>
      </c>
      <c r="BJ52" s="34" t="n"/>
      <c r="BK52" s="34" t="n"/>
      <c r="BL52" s="47" t="n"/>
      <c r="BM52" s="47" t="n"/>
      <c r="BN52" s="47" t="n"/>
      <c r="BO52" s="47" t="n"/>
    </row>
    <row r="53" ht="15.5" customHeight="1" s="213">
      <c r="B53" s="41" t="inlineStr">
        <is>
          <t xml:space="preserve">     Petroleum</t>
        </is>
      </c>
      <c r="C53" s="249">
        <f>BB53/1000</f>
        <v/>
      </c>
      <c r="D53" s="249">
        <f>BC53/1000</f>
        <v/>
      </c>
      <c r="E53" s="249">
        <f>BD53/1000</f>
        <v/>
      </c>
      <c r="F53" s="249">
        <f>BE53/1000</f>
        <v/>
      </c>
      <c r="G53" s="249">
        <f>BF53/1000</f>
        <v/>
      </c>
      <c r="H53" s="249">
        <f>BG53/1000</f>
        <v/>
      </c>
      <c r="I53" s="249">
        <f>BH53/1000</f>
        <v/>
      </c>
      <c r="J53" s="249">
        <f>BI53/1000</f>
        <v/>
      </c>
      <c r="K53" s="34" t="n"/>
      <c r="L53" s="34" t="n"/>
      <c r="M53" s="47" t="n">
        <v>5.937</v>
      </c>
      <c r="N53" s="47" t="n">
        <v>5.845</v>
      </c>
      <c r="O53" s="47" t="n">
        <v>5.575</v>
      </c>
      <c r="P53" s="47" t="n">
        <v>5.276</v>
      </c>
      <c r="Q53" s="47" t="n">
        <v>5.363</v>
      </c>
      <c r="R53" s="47" t="n">
        <v>6.645</v>
      </c>
      <c r="S53" s="47" t="n">
        <v>5.654</v>
      </c>
      <c r="T53" s="47" t="n"/>
      <c r="V53" s="41" t="inlineStr">
        <is>
          <t xml:space="preserve">     Petroleum</t>
        </is>
      </c>
      <c r="W53" s="250">
        <f>D53/M53</f>
        <v/>
      </c>
      <c r="X53" s="250">
        <f>E53/N53</f>
        <v/>
      </c>
      <c r="Y53" s="250">
        <f>F53/O53</f>
        <v/>
      </c>
      <c r="Z53" s="250">
        <f>G53/P53</f>
        <v/>
      </c>
      <c r="AA53" s="250">
        <f>H53/Q53</f>
        <v/>
      </c>
      <c r="AB53" s="251">
        <f>I53/R53</f>
        <v/>
      </c>
      <c r="AC53" s="251">
        <f>J53/S53</f>
        <v/>
      </c>
      <c r="AD53" s="34" t="n"/>
      <c r="AE53" s="34" t="n"/>
      <c r="AF53" s="250">
        <f>W53</f>
        <v/>
      </c>
      <c r="AG53" s="250">
        <f>X53</f>
        <v/>
      </c>
      <c r="AH53" s="250">
        <f>Y53</f>
        <v/>
      </c>
      <c r="AI53" s="250">
        <f>Z53</f>
        <v/>
      </c>
      <c r="AJ53" s="250">
        <f>AA53</f>
        <v/>
      </c>
      <c r="AK53" s="252">
        <f>AB53*1.15</f>
        <v/>
      </c>
      <c r="AL53" s="252">
        <f>AC53*1.15</f>
        <v/>
      </c>
      <c r="AO53" s="250">
        <f>W53</f>
        <v/>
      </c>
      <c r="AP53" s="250">
        <f>X53</f>
        <v/>
      </c>
      <c r="AQ53" s="250">
        <f>Y53</f>
        <v/>
      </c>
      <c r="AR53" s="250">
        <f>Z53</f>
        <v/>
      </c>
      <c r="AS53" s="250">
        <f>AA53</f>
        <v/>
      </c>
      <c r="AT53" s="252">
        <f>AB53*0.85</f>
        <v/>
      </c>
      <c r="AU53" s="252">
        <f>AC53*0.85</f>
        <v/>
      </c>
      <c r="BA53" s="41" t="inlineStr">
        <is>
          <t xml:space="preserve">     Petroleum</t>
        </is>
      </c>
      <c r="BB53" s="249" t="n">
        <v>87.2</v>
      </c>
      <c r="BC53" s="250" t="n">
        <v>79.09999999999999</v>
      </c>
      <c r="BD53" s="250" t="n">
        <v>77</v>
      </c>
      <c r="BE53" s="250" t="n">
        <v>76.5</v>
      </c>
      <c r="BF53" s="250" t="n">
        <v>73.7</v>
      </c>
      <c r="BG53" s="250" t="n">
        <v>75.09999999999999</v>
      </c>
      <c r="BH53" s="250" t="n">
        <v>76.5</v>
      </c>
      <c r="BI53" s="250" t="n">
        <v>76.5</v>
      </c>
      <c r="BJ53" s="34" t="n"/>
      <c r="BK53" s="34" t="n"/>
      <c r="BL53" s="47" t="n"/>
      <c r="BM53" s="47" t="n"/>
      <c r="BN53" s="47" t="n"/>
      <c r="BO53" s="47" t="n"/>
    </row>
    <row r="54" ht="15.5" customHeight="1" s="213">
      <c r="A54" s="33" t="inlineStr">
        <is>
          <t>China</t>
        </is>
      </c>
      <c r="B54" s="41" t="inlineStr">
        <is>
          <t xml:space="preserve">     Total Energy</t>
        </is>
      </c>
      <c r="C54" s="249">
        <f>BB54/1000</f>
        <v/>
      </c>
      <c r="D54" s="249">
        <f>BC54/1000</f>
        <v/>
      </c>
      <c r="E54" s="249">
        <f>BD54/1000</f>
        <v/>
      </c>
      <c r="F54" s="249">
        <f>BE54/1000</f>
        <v/>
      </c>
      <c r="G54" s="249">
        <f>BF54/1000</f>
        <v/>
      </c>
      <c r="H54" s="249">
        <f>BG54/1000</f>
        <v/>
      </c>
      <c r="I54" s="249">
        <f>BH54/1000</f>
        <v/>
      </c>
      <c r="J54" s="249">
        <f>BI54/1000</f>
        <v/>
      </c>
      <c r="K54" s="34" t="n"/>
      <c r="L54" s="34" t="n"/>
      <c r="M54" s="47" t="n">
        <v>5.937</v>
      </c>
      <c r="N54" s="47" t="n">
        <v>5.845</v>
      </c>
      <c r="O54" s="47" t="n">
        <v>5.575</v>
      </c>
      <c r="P54" s="47" t="n">
        <v>5.276</v>
      </c>
      <c r="Q54" s="47" t="n">
        <v>5.363</v>
      </c>
      <c r="R54" s="47" t="n">
        <v>6.645</v>
      </c>
      <c r="S54" s="47" t="n">
        <v>5.654</v>
      </c>
      <c r="T54" s="47" t="n"/>
      <c r="U54" s="33" t="inlineStr">
        <is>
          <t>China</t>
        </is>
      </c>
      <c r="V54" s="41" t="inlineStr">
        <is>
          <t xml:space="preserve">     Total Energy</t>
        </is>
      </c>
      <c r="W54" s="250">
        <f>D54/M54</f>
        <v/>
      </c>
      <c r="X54" s="250">
        <f>E54/N54</f>
        <v/>
      </c>
      <c r="Y54" s="250">
        <f>F54/O54</f>
        <v/>
      </c>
      <c r="Z54" s="250">
        <f>G54/P54</f>
        <v/>
      </c>
      <c r="AA54" s="250">
        <f>H54/Q54</f>
        <v/>
      </c>
      <c r="AB54" s="251">
        <f>I54/R54</f>
        <v/>
      </c>
      <c r="AC54" s="251">
        <f>J54/S54</f>
        <v/>
      </c>
      <c r="AD54" s="34" t="n"/>
      <c r="AE54" s="34" t="n"/>
      <c r="AF54" s="250">
        <f>W54</f>
        <v/>
      </c>
      <c r="AG54" s="250">
        <f>X54</f>
        <v/>
      </c>
      <c r="AH54" s="250">
        <f>Y54</f>
        <v/>
      </c>
      <c r="AI54" s="250">
        <f>Z54</f>
        <v/>
      </c>
      <c r="AJ54" s="250">
        <f>AA54</f>
        <v/>
      </c>
      <c r="AK54" s="252">
        <f>AB54*1.15</f>
        <v/>
      </c>
      <c r="AL54" s="252">
        <f>AC54*1.15</f>
        <v/>
      </c>
      <c r="AO54" s="250">
        <f>W54</f>
        <v/>
      </c>
      <c r="AP54" s="250">
        <f>X54</f>
        <v/>
      </c>
      <c r="AQ54" s="250">
        <f>Y54</f>
        <v/>
      </c>
      <c r="AR54" s="250">
        <f>Z54</f>
        <v/>
      </c>
      <c r="AS54" s="250">
        <f>AA54</f>
        <v/>
      </c>
      <c r="AT54" s="252">
        <f>AB54*0.85</f>
        <v/>
      </c>
      <c r="AU54" s="252">
        <f>AC54*0.85</f>
        <v/>
      </c>
      <c r="AZ54" s="33" t="inlineStr">
        <is>
          <t>China</t>
        </is>
      </c>
      <c r="BA54" s="41" t="inlineStr">
        <is>
          <t xml:space="preserve">     Total Energy</t>
        </is>
      </c>
      <c r="BB54" s="249" t="n">
        <v>691.6</v>
      </c>
      <c r="BC54" s="250" t="n">
        <v>608.9</v>
      </c>
      <c r="BD54" s="250" t="n">
        <v>589.5</v>
      </c>
      <c r="BE54" s="250" t="n">
        <v>585</v>
      </c>
      <c r="BF54" s="250" t="n">
        <v>561.2</v>
      </c>
      <c r="BG54" s="250" t="n">
        <v>573</v>
      </c>
      <c r="BH54" s="250" t="n">
        <v>585</v>
      </c>
      <c r="BI54" s="250" t="n">
        <v>585</v>
      </c>
      <c r="BJ54" s="34" t="n"/>
      <c r="BK54" s="34" t="n"/>
      <c r="BL54" s="47" t="n"/>
      <c r="BM54" s="47" t="n"/>
      <c r="BN54" s="47" t="n"/>
      <c r="BO54" s="47" t="n"/>
    </row>
    <row r="55" ht="15.5" customHeight="1" s="213">
      <c r="B55" s="41" t="inlineStr">
        <is>
          <t xml:space="preserve">     Fossil fuels</t>
        </is>
      </c>
      <c r="C55" s="249">
        <f>BB55/1000</f>
        <v/>
      </c>
      <c r="D55" s="249">
        <f>BC55/1000</f>
        <v/>
      </c>
      <c r="E55" s="249">
        <f>BD55/1000</f>
        <v/>
      </c>
      <c r="F55" s="249">
        <f>BE55/1000</f>
        <v/>
      </c>
      <c r="G55" s="249">
        <f>BF55/1000</f>
        <v/>
      </c>
      <c r="H55" s="249">
        <f>BG55/1000</f>
        <v/>
      </c>
      <c r="I55" s="249">
        <f>BH55/1000</f>
        <v/>
      </c>
      <c r="J55" s="249">
        <f>BI55/1000</f>
        <v/>
      </c>
      <c r="K55" s="34" t="n"/>
      <c r="L55" s="34" t="n"/>
      <c r="M55" s="47" t="n">
        <v>5.937</v>
      </c>
      <c r="N55" s="47" t="n">
        <v>5.845</v>
      </c>
      <c r="O55" s="47" t="n">
        <v>5.575</v>
      </c>
      <c r="P55" s="47" t="n">
        <v>5.276</v>
      </c>
      <c r="Q55" s="47" t="n">
        <v>5.363</v>
      </c>
      <c r="R55" s="47" t="n">
        <v>6.645</v>
      </c>
      <c r="S55" s="47" t="n">
        <v>5.654</v>
      </c>
      <c r="T55" s="47" t="n"/>
      <c r="V55" s="41" t="inlineStr">
        <is>
          <t xml:space="preserve">     Fossil fuels</t>
        </is>
      </c>
      <c r="W55" s="250">
        <f>D55/M55</f>
        <v/>
      </c>
      <c r="X55" s="250">
        <f>E55/N55</f>
        <v/>
      </c>
      <c r="Y55" s="250">
        <f>F55/O55</f>
        <v/>
      </c>
      <c r="Z55" s="250">
        <f>G55/P55</f>
        <v/>
      </c>
      <c r="AA55" s="250">
        <f>H55/Q55</f>
        <v/>
      </c>
      <c r="AB55" s="251">
        <f>I55/R55</f>
        <v/>
      </c>
      <c r="AC55" s="251">
        <f>J55/S55</f>
        <v/>
      </c>
      <c r="AD55" s="34" t="n"/>
      <c r="AE55" s="34" t="n"/>
      <c r="AF55" s="250">
        <f>W55</f>
        <v/>
      </c>
      <c r="AG55" s="250">
        <f>X55</f>
        <v/>
      </c>
      <c r="AH55" s="250">
        <f>Y55</f>
        <v/>
      </c>
      <c r="AI55" s="250">
        <f>Z55</f>
        <v/>
      </c>
      <c r="AJ55" s="250">
        <f>AA55</f>
        <v/>
      </c>
      <c r="AK55" s="252">
        <f>AB55*1.15</f>
        <v/>
      </c>
      <c r="AL55" s="252">
        <f>AC55*1.15</f>
        <v/>
      </c>
      <c r="AO55" s="250">
        <f>W55</f>
        <v/>
      </c>
      <c r="AP55" s="250">
        <f>X55</f>
        <v/>
      </c>
      <c r="AQ55" s="250">
        <f>Y55</f>
        <v/>
      </c>
      <c r="AR55" s="250">
        <f>Z55</f>
        <v/>
      </c>
      <c r="AS55" s="250">
        <f>AA55</f>
        <v/>
      </c>
      <c r="AT55" s="252">
        <f>AB55*0.85</f>
        <v/>
      </c>
      <c r="AU55" s="252">
        <f>AC55*0.85</f>
        <v/>
      </c>
      <c r="BA55" s="41" t="inlineStr">
        <is>
          <t xml:space="preserve">     Fossil fuels</t>
        </is>
      </c>
      <c r="BB55" s="249" t="n">
        <v>634</v>
      </c>
      <c r="BC55" s="250" t="n">
        <v>560.8</v>
      </c>
      <c r="BD55" s="250" t="n">
        <v>543.5</v>
      </c>
      <c r="BE55" s="250" t="n">
        <v>539.4</v>
      </c>
      <c r="BF55" s="250" t="n">
        <v>518.1</v>
      </c>
      <c r="BG55" s="250" t="n">
        <v>528.7</v>
      </c>
      <c r="BH55" s="250" t="n">
        <v>539.4</v>
      </c>
      <c r="BI55" s="250" t="n">
        <v>539.4</v>
      </c>
      <c r="BJ55" s="34" t="n"/>
      <c r="BK55" s="34" t="n"/>
      <c r="BL55" s="47" t="n"/>
      <c r="BM55" s="47" t="n"/>
      <c r="BN55" s="47" t="n"/>
      <c r="BO55" s="47" t="n"/>
    </row>
    <row r="56" ht="15.5" customHeight="1" s="213">
      <c r="B56" s="41" t="inlineStr">
        <is>
          <t xml:space="preserve">     Coal</t>
        </is>
      </c>
      <c r="C56" s="249">
        <f>BB56/1000</f>
        <v/>
      </c>
      <c r="D56" s="249">
        <f>BC56/1000</f>
        <v/>
      </c>
      <c r="E56" s="249">
        <f>BD56/1000</f>
        <v/>
      </c>
      <c r="F56" s="249">
        <f>BE56/1000</f>
        <v/>
      </c>
      <c r="G56" s="249">
        <f>BF56/1000</f>
        <v/>
      </c>
      <c r="H56" s="249">
        <f>BG56/1000</f>
        <v/>
      </c>
      <c r="I56" s="249">
        <f>BH56/1000</f>
        <v/>
      </c>
      <c r="J56" s="249">
        <f>BI56/1000</f>
        <v/>
      </c>
      <c r="K56" s="34" t="n"/>
      <c r="L56" s="34" t="n"/>
      <c r="M56" s="47" t="n">
        <v>5.937</v>
      </c>
      <c r="N56" s="47" t="n">
        <v>5.845</v>
      </c>
      <c r="O56" s="47" t="n">
        <v>5.575</v>
      </c>
      <c r="P56" s="47" t="n">
        <v>5.276</v>
      </c>
      <c r="Q56" s="47" t="n">
        <v>5.363</v>
      </c>
      <c r="R56" s="47" t="n">
        <v>6.645</v>
      </c>
      <c r="S56" s="47" t="n">
        <v>5.654</v>
      </c>
      <c r="T56" s="47" t="n"/>
      <c r="V56" s="41" t="inlineStr">
        <is>
          <t xml:space="preserve">     Coal</t>
        </is>
      </c>
      <c r="W56" s="250">
        <f>D56/M56</f>
        <v/>
      </c>
      <c r="X56" s="250">
        <f>E56/N56</f>
        <v/>
      </c>
      <c r="Y56" s="250">
        <f>F56/O56</f>
        <v/>
      </c>
      <c r="Z56" s="250">
        <f>G56/P56</f>
        <v/>
      </c>
      <c r="AA56" s="250">
        <f>H56/Q56</f>
        <v/>
      </c>
      <c r="AB56" s="251">
        <f>I56/R56</f>
        <v/>
      </c>
      <c r="AC56" s="251">
        <f>J56/S56</f>
        <v/>
      </c>
      <c r="AD56" s="34" t="n"/>
      <c r="AE56" s="34" t="n"/>
      <c r="AF56" s="250">
        <f>W56</f>
        <v/>
      </c>
      <c r="AG56" s="250">
        <f>X56</f>
        <v/>
      </c>
      <c r="AH56" s="250">
        <f>Y56</f>
        <v/>
      </c>
      <c r="AI56" s="250">
        <f>Z56</f>
        <v/>
      </c>
      <c r="AJ56" s="250">
        <f>AA56</f>
        <v/>
      </c>
      <c r="AK56" s="252">
        <f>AB56*1.15</f>
        <v/>
      </c>
      <c r="AL56" s="252">
        <f>AC56*1.15</f>
        <v/>
      </c>
      <c r="AO56" s="250">
        <f>W56</f>
        <v/>
      </c>
      <c r="AP56" s="250">
        <f>X56</f>
        <v/>
      </c>
      <c r="AQ56" s="250">
        <f>Y56</f>
        <v/>
      </c>
      <c r="AR56" s="250">
        <f>Z56</f>
        <v/>
      </c>
      <c r="AS56" s="250">
        <f>AA56</f>
        <v/>
      </c>
      <c r="AT56" s="252">
        <f>AB56*0.85</f>
        <v/>
      </c>
      <c r="AU56" s="252">
        <f>AC56*0.85</f>
        <v/>
      </c>
      <c r="BA56" s="41" t="inlineStr">
        <is>
          <t xml:space="preserve">     Coal</t>
        </is>
      </c>
      <c r="BB56" s="249" t="n">
        <v>225.6</v>
      </c>
      <c r="BC56" s="250" t="n">
        <v>189.8</v>
      </c>
      <c r="BD56" s="250" t="n">
        <v>181.6</v>
      </c>
      <c r="BE56" s="250" t="n">
        <v>179.7</v>
      </c>
      <c r="BF56" s="250" t="n">
        <v>169.7</v>
      </c>
      <c r="BG56" s="250" t="n">
        <v>174.7</v>
      </c>
      <c r="BH56" s="250" t="n">
        <v>179.7</v>
      </c>
      <c r="BI56" s="250" t="n">
        <v>179.7</v>
      </c>
      <c r="BJ56" s="34" t="n"/>
      <c r="BK56" s="34" t="n"/>
      <c r="BL56" s="47" t="n"/>
      <c r="BM56" s="47" t="n"/>
      <c r="BN56" s="47" t="n"/>
      <c r="BO56" s="47" t="n"/>
    </row>
    <row r="57" ht="15.5" customHeight="1" s="213">
      <c r="B57" s="41" t="inlineStr">
        <is>
          <t xml:space="preserve">     Natural gas</t>
        </is>
      </c>
      <c r="C57" s="249">
        <f>BB57/1000</f>
        <v/>
      </c>
      <c r="D57" s="249">
        <f>BC57/1000</f>
        <v/>
      </c>
      <c r="E57" s="249">
        <f>BD57/1000</f>
        <v/>
      </c>
      <c r="F57" s="249">
        <f>BE57/1000</f>
        <v/>
      </c>
      <c r="G57" s="249">
        <f>BF57/1000</f>
        <v/>
      </c>
      <c r="H57" s="249">
        <f>BG57/1000</f>
        <v/>
      </c>
      <c r="I57" s="249">
        <f>BH57/1000</f>
        <v/>
      </c>
      <c r="J57" s="249">
        <f>BI57/1000</f>
        <v/>
      </c>
      <c r="K57" s="34" t="n"/>
      <c r="L57" s="34" t="n"/>
      <c r="M57" s="47" t="n">
        <v>5.937</v>
      </c>
      <c r="N57" s="47" t="n">
        <v>5.845</v>
      </c>
      <c r="O57" s="47" t="n">
        <v>5.575</v>
      </c>
      <c r="P57" s="47" t="n">
        <v>5.276</v>
      </c>
      <c r="Q57" s="47" t="n">
        <v>5.363</v>
      </c>
      <c r="R57" s="47" t="n">
        <v>6.645</v>
      </c>
      <c r="S57" s="47" t="n">
        <v>5.654</v>
      </c>
      <c r="T57" s="47" t="n"/>
      <c r="V57" s="41" t="inlineStr">
        <is>
          <t xml:space="preserve">     Natural gas</t>
        </is>
      </c>
      <c r="W57" s="250">
        <f>D57/M57</f>
        <v/>
      </c>
      <c r="X57" s="250">
        <f>E57/N57</f>
        <v/>
      </c>
      <c r="Y57" s="250">
        <f>F57/O57</f>
        <v/>
      </c>
      <c r="Z57" s="250">
        <f>G57/P57</f>
        <v/>
      </c>
      <c r="AA57" s="250">
        <f>H57/Q57</f>
        <v/>
      </c>
      <c r="AB57" s="251">
        <f>I57/R57</f>
        <v/>
      </c>
      <c r="AC57" s="251">
        <f>J57/S57</f>
        <v/>
      </c>
      <c r="AD57" s="34" t="n"/>
      <c r="AE57" s="34" t="n"/>
      <c r="AF57" s="250">
        <f>W57</f>
        <v/>
      </c>
      <c r="AG57" s="250">
        <f>X57</f>
        <v/>
      </c>
      <c r="AH57" s="250">
        <f>Y57</f>
        <v/>
      </c>
      <c r="AI57" s="250">
        <f>Z57</f>
        <v/>
      </c>
      <c r="AJ57" s="250">
        <f>AA57</f>
        <v/>
      </c>
      <c r="AK57" s="252">
        <f>AB57*1.15</f>
        <v/>
      </c>
      <c r="AL57" s="252">
        <f>AC57*1.15</f>
        <v/>
      </c>
      <c r="AO57" s="250">
        <f>W57</f>
        <v/>
      </c>
      <c r="AP57" s="250">
        <f>X57</f>
        <v/>
      </c>
      <c r="AQ57" s="250">
        <f>Y57</f>
        <v/>
      </c>
      <c r="AR57" s="250">
        <f>Z57</f>
        <v/>
      </c>
      <c r="AS57" s="250">
        <f>AA57</f>
        <v/>
      </c>
      <c r="AT57" s="252">
        <f>AB57*0.85</f>
        <v/>
      </c>
      <c r="AU57" s="252">
        <f>AC57*0.85</f>
        <v/>
      </c>
      <c r="BA57" s="41" t="inlineStr">
        <is>
          <t xml:space="preserve">     Natural gas</t>
        </is>
      </c>
      <c r="BB57" s="249" t="n">
        <v>367.1</v>
      </c>
      <c r="BC57" s="250" t="n">
        <v>330.8</v>
      </c>
      <c r="BD57" s="250" t="n">
        <v>322.4</v>
      </c>
      <c r="BE57" s="250" t="n">
        <v>320.5</v>
      </c>
      <c r="BF57" s="250" t="n">
        <v>310.1</v>
      </c>
      <c r="BG57" s="250" t="n">
        <v>315.1</v>
      </c>
      <c r="BH57" s="250" t="n">
        <v>320.5</v>
      </c>
      <c r="BI57" s="250" t="n">
        <v>320.5</v>
      </c>
      <c r="BJ57" s="34" t="n"/>
      <c r="BK57" s="34" t="n"/>
      <c r="BL57" s="47" t="n"/>
      <c r="BM57" s="47" t="n"/>
      <c r="BN57" s="47" t="n"/>
      <c r="BO57" s="47" t="n"/>
    </row>
    <row r="58" ht="15.5" customHeight="1" s="213">
      <c r="B58" s="41" t="inlineStr">
        <is>
          <t xml:space="preserve">     Petroleum</t>
        </is>
      </c>
      <c r="C58" s="249">
        <f>BB58/1000</f>
        <v/>
      </c>
      <c r="D58" s="249">
        <f>BC58/1000</f>
        <v/>
      </c>
      <c r="E58" s="249">
        <f>BD58/1000</f>
        <v/>
      </c>
      <c r="F58" s="249">
        <f>BE58/1000</f>
        <v/>
      </c>
      <c r="G58" s="249">
        <f>BF58/1000</f>
        <v/>
      </c>
      <c r="H58" s="249">
        <f>BG58/1000</f>
        <v/>
      </c>
      <c r="I58" s="249">
        <f>BH58/1000</f>
        <v/>
      </c>
      <c r="J58" s="249">
        <f>BI58/1000</f>
        <v/>
      </c>
      <c r="K58" s="34" t="n"/>
      <c r="L58" s="34" t="n"/>
      <c r="M58" s="47" t="n">
        <v>5.937</v>
      </c>
      <c r="N58" s="47" t="n">
        <v>5.845</v>
      </c>
      <c r="O58" s="47" t="n">
        <v>5.575</v>
      </c>
      <c r="P58" s="47" t="n">
        <v>5.276</v>
      </c>
      <c r="Q58" s="47" t="n">
        <v>5.363</v>
      </c>
      <c r="R58" s="47" t="n">
        <v>6.645</v>
      </c>
      <c r="S58" s="47" t="n">
        <v>5.654</v>
      </c>
      <c r="T58" s="47" t="n"/>
      <c r="V58" s="41" t="inlineStr">
        <is>
          <t xml:space="preserve">     Petroleum</t>
        </is>
      </c>
      <c r="W58" s="250">
        <f>D58/M58</f>
        <v/>
      </c>
      <c r="X58" s="250">
        <f>E58/N58</f>
        <v/>
      </c>
      <c r="Y58" s="250">
        <f>F58/O58</f>
        <v/>
      </c>
      <c r="Z58" s="250">
        <f>G58/P58</f>
        <v/>
      </c>
      <c r="AA58" s="250">
        <f>H58/Q58</f>
        <v/>
      </c>
      <c r="AB58" s="251">
        <f>I58/R58</f>
        <v/>
      </c>
      <c r="AC58" s="251">
        <f>J58/S58</f>
        <v/>
      </c>
      <c r="AD58" s="34" t="n"/>
      <c r="AE58" s="34" t="n"/>
      <c r="AF58" s="250">
        <f>W58</f>
        <v/>
      </c>
      <c r="AG58" s="250">
        <f>X58</f>
        <v/>
      </c>
      <c r="AH58" s="250">
        <f>Y58</f>
        <v/>
      </c>
      <c r="AI58" s="250">
        <f>Z58</f>
        <v/>
      </c>
      <c r="AJ58" s="250">
        <f>AA58</f>
        <v/>
      </c>
      <c r="AK58" s="252">
        <f>AB58*1.15</f>
        <v/>
      </c>
      <c r="AL58" s="252">
        <f>AC58*1.15</f>
        <v/>
      </c>
      <c r="AO58" s="250">
        <f>W58</f>
        <v/>
      </c>
      <c r="AP58" s="250">
        <f>X58</f>
        <v/>
      </c>
      <c r="AQ58" s="250">
        <f>Y58</f>
        <v/>
      </c>
      <c r="AR58" s="250">
        <f>Z58</f>
        <v/>
      </c>
      <c r="AS58" s="250">
        <f>AA58</f>
        <v/>
      </c>
      <c r="AT58" s="252">
        <f>AB58*0.85</f>
        <v/>
      </c>
      <c r="AU58" s="252">
        <f>AC58*0.85</f>
        <v/>
      </c>
      <c r="BA58" s="41" t="inlineStr">
        <is>
          <t xml:space="preserve">     Petroleum</t>
        </is>
      </c>
      <c r="BB58" s="249" t="n">
        <v>85.3</v>
      </c>
      <c r="BC58" s="250" t="n">
        <v>77.5</v>
      </c>
      <c r="BD58" s="250" t="n">
        <v>75.5</v>
      </c>
      <c r="BE58" s="250" t="n">
        <v>75</v>
      </c>
      <c r="BF58" s="250" t="n">
        <v>72.2</v>
      </c>
      <c r="BG58" s="250" t="n">
        <v>73.59999999999999</v>
      </c>
      <c r="BH58" s="250" t="n">
        <v>75</v>
      </c>
      <c r="BI58" s="250" t="n">
        <v>75</v>
      </c>
      <c r="BJ58" s="34" t="n"/>
      <c r="BK58" s="34" t="n"/>
      <c r="BL58" s="47" t="n"/>
      <c r="BM58" s="47" t="n"/>
      <c r="BN58" s="47" t="n"/>
      <c r="BO58" s="47" t="n"/>
    </row>
    <row r="59" ht="15.5" customHeight="1" s="213">
      <c r="A59" s="34" t="n"/>
      <c r="B59" s="34" t="n"/>
      <c r="C59" s="37" t="n"/>
      <c r="D59" s="34" t="n"/>
      <c r="E59" s="34" t="n"/>
      <c r="F59" s="34" t="n"/>
      <c r="G59" s="34" t="n"/>
      <c r="H59" s="34" t="n"/>
      <c r="I59" s="34" t="n"/>
      <c r="J59" s="34" t="n"/>
      <c r="K59" s="34" t="n"/>
      <c r="L59" s="34" t="n"/>
      <c r="M59" s="34" t="n"/>
      <c r="N59" s="34" t="n"/>
      <c r="O59" s="34" t="n"/>
      <c r="P59" s="34" t="n"/>
      <c r="Q59" s="34" t="n"/>
      <c r="R59" s="34" t="n"/>
      <c r="S59" s="34" t="n"/>
      <c r="T59" s="34" t="n"/>
      <c r="AZ59" s="34" t="n"/>
      <c r="BA59" s="34" t="n"/>
      <c r="BB59" s="37" t="n"/>
      <c r="BC59" s="34" t="n"/>
      <c r="BD59" s="34" t="n"/>
      <c r="BE59" s="34" t="n"/>
      <c r="BF59" s="34" t="n"/>
      <c r="BG59" s="34" t="n"/>
      <c r="BH59" s="34" t="n"/>
      <c r="BI59" s="34" t="n"/>
      <c r="BJ59" s="34" t="n"/>
      <c r="BK59" s="34" t="n"/>
      <c r="BL59" s="34" t="n"/>
      <c r="BM59" s="34" t="n"/>
      <c r="BN59" s="34" t="n"/>
      <c r="BO59" s="34" t="n"/>
    </row>
    <row r="60" ht="15.5" customHeight="1" s="213">
      <c r="A60" s="34" t="inlineStr">
        <is>
          <t xml:space="preserve">** Assumed to be cell manufacturing </t>
        </is>
      </c>
      <c r="B60" s="34" t="n"/>
      <c r="C60" s="37" t="n"/>
      <c r="D60" s="34" t="n"/>
      <c r="E60" s="34" t="n"/>
      <c r="F60" s="34" t="n"/>
      <c r="G60" s="34" t="n"/>
      <c r="H60" s="34" t="n"/>
      <c r="I60" s="34" t="n"/>
      <c r="J60" s="34" t="n"/>
      <c r="K60" s="34" t="n"/>
      <c r="L60" s="34" t="n"/>
      <c r="M60" s="34" t="n"/>
      <c r="N60" s="34" t="n"/>
      <c r="O60" s="34" t="n"/>
      <c r="P60" s="34" t="n"/>
      <c r="Q60" s="34" t="n"/>
      <c r="R60" s="34" t="n"/>
      <c r="S60" s="34" t="n"/>
      <c r="T60" s="34" t="n"/>
      <c r="AZ60" s="34" t="inlineStr">
        <is>
          <t xml:space="preserve">** Assumed to be cell manufacturing </t>
        </is>
      </c>
      <c r="BA60" s="34" t="n"/>
      <c r="BB60" s="37" t="n"/>
      <c r="BC60" s="34" t="n"/>
      <c r="BD60" s="34" t="n"/>
      <c r="BE60" s="34" t="n"/>
      <c r="BF60" s="34" t="n"/>
      <c r="BG60" s="34" t="n"/>
      <c r="BH60" s="34" t="n"/>
      <c r="BI60" s="34" t="n"/>
      <c r="BJ60" s="34" t="n"/>
      <c r="BK60" s="34" t="n"/>
      <c r="BL60" s="34" t="n"/>
      <c r="BM60" s="34" t="n"/>
      <c r="BN60" s="34" t="n"/>
      <c r="BO60" s="34" t="n"/>
    </row>
    <row r="61" ht="15.5" customHeight="1" s="213">
      <c r="A61" s="34" t="inlineStr">
        <is>
          <t xml:space="preserve">*** LMO and LFP cathode production from recycled materials is not included in EverBatt </t>
        </is>
      </c>
      <c r="B61" s="34" t="n"/>
      <c r="C61" s="37" t="n"/>
      <c r="D61" s="34" t="n"/>
      <c r="E61" s="34" t="n"/>
      <c r="F61" s="34" t="n"/>
      <c r="G61" s="34" t="n"/>
      <c r="H61" s="34" t="n"/>
      <c r="I61" s="34" t="n"/>
      <c r="J61" s="34" t="n"/>
      <c r="K61" s="34" t="n"/>
      <c r="L61" s="34" t="n"/>
      <c r="M61" s="34" t="n"/>
      <c r="N61" s="34" t="n"/>
      <c r="O61" s="34" t="n"/>
      <c r="P61" s="34" t="n"/>
      <c r="Q61" s="34" t="n"/>
      <c r="R61" s="34" t="n"/>
      <c r="S61" s="34" t="n"/>
      <c r="T61" s="34" t="n"/>
      <c r="AZ61" s="34" t="inlineStr">
        <is>
          <t xml:space="preserve">*** LMO and LFP cathode production from recycled materials is not included in EverBatt </t>
        </is>
      </c>
      <c r="BA61" s="34" t="n"/>
      <c r="BB61" s="37" t="n"/>
      <c r="BC61" s="34" t="n"/>
      <c r="BD61" s="34" t="n"/>
      <c r="BE61" s="34" t="n"/>
      <c r="BF61" s="34" t="n"/>
      <c r="BG61" s="34" t="n"/>
      <c r="BH61" s="34" t="n"/>
      <c r="BI61" s="34" t="n"/>
      <c r="BJ61" s="34" t="n"/>
      <c r="BK61" s="34" t="n"/>
      <c r="BL61" s="34" t="n"/>
      <c r="BM61" s="34" t="n"/>
      <c r="BN61" s="34" t="n"/>
      <c r="BO61" s="34" t="n"/>
    </row>
    <row r="62" ht="15.5" customHeight="1" s="213">
      <c r="A62" s="34" t="inlineStr">
        <is>
          <t xml:space="preserve">**** All recycled chemistries are assumed to be priducing the same cathode chemistry for manufacture with recyclked materials </t>
        </is>
      </c>
      <c r="B62" s="34" t="n"/>
      <c r="C62" s="37" t="n"/>
      <c r="D62" s="34" t="n"/>
      <c r="E62" s="34" t="n"/>
      <c r="F62" s="34" t="n"/>
      <c r="G62" s="34" t="n"/>
      <c r="H62" s="34" t="n"/>
      <c r="I62" s="34" t="n"/>
      <c r="J62" s="34" t="n"/>
      <c r="K62" s="34" t="n"/>
      <c r="L62" s="34" t="n"/>
      <c r="M62" s="34" t="n"/>
      <c r="N62" s="34" t="n"/>
      <c r="O62" s="34" t="n"/>
      <c r="P62" s="34" t="n"/>
      <c r="Q62" s="34" t="n"/>
      <c r="R62" s="34" t="n"/>
      <c r="S62" s="34" t="n"/>
      <c r="T62" s="34" t="n"/>
      <c r="AZ62" s="34" t="inlineStr">
        <is>
          <t xml:space="preserve">**** All recycled chemistries are assumed to be priducing the same cathode chemistry for manufacture with recyclked materials </t>
        </is>
      </c>
      <c r="BA62" s="34" t="n"/>
      <c r="BB62" s="37" t="n"/>
      <c r="BC62" s="34" t="n"/>
      <c r="BD62" s="34" t="n"/>
      <c r="BE62" s="34" t="n"/>
      <c r="BF62" s="34" t="n"/>
      <c r="BG62" s="34" t="n"/>
      <c r="BH62" s="34" t="n"/>
      <c r="BI62" s="34" t="n"/>
      <c r="BJ62" s="34" t="n"/>
      <c r="BK62" s="34" t="n"/>
      <c r="BL62" s="34" t="n"/>
      <c r="BM62" s="34" t="n"/>
      <c r="BN62" s="34" t="n"/>
      <c r="BO62" s="34" t="n"/>
    </row>
    <row r="71" ht="15.5" customHeight="1" s="213">
      <c r="U71" s="34" t="n"/>
      <c r="V71" s="34" t="n"/>
      <c r="W71" s="34" t="n"/>
      <c r="X71" s="34" t="n"/>
      <c r="Y71" s="34" t="n"/>
      <c r="Z71" s="34" t="n"/>
      <c r="AA71" s="34" t="n"/>
      <c r="AB71" s="34" t="n"/>
      <c r="AC71" s="34" t="n"/>
      <c r="AD71" s="34" t="n"/>
      <c r="AE71" s="34" t="n"/>
      <c r="AF71" s="34" t="n"/>
      <c r="AG71" s="34" t="n"/>
      <c r="AH71" s="34" t="n"/>
      <c r="AI71" s="34" t="n"/>
      <c r="AJ71" s="34" t="n"/>
      <c r="AK71" s="34" t="n"/>
      <c r="AL71" s="34" t="n"/>
      <c r="AM71" s="34" t="n"/>
      <c r="AN71" s="34" t="n"/>
      <c r="AO71" s="34" t="n"/>
      <c r="AP71" s="34" t="n"/>
      <c r="AQ71" s="34" t="n"/>
      <c r="AR71" s="34" t="n"/>
      <c r="AS71" s="34" t="n"/>
      <c r="AT71" s="34" t="n"/>
      <c r="AU71" s="34" t="n"/>
    </row>
    <row r="72" ht="15.5" customHeight="1" s="213">
      <c r="U72" s="34" t="n"/>
      <c r="V72" s="34" t="n"/>
      <c r="W72" s="34" t="inlineStr">
        <is>
          <t>NMC111</t>
        </is>
      </c>
      <c r="X72" s="34" t="inlineStr">
        <is>
          <t>NMC532</t>
        </is>
      </c>
      <c r="Y72" s="38" t="inlineStr">
        <is>
          <t>NMC622</t>
        </is>
      </c>
      <c r="Z72" s="34" t="inlineStr">
        <is>
          <t>NMC811</t>
        </is>
      </c>
      <c r="AA72" s="34" t="inlineStr">
        <is>
          <t>NCA</t>
        </is>
      </c>
      <c r="AB72" s="40" t="inlineStr">
        <is>
          <t xml:space="preserve">LMO </t>
        </is>
      </c>
      <c r="AC72" s="40" t="inlineStr">
        <is>
          <t xml:space="preserve">LFP </t>
        </is>
      </c>
      <c r="AD72" s="34" t="n"/>
      <c r="AE72" s="34" t="n"/>
      <c r="AF72" s="34" t="inlineStr">
        <is>
          <t>NMC111</t>
        </is>
      </c>
      <c r="AG72" s="34" t="inlineStr">
        <is>
          <t>NMC532</t>
        </is>
      </c>
      <c r="AH72" s="38" t="inlineStr">
        <is>
          <t>NMC622</t>
        </is>
      </c>
      <c r="AI72" s="34" t="inlineStr">
        <is>
          <t>NMC811</t>
        </is>
      </c>
      <c r="AJ72" s="34" t="inlineStr">
        <is>
          <t>NCA</t>
        </is>
      </c>
      <c r="AK72" s="40" t="inlineStr">
        <is>
          <t xml:space="preserve">LMO </t>
        </is>
      </c>
      <c r="AL72" s="40" t="inlineStr">
        <is>
          <t xml:space="preserve">LFP </t>
        </is>
      </c>
      <c r="AM72" s="34" t="n"/>
      <c r="AN72" s="34" t="n"/>
      <c r="AO72" s="34" t="inlineStr">
        <is>
          <t>NMC111</t>
        </is>
      </c>
      <c r="AP72" s="34" t="inlineStr">
        <is>
          <t>NMC532</t>
        </is>
      </c>
      <c r="AQ72" s="38" t="inlineStr">
        <is>
          <t>NMC622</t>
        </is>
      </c>
      <c r="AR72" s="34" t="inlineStr">
        <is>
          <t>NMC811</t>
        </is>
      </c>
      <c r="AS72" s="34" t="inlineStr">
        <is>
          <t>NCA</t>
        </is>
      </c>
      <c r="AT72" s="40" t="inlineStr">
        <is>
          <t xml:space="preserve">LMO </t>
        </is>
      </c>
      <c r="AU72" s="40" t="inlineStr">
        <is>
          <t xml:space="preserve">LFP </t>
        </is>
      </c>
    </row>
    <row r="73" ht="14.5" customHeight="1" s="213">
      <c r="U73" s="33" t="inlineStr">
        <is>
          <t>US</t>
        </is>
      </c>
      <c r="V73" s="48" t="inlineStr">
        <is>
          <t>ELC</t>
        </is>
      </c>
      <c r="W73" s="208">
        <f>W4-W5</f>
        <v/>
      </c>
      <c r="X73" s="208">
        <f>X4-X5</f>
        <v/>
      </c>
      <c r="Y73" s="208">
        <f>Y4-Y5</f>
        <v/>
      </c>
      <c r="Z73" s="208">
        <f>Z4-Z5</f>
        <v/>
      </c>
      <c r="AA73" s="208">
        <f>AA4-AA5</f>
        <v/>
      </c>
      <c r="AB73" s="208">
        <f>AB4-AB5</f>
        <v/>
      </c>
      <c r="AC73" s="208">
        <f>AC4-AC5</f>
        <v/>
      </c>
      <c r="AF73" s="208">
        <f>AF4-AF5</f>
        <v/>
      </c>
      <c r="AG73" s="208">
        <f>AG4-AG5</f>
        <v/>
      </c>
      <c r="AH73" s="208">
        <f>AH4-AH5</f>
        <v/>
      </c>
      <c r="AI73" s="208">
        <f>AI4-AI5</f>
        <v/>
      </c>
      <c r="AJ73" s="208">
        <f>AJ4-AJ5</f>
        <v/>
      </c>
      <c r="AK73" s="208">
        <f>AK4-AK5</f>
        <v/>
      </c>
      <c r="AL73" s="208">
        <f>AL4-AL5</f>
        <v/>
      </c>
      <c r="AO73" s="208">
        <f>AO4-AO5</f>
        <v/>
      </c>
      <c r="AP73" s="208">
        <f>AP4-AP5</f>
        <v/>
      </c>
      <c r="AQ73" s="208">
        <f>AQ4-AQ5</f>
        <v/>
      </c>
      <c r="AR73" s="208">
        <f>AR4-AR5</f>
        <v/>
      </c>
      <c r="AS73" s="208">
        <f>AS4-AS5</f>
        <v/>
      </c>
      <c r="AT73" s="208">
        <f>AT4-AT5</f>
        <v/>
      </c>
      <c r="AU73" s="208">
        <f>AU4-AU5</f>
        <v/>
      </c>
    </row>
    <row r="74" ht="14.5" customHeight="1" s="213">
      <c r="V74" s="49" t="inlineStr">
        <is>
          <t>COAHCO</t>
        </is>
      </c>
      <c r="W74" s="208">
        <f>W6</f>
        <v/>
      </c>
      <c r="X74" s="208">
        <f>X6</f>
        <v/>
      </c>
      <c r="Y74" s="208">
        <f>Y6</f>
        <v/>
      </c>
      <c r="Z74" s="208">
        <f>Z6</f>
        <v/>
      </c>
      <c r="AA74" s="208">
        <f>AA6</f>
        <v/>
      </c>
      <c r="AB74" s="208">
        <f>AB6</f>
        <v/>
      </c>
      <c r="AC74" s="208">
        <f>AC6</f>
        <v/>
      </c>
      <c r="AF74" s="208">
        <f>AF6</f>
        <v/>
      </c>
      <c r="AG74" s="208">
        <f>AG6</f>
        <v/>
      </c>
      <c r="AH74" s="208">
        <f>AH6</f>
        <v/>
      </c>
      <c r="AI74" s="208">
        <f>AI6</f>
        <v/>
      </c>
      <c r="AJ74" s="208">
        <f>AJ6</f>
        <v/>
      </c>
      <c r="AK74" s="208">
        <f>AK6</f>
        <v/>
      </c>
      <c r="AL74" s="208">
        <f>AL6</f>
        <v/>
      </c>
      <c r="AO74" s="208">
        <f>AO6</f>
        <v/>
      </c>
      <c r="AP74" s="208">
        <f>AP6</f>
        <v/>
      </c>
      <c r="AQ74" s="208">
        <f>AQ6</f>
        <v/>
      </c>
      <c r="AR74" s="208">
        <f>AR6</f>
        <v/>
      </c>
      <c r="AS74" s="208">
        <f>AS6</f>
        <v/>
      </c>
      <c r="AT74" s="208">
        <f>AT6</f>
        <v/>
      </c>
      <c r="AU74" s="208">
        <f>AU6</f>
        <v/>
      </c>
    </row>
    <row r="75" ht="14.5" customHeight="1" s="213">
      <c r="V75" s="48" t="inlineStr">
        <is>
          <t>GASNGA</t>
        </is>
      </c>
      <c r="W75" s="208">
        <f>W7</f>
        <v/>
      </c>
      <c r="X75" s="208">
        <f>X7</f>
        <v/>
      </c>
      <c r="Y75" s="208">
        <f>Y7</f>
        <v/>
      </c>
      <c r="Z75" s="208">
        <f>Z7</f>
        <v/>
      </c>
      <c r="AA75" s="208">
        <f>AA7</f>
        <v/>
      </c>
      <c r="AB75" s="208">
        <f>AB7</f>
        <v/>
      </c>
      <c r="AC75" s="208">
        <f>AC7</f>
        <v/>
      </c>
      <c r="AF75" s="208">
        <f>AF7</f>
        <v/>
      </c>
      <c r="AG75" s="208">
        <f>AG7</f>
        <v/>
      </c>
      <c r="AH75" s="208">
        <f>AH7</f>
        <v/>
      </c>
      <c r="AI75" s="208">
        <f>AI7</f>
        <v/>
      </c>
      <c r="AJ75" s="208">
        <f>AJ7</f>
        <v/>
      </c>
      <c r="AK75" s="208">
        <f>AK7</f>
        <v/>
      </c>
      <c r="AL75" s="208">
        <f>AL7</f>
        <v/>
      </c>
      <c r="AO75" s="208">
        <f>AO7</f>
        <v/>
      </c>
      <c r="AP75" s="208">
        <f>AP7</f>
        <v/>
      </c>
      <c r="AQ75" s="208">
        <f>AQ7</f>
        <v/>
      </c>
      <c r="AR75" s="208">
        <f>AR7</f>
        <v/>
      </c>
      <c r="AS75" s="208">
        <f>AS7</f>
        <v/>
      </c>
      <c r="AT75" s="208">
        <f>AT7</f>
        <v/>
      </c>
      <c r="AU75" s="208">
        <f>AU7</f>
        <v/>
      </c>
    </row>
    <row r="76" ht="14.5" customHeight="1" s="213">
      <c r="V76" s="48" t="inlineStr">
        <is>
          <t>OILDST</t>
        </is>
      </c>
      <c r="W76" s="208">
        <f>W8</f>
        <v/>
      </c>
      <c r="X76" s="208">
        <f>X8</f>
        <v/>
      </c>
      <c r="Y76" s="208">
        <f>Y8</f>
        <v/>
      </c>
      <c r="Z76" s="208">
        <f>Z8</f>
        <v/>
      </c>
      <c r="AA76" s="208">
        <f>AA8</f>
        <v/>
      </c>
      <c r="AB76" s="208">
        <f>AB8</f>
        <v/>
      </c>
      <c r="AC76" s="208">
        <f>AC8</f>
        <v/>
      </c>
      <c r="AF76" s="208">
        <f>AF8</f>
        <v/>
      </c>
      <c r="AG76" s="208">
        <f>AG8</f>
        <v/>
      </c>
      <c r="AH76" s="208">
        <f>AH8</f>
        <v/>
      </c>
      <c r="AI76" s="208">
        <f>AI8</f>
        <v/>
      </c>
      <c r="AJ76" s="208">
        <f>AJ8</f>
        <v/>
      </c>
      <c r="AK76" s="208">
        <f>AK8</f>
        <v/>
      </c>
      <c r="AL76" s="208">
        <f>AL8</f>
        <v/>
      </c>
      <c r="AO76" s="208">
        <f>AO8</f>
        <v/>
      </c>
      <c r="AP76" s="208">
        <f>AP8</f>
        <v/>
      </c>
      <c r="AQ76" s="208">
        <f>AQ8</f>
        <v/>
      </c>
      <c r="AR76" s="208">
        <f>AR8</f>
        <v/>
      </c>
      <c r="AS76" s="208">
        <f>AS8</f>
        <v/>
      </c>
      <c r="AT76" s="208">
        <f>AT8</f>
        <v/>
      </c>
      <c r="AU76" s="208">
        <f>AU8</f>
        <v/>
      </c>
    </row>
    <row r="77" ht="14.5" customHeight="1" s="213">
      <c r="U77" s="33" t="inlineStr">
        <is>
          <t>Korea</t>
        </is>
      </c>
      <c r="V77" s="48" t="inlineStr">
        <is>
          <t>ELC</t>
        </is>
      </c>
      <c r="W77" s="208">
        <f>W9-W10</f>
        <v/>
      </c>
      <c r="X77" s="208">
        <f>X9-X10</f>
        <v/>
      </c>
      <c r="Y77" s="208">
        <f>Y9-Y10</f>
        <v/>
      </c>
      <c r="Z77" s="208">
        <f>Z9-Z10</f>
        <v/>
      </c>
      <c r="AA77" s="208">
        <f>AA9-AA10</f>
        <v/>
      </c>
      <c r="AB77" s="208">
        <f>AB9-AB10</f>
        <v/>
      </c>
      <c r="AC77" s="208">
        <f>AC9-AC10</f>
        <v/>
      </c>
      <c r="AF77" s="208">
        <f>AF9-AF10</f>
        <v/>
      </c>
      <c r="AG77" s="208">
        <f>AG9-AG10</f>
        <v/>
      </c>
      <c r="AH77" s="208">
        <f>AH9-AH10</f>
        <v/>
      </c>
      <c r="AI77" s="208">
        <f>AI9-AI10</f>
        <v/>
      </c>
      <c r="AJ77" s="208">
        <f>AJ9-AJ10</f>
        <v/>
      </c>
      <c r="AK77" s="208">
        <f>AK9-AK10</f>
        <v/>
      </c>
      <c r="AL77" s="208">
        <f>AL9-AL10</f>
        <v/>
      </c>
      <c r="AO77" s="208">
        <f>AO9-AO10</f>
        <v/>
      </c>
      <c r="AP77" s="208">
        <f>AP9-AP10</f>
        <v/>
      </c>
      <c r="AQ77" s="208">
        <f>AQ9-AQ10</f>
        <v/>
      </c>
      <c r="AR77" s="208">
        <f>AR9-AR10</f>
        <v/>
      </c>
      <c r="AS77" s="208">
        <f>AS9-AS10</f>
        <v/>
      </c>
      <c r="AT77" s="208">
        <f>AT9-AT10</f>
        <v/>
      </c>
      <c r="AU77" s="208">
        <f>AU9-AU10</f>
        <v/>
      </c>
    </row>
    <row r="78" ht="14.5" customHeight="1" s="213">
      <c r="V78" s="49" t="inlineStr">
        <is>
          <t>COAHCO</t>
        </is>
      </c>
      <c r="W78" s="208">
        <f>W11</f>
        <v/>
      </c>
      <c r="X78" s="208">
        <f>X11</f>
        <v/>
      </c>
      <c r="Y78" s="208">
        <f>Y11</f>
        <v/>
      </c>
      <c r="Z78" s="208">
        <f>Z11</f>
        <v/>
      </c>
      <c r="AA78" s="208">
        <f>AA11</f>
        <v/>
      </c>
      <c r="AB78" s="208">
        <f>AB11</f>
        <v/>
      </c>
      <c r="AC78" s="208">
        <f>AC11</f>
        <v/>
      </c>
      <c r="AF78" s="208">
        <f>AF11</f>
        <v/>
      </c>
      <c r="AG78" s="208">
        <f>AG11</f>
        <v/>
      </c>
      <c r="AH78" s="208">
        <f>AH11</f>
        <v/>
      </c>
      <c r="AI78" s="208">
        <f>AI11</f>
        <v/>
      </c>
      <c r="AJ78" s="208">
        <f>AJ11</f>
        <v/>
      </c>
      <c r="AK78" s="208">
        <f>AK11</f>
        <v/>
      </c>
      <c r="AL78" s="208">
        <f>AL11</f>
        <v/>
      </c>
      <c r="AO78" s="208">
        <f>AO11</f>
        <v/>
      </c>
      <c r="AP78" s="208">
        <f>AP11</f>
        <v/>
      </c>
      <c r="AQ78" s="208">
        <f>AQ11</f>
        <v/>
      </c>
      <c r="AR78" s="208">
        <f>AR11</f>
        <v/>
      </c>
      <c r="AS78" s="208">
        <f>AS11</f>
        <v/>
      </c>
      <c r="AT78" s="208">
        <f>AT11</f>
        <v/>
      </c>
      <c r="AU78" s="208">
        <f>AU11</f>
        <v/>
      </c>
    </row>
    <row r="79" ht="15.5" customHeight="1" s="213">
      <c r="V79" s="48" t="inlineStr">
        <is>
          <t>GASNGA</t>
        </is>
      </c>
      <c r="W79" s="208">
        <f>W12</f>
        <v/>
      </c>
      <c r="X79" s="208">
        <f>X12</f>
        <v/>
      </c>
      <c r="Y79" s="208">
        <f>Y12</f>
        <v/>
      </c>
      <c r="Z79" s="208">
        <f>Z12</f>
        <v/>
      </c>
      <c r="AA79" s="208">
        <f>AA12</f>
        <v/>
      </c>
      <c r="AB79" s="208">
        <f>AB12</f>
        <v/>
      </c>
      <c r="AC79" s="208">
        <f>AC12</f>
        <v/>
      </c>
      <c r="AD79" s="34" t="n"/>
      <c r="AE79" s="34" t="n"/>
      <c r="AF79" s="208">
        <f>AF12</f>
        <v/>
      </c>
      <c r="AG79" s="208">
        <f>AG12</f>
        <v/>
      </c>
      <c r="AH79" s="208">
        <f>AH12</f>
        <v/>
      </c>
      <c r="AI79" s="208">
        <f>AI12</f>
        <v/>
      </c>
      <c r="AJ79" s="208">
        <f>AJ12</f>
        <v/>
      </c>
      <c r="AK79" s="208">
        <f>AK12</f>
        <v/>
      </c>
      <c r="AL79" s="208">
        <f>AL12</f>
        <v/>
      </c>
      <c r="AM79" s="34" t="n"/>
      <c r="AN79" s="34" t="n"/>
      <c r="AO79" s="208">
        <f>AO12</f>
        <v/>
      </c>
      <c r="AP79" s="208">
        <f>AP12</f>
        <v/>
      </c>
      <c r="AQ79" s="208">
        <f>AQ12</f>
        <v/>
      </c>
      <c r="AR79" s="208">
        <f>AR12</f>
        <v/>
      </c>
      <c r="AS79" s="208">
        <f>AS12</f>
        <v/>
      </c>
      <c r="AT79" s="208">
        <f>AT12</f>
        <v/>
      </c>
      <c r="AU79" s="208">
        <f>AU12</f>
        <v/>
      </c>
    </row>
    <row r="80" ht="15.5" customHeight="1" s="213">
      <c r="V80" s="48" t="inlineStr">
        <is>
          <t>OILDST</t>
        </is>
      </c>
      <c r="W80" s="208">
        <f>W13</f>
        <v/>
      </c>
      <c r="X80" s="208">
        <f>X13</f>
        <v/>
      </c>
      <c r="Y80" s="208">
        <f>Y13</f>
        <v/>
      </c>
      <c r="Z80" s="208">
        <f>Z13</f>
        <v/>
      </c>
      <c r="AA80" s="208">
        <f>AA13</f>
        <v/>
      </c>
      <c r="AB80" s="208">
        <f>AB13</f>
        <v/>
      </c>
      <c r="AC80" s="208">
        <f>AC13</f>
        <v/>
      </c>
      <c r="AD80" s="34" t="n"/>
      <c r="AE80" s="34" t="n"/>
      <c r="AF80" s="208">
        <f>AF13</f>
        <v/>
      </c>
      <c r="AG80" s="208">
        <f>AG13</f>
        <v/>
      </c>
      <c r="AH80" s="208">
        <f>AH13</f>
        <v/>
      </c>
      <c r="AI80" s="208">
        <f>AI13</f>
        <v/>
      </c>
      <c r="AJ80" s="208">
        <f>AJ13</f>
        <v/>
      </c>
      <c r="AK80" s="208">
        <f>AK13</f>
        <v/>
      </c>
      <c r="AL80" s="208">
        <f>AL13</f>
        <v/>
      </c>
      <c r="AM80" s="34" t="n"/>
      <c r="AN80" s="34" t="n"/>
      <c r="AO80" s="208">
        <f>AO13</f>
        <v/>
      </c>
      <c r="AP80" s="208">
        <f>AP13</f>
        <v/>
      </c>
      <c r="AQ80" s="208">
        <f>AQ13</f>
        <v/>
      </c>
      <c r="AR80" s="208">
        <f>AR13</f>
        <v/>
      </c>
      <c r="AS80" s="208">
        <f>AS13</f>
        <v/>
      </c>
      <c r="AT80" s="208">
        <f>AT13</f>
        <v/>
      </c>
      <c r="AU80" s="208">
        <f>AU13</f>
        <v/>
      </c>
    </row>
    <row r="81" ht="15.5" customHeight="1" s="213">
      <c r="U81" s="33" t="inlineStr">
        <is>
          <t>CN</t>
        </is>
      </c>
      <c r="V81" s="48" t="inlineStr">
        <is>
          <t>ELC</t>
        </is>
      </c>
      <c r="W81" s="34">
        <f>W14-W15</f>
        <v/>
      </c>
      <c r="X81" s="34">
        <f>X14-X15</f>
        <v/>
      </c>
      <c r="Y81" s="34">
        <f>Y14-Y15</f>
        <v/>
      </c>
      <c r="Z81" s="34">
        <f>Z14-Z15</f>
        <v/>
      </c>
      <c r="AA81" s="34">
        <f>AA14-AA15</f>
        <v/>
      </c>
      <c r="AB81" s="34">
        <f>AB14-AB15</f>
        <v/>
      </c>
      <c r="AC81" s="34">
        <f>AC14-AC15</f>
        <v/>
      </c>
      <c r="AD81" s="34" t="n"/>
      <c r="AE81" s="34" t="n"/>
      <c r="AF81" s="34">
        <f>AF14-AF15</f>
        <v/>
      </c>
      <c r="AG81" s="34">
        <f>AG14-AG15</f>
        <v/>
      </c>
      <c r="AH81" s="34">
        <f>AH14-AH15</f>
        <v/>
      </c>
      <c r="AI81" s="34">
        <f>AI14-AI15</f>
        <v/>
      </c>
      <c r="AJ81" s="34">
        <f>AJ14-AJ15</f>
        <v/>
      </c>
      <c r="AK81" s="34">
        <f>AK14-AK15</f>
        <v/>
      </c>
      <c r="AL81" s="34">
        <f>AL14-AL15</f>
        <v/>
      </c>
      <c r="AM81" s="34" t="n"/>
      <c r="AN81" s="34" t="n"/>
      <c r="AO81" s="34">
        <f>AO14-AO15</f>
        <v/>
      </c>
      <c r="AP81" s="34">
        <f>AP14-AP15</f>
        <v/>
      </c>
      <c r="AQ81" s="34">
        <f>AQ14-AQ15</f>
        <v/>
      </c>
      <c r="AR81" s="34">
        <f>AR14-AR15</f>
        <v/>
      </c>
      <c r="AS81" s="34">
        <f>AS14-AS15</f>
        <v/>
      </c>
      <c r="AT81" s="34">
        <f>AT14-AT15</f>
        <v/>
      </c>
      <c r="AU81" s="34">
        <f>AU14-AU15</f>
        <v/>
      </c>
    </row>
    <row r="82" ht="15.5" customHeight="1" s="213">
      <c r="V82" s="49" t="inlineStr">
        <is>
          <t>COAHCO</t>
        </is>
      </c>
      <c r="W82" s="34">
        <f>W16</f>
        <v/>
      </c>
      <c r="X82" s="34">
        <f>X16</f>
        <v/>
      </c>
      <c r="Y82" s="34">
        <f>Y16</f>
        <v/>
      </c>
      <c r="Z82" s="34">
        <f>Z16</f>
        <v/>
      </c>
      <c r="AA82" s="34">
        <f>AA16</f>
        <v/>
      </c>
      <c r="AB82" s="34">
        <f>AB16</f>
        <v/>
      </c>
      <c r="AC82" s="34">
        <f>AC16</f>
        <v/>
      </c>
      <c r="AD82" s="34" t="n"/>
      <c r="AE82" s="34" t="n"/>
      <c r="AF82" s="34">
        <f>AF16</f>
        <v/>
      </c>
      <c r="AG82" s="34">
        <f>AG16</f>
        <v/>
      </c>
      <c r="AH82" s="34">
        <f>AH16</f>
        <v/>
      </c>
      <c r="AI82" s="34">
        <f>AI16</f>
        <v/>
      </c>
      <c r="AJ82" s="34">
        <f>AJ16</f>
        <v/>
      </c>
      <c r="AK82" s="34">
        <f>AK16</f>
        <v/>
      </c>
      <c r="AL82" s="34">
        <f>AL16</f>
        <v/>
      </c>
      <c r="AM82" s="34" t="n"/>
      <c r="AN82" s="34" t="n"/>
      <c r="AO82" s="34">
        <f>AO16</f>
        <v/>
      </c>
      <c r="AP82" s="34">
        <f>AP16</f>
        <v/>
      </c>
      <c r="AQ82" s="34">
        <f>AQ16</f>
        <v/>
      </c>
      <c r="AR82" s="34">
        <f>AR16</f>
        <v/>
      </c>
      <c r="AS82" s="34">
        <f>AS16</f>
        <v/>
      </c>
      <c r="AT82" s="34">
        <f>AT16</f>
        <v/>
      </c>
      <c r="AU82" s="34">
        <f>AU16</f>
        <v/>
      </c>
    </row>
    <row r="83" ht="15.5" customHeight="1" s="213">
      <c r="V83" s="48" t="inlineStr">
        <is>
          <t>GASNGA</t>
        </is>
      </c>
      <c r="W83" s="34">
        <f>W17</f>
        <v/>
      </c>
      <c r="X83" s="34">
        <f>X17</f>
        <v/>
      </c>
      <c r="Y83" s="34">
        <f>Y17</f>
        <v/>
      </c>
      <c r="Z83" s="34">
        <f>Z17</f>
        <v/>
      </c>
      <c r="AA83" s="34">
        <f>AA17</f>
        <v/>
      </c>
      <c r="AB83" s="34">
        <f>AB17</f>
        <v/>
      </c>
      <c r="AC83" s="34">
        <f>AC17</f>
        <v/>
      </c>
      <c r="AD83" s="34" t="n"/>
      <c r="AE83" s="34" t="n"/>
      <c r="AF83" s="34">
        <f>AF17</f>
        <v/>
      </c>
      <c r="AG83" s="34">
        <f>AG17</f>
        <v/>
      </c>
      <c r="AH83" s="34">
        <f>AH17</f>
        <v/>
      </c>
      <c r="AI83" s="34">
        <f>AI17</f>
        <v/>
      </c>
      <c r="AJ83" s="34">
        <f>AJ17</f>
        <v/>
      </c>
      <c r="AK83" s="34">
        <f>AK17</f>
        <v/>
      </c>
      <c r="AL83" s="34">
        <f>AL17</f>
        <v/>
      </c>
      <c r="AM83" s="34" t="n"/>
      <c r="AN83" s="34" t="n"/>
      <c r="AO83" s="34">
        <f>AO17</f>
        <v/>
      </c>
      <c r="AP83" s="34">
        <f>AP17</f>
        <v/>
      </c>
      <c r="AQ83" s="34">
        <f>AQ17</f>
        <v/>
      </c>
      <c r="AR83" s="34">
        <f>AR17</f>
        <v/>
      </c>
      <c r="AS83" s="34">
        <f>AS17</f>
        <v/>
      </c>
      <c r="AT83" s="34">
        <f>AT17</f>
        <v/>
      </c>
      <c r="AU83" s="34">
        <f>AU17</f>
        <v/>
      </c>
    </row>
    <row r="84" ht="15.5" customHeight="1" s="213">
      <c r="V84" s="48" t="inlineStr">
        <is>
          <t>OILDST</t>
        </is>
      </c>
      <c r="W84" s="34">
        <f>W18</f>
        <v/>
      </c>
      <c r="X84" s="34">
        <f>X18</f>
        <v/>
      </c>
      <c r="Y84" s="34">
        <f>Y18</f>
        <v/>
      </c>
      <c r="Z84" s="34">
        <f>Z18</f>
        <v/>
      </c>
      <c r="AA84" s="34">
        <f>AA18</f>
        <v/>
      </c>
      <c r="AB84" s="34">
        <f>AB18</f>
        <v/>
      </c>
      <c r="AC84" s="34">
        <f>AC18</f>
        <v/>
      </c>
      <c r="AD84" s="34" t="n"/>
      <c r="AE84" s="34" t="n"/>
      <c r="AF84" s="34">
        <f>AF18</f>
        <v/>
      </c>
      <c r="AG84" s="34">
        <f>AG18</f>
        <v/>
      </c>
      <c r="AH84" s="34">
        <f>AH18</f>
        <v/>
      </c>
      <c r="AI84" s="34">
        <f>AI18</f>
        <v/>
      </c>
      <c r="AJ84" s="34">
        <f>AJ18</f>
        <v/>
      </c>
      <c r="AK84" s="34">
        <f>AK18</f>
        <v/>
      </c>
      <c r="AL84" s="34">
        <f>AL18</f>
        <v/>
      </c>
      <c r="AM84" s="34" t="n"/>
      <c r="AN84" s="34" t="n"/>
      <c r="AO84" s="34">
        <f>AO18</f>
        <v/>
      </c>
      <c r="AP84" s="34">
        <f>AP18</f>
        <v/>
      </c>
      <c r="AQ84" s="34">
        <f>AQ18</f>
        <v/>
      </c>
      <c r="AR84" s="34">
        <f>AR18</f>
        <v/>
      </c>
      <c r="AS84" s="34">
        <f>AS18</f>
        <v/>
      </c>
      <c r="AT84" s="34">
        <f>AT18</f>
        <v/>
      </c>
      <c r="AU84" s="34">
        <f>AU18</f>
        <v/>
      </c>
    </row>
    <row r="85" ht="15.5" customHeight="1" s="213">
      <c r="U85" s="33" t="inlineStr">
        <is>
          <t>CN</t>
        </is>
      </c>
      <c r="V85" s="48" t="inlineStr">
        <is>
          <t>ELC</t>
        </is>
      </c>
      <c r="W85" s="50">
        <f>W81</f>
        <v/>
      </c>
      <c r="X85" s="50">
        <f>X81</f>
        <v/>
      </c>
      <c r="Y85" s="50">
        <f>Y81</f>
        <v/>
      </c>
      <c r="Z85" s="50">
        <f>Z81</f>
        <v/>
      </c>
      <c r="AA85" s="50">
        <f>AA81</f>
        <v/>
      </c>
      <c r="AB85" s="50">
        <f>AB81</f>
        <v/>
      </c>
      <c r="AC85" s="50">
        <f>AC81</f>
        <v/>
      </c>
      <c r="AD85" s="34" t="n"/>
      <c r="AE85" s="34" t="n"/>
      <c r="AF85" s="50">
        <f>AF81</f>
        <v/>
      </c>
      <c r="AG85" s="50">
        <f>AG81</f>
        <v/>
      </c>
      <c r="AH85" s="50">
        <f>AH81</f>
        <v/>
      </c>
      <c r="AI85" s="50">
        <f>AI81</f>
        <v/>
      </c>
      <c r="AJ85" s="50">
        <f>AJ81</f>
        <v/>
      </c>
      <c r="AK85" s="50">
        <f>AK81</f>
        <v/>
      </c>
      <c r="AL85" s="50">
        <f>AL81</f>
        <v/>
      </c>
      <c r="AM85" s="34" t="n"/>
      <c r="AN85" s="34" t="n"/>
      <c r="AO85" s="50">
        <f>AO81</f>
        <v/>
      </c>
      <c r="AP85" s="50">
        <f>AP81</f>
        <v/>
      </c>
      <c r="AQ85" s="50">
        <f>AQ81</f>
        <v/>
      </c>
      <c r="AR85" s="50">
        <f>AR81</f>
        <v/>
      </c>
      <c r="AS85" s="50">
        <f>AS81</f>
        <v/>
      </c>
      <c r="AT85" s="50">
        <f>AT81</f>
        <v/>
      </c>
      <c r="AU85" s="50">
        <f>AU81</f>
        <v/>
      </c>
    </row>
    <row r="86" ht="15.5" customHeight="1" s="213">
      <c r="V86" s="49" t="inlineStr">
        <is>
          <t>COAHCO</t>
        </is>
      </c>
      <c r="W86" s="50">
        <f>W82</f>
        <v/>
      </c>
      <c r="X86" s="50">
        <f>X82</f>
        <v/>
      </c>
      <c r="Y86" s="50">
        <f>Y82</f>
        <v/>
      </c>
      <c r="Z86" s="50">
        <f>Z82</f>
        <v/>
      </c>
      <c r="AA86" s="50">
        <f>AA82</f>
        <v/>
      </c>
      <c r="AB86" s="50">
        <f>AB82</f>
        <v/>
      </c>
      <c r="AC86" s="50">
        <f>AC82</f>
        <v/>
      </c>
      <c r="AD86" s="34" t="n"/>
      <c r="AE86" s="34" t="n"/>
      <c r="AF86" s="50">
        <f>AF82</f>
        <v/>
      </c>
      <c r="AG86" s="50">
        <f>AG82</f>
        <v/>
      </c>
      <c r="AH86" s="50">
        <f>AH82</f>
        <v/>
      </c>
      <c r="AI86" s="50">
        <f>AI82</f>
        <v/>
      </c>
      <c r="AJ86" s="50">
        <f>AJ82</f>
        <v/>
      </c>
      <c r="AK86" s="50">
        <f>AK82</f>
        <v/>
      </c>
      <c r="AL86" s="50">
        <f>AL82</f>
        <v/>
      </c>
      <c r="AM86" s="34" t="n"/>
      <c r="AN86" s="34" t="n"/>
      <c r="AO86" s="50">
        <f>AO82</f>
        <v/>
      </c>
      <c r="AP86" s="50">
        <f>AP82</f>
        <v/>
      </c>
      <c r="AQ86" s="50">
        <f>AQ82</f>
        <v/>
      </c>
      <c r="AR86" s="50">
        <f>AR82</f>
        <v/>
      </c>
      <c r="AS86" s="50">
        <f>AS82</f>
        <v/>
      </c>
      <c r="AT86" s="50">
        <f>AT82</f>
        <v/>
      </c>
      <c r="AU86" s="50">
        <f>AU82</f>
        <v/>
      </c>
    </row>
    <row r="87" ht="15.5" customHeight="1" s="213">
      <c r="V87" s="48" t="inlineStr">
        <is>
          <t>GASNGA</t>
        </is>
      </c>
      <c r="W87" s="50">
        <f>W83</f>
        <v/>
      </c>
      <c r="X87" s="50">
        <f>X83</f>
        <v/>
      </c>
      <c r="Y87" s="50">
        <f>Y83</f>
        <v/>
      </c>
      <c r="Z87" s="50">
        <f>Z83</f>
        <v/>
      </c>
      <c r="AA87" s="50">
        <f>AA83</f>
        <v/>
      </c>
      <c r="AB87" s="50">
        <f>AB83</f>
        <v/>
      </c>
      <c r="AC87" s="50">
        <f>AC83</f>
        <v/>
      </c>
      <c r="AD87" s="34" t="n"/>
      <c r="AE87" s="34" t="n"/>
      <c r="AF87" s="50">
        <f>AF83</f>
        <v/>
      </c>
      <c r="AG87" s="50">
        <f>AG83</f>
        <v/>
      </c>
      <c r="AH87" s="50">
        <f>AH83</f>
        <v/>
      </c>
      <c r="AI87" s="50">
        <f>AI83</f>
        <v/>
      </c>
      <c r="AJ87" s="50">
        <f>AJ83</f>
        <v/>
      </c>
      <c r="AK87" s="50">
        <f>AK83</f>
        <v/>
      </c>
      <c r="AL87" s="50">
        <f>AL83</f>
        <v/>
      </c>
      <c r="AM87" s="34" t="n"/>
      <c r="AN87" s="34" t="n"/>
      <c r="AO87" s="50">
        <f>AO83</f>
        <v/>
      </c>
      <c r="AP87" s="50">
        <f>AP83</f>
        <v/>
      </c>
      <c r="AQ87" s="50">
        <f>AQ83</f>
        <v/>
      </c>
      <c r="AR87" s="50">
        <f>AR83</f>
        <v/>
      </c>
      <c r="AS87" s="50">
        <f>AS83</f>
        <v/>
      </c>
      <c r="AT87" s="50">
        <f>AT83</f>
        <v/>
      </c>
      <c r="AU87" s="50">
        <f>AU83</f>
        <v/>
      </c>
    </row>
    <row r="88" ht="15.5" customHeight="1" s="213">
      <c r="V88" s="48" t="inlineStr">
        <is>
          <t>OILDST</t>
        </is>
      </c>
      <c r="W88" s="50">
        <f>W84</f>
        <v/>
      </c>
      <c r="X88" s="50">
        <f>X84</f>
        <v/>
      </c>
      <c r="Y88" s="50">
        <f>Y84</f>
        <v/>
      </c>
      <c r="Z88" s="50">
        <f>Z84</f>
        <v/>
      </c>
      <c r="AA88" s="50">
        <f>AA84</f>
        <v/>
      </c>
      <c r="AB88" s="50">
        <f>AB84</f>
        <v/>
      </c>
      <c r="AC88" s="50">
        <f>AC84</f>
        <v/>
      </c>
      <c r="AD88" s="34" t="n"/>
      <c r="AE88" s="34" t="n"/>
      <c r="AF88" s="50">
        <f>AF84</f>
        <v/>
      </c>
      <c r="AG88" s="50">
        <f>AG84</f>
        <v/>
      </c>
      <c r="AH88" s="50">
        <f>AH84</f>
        <v/>
      </c>
      <c r="AI88" s="50">
        <f>AI84</f>
        <v/>
      </c>
      <c r="AJ88" s="50">
        <f>AJ84</f>
        <v/>
      </c>
      <c r="AK88" s="50">
        <f>AK84</f>
        <v/>
      </c>
      <c r="AL88" s="50">
        <f>AL84</f>
        <v/>
      </c>
      <c r="AM88" s="34" t="n"/>
      <c r="AN88" s="34" t="n"/>
      <c r="AO88" s="50">
        <f>AO84</f>
        <v/>
      </c>
      <c r="AP88" s="50">
        <f>AP84</f>
        <v/>
      </c>
      <c r="AQ88" s="50">
        <f>AQ84</f>
        <v/>
      </c>
      <c r="AR88" s="50">
        <f>AR84</f>
        <v/>
      </c>
      <c r="AS88" s="50">
        <f>AS84</f>
        <v/>
      </c>
      <c r="AT88" s="50">
        <f>AT84</f>
        <v/>
      </c>
      <c r="AU88" s="50">
        <f>AU84</f>
        <v/>
      </c>
    </row>
    <row r="89" ht="15.5" customHeight="1" s="213">
      <c r="U89" s="34" t="n"/>
      <c r="V89" s="34" t="n"/>
      <c r="W89" s="34" t="n"/>
      <c r="X89" s="34" t="n"/>
      <c r="Y89" s="34" t="n"/>
      <c r="Z89" s="34" t="n"/>
      <c r="AA89" s="34" t="n"/>
      <c r="AB89" s="34" t="n"/>
      <c r="AC89" s="34" t="n"/>
      <c r="AD89" s="34" t="n"/>
      <c r="AE89" s="34" t="n"/>
      <c r="AF89" s="34" t="n"/>
      <c r="AG89" s="34" t="n"/>
      <c r="AH89" s="34" t="n"/>
      <c r="AI89" s="34" t="n"/>
      <c r="AJ89" s="34" t="n"/>
      <c r="AK89" s="34" t="n"/>
      <c r="AL89" s="34" t="n"/>
      <c r="AM89" s="34" t="n"/>
      <c r="AN89" s="34" t="n"/>
      <c r="AO89" s="34" t="n"/>
      <c r="AP89" s="34" t="n"/>
      <c r="AQ89" s="34" t="n"/>
      <c r="AR89" s="34" t="n"/>
      <c r="AS89" s="34" t="n"/>
      <c r="AT89" s="34" t="n"/>
      <c r="AU89" s="34" t="n"/>
    </row>
    <row r="90" ht="15.5" customHeight="1" s="213">
      <c r="U90" s="34" t="n"/>
      <c r="V90" s="34" t="n"/>
      <c r="W90" s="34" t="n"/>
      <c r="X90" s="34" t="n"/>
      <c r="Y90" s="34" t="n"/>
      <c r="Z90" s="34" t="n"/>
      <c r="AA90" s="34" t="n"/>
      <c r="AB90" s="34" t="n"/>
      <c r="AC90" s="34" t="n"/>
      <c r="AD90" s="34" t="n"/>
      <c r="AE90" s="34" t="n"/>
      <c r="AF90" s="34" t="n"/>
      <c r="AG90" s="34" t="n"/>
      <c r="AH90" s="34" t="n"/>
      <c r="AI90" s="34" t="n"/>
      <c r="AJ90" s="34" t="n"/>
      <c r="AK90" s="34" t="n"/>
      <c r="AL90" s="34" t="n"/>
      <c r="AM90" s="34" t="n"/>
      <c r="AN90" s="34" t="n"/>
      <c r="AO90" s="34" t="n"/>
      <c r="AP90" s="34" t="n"/>
      <c r="AQ90" s="34" t="n"/>
      <c r="AR90" s="34" t="n"/>
      <c r="AS90" s="34" t="n"/>
      <c r="AT90" s="34" t="n"/>
      <c r="AU90" s="34" t="n"/>
    </row>
    <row r="91" ht="15.5" customHeight="1" s="213">
      <c r="U91" s="34" t="n"/>
      <c r="V91" s="34" t="n"/>
      <c r="W91" s="34" t="n"/>
      <c r="X91" s="34" t="n"/>
      <c r="Y91" s="34" t="n"/>
      <c r="Z91" s="34" t="n"/>
      <c r="AA91" s="34" t="n"/>
      <c r="AB91" s="34" t="n"/>
      <c r="AC91" s="34" t="n"/>
      <c r="AD91" s="34" t="n"/>
      <c r="AE91" s="34" t="n"/>
      <c r="AF91" s="34" t="n"/>
      <c r="AG91" s="34" t="n"/>
      <c r="AH91" s="34" t="n"/>
      <c r="AI91" s="34" t="n"/>
      <c r="AJ91" s="34" t="n"/>
      <c r="AK91" s="34" t="n"/>
      <c r="AL91" s="34" t="n"/>
      <c r="AM91" s="34" t="n"/>
      <c r="AN91" s="34" t="n"/>
      <c r="AO91" s="34" t="n"/>
      <c r="AP91" s="34" t="n"/>
      <c r="AQ91" s="34" t="n"/>
      <c r="AR91" s="34" t="n"/>
      <c r="AS91" s="34" t="n"/>
      <c r="AT91" s="34" t="n"/>
      <c r="AU91" s="34" t="n"/>
    </row>
    <row r="92" ht="15.5" customHeight="1" s="213">
      <c r="U92" s="34" t="n"/>
      <c r="V92" s="34" t="n"/>
      <c r="W92" s="34" t="inlineStr">
        <is>
          <t>NMC111</t>
        </is>
      </c>
      <c r="X92" s="34" t="inlineStr">
        <is>
          <t>NMC532</t>
        </is>
      </c>
      <c r="Y92" s="38" t="inlineStr">
        <is>
          <t>NMC622</t>
        </is>
      </c>
      <c r="Z92" s="34" t="inlineStr">
        <is>
          <t>NMC811</t>
        </is>
      </c>
      <c r="AA92" s="34" t="inlineStr">
        <is>
          <t>NCA</t>
        </is>
      </c>
      <c r="AB92" s="40" t="inlineStr">
        <is>
          <t xml:space="preserve">LMO </t>
        </is>
      </c>
      <c r="AC92" s="40" t="inlineStr">
        <is>
          <t xml:space="preserve">LFP </t>
        </is>
      </c>
      <c r="AD92" s="34" t="n"/>
      <c r="AE92" s="34" t="n"/>
      <c r="AF92" s="34" t="inlineStr">
        <is>
          <t>NMC111</t>
        </is>
      </c>
      <c r="AG92" s="34" t="inlineStr">
        <is>
          <t>NMC532</t>
        </is>
      </c>
      <c r="AH92" s="38" t="inlineStr">
        <is>
          <t>NMC622</t>
        </is>
      </c>
      <c r="AI92" s="34" t="inlineStr">
        <is>
          <t>NMC811</t>
        </is>
      </c>
      <c r="AJ92" s="34" t="inlineStr">
        <is>
          <t>NCA</t>
        </is>
      </c>
      <c r="AK92" s="40" t="inlineStr">
        <is>
          <t xml:space="preserve">LMO </t>
        </is>
      </c>
      <c r="AL92" s="40" t="inlineStr">
        <is>
          <t xml:space="preserve">LFP </t>
        </is>
      </c>
      <c r="AM92" s="34" t="n"/>
      <c r="AN92" s="34" t="n"/>
      <c r="AO92" s="34" t="inlineStr">
        <is>
          <t>NMC111</t>
        </is>
      </c>
      <c r="AP92" s="34" t="inlineStr">
        <is>
          <t>NMC532</t>
        </is>
      </c>
      <c r="AQ92" s="38" t="inlineStr">
        <is>
          <t>NMC622</t>
        </is>
      </c>
      <c r="AR92" s="34" t="inlineStr">
        <is>
          <t>NMC811</t>
        </is>
      </c>
      <c r="AS92" s="34" t="inlineStr">
        <is>
          <t>NCA</t>
        </is>
      </c>
      <c r="AT92" s="40" t="inlineStr">
        <is>
          <t xml:space="preserve">LMO </t>
        </is>
      </c>
      <c r="AU92" s="40" t="inlineStr">
        <is>
          <t xml:space="preserve">LFP </t>
        </is>
      </c>
    </row>
    <row r="93" ht="14.5" customHeight="1" s="213">
      <c r="U93" s="33" t="inlineStr">
        <is>
          <t>US</t>
        </is>
      </c>
      <c r="V93" s="48" t="inlineStr">
        <is>
          <t>ELC</t>
        </is>
      </c>
      <c r="W93" s="208">
        <f>W24-W25</f>
        <v/>
      </c>
      <c r="X93" s="208">
        <f>X24-X25</f>
        <v/>
      </c>
      <c r="Y93" s="208">
        <f>Y24-Y25</f>
        <v/>
      </c>
      <c r="Z93" s="208">
        <f>Z24-Z25</f>
        <v/>
      </c>
      <c r="AA93" s="208">
        <f>AA24-AA25</f>
        <v/>
      </c>
      <c r="AB93" s="208">
        <f>AB24-AB25</f>
        <v/>
      </c>
      <c r="AC93" s="208">
        <f>AC24-AC25</f>
        <v/>
      </c>
      <c r="AF93" s="208">
        <f>AF24-AF25</f>
        <v/>
      </c>
      <c r="AG93" s="208">
        <f>AG24-AG25</f>
        <v/>
      </c>
      <c r="AH93" s="208">
        <f>AH24-AH25</f>
        <v/>
      </c>
      <c r="AI93" s="208">
        <f>AI24-AI25</f>
        <v/>
      </c>
      <c r="AJ93" s="208">
        <f>AJ24-AJ25</f>
        <v/>
      </c>
      <c r="AK93" s="208">
        <f>AK24-AK25</f>
        <v/>
      </c>
      <c r="AL93" s="208">
        <f>AL24-AL25</f>
        <v/>
      </c>
      <c r="AO93" s="208">
        <f>AO24-AO25</f>
        <v/>
      </c>
      <c r="AP93" s="208">
        <f>AP24-AP25</f>
        <v/>
      </c>
      <c r="AQ93" s="208">
        <f>AQ24-AQ25</f>
        <v/>
      </c>
      <c r="AR93" s="208">
        <f>AR24-AR25</f>
        <v/>
      </c>
      <c r="AS93" s="208">
        <f>AS24-AS25</f>
        <v/>
      </c>
      <c r="AT93" s="208">
        <f>AT24-AT25</f>
        <v/>
      </c>
      <c r="AU93" s="208">
        <f>AU24-AU25</f>
        <v/>
      </c>
    </row>
    <row r="94" ht="14.5" customHeight="1" s="213">
      <c r="V94" s="49" t="inlineStr">
        <is>
          <t>COAHCO</t>
        </is>
      </c>
      <c r="W94" s="208">
        <f>W26</f>
        <v/>
      </c>
      <c r="X94" s="208">
        <f>X26</f>
        <v/>
      </c>
      <c r="Y94" s="208">
        <f>Y26</f>
        <v/>
      </c>
      <c r="Z94" s="208">
        <f>Z26</f>
        <v/>
      </c>
      <c r="AA94" s="208">
        <f>AA26</f>
        <v/>
      </c>
      <c r="AB94" s="208">
        <f>AB26</f>
        <v/>
      </c>
      <c r="AC94" s="208">
        <f>AC26</f>
        <v/>
      </c>
      <c r="AF94" s="208">
        <f>AF26</f>
        <v/>
      </c>
      <c r="AG94" s="208">
        <f>AG26</f>
        <v/>
      </c>
      <c r="AH94" s="208">
        <f>AH26</f>
        <v/>
      </c>
      <c r="AI94" s="208">
        <f>AI26</f>
        <v/>
      </c>
      <c r="AJ94" s="208">
        <f>AJ26</f>
        <v/>
      </c>
      <c r="AK94" s="208">
        <f>AK26</f>
        <v/>
      </c>
      <c r="AL94" s="208">
        <f>AL26</f>
        <v/>
      </c>
      <c r="AO94" s="208">
        <f>AO26</f>
        <v/>
      </c>
      <c r="AP94" s="208">
        <f>AP26</f>
        <v/>
      </c>
      <c r="AQ94" s="208">
        <f>AQ26</f>
        <v/>
      </c>
      <c r="AR94" s="208">
        <f>AR26</f>
        <v/>
      </c>
      <c r="AS94" s="208">
        <f>AS26</f>
        <v/>
      </c>
      <c r="AT94" s="208">
        <f>AT26</f>
        <v/>
      </c>
      <c r="AU94" s="208">
        <f>AU26</f>
        <v/>
      </c>
    </row>
    <row r="95" ht="14.5" customHeight="1" s="213">
      <c r="V95" s="48" t="inlineStr">
        <is>
          <t>GASNGA</t>
        </is>
      </c>
      <c r="W95" s="208">
        <f>W27</f>
        <v/>
      </c>
      <c r="X95" s="208">
        <f>X27</f>
        <v/>
      </c>
      <c r="Y95" s="208">
        <f>Y27</f>
        <v/>
      </c>
      <c r="Z95" s="208">
        <f>Z27</f>
        <v/>
      </c>
      <c r="AA95" s="208">
        <f>AA27</f>
        <v/>
      </c>
      <c r="AB95" s="208">
        <f>AB27</f>
        <v/>
      </c>
      <c r="AC95" s="208">
        <f>AC27</f>
        <v/>
      </c>
      <c r="AF95" s="208">
        <f>AF27</f>
        <v/>
      </c>
      <c r="AG95" s="208">
        <f>AG27</f>
        <v/>
      </c>
      <c r="AH95" s="208">
        <f>AH27</f>
        <v/>
      </c>
      <c r="AI95" s="208">
        <f>AI27</f>
        <v/>
      </c>
      <c r="AJ95" s="208">
        <f>AJ27</f>
        <v/>
      </c>
      <c r="AK95" s="208">
        <f>AK27</f>
        <v/>
      </c>
      <c r="AL95" s="208">
        <f>AL27</f>
        <v/>
      </c>
      <c r="AO95" s="208">
        <f>AO27</f>
        <v/>
      </c>
      <c r="AP95" s="208">
        <f>AP27</f>
        <v/>
      </c>
      <c r="AQ95" s="208">
        <f>AQ27</f>
        <v/>
      </c>
      <c r="AR95" s="208">
        <f>AR27</f>
        <v/>
      </c>
      <c r="AS95" s="208">
        <f>AS27</f>
        <v/>
      </c>
      <c r="AT95" s="208">
        <f>AT27</f>
        <v/>
      </c>
      <c r="AU95" s="208">
        <f>AU27</f>
        <v/>
      </c>
    </row>
    <row r="96" ht="14.5" customHeight="1" s="213">
      <c r="V96" s="48" t="inlineStr">
        <is>
          <t>OILDST</t>
        </is>
      </c>
      <c r="W96" s="208">
        <f>W28</f>
        <v/>
      </c>
      <c r="X96" s="208">
        <f>X28</f>
        <v/>
      </c>
      <c r="Y96" s="208">
        <f>Y28</f>
        <v/>
      </c>
      <c r="Z96" s="208">
        <f>Z28</f>
        <v/>
      </c>
      <c r="AA96" s="208">
        <f>AA28</f>
        <v/>
      </c>
      <c r="AB96" s="208">
        <f>AB28</f>
        <v/>
      </c>
      <c r="AC96" s="208">
        <f>AC28</f>
        <v/>
      </c>
      <c r="AF96" s="208">
        <f>AF28</f>
        <v/>
      </c>
      <c r="AG96" s="208">
        <f>AG28</f>
        <v/>
      </c>
      <c r="AH96" s="208">
        <f>AH28</f>
        <v/>
      </c>
      <c r="AI96" s="208">
        <f>AI28</f>
        <v/>
      </c>
      <c r="AJ96" s="208">
        <f>AJ28</f>
        <v/>
      </c>
      <c r="AK96" s="208">
        <f>AK28</f>
        <v/>
      </c>
      <c r="AL96" s="208">
        <f>AL28</f>
        <v/>
      </c>
      <c r="AO96" s="208">
        <f>AO28</f>
        <v/>
      </c>
      <c r="AP96" s="208">
        <f>AP28</f>
        <v/>
      </c>
      <c r="AQ96" s="208">
        <f>AQ28</f>
        <v/>
      </c>
      <c r="AR96" s="208">
        <f>AR28</f>
        <v/>
      </c>
      <c r="AS96" s="208">
        <f>AS28</f>
        <v/>
      </c>
      <c r="AT96" s="208">
        <f>AT28</f>
        <v/>
      </c>
      <c r="AU96" s="208">
        <f>AU28</f>
        <v/>
      </c>
    </row>
    <row r="97" ht="14.5" customHeight="1" s="213">
      <c r="U97" s="33" t="inlineStr">
        <is>
          <t>Korea</t>
        </is>
      </c>
      <c r="V97" s="48" t="inlineStr">
        <is>
          <t>ELC</t>
        </is>
      </c>
      <c r="W97" s="208">
        <f>W29-W30</f>
        <v/>
      </c>
      <c r="X97" s="208">
        <f>X29-X30</f>
        <v/>
      </c>
      <c r="Y97" s="208">
        <f>Y29-Y30</f>
        <v/>
      </c>
      <c r="Z97" s="208">
        <f>Z29-Z30</f>
        <v/>
      </c>
      <c r="AA97" s="208">
        <f>AA29-AA30</f>
        <v/>
      </c>
      <c r="AB97" s="208">
        <f>AB29-AB30</f>
        <v/>
      </c>
      <c r="AC97" s="208">
        <f>AC29-AC30</f>
        <v/>
      </c>
      <c r="AF97" s="208">
        <f>AF29-AF30</f>
        <v/>
      </c>
      <c r="AG97" s="208">
        <f>AG29-AG30</f>
        <v/>
      </c>
      <c r="AH97" s="208">
        <f>AH29-AH30</f>
        <v/>
      </c>
      <c r="AI97" s="208">
        <f>AI29-AI30</f>
        <v/>
      </c>
      <c r="AJ97" s="208">
        <f>AJ29-AJ30</f>
        <v/>
      </c>
      <c r="AK97" s="208">
        <f>AK29-AK30</f>
        <v/>
      </c>
      <c r="AL97" s="208">
        <f>AL29-AL30</f>
        <v/>
      </c>
      <c r="AO97" s="208">
        <f>AO29-AO30</f>
        <v/>
      </c>
      <c r="AP97" s="208">
        <f>AP29-AP30</f>
        <v/>
      </c>
      <c r="AQ97" s="208">
        <f>AQ29-AQ30</f>
        <v/>
      </c>
      <c r="AR97" s="208">
        <f>AR29-AR30</f>
        <v/>
      </c>
      <c r="AS97" s="208">
        <f>AS29-AS30</f>
        <v/>
      </c>
      <c r="AT97" s="208">
        <f>AT29-AT30</f>
        <v/>
      </c>
      <c r="AU97" s="208">
        <f>AU29-AU30</f>
        <v/>
      </c>
    </row>
    <row r="98" ht="14.5" customHeight="1" s="213">
      <c r="V98" s="49" t="inlineStr">
        <is>
          <t>COAHCO</t>
        </is>
      </c>
      <c r="W98" s="208">
        <f>W31</f>
        <v/>
      </c>
      <c r="X98" s="208">
        <f>X31</f>
        <v/>
      </c>
      <c r="Y98" s="208">
        <f>Y31</f>
        <v/>
      </c>
      <c r="Z98" s="208">
        <f>Z31</f>
        <v/>
      </c>
      <c r="AA98" s="208">
        <f>AA31</f>
        <v/>
      </c>
      <c r="AB98" s="208">
        <f>AB31</f>
        <v/>
      </c>
      <c r="AC98" s="208">
        <f>AC31</f>
        <v/>
      </c>
      <c r="AF98" s="208">
        <f>AF31</f>
        <v/>
      </c>
      <c r="AG98" s="208">
        <f>AG31</f>
        <v/>
      </c>
      <c r="AH98" s="208">
        <f>AH31</f>
        <v/>
      </c>
      <c r="AI98" s="208">
        <f>AI31</f>
        <v/>
      </c>
      <c r="AJ98" s="208">
        <f>AJ31</f>
        <v/>
      </c>
      <c r="AK98" s="208">
        <f>AK31</f>
        <v/>
      </c>
      <c r="AL98" s="208">
        <f>AL31</f>
        <v/>
      </c>
      <c r="AO98" s="208">
        <f>AO31</f>
        <v/>
      </c>
      <c r="AP98" s="208">
        <f>AP31</f>
        <v/>
      </c>
      <c r="AQ98" s="208">
        <f>AQ31</f>
        <v/>
      </c>
      <c r="AR98" s="208">
        <f>AR31</f>
        <v/>
      </c>
      <c r="AS98" s="208">
        <f>AS31</f>
        <v/>
      </c>
      <c r="AT98" s="208">
        <f>AT31</f>
        <v/>
      </c>
      <c r="AU98" s="208">
        <f>AU31</f>
        <v/>
      </c>
    </row>
    <row r="99" ht="15.5" customHeight="1" s="213">
      <c r="V99" s="48" t="inlineStr">
        <is>
          <t>GASNGA</t>
        </is>
      </c>
      <c r="W99" s="208">
        <f>W32</f>
        <v/>
      </c>
      <c r="X99" s="208">
        <f>X32</f>
        <v/>
      </c>
      <c r="Y99" s="208">
        <f>Y32</f>
        <v/>
      </c>
      <c r="Z99" s="208">
        <f>Z32</f>
        <v/>
      </c>
      <c r="AA99" s="208">
        <f>AA32</f>
        <v/>
      </c>
      <c r="AB99" s="208">
        <f>AB32</f>
        <v/>
      </c>
      <c r="AC99" s="208">
        <f>AC32</f>
        <v/>
      </c>
      <c r="AD99" s="34" t="n"/>
      <c r="AE99" s="34" t="n"/>
      <c r="AF99" s="208">
        <f>AF32</f>
        <v/>
      </c>
      <c r="AG99" s="208">
        <f>AG32</f>
        <v/>
      </c>
      <c r="AH99" s="208">
        <f>AH32</f>
        <v/>
      </c>
      <c r="AI99" s="208">
        <f>AI32</f>
        <v/>
      </c>
      <c r="AJ99" s="208">
        <f>AJ32</f>
        <v/>
      </c>
      <c r="AK99" s="208">
        <f>AK32</f>
        <v/>
      </c>
      <c r="AL99" s="208">
        <f>AL32</f>
        <v/>
      </c>
      <c r="AM99" s="34" t="n"/>
      <c r="AN99" s="34" t="n"/>
      <c r="AO99" s="208">
        <f>AO32</f>
        <v/>
      </c>
      <c r="AP99" s="208">
        <f>AP32</f>
        <v/>
      </c>
      <c r="AQ99" s="208">
        <f>AQ32</f>
        <v/>
      </c>
      <c r="AR99" s="208">
        <f>AR32</f>
        <v/>
      </c>
      <c r="AS99" s="208">
        <f>AS32</f>
        <v/>
      </c>
      <c r="AT99" s="208">
        <f>AT32</f>
        <v/>
      </c>
      <c r="AU99" s="208">
        <f>AU32</f>
        <v/>
      </c>
    </row>
    <row r="100" ht="15.5" customHeight="1" s="213">
      <c r="V100" s="48" t="inlineStr">
        <is>
          <t>OILDST</t>
        </is>
      </c>
      <c r="W100" s="208">
        <f>W33</f>
        <v/>
      </c>
      <c r="X100" s="208">
        <f>X33</f>
        <v/>
      </c>
      <c r="Y100" s="208">
        <f>Y33</f>
        <v/>
      </c>
      <c r="Z100" s="208">
        <f>Z33</f>
        <v/>
      </c>
      <c r="AA100" s="208">
        <f>AA33</f>
        <v/>
      </c>
      <c r="AB100" s="208">
        <f>AB33</f>
        <v/>
      </c>
      <c r="AC100" s="208">
        <f>AC33</f>
        <v/>
      </c>
      <c r="AD100" s="34" t="n"/>
      <c r="AE100" s="34" t="n"/>
      <c r="AF100" s="208">
        <f>AF33</f>
        <v/>
      </c>
      <c r="AG100" s="208">
        <f>AG33</f>
        <v/>
      </c>
      <c r="AH100" s="208">
        <f>AH33</f>
        <v/>
      </c>
      <c r="AI100" s="208">
        <f>AI33</f>
        <v/>
      </c>
      <c r="AJ100" s="208">
        <f>AJ33</f>
        <v/>
      </c>
      <c r="AK100" s="208">
        <f>AK33</f>
        <v/>
      </c>
      <c r="AL100" s="208">
        <f>AL33</f>
        <v/>
      </c>
      <c r="AM100" s="34" t="n"/>
      <c r="AN100" s="34" t="n"/>
      <c r="AO100" s="208">
        <f>AO33</f>
        <v/>
      </c>
      <c r="AP100" s="208">
        <f>AP33</f>
        <v/>
      </c>
      <c r="AQ100" s="208">
        <f>AQ33</f>
        <v/>
      </c>
      <c r="AR100" s="208">
        <f>AR33</f>
        <v/>
      </c>
      <c r="AS100" s="208">
        <f>AS33</f>
        <v/>
      </c>
      <c r="AT100" s="208">
        <f>AT33</f>
        <v/>
      </c>
      <c r="AU100" s="208">
        <f>AU33</f>
        <v/>
      </c>
    </row>
    <row r="101" ht="15.5" customHeight="1" s="213">
      <c r="U101" s="33" t="inlineStr">
        <is>
          <t>CN</t>
        </is>
      </c>
      <c r="V101" s="48" t="inlineStr">
        <is>
          <t>ELC</t>
        </is>
      </c>
      <c r="W101" s="34">
        <f>W34-W35</f>
        <v/>
      </c>
      <c r="X101" s="34">
        <f>X34-X35</f>
        <v/>
      </c>
      <c r="Y101" s="34">
        <f>Y34-Y35</f>
        <v/>
      </c>
      <c r="Z101" s="34">
        <f>Z34-Z35</f>
        <v/>
      </c>
      <c r="AA101" s="34">
        <f>AA34-AA35</f>
        <v/>
      </c>
      <c r="AB101" s="34">
        <f>AB34-AB35</f>
        <v/>
      </c>
      <c r="AC101" s="34">
        <f>AC34-AC35</f>
        <v/>
      </c>
      <c r="AD101" s="34" t="n"/>
      <c r="AE101" s="34" t="n"/>
      <c r="AF101" s="34">
        <f>AF34-AF35</f>
        <v/>
      </c>
      <c r="AG101" s="34">
        <f>AG34-AG35</f>
        <v/>
      </c>
      <c r="AH101" s="34">
        <f>AH34-AH35</f>
        <v/>
      </c>
      <c r="AI101" s="34">
        <f>AI34-AI35</f>
        <v/>
      </c>
      <c r="AJ101" s="34">
        <f>AJ34-AJ35</f>
        <v/>
      </c>
      <c r="AK101" s="34">
        <f>AK34-AK35</f>
        <v/>
      </c>
      <c r="AL101" s="34">
        <f>AL34-AL35</f>
        <v/>
      </c>
      <c r="AM101" s="34" t="n"/>
      <c r="AN101" s="34" t="n"/>
      <c r="AO101" s="34">
        <f>AO34-AO35</f>
        <v/>
      </c>
      <c r="AP101" s="34">
        <f>AP34-AP35</f>
        <v/>
      </c>
      <c r="AQ101" s="34">
        <f>AQ34-AQ35</f>
        <v/>
      </c>
      <c r="AR101" s="34">
        <f>AR34-AR35</f>
        <v/>
      </c>
      <c r="AS101" s="34">
        <f>AS34-AS35</f>
        <v/>
      </c>
      <c r="AT101" s="34">
        <f>AT34-AT35</f>
        <v/>
      </c>
      <c r="AU101" s="34">
        <f>AU34-AU35</f>
        <v/>
      </c>
    </row>
    <row r="102" ht="15.5" customHeight="1" s="213">
      <c r="V102" s="49" t="inlineStr">
        <is>
          <t>COAHCO</t>
        </is>
      </c>
      <c r="W102" s="34">
        <f>W36</f>
        <v/>
      </c>
      <c r="X102" s="34">
        <f>X36</f>
        <v/>
      </c>
      <c r="Y102" s="34">
        <f>Y36</f>
        <v/>
      </c>
      <c r="Z102" s="34">
        <f>Z36</f>
        <v/>
      </c>
      <c r="AA102" s="34">
        <f>AA36</f>
        <v/>
      </c>
      <c r="AB102" s="34">
        <f>AB36</f>
        <v/>
      </c>
      <c r="AC102" s="34">
        <f>AC36</f>
        <v/>
      </c>
      <c r="AD102" s="34" t="n"/>
      <c r="AE102" s="34" t="n"/>
      <c r="AF102" s="34">
        <f>AF36</f>
        <v/>
      </c>
      <c r="AG102" s="34">
        <f>AG36</f>
        <v/>
      </c>
      <c r="AH102" s="34">
        <f>AH36</f>
        <v/>
      </c>
      <c r="AI102" s="34">
        <f>AI36</f>
        <v/>
      </c>
      <c r="AJ102" s="34">
        <f>AJ36</f>
        <v/>
      </c>
      <c r="AK102" s="34">
        <f>AK36</f>
        <v/>
      </c>
      <c r="AL102" s="34">
        <f>AL36</f>
        <v/>
      </c>
      <c r="AM102" s="34" t="n"/>
      <c r="AN102" s="34" t="n"/>
      <c r="AO102" s="34">
        <f>AO36</f>
        <v/>
      </c>
      <c r="AP102" s="34">
        <f>AP36</f>
        <v/>
      </c>
      <c r="AQ102" s="34">
        <f>AQ36</f>
        <v/>
      </c>
      <c r="AR102" s="34">
        <f>AR36</f>
        <v/>
      </c>
      <c r="AS102" s="34">
        <f>AS36</f>
        <v/>
      </c>
      <c r="AT102" s="34">
        <f>AT36</f>
        <v/>
      </c>
      <c r="AU102" s="34">
        <f>AU36</f>
        <v/>
      </c>
    </row>
    <row r="103" ht="15.5" customHeight="1" s="213">
      <c r="V103" s="48" t="inlineStr">
        <is>
          <t>GASNGA</t>
        </is>
      </c>
      <c r="W103" s="34">
        <f>W37</f>
        <v/>
      </c>
      <c r="X103" s="34">
        <f>X37</f>
        <v/>
      </c>
      <c r="Y103" s="34">
        <f>Y37</f>
        <v/>
      </c>
      <c r="Z103" s="34">
        <f>Z37</f>
        <v/>
      </c>
      <c r="AA103" s="34">
        <f>AA37</f>
        <v/>
      </c>
      <c r="AB103" s="34">
        <f>AB37</f>
        <v/>
      </c>
      <c r="AC103" s="34">
        <f>AC37</f>
        <v/>
      </c>
      <c r="AD103" s="34" t="n"/>
      <c r="AE103" s="34" t="n"/>
      <c r="AF103" s="34">
        <f>AF37</f>
        <v/>
      </c>
      <c r="AG103" s="34">
        <f>AG37</f>
        <v/>
      </c>
      <c r="AH103" s="34">
        <f>AH37</f>
        <v/>
      </c>
      <c r="AI103" s="34">
        <f>AI37</f>
        <v/>
      </c>
      <c r="AJ103" s="34">
        <f>AJ37</f>
        <v/>
      </c>
      <c r="AK103" s="34">
        <f>AK37</f>
        <v/>
      </c>
      <c r="AL103" s="34">
        <f>AL37</f>
        <v/>
      </c>
      <c r="AM103" s="34" t="n"/>
      <c r="AN103" s="34" t="n"/>
      <c r="AO103" s="34">
        <f>AO37</f>
        <v/>
      </c>
      <c r="AP103" s="34">
        <f>AP37</f>
        <v/>
      </c>
      <c r="AQ103" s="34">
        <f>AQ37</f>
        <v/>
      </c>
      <c r="AR103" s="34">
        <f>AR37</f>
        <v/>
      </c>
      <c r="AS103" s="34">
        <f>AS37</f>
        <v/>
      </c>
      <c r="AT103" s="34">
        <f>AT37</f>
        <v/>
      </c>
      <c r="AU103" s="34">
        <f>AU37</f>
        <v/>
      </c>
    </row>
    <row r="104" ht="15.5" customHeight="1" s="213">
      <c r="V104" s="48" t="inlineStr">
        <is>
          <t>OILDST</t>
        </is>
      </c>
      <c r="W104" s="34">
        <f>W38</f>
        <v/>
      </c>
      <c r="X104" s="34">
        <f>X38</f>
        <v/>
      </c>
      <c r="Y104" s="34">
        <f>Y38</f>
        <v/>
      </c>
      <c r="Z104" s="34">
        <f>Z38</f>
        <v/>
      </c>
      <c r="AA104" s="34">
        <f>AA38</f>
        <v/>
      </c>
      <c r="AB104" s="34">
        <f>AB38</f>
        <v/>
      </c>
      <c r="AC104" s="34">
        <f>AC38</f>
        <v/>
      </c>
      <c r="AD104" s="34" t="n"/>
      <c r="AE104" s="34" t="n"/>
      <c r="AF104" s="34">
        <f>AF38</f>
        <v/>
      </c>
      <c r="AG104" s="34">
        <f>AG38</f>
        <v/>
      </c>
      <c r="AH104" s="34">
        <f>AH38</f>
        <v/>
      </c>
      <c r="AI104" s="34">
        <f>AI38</f>
        <v/>
      </c>
      <c r="AJ104" s="34">
        <f>AJ38</f>
        <v/>
      </c>
      <c r="AK104" s="34">
        <f>AK38</f>
        <v/>
      </c>
      <c r="AL104" s="34">
        <f>AL38</f>
        <v/>
      </c>
      <c r="AM104" s="34" t="n"/>
      <c r="AN104" s="34" t="n"/>
      <c r="AO104" s="34">
        <f>AO38</f>
        <v/>
      </c>
      <c r="AP104" s="34">
        <f>AP38</f>
        <v/>
      </c>
      <c r="AQ104" s="34">
        <f>AQ38</f>
        <v/>
      </c>
      <c r="AR104" s="34">
        <f>AR38</f>
        <v/>
      </c>
      <c r="AS104" s="34">
        <f>AS38</f>
        <v/>
      </c>
      <c r="AT104" s="34">
        <f>AT38</f>
        <v/>
      </c>
      <c r="AU104" s="34">
        <f>AU38</f>
        <v/>
      </c>
    </row>
    <row r="105" ht="15.5" customHeight="1" s="213">
      <c r="U105" s="33" t="inlineStr">
        <is>
          <t>CN</t>
        </is>
      </c>
      <c r="V105" s="48" t="inlineStr">
        <is>
          <t>ELC</t>
        </is>
      </c>
      <c r="W105" s="50">
        <f>W101</f>
        <v/>
      </c>
      <c r="X105" s="50">
        <f>X101</f>
        <v/>
      </c>
      <c r="Y105" s="50">
        <f>Y101</f>
        <v/>
      </c>
      <c r="Z105" s="50">
        <f>Z101</f>
        <v/>
      </c>
      <c r="AA105" s="50">
        <f>AA101</f>
        <v/>
      </c>
      <c r="AB105" s="50">
        <f>AB101</f>
        <v/>
      </c>
      <c r="AC105" s="50">
        <f>AC101</f>
        <v/>
      </c>
      <c r="AD105" s="34" t="n"/>
      <c r="AE105" s="34" t="n"/>
      <c r="AF105" s="50">
        <f>AF101</f>
        <v/>
      </c>
      <c r="AG105" s="50">
        <f>AG101</f>
        <v/>
      </c>
      <c r="AH105" s="50">
        <f>AH101</f>
        <v/>
      </c>
      <c r="AI105" s="50">
        <f>AI101</f>
        <v/>
      </c>
      <c r="AJ105" s="50">
        <f>AJ101</f>
        <v/>
      </c>
      <c r="AK105" s="50">
        <f>AK101</f>
        <v/>
      </c>
      <c r="AL105" s="50">
        <f>AL101</f>
        <v/>
      </c>
      <c r="AM105" s="34" t="n"/>
      <c r="AN105" s="34" t="n"/>
      <c r="AO105" s="50">
        <f>AO101</f>
        <v/>
      </c>
      <c r="AP105" s="50">
        <f>AP101</f>
        <v/>
      </c>
      <c r="AQ105" s="50">
        <f>AQ101</f>
        <v/>
      </c>
      <c r="AR105" s="50">
        <f>AR101</f>
        <v/>
      </c>
      <c r="AS105" s="50">
        <f>AS101</f>
        <v/>
      </c>
      <c r="AT105" s="50">
        <f>AT101</f>
        <v/>
      </c>
      <c r="AU105" s="50">
        <f>AU101</f>
        <v/>
      </c>
    </row>
    <row r="106" ht="15.5" customHeight="1" s="213">
      <c r="V106" s="49" t="inlineStr">
        <is>
          <t>COAHCO</t>
        </is>
      </c>
      <c r="W106" s="50">
        <f>W102</f>
        <v/>
      </c>
      <c r="X106" s="50">
        <f>X102</f>
        <v/>
      </c>
      <c r="Y106" s="50">
        <f>Y102</f>
        <v/>
      </c>
      <c r="Z106" s="50">
        <f>Z102</f>
        <v/>
      </c>
      <c r="AA106" s="50">
        <f>AA102</f>
        <v/>
      </c>
      <c r="AB106" s="50">
        <f>AB102</f>
        <v/>
      </c>
      <c r="AC106" s="50">
        <f>AC102</f>
        <v/>
      </c>
      <c r="AD106" s="34" t="n"/>
      <c r="AE106" s="34" t="n"/>
      <c r="AF106" s="50">
        <f>AF102</f>
        <v/>
      </c>
      <c r="AG106" s="50">
        <f>AG102</f>
        <v/>
      </c>
      <c r="AH106" s="50">
        <f>AH102</f>
        <v/>
      </c>
      <c r="AI106" s="50">
        <f>AI102</f>
        <v/>
      </c>
      <c r="AJ106" s="50">
        <f>AJ102</f>
        <v/>
      </c>
      <c r="AK106" s="50">
        <f>AK102</f>
        <v/>
      </c>
      <c r="AL106" s="50">
        <f>AL102</f>
        <v/>
      </c>
      <c r="AM106" s="34" t="n"/>
      <c r="AN106" s="34" t="n"/>
      <c r="AO106" s="50">
        <f>AO102</f>
        <v/>
      </c>
      <c r="AP106" s="50">
        <f>AP102</f>
        <v/>
      </c>
      <c r="AQ106" s="50">
        <f>AQ102</f>
        <v/>
      </c>
      <c r="AR106" s="50">
        <f>AR102</f>
        <v/>
      </c>
      <c r="AS106" s="50">
        <f>AS102</f>
        <v/>
      </c>
      <c r="AT106" s="50">
        <f>AT102</f>
        <v/>
      </c>
      <c r="AU106" s="50">
        <f>AU102</f>
        <v/>
      </c>
    </row>
    <row r="107" ht="15.5" customHeight="1" s="213">
      <c r="V107" s="48" t="inlineStr">
        <is>
          <t>GASNGA</t>
        </is>
      </c>
      <c r="W107" s="50">
        <f>W103</f>
        <v/>
      </c>
      <c r="X107" s="50">
        <f>X103</f>
        <v/>
      </c>
      <c r="Y107" s="50">
        <f>Y103</f>
        <v/>
      </c>
      <c r="Z107" s="50">
        <f>Z103</f>
        <v/>
      </c>
      <c r="AA107" s="50">
        <f>AA103</f>
        <v/>
      </c>
      <c r="AB107" s="50">
        <f>AB103</f>
        <v/>
      </c>
      <c r="AC107" s="50">
        <f>AC103</f>
        <v/>
      </c>
      <c r="AD107" s="34" t="n"/>
      <c r="AE107" s="34" t="n"/>
      <c r="AF107" s="50">
        <f>AF103</f>
        <v/>
      </c>
      <c r="AG107" s="50">
        <f>AG103</f>
        <v/>
      </c>
      <c r="AH107" s="50">
        <f>AH103</f>
        <v/>
      </c>
      <c r="AI107" s="50">
        <f>AI103</f>
        <v/>
      </c>
      <c r="AJ107" s="50">
        <f>AJ103</f>
        <v/>
      </c>
      <c r="AK107" s="50">
        <f>AK103</f>
        <v/>
      </c>
      <c r="AL107" s="50">
        <f>AL103</f>
        <v/>
      </c>
      <c r="AM107" s="34" t="n"/>
      <c r="AN107" s="34" t="n"/>
      <c r="AO107" s="50">
        <f>AO103</f>
        <v/>
      </c>
      <c r="AP107" s="50">
        <f>AP103</f>
        <v/>
      </c>
      <c r="AQ107" s="50">
        <f>AQ103</f>
        <v/>
      </c>
      <c r="AR107" s="50">
        <f>AR103</f>
        <v/>
      </c>
      <c r="AS107" s="50">
        <f>AS103</f>
        <v/>
      </c>
      <c r="AT107" s="50">
        <f>AT103</f>
        <v/>
      </c>
      <c r="AU107" s="50">
        <f>AU103</f>
        <v/>
      </c>
    </row>
    <row r="108" ht="15.5" customHeight="1" s="213">
      <c r="V108" s="48" t="inlineStr">
        <is>
          <t>OILDST</t>
        </is>
      </c>
      <c r="W108" s="50">
        <f>W104</f>
        <v/>
      </c>
      <c r="X108" s="50">
        <f>X104</f>
        <v/>
      </c>
      <c r="Y108" s="50">
        <f>Y104</f>
        <v/>
      </c>
      <c r="Z108" s="50">
        <f>Z104</f>
        <v/>
      </c>
      <c r="AA108" s="50">
        <f>AA104</f>
        <v/>
      </c>
      <c r="AB108" s="50">
        <f>AB104</f>
        <v/>
      </c>
      <c r="AC108" s="50">
        <f>AC104</f>
        <v/>
      </c>
      <c r="AD108" s="34" t="n"/>
      <c r="AE108" s="34" t="n"/>
      <c r="AF108" s="50">
        <f>AF104</f>
        <v/>
      </c>
      <c r="AG108" s="50">
        <f>AG104</f>
        <v/>
      </c>
      <c r="AH108" s="50">
        <f>AH104</f>
        <v/>
      </c>
      <c r="AI108" s="50">
        <f>AI104</f>
        <v/>
      </c>
      <c r="AJ108" s="50">
        <f>AJ104</f>
        <v/>
      </c>
      <c r="AK108" s="50">
        <f>AK104</f>
        <v/>
      </c>
      <c r="AL108" s="50">
        <f>AL104</f>
        <v/>
      </c>
      <c r="AM108" s="34" t="n"/>
      <c r="AN108" s="34" t="n"/>
      <c r="AO108" s="50">
        <f>AO104</f>
        <v/>
      </c>
      <c r="AP108" s="50">
        <f>AP104</f>
        <v/>
      </c>
      <c r="AQ108" s="50">
        <f>AQ104</f>
        <v/>
      </c>
      <c r="AR108" s="50">
        <f>AR104</f>
        <v/>
      </c>
      <c r="AS108" s="50">
        <f>AS104</f>
        <v/>
      </c>
      <c r="AT108" s="50">
        <f>AT104</f>
        <v/>
      </c>
      <c r="AU108" s="50">
        <f>AU104</f>
        <v/>
      </c>
    </row>
    <row r="112" ht="15.5" customHeight="1" s="213">
      <c r="U112" s="34" t="n"/>
      <c r="V112" s="34" t="n"/>
      <c r="W112" s="34" t="inlineStr">
        <is>
          <t>NMC111</t>
        </is>
      </c>
      <c r="X112" s="34" t="inlineStr">
        <is>
          <t>NMC532</t>
        </is>
      </c>
      <c r="Y112" s="38" t="inlineStr">
        <is>
          <t>NMC622</t>
        </is>
      </c>
      <c r="Z112" s="34" t="inlineStr">
        <is>
          <t>NMC811</t>
        </is>
      </c>
      <c r="AA112" s="34" t="inlineStr">
        <is>
          <t>NCA</t>
        </is>
      </c>
      <c r="AB112" s="40" t="inlineStr">
        <is>
          <t xml:space="preserve">LMO </t>
        </is>
      </c>
      <c r="AC112" s="40" t="inlineStr">
        <is>
          <t xml:space="preserve">LFP </t>
        </is>
      </c>
      <c r="AD112" s="34" t="n"/>
      <c r="AE112" s="34" t="n"/>
      <c r="AF112" s="34" t="inlineStr">
        <is>
          <t>NMC111</t>
        </is>
      </c>
      <c r="AG112" s="34" t="inlineStr">
        <is>
          <t>NMC532</t>
        </is>
      </c>
      <c r="AH112" s="38" t="inlineStr">
        <is>
          <t>NMC622</t>
        </is>
      </c>
      <c r="AI112" s="34" t="inlineStr">
        <is>
          <t>NMC811</t>
        </is>
      </c>
      <c r="AJ112" s="34" t="inlineStr">
        <is>
          <t>NCA</t>
        </is>
      </c>
      <c r="AK112" s="40" t="inlineStr">
        <is>
          <t xml:space="preserve">LMO </t>
        </is>
      </c>
      <c r="AL112" s="40" t="inlineStr">
        <is>
          <t xml:space="preserve">LFP </t>
        </is>
      </c>
      <c r="AM112" s="34" t="n"/>
      <c r="AN112" s="34" t="n"/>
      <c r="AO112" s="34" t="inlineStr">
        <is>
          <t>NMC111</t>
        </is>
      </c>
      <c r="AP112" s="34" t="inlineStr">
        <is>
          <t>NMC532</t>
        </is>
      </c>
      <c r="AQ112" s="38" t="inlineStr">
        <is>
          <t>NMC622</t>
        </is>
      </c>
      <c r="AR112" s="34" t="inlineStr">
        <is>
          <t>NMC811</t>
        </is>
      </c>
      <c r="AS112" s="34" t="inlineStr">
        <is>
          <t>NCA</t>
        </is>
      </c>
      <c r="AT112" s="40" t="inlineStr">
        <is>
          <t xml:space="preserve">LMO </t>
        </is>
      </c>
      <c r="AU112" s="40" t="inlineStr">
        <is>
          <t xml:space="preserve">LFP </t>
        </is>
      </c>
    </row>
    <row r="113" ht="14.5" customHeight="1" s="213">
      <c r="U113" s="33" t="inlineStr">
        <is>
          <t>US</t>
        </is>
      </c>
      <c r="V113" s="48" t="inlineStr">
        <is>
          <t>ELC</t>
        </is>
      </c>
      <c r="W113" s="208">
        <f>W44-W45</f>
        <v/>
      </c>
      <c r="X113" s="208">
        <f>X44-X45</f>
        <v/>
      </c>
      <c r="Y113" s="208">
        <f>Y44-Y45</f>
        <v/>
      </c>
      <c r="Z113" s="208">
        <f>Z44-Z45</f>
        <v/>
      </c>
      <c r="AA113" s="208">
        <f>AA44-AA45</f>
        <v/>
      </c>
      <c r="AB113" s="208">
        <f>AB44-AB45</f>
        <v/>
      </c>
      <c r="AC113" s="208">
        <f>AC44-AC45</f>
        <v/>
      </c>
      <c r="AF113" s="208">
        <f>AF44-AF45</f>
        <v/>
      </c>
      <c r="AG113" s="208">
        <f>AG44-AG45</f>
        <v/>
      </c>
      <c r="AH113" s="208">
        <f>AH44-AH45</f>
        <v/>
      </c>
      <c r="AI113" s="208">
        <f>AI44-AI45</f>
        <v/>
      </c>
      <c r="AJ113" s="208">
        <f>AJ44-AJ45</f>
        <v/>
      </c>
      <c r="AK113" s="208">
        <f>AK44-AK45</f>
        <v/>
      </c>
      <c r="AL113" s="208">
        <f>AL44-AL45</f>
        <v/>
      </c>
      <c r="AO113" s="208">
        <f>AO44-AO45</f>
        <v/>
      </c>
      <c r="AP113" s="208">
        <f>AP44-AP45</f>
        <v/>
      </c>
      <c r="AQ113" s="208">
        <f>AQ44-AQ45</f>
        <v/>
      </c>
      <c r="AR113" s="208">
        <f>AR44-AR45</f>
        <v/>
      </c>
      <c r="AS113" s="208">
        <f>AS44-AS45</f>
        <v/>
      </c>
      <c r="AT113" s="208">
        <f>AT44-AT45</f>
        <v/>
      </c>
      <c r="AU113" s="208">
        <f>AU44-AU45</f>
        <v/>
      </c>
    </row>
    <row r="114" ht="14.5" customHeight="1" s="213">
      <c r="V114" s="49" t="inlineStr">
        <is>
          <t>COAHCO</t>
        </is>
      </c>
      <c r="W114" s="208">
        <f>W46</f>
        <v/>
      </c>
      <c r="X114" s="208">
        <f>X46</f>
        <v/>
      </c>
      <c r="Y114" s="208">
        <f>Y46</f>
        <v/>
      </c>
      <c r="Z114" s="208">
        <f>Z46</f>
        <v/>
      </c>
      <c r="AA114" s="208">
        <f>AA46</f>
        <v/>
      </c>
      <c r="AB114" s="208">
        <f>AB46</f>
        <v/>
      </c>
      <c r="AC114" s="208">
        <f>AC46</f>
        <v/>
      </c>
      <c r="AF114" s="208">
        <f>AF46</f>
        <v/>
      </c>
      <c r="AG114" s="208">
        <f>AG46</f>
        <v/>
      </c>
      <c r="AH114" s="208">
        <f>AH46</f>
        <v/>
      </c>
      <c r="AI114" s="208">
        <f>AI46</f>
        <v/>
      </c>
      <c r="AJ114" s="208">
        <f>AJ46</f>
        <v/>
      </c>
      <c r="AK114" s="208">
        <f>AK46</f>
        <v/>
      </c>
      <c r="AL114" s="208">
        <f>AL46</f>
        <v/>
      </c>
      <c r="AO114" s="208">
        <f>AO46</f>
        <v/>
      </c>
      <c r="AP114" s="208">
        <f>AP46</f>
        <v/>
      </c>
      <c r="AQ114" s="208">
        <f>AQ46</f>
        <v/>
      </c>
      <c r="AR114" s="208">
        <f>AR46</f>
        <v/>
      </c>
      <c r="AS114" s="208">
        <f>AS46</f>
        <v/>
      </c>
      <c r="AT114" s="208">
        <f>AT46</f>
        <v/>
      </c>
      <c r="AU114" s="208">
        <f>AU46</f>
        <v/>
      </c>
    </row>
    <row r="115" ht="14.5" customHeight="1" s="213">
      <c r="V115" s="48" t="inlineStr">
        <is>
          <t>GASNGA</t>
        </is>
      </c>
      <c r="W115" s="208">
        <f>W47</f>
        <v/>
      </c>
      <c r="X115" s="208">
        <f>X47</f>
        <v/>
      </c>
      <c r="Y115" s="208">
        <f>Y47</f>
        <v/>
      </c>
      <c r="Z115" s="208">
        <f>Z47</f>
        <v/>
      </c>
      <c r="AA115" s="208">
        <f>AA47</f>
        <v/>
      </c>
      <c r="AB115" s="208">
        <f>AB47</f>
        <v/>
      </c>
      <c r="AC115" s="208">
        <f>AC47</f>
        <v/>
      </c>
      <c r="AF115" s="208">
        <f>AF47</f>
        <v/>
      </c>
      <c r="AG115" s="208">
        <f>AG47</f>
        <v/>
      </c>
      <c r="AH115" s="208">
        <f>AH47</f>
        <v/>
      </c>
      <c r="AI115" s="208">
        <f>AI47</f>
        <v/>
      </c>
      <c r="AJ115" s="208">
        <f>AJ47</f>
        <v/>
      </c>
      <c r="AK115" s="208">
        <f>AK47</f>
        <v/>
      </c>
      <c r="AL115" s="208">
        <f>AL47</f>
        <v/>
      </c>
      <c r="AO115" s="208">
        <f>AO47</f>
        <v/>
      </c>
      <c r="AP115" s="208">
        <f>AP47</f>
        <v/>
      </c>
      <c r="AQ115" s="208">
        <f>AQ47</f>
        <v/>
      </c>
      <c r="AR115" s="208">
        <f>AR47</f>
        <v/>
      </c>
      <c r="AS115" s="208">
        <f>AS47</f>
        <v/>
      </c>
      <c r="AT115" s="208">
        <f>AT47</f>
        <v/>
      </c>
      <c r="AU115" s="208">
        <f>AU47</f>
        <v/>
      </c>
    </row>
    <row r="116" ht="14.5" customHeight="1" s="213">
      <c r="V116" s="48" t="inlineStr">
        <is>
          <t>OILDST</t>
        </is>
      </c>
      <c r="W116" s="208">
        <f>W48</f>
        <v/>
      </c>
      <c r="X116" s="208">
        <f>X48</f>
        <v/>
      </c>
      <c r="Y116" s="208">
        <f>Y48</f>
        <v/>
      </c>
      <c r="Z116" s="208">
        <f>Z48</f>
        <v/>
      </c>
      <c r="AA116" s="208">
        <f>AA48</f>
        <v/>
      </c>
      <c r="AB116" s="208">
        <f>AB48</f>
        <v/>
      </c>
      <c r="AC116" s="208">
        <f>AC48</f>
        <v/>
      </c>
      <c r="AF116" s="208">
        <f>AF48</f>
        <v/>
      </c>
      <c r="AG116" s="208">
        <f>AG48</f>
        <v/>
      </c>
      <c r="AH116" s="208">
        <f>AH48</f>
        <v/>
      </c>
      <c r="AI116" s="208">
        <f>AI48</f>
        <v/>
      </c>
      <c r="AJ116" s="208">
        <f>AJ48</f>
        <v/>
      </c>
      <c r="AK116" s="208">
        <f>AK48</f>
        <v/>
      </c>
      <c r="AL116" s="208">
        <f>AL48</f>
        <v/>
      </c>
      <c r="AO116" s="208">
        <f>AO48</f>
        <v/>
      </c>
      <c r="AP116" s="208">
        <f>AP48</f>
        <v/>
      </c>
      <c r="AQ116" s="208">
        <f>AQ48</f>
        <v/>
      </c>
      <c r="AR116" s="208">
        <f>AR48</f>
        <v/>
      </c>
      <c r="AS116" s="208">
        <f>AS48</f>
        <v/>
      </c>
      <c r="AT116" s="208">
        <f>AT48</f>
        <v/>
      </c>
      <c r="AU116" s="208">
        <f>AU48</f>
        <v/>
      </c>
    </row>
    <row r="117" ht="14.5" customHeight="1" s="213">
      <c r="U117" s="33" t="inlineStr">
        <is>
          <t>Korea</t>
        </is>
      </c>
      <c r="V117" s="48" t="inlineStr">
        <is>
          <t>ELC</t>
        </is>
      </c>
      <c r="W117" s="208">
        <f>W49-W50</f>
        <v/>
      </c>
      <c r="X117" s="208">
        <f>X49-X50</f>
        <v/>
      </c>
      <c r="Y117" s="208">
        <f>Y49-Y50</f>
        <v/>
      </c>
      <c r="Z117" s="208">
        <f>Z49-Z50</f>
        <v/>
      </c>
      <c r="AA117" s="208">
        <f>AA49-AA50</f>
        <v/>
      </c>
      <c r="AB117" s="208">
        <f>AB49-AB50</f>
        <v/>
      </c>
      <c r="AC117" s="208">
        <f>AC49-AC50</f>
        <v/>
      </c>
      <c r="AF117" s="208">
        <f>AF49-AF50</f>
        <v/>
      </c>
      <c r="AG117" s="208">
        <f>AG49-AG50</f>
        <v/>
      </c>
      <c r="AH117" s="208">
        <f>AH49-AH50</f>
        <v/>
      </c>
      <c r="AI117" s="208">
        <f>AI49-AI50</f>
        <v/>
      </c>
      <c r="AJ117" s="208">
        <f>AJ49-AJ50</f>
        <v/>
      </c>
      <c r="AK117" s="208">
        <f>AK49-AK50</f>
        <v/>
      </c>
      <c r="AL117" s="208">
        <f>AL49-AL50</f>
        <v/>
      </c>
      <c r="AO117" s="208">
        <f>AO49-AO50</f>
        <v/>
      </c>
      <c r="AP117" s="208">
        <f>AP49-AP50</f>
        <v/>
      </c>
      <c r="AQ117" s="208">
        <f>AQ49-AQ50</f>
        <v/>
      </c>
      <c r="AR117" s="208">
        <f>AR49-AR50</f>
        <v/>
      </c>
      <c r="AS117" s="208">
        <f>AS49-AS50</f>
        <v/>
      </c>
      <c r="AT117" s="208">
        <f>AT49-AT50</f>
        <v/>
      </c>
      <c r="AU117" s="208">
        <f>AU49-AU50</f>
        <v/>
      </c>
    </row>
    <row r="118" ht="14.5" customHeight="1" s="213">
      <c r="V118" s="49" t="inlineStr">
        <is>
          <t>COAHCO</t>
        </is>
      </c>
      <c r="W118" s="208">
        <f>W51</f>
        <v/>
      </c>
      <c r="X118" s="208">
        <f>X51</f>
        <v/>
      </c>
      <c r="Y118" s="208">
        <f>Y51</f>
        <v/>
      </c>
      <c r="Z118" s="208">
        <f>Z51</f>
        <v/>
      </c>
      <c r="AA118" s="208">
        <f>AA51</f>
        <v/>
      </c>
      <c r="AB118" s="208">
        <f>AB51</f>
        <v/>
      </c>
      <c r="AC118" s="208">
        <f>AC51</f>
        <v/>
      </c>
      <c r="AF118" s="208">
        <f>AF51</f>
        <v/>
      </c>
      <c r="AG118" s="208">
        <f>AG51</f>
        <v/>
      </c>
      <c r="AH118" s="208">
        <f>AH51</f>
        <v/>
      </c>
      <c r="AI118" s="208">
        <f>AI51</f>
        <v/>
      </c>
      <c r="AJ118" s="208">
        <f>AJ51</f>
        <v/>
      </c>
      <c r="AK118" s="208">
        <f>AK51</f>
        <v/>
      </c>
      <c r="AL118" s="208">
        <f>AL51</f>
        <v/>
      </c>
      <c r="AO118" s="208">
        <f>AO51</f>
        <v/>
      </c>
      <c r="AP118" s="208">
        <f>AP51</f>
        <v/>
      </c>
      <c r="AQ118" s="208">
        <f>AQ51</f>
        <v/>
      </c>
      <c r="AR118" s="208">
        <f>AR51</f>
        <v/>
      </c>
      <c r="AS118" s="208">
        <f>AS51</f>
        <v/>
      </c>
      <c r="AT118" s="208">
        <f>AT51</f>
        <v/>
      </c>
      <c r="AU118" s="208">
        <f>AU51</f>
        <v/>
      </c>
    </row>
    <row r="119" ht="15.5" customHeight="1" s="213">
      <c r="V119" s="48" t="inlineStr">
        <is>
          <t>GASNGA</t>
        </is>
      </c>
      <c r="W119" s="208">
        <f>W52</f>
        <v/>
      </c>
      <c r="X119" s="208">
        <f>X52</f>
        <v/>
      </c>
      <c r="Y119" s="208">
        <f>Y52</f>
        <v/>
      </c>
      <c r="Z119" s="208">
        <f>Z52</f>
        <v/>
      </c>
      <c r="AA119" s="208">
        <f>AA52</f>
        <v/>
      </c>
      <c r="AB119" s="208">
        <f>AB52</f>
        <v/>
      </c>
      <c r="AC119" s="208">
        <f>AC52</f>
        <v/>
      </c>
      <c r="AD119" s="34" t="n"/>
      <c r="AE119" s="34" t="n"/>
      <c r="AF119" s="208">
        <f>AF52</f>
        <v/>
      </c>
      <c r="AG119" s="208">
        <f>AG52</f>
        <v/>
      </c>
      <c r="AH119" s="208">
        <f>AH52</f>
        <v/>
      </c>
      <c r="AI119" s="208">
        <f>AI52</f>
        <v/>
      </c>
      <c r="AJ119" s="208">
        <f>AJ52</f>
        <v/>
      </c>
      <c r="AK119" s="208">
        <f>AK52</f>
        <v/>
      </c>
      <c r="AL119" s="208">
        <f>AL52</f>
        <v/>
      </c>
      <c r="AM119" s="34" t="n"/>
      <c r="AN119" s="34" t="n"/>
      <c r="AO119" s="208">
        <f>AO52</f>
        <v/>
      </c>
      <c r="AP119" s="208">
        <f>AP52</f>
        <v/>
      </c>
      <c r="AQ119" s="208">
        <f>AQ52</f>
        <v/>
      </c>
      <c r="AR119" s="208">
        <f>AR52</f>
        <v/>
      </c>
      <c r="AS119" s="208">
        <f>AS52</f>
        <v/>
      </c>
      <c r="AT119" s="208">
        <f>AT52</f>
        <v/>
      </c>
      <c r="AU119" s="208">
        <f>AU52</f>
        <v/>
      </c>
    </row>
    <row r="120" ht="15.5" customHeight="1" s="213">
      <c r="V120" s="48" t="inlineStr">
        <is>
          <t>OILDST</t>
        </is>
      </c>
      <c r="W120" s="208">
        <f>W53</f>
        <v/>
      </c>
      <c r="X120" s="208">
        <f>X53</f>
        <v/>
      </c>
      <c r="Y120" s="208">
        <f>Y53</f>
        <v/>
      </c>
      <c r="Z120" s="208">
        <f>Z53</f>
        <v/>
      </c>
      <c r="AA120" s="208">
        <f>AA53</f>
        <v/>
      </c>
      <c r="AB120" s="208">
        <f>AB53</f>
        <v/>
      </c>
      <c r="AC120" s="208">
        <f>AC53</f>
        <v/>
      </c>
      <c r="AD120" s="34" t="n"/>
      <c r="AE120" s="34" t="n"/>
      <c r="AF120" s="208">
        <f>AF53</f>
        <v/>
      </c>
      <c r="AG120" s="208">
        <f>AG53</f>
        <v/>
      </c>
      <c r="AH120" s="208">
        <f>AH53</f>
        <v/>
      </c>
      <c r="AI120" s="208">
        <f>AI53</f>
        <v/>
      </c>
      <c r="AJ120" s="208">
        <f>AJ53</f>
        <v/>
      </c>
      <c r="AK120" s="208">
        <f>AK53</f>
        <v/>
      </c>
      <c r="AL120" s="208">
        <f>AL53</f>
        <v/>
      </c>
      <c r="AM120" s="34" t="n"/>
      <c r="AN120" s="34" t="n"/>
      <c r="AO120" s="208">
        <f>AO53</f>
        <v/>
      </c>
      <c r="AP120" s="208">
        <f>AP53</f>
        <v/>
      </c>
      <c r="AQ120" s="208">
        <f>AQ53</f>
        <v/>
      </c>
      <c r="AR120" s="208">
        <f>AR53</f>
        <v/>
      </c>
      <c r="AS120" s="208">
        <f>AS53</f>
        <v/>
      </c>
      <c r="AT120" s="208">
        <f>AT53</f>
        <v/>
      </c>
      <c r="AU120" s="208">
        <f>AU53</f>
        <v/>
      </c>
    </row>
    <row r="121" ht="15.5" customHeight="1" s="213">
      <c r="U121" s="33" t="inlineStr">
        <is>
          <t>CN</t>
        </is>
      </c>
      <c r="V121" s="48" t="inlineStr">
        <is>
          <t>ELC</t>
        </is>
      </c>
      <c r="W121" s="34">
        <f>W54-W55</f>
        <v/>
      </c>
      <c r="X121" s="34">
        <f>X54-X55</f>
        <v/>
      </c>
      <c r="Y121" s="34">
        <f>Y54-Y55</f>
        <v/>
      </c>
      <c r="Z121" s="34">
        <f>Z54-Z55</f>
        <v/>
      </c>
      <c r="AA121" s="34">
        <f>AA54-AA55</f>
        <v/>
      </c>
      <c r="AB121" s="34">
        <f>AB54-AB55</f>
        <v/>
      </c>
      <c r="AC121" s="34">
        <f>AC54-AC55</f>
        <v/>
      </c>
      <c r="AD121" s="34" t="n"/>
      <c r="AE121" s="34" t="n"/>
      <c r="AF121" s="34">
        <f>AF54-AF55</f>
        <v/>
      </c>
      <c r="AG121" s="34">
        <f>AG54-AG55</f>
        <v/>
      </c>
      <c r="AH121" s="34">
        <f>AH54-AH55</f>
        <v/>
      </c>
      <c r="AI121" s="34">
        <f>AI54-AI55</f>
        <v/>
      </c>
      <c r="AJ121" s="34">
        <f>AJ54-AJ55</f>
        <v/>
      </c>
      <c r="AK121" s="34">
        <f>AK54-AK55</f>
        <v/>
      </c>
      <c r="AL121" s="34">
        <f>AL54-AL55</f>
        <v/>
      </c>
      <c r="AM121" s="34" t="n"/>
      <c r="AN121" s="34" t="n"/>
      <c r="AO121" s="34">
        <f>AO54-AO55</f>
        <v/>
      </c>
      <c r="AP121" s="34">
        <f>AP54-AP55</f>
        <v/>
      </c>
      <c r="AQ121" s="34">
        <f>AQ54-AQ55</f>
        <v/>
      </c>
      <c r="AR121" s="34">
        <f>AR54-AR55</f>
        <v/>
      </c>
      <c r="AS121" s="34">
        <f>AS54-AS55</f>
        <v/>
      </c>
      <c r="AT121" s="34">
        <f>AT54-AT55</f>
        <v/>
      </c>
      <c r="AU121" s="34">
        <f>AU54-AU55</f>
        <v/>
      </c>
    </row>
    <row r="122" ht="15.5" customHeight="1" s="213">
      <c r="V122" s="49" t="inlineStr">
        <is>
          <t>COAHCO</t>
        </is>
      </c>
      <c r="W122" s="34">
        <f>W56</f>
        <v/>
      </c>
      <c r="X122" s="34">
        <f>X56</f>
        <v/>
      </c>
      <c r="Y122" s="34">
        <f>Y56</f>
        <v/>
      </c>
      <c r="Z122" s="34">
        <f>Z56</f>
        <v/>
      </c>
      <c r="AA122" s="34">
        <f>AA56</f>
        <v/>
      </c>
      <c r="AB122" s="34">
        <f>AB56</f>
        <v/>
      </c>
      <c r="AC122" s="34">
        <f>AC56</f>
        <v/>
      </c>
      <c r="AD122" s="34" t="n"/>
      <c r="AE122" s="34" t="n"/>
      <c r="AF122" s="34">
        <f>AF56</f>
        <v/>
      </c>
      <c r="AG122" s="34">
        <f>AG56</f>
        <v/>
      </c>
      <c r="AH122" s="34">
        <f>AH56</f>
        <v/>
      </c>
      <c r="AI122" s="34">
        <f>AI56</f>
        <v/>
      </c>
      <c r="AJ122" s="34">
        <f>AJ56</f>
        <v/>
      </c>
      <c r="AK122" s="34">
        <f>AK56</f>
        <v/>
      </c>
      <c r="AL122" s="34">
        <f>AL56</f>
        <v/>
      </c>
      <c r="AM122" s="34" t="n"/>
      <c r="AN122" s="34" t="n"/>
      <c r="AO122" s="34">
        <f>AO56</f>
        <v/>
      </c>
      <c r="AP122" s="34">
        <f>AP56</f>
        <v/>
      </c>
      <c r="AQ122" s="34">
        <f>AQ56</f>
        <v/>
      </c>
      <c r="AR122" s="34">
        <f>AR56</f>
        <v/>
      </c>
      <c r="AS122" s="34">
        <f>AS56</f>
        <v/>
      </c>
      <c r="AT122" s="34">
        <f>AT56</f>
        <v/>
      </c>
      <c r="AU122" s="34">
        <f>AU56</f>
        <v/>
      </c>
    </row>
    <row r="123" ht="15.5" customHeight="1" s="213">
      <c r="V123" s="48" t="inlineStr">
        <is>
          <t>GASNGA</t>
        </is>
      </c>
      <c r="W123" s="34">
        <f>W57</f>
        <v/>
      </c>
      <c r="X123" s="34">
        <f>X57</f>
        <v/>
      </c>
      <c r="Y123" s="34">
        <f>Y57</f>
        <v/>
      </c>
      <c r="Z123" s="34">
        <f>Z57</f>
        <v/>
      </c>
      <c r="AA123" s="34">
        <f>AA57</f>
        <v/>
      </c>
      <c r="AB123" s="34">
        <f>AB57</f>
        <v/>
      </c>
      <c r="AC123" s="34">
        <f>AC57</f>
        <v/>
      </c>
      <c r="AD123" s="34" t="n"/>
      <c r="AE123" s="34" t="n"/>
      <c r="AF123" s="34">
        <f>AF57</f>
        <v/>
      </c>
      <c r="AG123" s="34">
        <f>AG57</f>
        <v/>
      </c>
      <c r="AH123" s="34">
        <f>AH57</f>
        <v/>
      </c>
      <c r="AI123" s="34">
        <f>AI57</f>
        <v/>
      </c>
      <c r="AJ123" s="34">
        <f>AJ57</f>
        <v/>
      </c>
      <c r="AK123" s="34">
        <f>AK57</f>
        <v/>
      </c>
      <c r="AL123" s="34">
        <f>AL57</f>
        <v/>
      </c>
      <c r="AM123" s="34" t="n"/>
      <c r="AN123" s="34" t="n"/>
      <c r="AO123" s="34">
        <f>AO57</f>
        <v/>
      </c>
      <c r="AP123" s="34">
        <f>AP57</f>
        <v/>
      </c>
      <c r="AQ123" s="34">
        <f>AQ57</f>
        <v/>
      </c>
      <c r="AR123" s="34">
        <f>AR57</f>
        <v/>
      </c>
      <c r="AS123" s="34">
        <f>AS57</f>
        <v/>
      </c>
      <c r="AT123" s="34">
        <f>AT57</f>
        <v/>
      </c>
      <c r="AU123" s="34">
        <f>AU57</f>
        <v/>
      </c>
    </row>
    <row r="124" ht="15.5" customHeight="1" s="213">
      <c r="V124" s="48" t="inlineStr">
        <is>
          <t>OILDST</t>
        </is>
      </c>
      <c r="W124" s="34">
        <f>W58</f>
        <v/>
      </c>
      <c r="X124" s="34">
        <f>X58</f>
        <v/>
      </c>
      <c r="Y124" s="34">
        <f>Y58</f>
        <v/>
      </c>
      <c r="Z124" s="34">
        <f>Z58</f>
        <v/>
      </c>
      <c r="AA124" s="34">
        <f>AA58</f>
        <v/>
      </c>
      <c r="AB124" s="34">
        <f>AB58</f>
        <v/>
      </c>
      <c r="AC124" s="34">
        <f>AC58</f>
        <v/>
      </c>
      <c r="AD124" s="34" t="n"/>
      <c r="AE124" s="34" t="n"/>
      <c r="AF124" s="34">
        <f>AF58</f>
        <v/>
      </c>
      <c r="AG124" s="34">
        <f>AG58</f>
        <v/>
      </c>
      <c r="AH124" s="34">
        <f>AH58</f>
        <v/>
      </c>
      <c r="AI124" s="34">
        <f>AI58</f>
        <v/>
      </c>
      <c r="AJ124" s="34">
        <f>AJ58</f>
        <v/>
      </c>
      <c r="AK124" s="34">
        <f>AK58</f>
        <v/>
      </c>
      <c r="AL124" s="34">
        <f>AL58</f>
        <v/>
      </c>
      <c r="AM124" s="34" t="n"/>
      <c r="AN124" s="34" t="n"/>
      <c r="AO124" s="34">
        <f>AO58</f>
        <v/>
      </c>
      <c r="AP124" s="34">
        <f>AP58</f>
        <v/>
      </c>
      <c r="AQ124" s="34">
        <f>AQ58</f>
        <v/>
      </c>
      <c r="AR124" s="34">
        <f>AR58</f>
        <v/>
      </c>
      <c r="AS124" s="34">
        <f>AS58</f>
        <v/>
      </c>
      <c r="AT124" s="34">
        <f>AT58</f>
        <v/>
      </c>
      <c r="AU124" s="34">
        <f>AU58</f>
        <v/>
      </c>
    </row>
    <row r="125" ht="15.5" customHeight="1" s="213">
      <c r="U125" s="33" t="inlineStr">
        <is>
          <t>CN</t>
        </is>
      </c>
      <c r="V125" s="48" t="inlineStr">
        <is>
          <t>ELC</t>
        </is>
      </c>
      <c r="W125" s="50">
        <f>W121</f>
        <v/>
      </c>
      <c r="X125" s="50">
        <f>X121</f>
        <v/>
      </c>
      <c r="Y125" s="50">
        <f>Y121</f>
        <v/>
      </c>
      <c r="Z125" s="50">
        <f>Z121</f>
        <v/>
      </c>
      <c r="AA125" s="50">
        <f>AA121</f>
        <v/>
      </c>
      <c r="AB125" s="50">
        <f>AB121</f>
        <v/>
      </c>
      <c r="AC125" s="50">
        <f>AC121</f>
        <v/>
      </c>
      <c r="AD125" s="34" t="n"/>
      <c r="AE125" s="34" t="n"/>
      <c r="AF125" s="50">
        <f>AF121</f>
        <v/>
      </c>
      <c r="AG125" s="50">
        <f>AG121</f>
        <v/>
      </c>
      <c r="AH125" s="50">
        <f>AH121</f>
        <v/>
      </c>
      <c r="AI125" s="50">
        <f>AI121</f>
        <v/>
      </c>
      <c r="AJ125" s="50">
        <f>AJ121</f>
        <v/>
      </c>
      <c r="AK125" s="50">
        <f>AK121</f>
        <v/>
      </c>
      <c r="AL125" s="50">
        <f>AL121</f>
        <v/>
      </c>
      <c r="AM125" s="34" t="n"/>
      <c r="AN125" s="34" t="n"/>
      <c r="AO125" s="50">
        <f>AO121</f>
        <v/>
      </c>
      <c r="AP125" s="50">
        <f>AP121</f>
        <v/>
      </c>
      <c r="AQ125" s="50">
        <f>AQ121</f>
        <v/>
      </c>
      <c r="AR125" s="50">
        <f>AR121</f>
        <v/>
      </c>
      <c r="AS125" s="50">
        <f>AS121</f>
        <v/>
      </c>
      <c r="AT125" s="50">
        <f>AT121</f>
        <v/>
      </c>
      <c r="AU125" s="50">
        <f>AU121</f>
        <v/>
      </c>
    </row>
    <row r="126" ht="15.5" customHeight="1" s="213">
      <c r="V126" s="49" t="inlineStr">
        <is>
          <t>COAHCO</t>
        </is>
      </c>
      <c r="W126" s="50">
        <f>W122</f>
        <v/>
      </c>
      <c r="X126" s="50">
        <f>X122</f>
        <v/>
      </c>
      <c r="Y126" s="50">
        <f>Y122</f>
        <v/>
      </c>
      <c r="Z126" s="50">
        <f>Z122</f>
        <v/>
      </c>
      <c r="AA126" s="50">
        <f>AA122</f>
        <v/>
      </c>
      <c r="AB126" s="50">
        <f>AB122</f>
        <v/>
      </c>
      <c r="AC126" s="50">
        <f>AC122</f>
        <v/>
      </c>
      <c r="AD126" s="34" t="n"/>
      <c r="AE126" s="34" t="n"/>
      <c r="AF126" s="50">
        <f>AF122</f>
        <v/>
      </c>
      <c r="AG126" s="50">
        <f>AG122</f>
        <v/>
      </c>
      <c r="AH126" s="50">
        <f>AH122</f>
        <v/>
      </c>
      <c r="AI126" s="50">
        <f>AI122</f>
        <v/>
      </c>
      <c r="AJ126" s="50">
        <f>AJ122</f>
        <v/>
      </c>
      <c r="AK126" s="50">
        <f>AK122</f>
        <v/>
      </c>
      <c r="AL126" s="50">
        <f>AL122</f>
        <v/>
      </c>
      <c r="AM126" s="34" t="n"/>
      <c r="AN126" s="34" t="n"/>
      <c r="AO126" s="50">
        <f>AO122</f>
        <v/>
      </c>
      <c r="AP126" s="50">
        <f>AP122</f>
        <v/>
      </c>
      <c r="AQ126" s="50">
        <f>AQ122</f>
        <v/>
      </c>
      <c r="AR126" s="50">
        <f>AR122</f>
        <v/>
      </c>
      <c r="AS126" s="50">
        <f>AS122</f>
        <v/>
      </c>
      <c r="AT126" s="50">
        <f>AT122</f>
        <v/>
      </c>
      <c r="AU126" s="50">
        <f>AU122</f>
        <v/>
      </c>
    </row>
    <row r="127" ht="15.5" customHeight="1" s="213">
      <c r="V127" s="48" t="inlineStr">
        <is>
          <t>GASNGA</t>
        </is>
      </c>
      <c r="W127" s="50">
        <f>W123</f>
        <v/>
      </c>
      <c r="X127" s="50">
        <f>X123</f>
        <v/>
      </c>
      <c r="Y127" s="50">
        <f>Y123</f>
        <v/>
      </c>
      <c r="Z127" s="50">
        <f>Z123</f>
        <v/>
      </c>
      <c r="AA127" s="50">
        <f>AA123</f>
        <v/>
      </c>
      <c r="AB127" s="50">
        <f>AB123</f>
        <v/>
      </c>
      <c r="AC127" s="50">
        <f>AC123</f>
        <v/>
      </c>
      <c r="AD127" s="34" t="n"/>
      <c r="AE127" s="34" t="n"/>
      <c r="AF127" s="50">
        <f>AF123</f>
        <v/>
      </c>
      <c r="AG127" s="50">
        <f>AG123</f>
        <v/>
      </c>
      <c r="AH127" s="50">
        <f>AH123</f>
        <v/>
      </c>
      <c r="AI127" s="50">
        <f>AI123</f>
        <v/>
      </c>
      <c r="AJ127" s="50">
        <f>AJ123</f>
        <v/>
      </c>
      <c r="AK127" s="50">
        <f>AK123</f>
        <v/>
      </c>
      <c r="AL127" s="50">
        <f>AL123</f>
        <v/>
      </c>
      <c r="AM127" s="34" t="n"/>
      <c r="AN127" s="34" t="n"/>
      <c r="AO127" s="50">
        <f>AO123</f>
        <v/>
      </c>
      <c r="AP127" s="50">
        <f>AP123</f>
        <v/>
      </c>
      <c r="AQ127" s="50">
        <f>AQ123</f>
        <v/>
      </c>
      <c r="AR127" s="50">
        <f>AR123</f>
        <v/>
      </c>
      <c r="AS127" s="50">
        <f>AS123</f>
        <v/>
      </c>
      <c r="AT127" s="50">
        <f>AT123</f>
        <v/>
      </c>
      <c r="AU127" s="50">
        <f>AU123</f>
        <v/>
      </c>
    </row>
    <row r="128" ht="15.5" customHeight="1" s="213">
      <c r="V128" s="48" t="inlineStr">
        <is>
          <t>OILDST</t>
        </is>
      </c>
      <c r="W128" s="50">
        <f>W124</f>
        <v/>
      </c>
      <c r="X128" s="50">
        <f>X124</f>
        <v/>
      </c>
      <c r="Y128" s="50">
        <f>Y124</f>
        <v/>
      </c>
      <c r="Z128" s="50">
        <f>Z124</f>
        <v/>
      </c>
      <c r="AA128" s="50">
        <f>AA124</f>
        <v/>
      </c>
      <c r="AB128" s="50">
        <f>AB124</f>
        <v/>
      </c>
      <c r="AC128" s="50">
        <f>AC124</f>
        <v/>
      </c>
      <c r="AD128" s="34" t="n"/>
      <c r="AE128" s="34" t="n"/>
      <c r="AF128" s="50">
        <f>AF124</f>
        <v/>
      </c>
      <c r="AG128" s="50">
        <f>AG124</f>
        <v/>
      </c>
      <c r="AH128" s="50">
        <f>AH124</f>
        <v/>
      </c>
      <c r="AI128" s="50">
        <f>AI124</f>
        <v/>
      </c>
      <c r="AJ128" s="50">
        <f>AJ124</f>
        <v/>
      </c>
      <c r="AK128" s="50">
        <f>AK124</f>
        <v/>
      </c>
      <c r="AL128" s="50">
        <f>AL124</f>
        <v/>
      </c>
      <c r="AM128" s="34" t="n"/>
      <c r="AN128" s="34" t="n"/>
      <c r="AO128" s="50">
        <f>AO124</f>
        <v/>
      </c>
      <c r="AP128" s="50">
        <f>AP124</f>
        <v/>
      </c>
      <c r="AQ128" s="50">
        <f>AQ124</f>
        <v/>
      </c>
      <c r="AR128" s="50">
        <f>AR124</f>
        <v/>
      </c>
      <c r="AS128" s="50">
        <f>AS124</f>
        <v/>
      </c>
      <c r="AT128" s="50">
        <f>AT124</f>
        <v/>
      </c>
      <c r="AU128" s="50">
        <f>AU124</f>
        <v/>
      </c>
    </row>
    <row r="160" ht="15.5" customHeight="1" s="213">
      <c r="U160" s="51" t="n"/>
      <c r="V160" s="79" t="inlineStr">
        <is>
          <t>~TFM_UPD: attribute= INPUT</t>
        </is>
      </c>
      <c r="W160" s="51" t="n"/>
      <c r="X160" s="52" t="n"/>
      <c r="Z160" s="51" t="n"/>
      <c r="AA160" s="79" t="inlineStr">
        <is>
          <t>~TFM_UPD: attribute= INPUT</t>
        </is>
      </c>
      <c r="AB160" s="51" t="n"/>
      <c r="AC160" s="52" t="n"/>
      <c r="AE160" s="51" t="n"/>
      <c r="AF160" s="79" t="inlineStr">
        <is>
          <t>~TFM_UPD: attribute= INPUT</t>
        </is>
      </c>
      <c r="AG160" s="51" t="n"/>
      <c r="AH160" s="52" t="n"/>
      <c r="AJ160" s="51" t="n"/>
      <c r="AK160" s="79" t="inlineStr">
        <is>
          <t>~TFM_UPD: attribute= INPUT</t>
        </is>
      </c>
      <c r="AL160" s="51" t="n"/>
      <c r="AM160" s="52" t="n"/>
      <c r="AO160" s="51" t="n"/>
      <c r="AP160" s="79" t="inlineStr">
        <is>
          <t>~TFM_UPD: attribute= INPUT</t>
        </is>
      </c>
      <c r="AQ160" s="51" t="n"/>
      <c r="AR160" s="52" t="n"/>
      <c r="AT160" s="51" t="n"/>
      <c r="AU160" s="79" t="inlineStr">
        <is>
          <t>~TFM_UPD: attribute= INPUT</t>
        </is>
      </c>
      <c r="AV160" s="51" t="n"/>
      <c r="AW160" s="52" t="n"/>
      <c r="AY160" s="51" t="n"/>
      <c r="AZ160" s="79" t="inlineStr">
        <is>
          <t>~TFM_UPD: attribute= INPUT</t>
        </is>
      </c>
      <c r="BA160" s="51" t="n"/>
    </row>
    <row r="161" ht="15.5" customHeight="1" s="213">
      <c r="U161" s="79" t="inlineStr">
        <is>
          <t>process</t>
        </is>
      </c>
      <c r="V161" s="79" t="inlineStr">
        <is>
          <t>cset_cn</t>
        </is>
      </c>
      <c r="W161" s="79" t="inlineStr">
        <is>
          <t>China</t>
        </is>
      </c>
      <c r="X161" s="52" t="inlineStr">
        <is>
          <t>year</t>
        </is>
      </c>
      <c r="Z161" s="79" t="inlineStr">
        <is>
          <t>process</t>
        </is>
      </c>
      <c r="AA161" s="79" t="inlineStr">
        <is>
          <t>cset_cn</t>
        </is>
      </c>
      <c r="AB161" s="79" t="inlineStr">
        <is>
          <t>China</t>
        </is>
      </c>
      <c r="AC161" s="52" t="inlineStr">
        <is>
          <t>year</t>
        </is>
      </c>
      <c r="AE161" s="79" t="inlineStr">
        <is>
          <t>process</t>
        </is>
      </c>
      <c r="AF161" s="79" t="inlineStr">
        <is>
          <t>cset_cn</t>
        </is>
      </c>
      <c r="AG161" s="79" t="inlineStr">
        <is>
          <t>China</t>
        </is>
      </c>
      <c r="AH161" s="52" t="inlineStr">
        <is>
          <t>year</t>
        </is>
      </c>
      <c r="AJ161" s="79" t="inlineStr">
        <is>
          <t>process</t>
        </is>
      </c>
      <c r="AK161" s="79" t="inlineStr">
        <is>
          <t>cset_cn</t>
        </is>
      </c>
      <c r="AL161" s="79" t="inlineStr">
        <is>
          <t>China</t>
        </is>
      </c>
      <c r="AM161" s="52" t="inlineStr">
        <is>
          <t>year</t>
        </is>
      </c>
      <c r="AO161" s="79" t="inlineStr">
        <is>
          <t>process</t>
        </is>
      </c>
      <c r="AP161" s="79" t="inlineStr">
        <is>
          <t>cset_cn</t>
        </is>
      </c>
      <c r="AQ161" s="79" t="inlineStr">
        <is>
          <t>China</t>
        </is>
      </c>
      <c r="AR161" s="52" t="inlineStr">
        <is>
          <t>year</t>
        </is>
      </c>
      <c r="AT161" s="79" t="inlineStr">
        <is>
          <t>process</t>
        </is>
      </c>
      <c r="AU161" s="79" t="inlineStr">
        <is>
          <t>cset_cn</t>
        </is>
      </c>
      <c r="AV161" s="79" t="inlineStr">
        <is>
          <t>China</t>
        </is>
      </c>
      <c r="AW161" s="52" t="inlineStr">
        <is>
          <t>year</t>
        </is>
      </c>
      <c r="AY161" s="79" t="inlineStr">
        <is>
          <t>process</t>
        </is>
      </c>
      <c r="AZ161" s="79" t="inlineStr">
        <is>
          <t>cset_cn</t>
        </is>
      </c>
      <c r="BA161" s="79" t="inlineStr">
        <is>
          <t>China</t>
        </is>
      </c>
      <c r="BB161" s="52" t="inlineStr">
        <is>
          <t>year</t>
        </is>
      </c>
    </row>
    <row r="162" ht="15.5" customHeight="1" s="213">
      <c r="U162" s="52" t="inlineStr">
        <is>
          <t>PyroRecy-NMC111</t>
        </is>
      </c>
      <c r="V162" s="53" t="inlineStr">
        <is>
          <t>INDELC</t>
        </is>
      </c>
      <c r="W162" s="52">
        <f>W85</f>
        <v/>
      </c>
      <c r="X162" s="52" t="n">
        <v>2020</v>
      </c>
      <c r="Z162" s="52" t="inlineStr">
        <is>
          <t>PyroRecy-NMC532</t>
        </is>
      </c>
      <c r="AA162" s="53" t="inlineStr">
        <is>
          <t>INDELC</t>
        </is>
      </c>
      <c r="AB162" s="52">
        <f>X85</f>
        <v/>
      </c>
      <c r="AC162" s="52" t="n">
        <v>2020</v>
      </c>
      <c r="AE162" s="52" t="inlineStr">
        <is>
          <t>PyroRecy-NMC622</t>
        </is>
      </c>
      <c r="AF162" s="53" t="inlineStr">
        <is>
          <t>INDELC</t>
        </is>
      </c>
      <c r="AG162" s="52">
        <f>Y85</f>
        <v/>
      </c>
      <c r="AH162" s="52" t="n">
        <v>2020</v>
      </c>
      <c r="AJ162" s="52" t="inlineStr">
        <is>
          <t>PyroRecy-NMC811</t>
        </is>
      </c>
      <c r="AK162" s="53" t="inlineStr">
        <is>
          <t>INDELC</t>
        </is>
      </c>
      <c r="AL162" s="52">
        <f>Z85</f>
        <v/>
      </c>
      <c r="AM162" s="52" t="n">
        <v>2020</v>
      </c>
      <c r="AO162" s="52" t="inlineStr">
        <is>
          <t>PyroRecy-NCA</t>
        </is>
      </c>
      <c r="AP162" s="53" t="inlineStr">
        <is>
          <t>INDELC</t>
        </is>
      </c>
      <c r="AQ162" s="52">
        <f>AA85</f>
        <v/>
      </c>
      <c r="AR162" s="52" t="n">
        <v>2020</v>
      </c>
      <c r="AT162" s="52" t="inlineStr">
        <is>
          <t>PyroRecy-LMO</t>
        </is>
      </c>
      <c r="AU162" s="53" t="inlineStr">
        <is>
          <t>INDELC</t>
        </is>
      </c>
      <c r="AV162" s="52">
        <f>AB85</f>
        <v/>
      </c>
      <c r="AW162" s="52" t="n">
        <v>2020</v>
      </c>
      <c r="AY162" s="52" t="inlineStr">
        <is>
          <t>PyroRecy-LFP</t>
        </is>
      </c>
      <c r="AZ162" s="53" t="inlineStr">
        <is>
          <t>INDELC</t>
        </is>
      </c>
      <c r="BA162" s="52">
        <f>AC85</f>
        <v/>
      </c>
      <c r="BB162" s="52" t="n">
        <v>2020</v>
      </c>
    </row>
    <row r="163" ht="15.5" customHeight="1" s="213">
      <c r="U163" s="52">
        <f>U162</f>
        <v/>
      </c>
      <c r="V163" s="53" t="inlineStr">
        <is>
          <t>INDCOA</t>
        </is>
      </c>
      <c r="W163" s="52">
        <f>W86</f>
        <v/>
      </c>
      <c r="X163" s="52" t="n">
        <v>2020</v>
      </c>
      <c r="Z163" s="52">
        <f>Z162</f>
        <v/>
      </c>
      <c r="AA163" s="53" t="inlineStr">
        <is>
          <t>INDCOA</t>
        </is>
      </c>
      <c r="AB163" s="52">
        <f>X86</f>
        <v/>
      </c>
      <c r="AC163" s="52" t="n">
        <v>2020</v>
      </c>
      <c r="AE163" s="52">
        <f>AE162</f>
        <v/>
      </c>
      <c r="AF163" s="53" t="inlineStr">
        <is>
          <t>INDCOA</t>
        </is>
      </c>
      <c r="AG163" s="52">
        <f>Y86</f>
        <v/>
      </c>
      <c r="AH163" s="52" t="n">
        <v>2020</v>
      </c>
      <c r="AJ163" s="52">
        <f>AJ162</f>
        <v/>
      </c>
      <c r="AK163" s="53" t="inlineStr">
        <is>
          <t>INDCOA</t>
        </is>
      </c>
      <c r="AL163" s="52">
        <f>Z86</f>
        <v/>
      </c>
      <c r="AM163" s="52" t="n">
        <v>2020</v>
      </c>
      <c r="AO163" s="52">
        <f>AO162</f>
        <v/>
      </c>
      <c r="AP163" s="53" t="inlineStr">
        <is>
          <t>INDCOA</t>
        </is>
      </c>
      <c r="AQ163" s="52">
        <f>AA86</f>
        <v/>
      </c>
      <c r="AR163" s="52" t="n">
        <v>2020</v>
      </c>
      <c r="AT163" s="52">
        <f>AT162</f>
        <v/>
      </c>
      <c r="AU163" s="53" t="inlineStr">
        <is>
          <t>INDCOA</t>
        </is>
      </c>
      <c r="AV163" s="52">
        <f>AB86</f>
        <v/>
      </c>
      <c r="AW163" s="52" t="n">
        <v>2020</v>
      </c>
      <c r="AY163" s="52">
        <f>AY162</f>
        <v/>
      </c>
      <c r="AZ163" s="53" t="inlineStr">
        <is>
          <t>INDCOA</t>
        </is>
      </c>
      <c r="BA163" s="52">
        <f>AC86</f>
        <v/>
      </c>
      <c r="BB163" s="52" t="n">
        <v>2020</v>
      </c>
    </row>
    <row r="164" ht="15.5" customHeight="1" s="213">
      <c r="U164" s="52">
        <f>U163</f>
        <v/>
      </c>
      <c r="V164" s="53" t="inlineStr">
        <is>
          <t>INDNGA</t>
        </is>
      </c>
      <c r="W164" s="52">
        <f>W87</f>
        <v/>
      </c>
      <c r="X164" s="52" t="n">
        <v>2020</v>
      </c>
      <c r="Z164" s="52">
        <f>Z163</f>
        <v/>
      </c>
      <c r="AA164" s="53" t="inlineStr">
        <is>
          <t>INDNGA</t>
        </is>
      </c>
      <c r="AB164" s="52">
        <f>X87</f>
        <v/>
      </c>
      <c r="AC164" s="52" t="n">
        <v>2020</v>
      </c>
      <c r="AE164" s="52">
        <f>AE163</f>
        <v/>
      </c>
      <c r="AF164" s="53" t="inlineStr">
        <is>
          <t>INDNGA</t>
        </is>
      </c>
      <c r="AG164" s="52">
        <f>Y87</f>
        <v/>
      </c>
      <c r="AH164" s="52" t="n">
        <v>2020</v>
      </c>
      <c r="AJ164" s="52">
        <f>AJ163</f>
        <v/>
      </c>
      <c r="AK164" s="53" t="inlineStr">
        <is>
          <t>INDNGA</t>
        </is>
      </c>
      <c r="AL164" s="52">
        <f>Z87</f>
        <v/>
      </c>
      <c r="AM164" s="52" t="n">
        <v>2020</v>
      </c>
      <c r="AO164" s="52">
        <f>AO163</f>
        <v/>
      </c>
      <c r="AP164" s="53" t="inlineStr">
        <is>
          <t>INDNGA</t>
        </is>
      </c>
      <c r="AQ164" s="52">
        <f>AA87</f>
        <v/>
      </c>
      <c r="AR164" s="52" t="n">
        <v>2020</v>
      </c>
      <c r="AT164" s="52">
        <f>AT163</f>
        <v/>
      </c>
      <c r="AU164" s="53" t="inlineStr">
        <is>
          <t>INDNGA</t>
        </is>
      </c>
      <c r="AV164" s="52">
        <f>AB87</f>
        <v/>
      </c>
      <c r="AW164" s="52" t="n">
        <v>2020</v>
      </c>
      <c r="AY164" s="52">
        <f>AY163</f>
        <v/>
      </c>
      <c r="AZ164" s="53" t="inlineStr">
        <is>
          <t>INDNGA</t>
        </is>
      </c>
      <c r="BA164" s="52">
        <f>AC87</f>
        <v/>
      </c>
      <c r="BB164" s="52" t="n">
        <v>2020</v>
      </c>
    </row>
    <row r="165" ht="15.5" customHeight="1" s="213">
      <c r="U165" s="52">
        <f>U164</f>
        <v/>
      </c>
      <c r="V165" s="53" t="inlineStr">
        <is>
          <t>INDOIL</t>
        </is>
      </c>
      <c r="W165" s="52">
        <f>W88</f>
        <v/>
      </c>
      <c r="X165" s="52" t="n">
        <v>2020</v>
      </c>
      <c r="Z165" s="52">
        <f>Z164</f>
        <v/>
      </c>
      <c r="AA165" s="53" t="inlineStr">
        <is>
          <t>INDOIL</t>
        </is>
      </c>
      <c r="AB165" s="52">
        <f>X88</f>
        <v/>
      </c>
      <c r="AC165" s="52" t="n">
        <v>2020</v>
      </c>
      <c r="AE165" s="52">
        <f>AE164</f>
        <v/>
      </c>
      <c r="AF165" s="53" t="inlineStr">
        <is>
          <t>INDOIL</t>
        </is>
      </c>
      <c r="AG165" s="52">
        <f>Y88</f>
        <v/>
      </c>
      <c r="AH165" s="52" t="n">
        <v>2020</v>
      </c>
      <c r="AJ165" s="52">
        <f>AJ164</f>
        <v/>
      </c>
      <c r="AK165" s="53" t="inlineStr">
        <is>
          <t>INDOIL</t>
        </is>
      </c>
      <c r="AL165" s="52">
        <f>Z88</f>
        <v/>
      </c>
      <c r="AM165" s="52" t="n">
        <v>2020</v>
      </c>
      <c r="AO165" s="52">
        <f>AO164</f>
        <v/>
      </c>
      <c r="AP165" s="53" t="inlineStr">
        <is>
          <t>INDOIL</t>
        </is>
      </c>
      <c r="AQ165" s="52">
        <f>AA88</f>
        <v/>
      </c>
      <c r="AR165" s="52" t="n">
        <v>2020</v>
      </c>
      <c r="AT165" s="52">
        <f>AT164</f>
        <v/>
      </c>
      <c r="AU165" s="53" t="inlineStr">
        <is>
          <t>INDOIL</t>
        </is>
      </c>
      <c r="AV165" s="52">
        <f>AB88</f>
        <v/>
      </c>
      <c r="AW165" s="52" t="n">
        <v>2020</v>
      </c>
      <c r="AY165" s="52">
        <f>AY164</f>
        <v/>
      </c>
      <c r="AZ165" s="53" t="inlineStr">
        <is>
          <t>INDOIL</t>
        </is>
      </c>
      <c r="BA165" s="52">
        <f>AC88</f>
        <v/>
      </c>
      <c r="BB165" s="52" t="n">
        <v>2020</v>
      </c>
    </row>
    <row r="166" ht="15.5" customHeight="1" s="213">
      <c r="U166" s="54" t="n"/>
      <c r="V166" s="54" t="n"/>
      <c r="W166" s="54" t="n"/>
      <c r="X166" s="54" t="n"/>
      <c r="Z166" s="54" t="n"/>
      <c r="AA166" s="54" t="n"/>
      <c r="AB166" s="54" t="n"/>
      <c r="AC166" s="54" t="n"/>
      <c r="AE166" s="54" t="n"/>
      <c r="AF166" s="54" t="n"/>
      <c r="AG166" s="54" t="n"/>
      <c r="AH166" s="54" t="n"/>
      <c r="AJ166" s="54" t="n"/>
      <c r="AK166" s="54" t="n"/>
      <c r="AL166" s="54" t="n"/>
      <c r="AM166" s="54" t="n"/>
      <c r="AO166" s="54" t="n"/>
      <c r="AP166" s="54" t="n"/>
      <c r="AQ166" s="54" t="n"/>
      <c r="AR166" s="54" t="n"/>
      <c r="AT166" s="54" t="n"/>
      <c r="AU166" s="54" t="n"/>
      <c r="AV166" s="54" t="n"/>
      <c r="AW166" s="54" t="n"/>
      <c r="AY166" s="54" t="n"/>
      <c r="AZ166" s="54" t="n"/>
      <c r="BA166" s="54" t="n"/>
    </row>
    <row r="167" ht="15.5" customHeight="1" s="213">
      <c r="U167" s="34" t="n"/>
      <c r="V167" s="34" t="n"/>
      <c r="W167" s="34" t="n"/>
      <c r="X167" s="34" t="n"/>
      <c r="Z167" s="34" t="n"/>
      <c r="AA167" s="34" t="n"/>
      <c r="AB167" s="34" t="n"/>
      <c r="AC167" s="34" t="n"/>
      <c r="AE167" s="34" t="n"/>
      <c r="AF167" s="34" t="n"/>
      <c r="AG167" s="34" t="n"/>
      <c r="AH167" s="34" t="n"/>
      <c r="AJ167" s="34" t="n"/>
      <c r="AK167" s="34" t="n"/>
      <c r="AL167" s="34" t="n"/>
      <c r="AM167" s="34" t="n"/>
      <c r="AO167" s="34" t="n"/>
      <c r="AP167" s="34" t="n"/>
      <c r="AQ167" s="34" t="n"/>
      <c r="AR167" s="34" t="n"/>
      <c r="AT167" s="34" t="n"/>
      <c r="AU167" s="34" t="n"/>
      <c r="AV167" s="34" t="n"/>
      <c r="AW167" s="34" t="n"/>
      <c r="AY167" s="34" t="n"/>
      <c r="AZ167" s="34" t="n"/>
      <c r="BA167" s="34" t="n"/>
    </row>
    <row r="168" ht="15.5" customHeight="1" s="213">
      <c r="U168" s="34" t="n"/>
      <c r="V168" s="34" t="n"/>
      <c r="W168" s="34" t="n"/>
      <c r="X168" s="34" t="n"/>
      <c r="Z168" s="34" t="n"/>
      <c r="AA168" s="34" t="n"/>
      <c r="AB168" s="34" t="n"/>
      <c r="AC168" s="34" t="n"/>
      <c r="AE168" s="34" t="n"/>
      <c r="AF168" s="34" t="n"/>
      <c r="AG168" s="34" t="n"/>
      <c r="AH168" s="34" t="n"/>
      <c r="AJ168" s="34" t="n"/>
      <c r="AK168" s="34" t="n"/>
      <c r="AL168" s="34" t="n"/>
      <c r="AM168" s="34" t="n"/>
      <c r="AO168" s="34" t="n"/>
      <c r="AP168" s="34" t="n"/>
      <c r="AQ168" s="34" t="n"/>
      <c r="AR168" s="34" t="n"/>
      <c r="AT168" s="34" t="n"/>
      <c r="AU168" s="34" t="n"/>
      <c r="AV168" s="34" t="n"/>
      <c r="AW168" s="34" t="n"/>
      <c r="AY168" s="34" t="n"/>
      <c r="AZ168" s="34" t="n"/>
      <c r="BA168" s="34" t="n"/>
    </row>
    <row r="169" ht="15.5" customHeight="1" s="213">
      <c r="U169" s="34" t="n"/>
      <c r="V169" s="34" t="n"/>
      <c r="W169" s="34" t="n"/>
      <c r="X169" s="34" t="n"/>
      <c r="Z169" s="34" t="n"/>
      <c r="AA169" s="34" t="n"/>
      <c r="AB169" s="34" t="n"/>
      <c r="AC169" s="34" t="n"/>
      <c r="AE169" s="34" t="n"/>
      <c r="AF169" s="34" t="n"/>
      <c r="AG169" s="34" t="n"/>
      <c r="AH169" s="34" t="n"/>
      <c r="AJ169" s="34" t="n"/>
      <c r="AK169" s="34" t="n"/>
      <c r="AL169" s="34" t="n"/>
      <c r="AM169" s="34" t="n"/>
      <c r="AO169" s="34" t="n"/>
      <c r="AP169" s="34" t="n"/>
      <c r="AQ169" s="34" t="n"/>
      <c r="AR169" s="34" t="n"/>
      <c r="AT169" s="34" t="n"/>
      <c r="AU169" s="34" t="n"/>
      <c r="AV169" s="34" t="n"/>
      <c r="AW169" s="34" t="n"/>
      <c r="AY169" s="34" t="n"/>
      <c r="AZ169" s="34" t="n"/>
      <c r="BA169" s="34" t="n"/>
    </row>
    <row r="170" ht="15.5" customHeight="1" s="213">
      <c r="U170" s="34" t="n"/>
      <c r="V170" s="34" t="n"/>
      <c r="W170" s="34" t="n"/>
      <c r="X170" s="34" t="n"/>
      <c r="Z170" s="34" t="n"/>
      <c r="AA170" s="34" t="n"/>
      <c r="AB170" s="34" t="n"/>
      <c r="AC170" s="34" t="n"/>
      <c r="AE170" s="34" t="n"/>
      <c r="AF170" s="34" t="n"/>
      <c r="AG170" s="34" t="n"/>
      <c r="AH170" s="34" t="n"/>
      <c r="AJ170" s="34" t="n"/>
      <c r="AK170" s="34" t="n"/>
      <c r="AL170" s="34" t="n"/>
      <c r="AM170" s="34" t="n"/>
      <c r="AO170" s="34" t="n"/>
      <c r="AP170" s="34" t="n"/>
      <c r="AQ170" s="34" t="n"/>
      <c r="AR170" s="34" t="n"/>
      <c r="AT170" s="34" t="n"/>
      <c r="AU170" s="34" t="n"/>
      <c r="AV170" s="34" t="n"/>
      <c r="AW170" s="34" t="n"/>
      <c r="AY170" s="34" t="n"/>
      <c r="AZ170" s="34" t="n"/>
      <c r="BA170" s="34" t="n"/>
    </row>
    <row r="171" ht="15.5" customHeight="1" s="213">
      <c r="U171" s="34" t="n"/>
      <c r="V171" s="34" t="n"/>
      <c r="W171" s="34" t="n"/>
      <c r="X171" s="34" t="n"/>
      <c r="Z171" s="34" t="n"/>
      <c r="AA171" s="34" t="n"/>
      <c r="AB171" s="34" t="n"/>
      <c r="AC171" s="34" t="n"/>
      <c r="AE171" s="34" t="n"/>
      <c r="AF171" s="34" t="n"/>
      <c r="AG171" s="34" t="n"/>
      <c r="AH171" s="34" t="n"/>
      <c r="AJ171" s="34" t="n"/>
      <c r="AK171" s="34" t="n"/>
      <c r="AL171" s="34" t="n"/>
      <c r="AM171" s="34" t="n"/>
      <c r="AO171" s="34" t="n"/>
      <c r="AP171" s="34" t="n"/>
      <c r="AQ171" s="34" t="n"/>
      <c r="AR171" s="34" t="n"/>
      <c r="AT171" s="34" t="n"/>
      <c r="AU171" s="34" t="n"/>
      <c r="AV171" s="34" t="n"/>
      <c r="AW171" s="34" t="n"/>
      <c r="AY171" s="34" t="n"/>
      <c r="AZ171" s="34" t="n"/>
      <c r="BA171" s="34" t="n"/>
    </row>
    <row r="172" ht="15.5" customHeight="1" s="213">
      <c r="U172" s="51" t="n"/>
      <c r="V172" s="79" t="inlineStr">
        <is>
          <t>~TFM_UPD: attribute= INPUT</t>
        </is>
      </c>
      <c r="W172" s="51" t="n"/>
      <c r="X172" s="52" t="n"/>
      <c r="Z172" s="51" t="n"/>
      <c r="AA172" s="79" t="inlineStr">
        <is>
          <t>~TFM_UPD: attribute= INPUT</t>
        </is>
      </c>
      <c r="AB172" s="51" t="n"/>
      <c r="AC172" s="52" t="n"/>
      <c r="AE172" s="51" t="n"/>
      <c r="AF172" s="79" t="inlineStr">
        <is>
          <t>~TFM_UPD: attribute= INPUT</t>
        </is>
      </c>
      <c r="AG172" s="51" t="n"/>
      <c r="AH172" s="52" t="n"/>
      <c r="AJ172" s="51" t="n"/>
      <c r="AK172" s="79" t="inlineStr">
        <is>
          <t>~TFM_UPD: attribute= INPUT</t>
        </is>
      </c>
      <c r="AL172" s="51" t="n"/>
      <c r="AM172" s="52" t="n"/>
      <c r="AO172" s="51" t="n"/>
      <c r="AP172" s="79" t="inlineStr">
        <is>
          <t>~TFM_UPD: attribute= INPUT</t>
        </is>
      </c>
      <c r="AQ172" s="51" t="n"/>
      <c r="AR172" s="52" t="n"/>
      <c r="AT172" s="51" t="n"/>
      <c r="AU172" s="79" t="inlineStr">
        <is>
          <t>~TFM_UPD: attribute= INPUT</t>
        </is>
      </c>
      <c r="AV172" s="51" t="n"/>
      <c r="AW172" s="52" t="n"/>
      <c r="AY172" s="51" t="n"/>
      <c r="AZ172" s="79" t="inlineStr">
        <is>
          <t>~TFM_UPD: attribute= INPUT</t>
        </is>
      </c>
      <c r="BA172" s="51" t="n"/>
    </row>
    <row r="173" ht="15.5" customHeight="1" s="213">
      <c r="U173" s="79" t="inlineStr">
        <is>
          <t>process</t>
        </is>
      </c>
      <c r="V173" s="79" t="inlineStr">
        <is>
          <t>cset_cn</t>
        </is>
      </c>
      <c r="W173" s="79" t="inlineStr">
        <is>
          <t>China</t>
        </is>
      </c>
      <c r="X173" s="52" t="inlineStr">
        <is>
          <t>year</t>
        </is>
      </c>
      <c r="Z173" s="79" t="inlineStr">
        <is>
          <t>process</t>
        </is>
      </c>
      <c r="AA173" s="79" t="inlineStr">
        <is>
          <t>cset_cn</t>
        </is>
      </c>
      <c r="AB173" s="79" t="inlineStr">
        <is>
          <t>China</t>
        </is>
      </c>
      <c r="AC173" s="52" t="inlineStr">
        <is>
          <t>year</t>
        </is>
      </c>
      <c r="AE173" s="79" t="inlineStr">
        <is>
          <t>process</t>
        </is>
      </c>
      <c r="AF173" s="79" t="inlineStr">
        <is>
          <t>cset_cn</t>
        </is>
      </c>
      <c r="AG173" s="79" t="inlineStr">
        <is>
          <t>China</t>
        </is>
      </c>
      <c r="AH173" s="52" t="inlineStr">
        <is>
          <t>year</t>
        </is>
      </c>
      <c r="AJ173" s="79" t="inlineStr">
        <is>
          <t>process</t>
        </is>
      </c>
      <c r="AK173" s="79" t="inlineStr">
        <is>
          <t>cset_cn</t>
        </is>
      </c>
      <c r="AL173" s="79" t="inlineStr">
        <is>
          <t>China</t>
        </is>
      </c>
      <c r="AM173" s="52" t="inlineStr">
        <is>
          <t>year</t>
        </is>
      </c>
      <c r="AO173" s="79" t="inlineStr">
        <is>
          <t>process</t>
        </is>
      </c>
      <c r="AP173" s="79" t="inlineStr">
        <is>
          <t>cset_cn</t>
        </is>
      </c>
      <c r="AQ173" s="79" t="inlineStr">
        <is>
          <t>China</t>
        </is>
      </c>
      <c r="AR173" s="52" t="inlineStr">
        <is>
          <t>year</t>
        </is>
      </c>
      <c r="AT173" s="79" t="inlineStr">
        <is>
          <t>process</t>
        </is>
      </c>
      <c r="AU173" s="79" t="inlineStr">
        <is>
          <t>cset_cn</t>
        </is>
      </c>
      <c r="AV173" s="79" t="inlineStr">
        <is>
          <t>China</t>
        </is>
      </c>
      <c r="AW173" s="52" t="inlineStr">
        <is>
          <t>year</t>
        </is>
      </c>
      <c r="AY173" s="79" t="inlineStr">
        <is>
          <t>process</t>
        </is>
      </c>
      <c r="AZ173" s="79" t="inlineStr">
        <is>
          <t>cset_cn</t>
        </is>
      </c>
      <c r="BA173" s="79" t="inlineStr">
        <is>
          <t>China</t>
        </is>
      </c>
      <c r="BB173" s="52" t="inlineStr">
        <is>
          <t>year</t>
        </is>
      </c>
    </row>
    <row r="174" ht="15.5" customHeight="1" s="213">
      <c r="U174" s="52" t="inlineStr">
        <is>
          <t>HydRecy-NMC111</t>
        </is>
      </c>
      <c r="V174" s="53" t="inlineStr">
        <is>
          <t>INDELC</t>
        </is>
      </c>
      <c r="W174" s="52">
        <f>W105</f>
        <v/>
      </c>
      <c r="X174" s="52" t="n">
        <v>2020</v>
      </c>
      <c r="Z174" s="52" t="inlineStr">
        <is>
          <t>HydRecy-NMC532</t>
        </is>
      </c>
      <c r="AA174" s="53" t="inlineStr">
        <is>
          <t>INDELC</t>
        </is>
      </c>
      <c r="AB174" s="52">
        <f>X105</f>
        <v/>
      </c>
      <c r="AC174" s="52" t="n">
        <v>2020</v>
      </c>
      <c r="AE174" s="52" t="inlineStr">
        <is>
          <t>HydRecy-NMC622</t>
        </is>
      </c>
      <c r="AF174" s="53" t="inlineStr">
        <is>
          <t>INDELC</t>
        </is>
      </c>
      <c r="AG174" s="52">
        <f>Y105</f>
        <v/>
      </c>
      <c r="AH174" s="52" t="n">
        <v>2020</v>
      </c>
      <c r="AJ174" s="52" t="inlineStr">
        <is>
          <t>HydRecy-NMC811</t>
        </is>
      </c>
      <c r="AK174" s="53" t="inlineStr">
        <is>
          <t>INDELC</t>
        </is>
      </c>
      <c r="AL174" s="52">
        <f>Z105</f>
        <v/>
      </c>
      <c r="AM174" s="52" t="n">
        <v>2020</v>
      </c>
      <c r="AO174" s="52" t="inlineStr">
        <is>
          <t>HydRecy-NCA</t>
        </is>
      </c>
      <c r="AP174" s="53" t="inlineStr">
        <is>
          <t>INDELC</t>
        </is>
      </c>
      <c r="AQ174" s="52">
        <f>AA105</f>
        <v/>
      </c>
      <c r="AR174" s="52" t="n">
        <v>2020</v>
      </c>
      <c r="AT174" s="52" t="inlineStr">
        <is>
          <t>HydRecy-LMO</t>
        </is>
      </c>
      <c r="AU174" s="53" t="inlineStr">
        <is>
          <t>INDELC</t>
        </is>
      </c>
      <c r="AV174" s="52">
        <f>AB105</f>
        <v/>
      </c>
      <c r="AW174" s="52" t="n">
        <v>2020</v>
      </c>
      <c r="AY174" s="52" t="inlineStr">
        <is>
          <t>HydRecy-LFP</t>
        </is>
      </c>
      <c r="AZ174" s="53" t="inlineStr">
        <is>
          <t>INDELC</t>
        </is>
      </c>
      <c r="BA174" s="52">
        <f>AC105</f>
        <v/>
      </c>
      <c r="BB174" s="52" t="n">
        <v>2020</v>
      </c>
    </row>
    <row r="175" ht="15.5" customHeight="1" s="213">
      <c r="U175" s="52">
        <f>U174</f>
        <v/>
      </c>
      <c r="V175" s="53" t="inlineStr">
        <is>
          <t>INDCOA</t>
        </is>
      </c>
      <c r="W175" s="52">
        <f>W106</f>
        <v/>
      </c>
      <c r="X175" s="52" t="n">
        <v>2020</v>
      </c>
      <c r="Z175" s="52">
        <f>Z174</f>
        <v/>
      </c>
      <c r="AA175" s="53" t="inlineStr">
        <is>
          <t>INDCOA</t>
        </is>
      </c>
      <c r="AB175" s="52">
        <f>X106</f>
        <v/>
      </c>
      <c r="AC175" s="52" t="n">
        <v>2020</v>
      </c>
      <c r="AE175" s="52">
        <f>AE174</f>
        <v/>
      </c>
      <c r="AF175" s="53" t="inlineStr">
        <is>
          <t>INDCOA</t>
        </is>
      </c>
      <c r="AG175" s="52">
        <f>Y106</f>
        <v/>
      </c>
      <c r="AH175" s="52" t="n">
        <v>2020</v>
      </c>
      <c r="AJ175" s="52">
        <f>AJ174</f>
        <v/>
      </c>
      <c r="AK175" s="53" t="inlineStr">
        <is>
          <t>INDCOA</t>
        </is>
      </c>
      <c r="AL175" s="52">
        <f>Z106</f>
        <v/>
      </c>
      <c r="AM175" s="52" t="n">
        <v>2020</v>
      </c>
      <c r="AO175" s="52">
        <f>AO174</f>
        <v/>
      </c>
      <c r="AP175" s="53" t="inlineStr">
        <is>
          <t>INDCOA</t>
        </is>
      </c>
      <c r="AQ175" s="52">
        <f>AA106</f>
        <v/>
      </c>
      <c r="AR175" s="52" t="n">
        <v>2020</v>
      </c>
      <c r="AT175" s="52">
        <f>AT174</f>
        <v/>
      </c>
      <c r="AU175" s="53" t="inlineStr">
        <is>
          <t>INDCOA</t>
        </is>
      </c>
      <c r="AV175" s="52">
        <f>AB106</f>
        <v/>
      </c>
      <c r="AW175" s="52" t="n">
        <v>2020</v>
      </c>
      <c r="AY175" s="52">
        <f>AY174</f>
        <v/>
      </c>
      <c r="AZ175" s="53" t="inlineStr">
        <is>
          <t>INDCOA</t>
        </is>
      </c>
      <c r="BA175" s="52">
        <f>AC106</f>
        <v/>
      </c>
      <c r="BB175" s="52" t="n">
        <v>2020</v>
      </c>
    </row>
    <row r="176" ht="15.5" customHeight="1" s="213">
      <c r="U176" s="52">
        <f>U175</f>
        <v/>
      </c>
      <c r="V176" s="53" t="inlineStr">
        <is>
          <t>INDNGA</t>
        </is>
      </c>
      <c r="W176" s="52">
        <f>W107</f>
        <v/>
      </c>
      <c r="X176" s="52" t="n">
        <v>2020</v>
      </c>
      <c r="Z176" s="52">
        <f>Z175</f>
        <v/>
      </c>
      <c r="AA176" s="53" t="inlineStr">
        <is>
          <t>INDNGA</t>
        </is>
      </c>
      <c r="AB176" s="52">
        <f>X107</f>
        <v/>
      </c>
      <c r="AC176" s="52" t="n">
        <v>2020</v>
      </c>
      <c r="AE176" s="52">
        <f>AE175</f>
        <v/>
      </c>
      <c r="AF176" s="53" t="inlineStr">
        <is>
          <t>INDNGA</t>
        </is>
      </c>
      <c r="AG176" s="52">
        <f>Y107</f>
        <v/>
      </c>
      <c r="AH176" s="52" t="n">
        <v>2020</v>
      </c>
      <c r="AJ176" s="52">
        <f>AJ175</f>
        <v/>
      </c>
      <c r="AK176" s="53" t="inlineStr">
        <is>
          <t>INDNGA</t>
        </is>
      </c>
      <c r="AL176" s="52">
        <f>Z107</f>
        <v/>
      </c>
      <c r="AM176" s="52" t="n">
        <v>2020</v>
      </c>
      <c r="AO176" s="52">
        <f>AO175</f>
        <v/>
      </c>
      <c r="AP176" s="53" t="inlineStr">
        <is>
          <t>INDNGA</t>
        </is>
      </c>
      <c r="AQ176" s="52">
        <f>AA107</f>
        <v/>
      </c>
      <c r="AR176" s="52" t="n">
        <v>2020</v>
      </c>
      <c r="AT176" s="52">
        <f>AT175</f>
        <v/>
      </c>
      <c r="AU176" s="53" t="inlineStr">
        <is>
          <t>INDNGA</t>
        </is>
      </c>
      <c r="AV176" s="52">
        <f>AB107</f>
        <v/>
      </c>
      <c r="AW176" s="52" t="n">
        <v>2020</v>
      </c>
      <c r="AY176" s="52">
        <f>AY175</f>
        <v/>
      </c>
      <c r="AZ176" s="53" t="inlineStr">
        <is>
          <t>INDNGA</t>
        </is>
      </c>
      <c r="BA176" s="52">
        <f>AC107</f>
        <v/>
      </c>
      <c r="BB176" s="52" t="n">
        <v>2020</v>
      </c>
    </row>
    <row r="177" ht="15.5" customHeight="1" s="213">
      <c r="U177" s="52">
        <f>U176</f>
        <v/>
      </c>
      <c r="V177" s="53" t="inlineStr">
        <is>
          <t>INDOIL</t>
        </is>
      </c>
      <c r="W177" s="52">
        <f>W108</f>
        <v/>
      </c>
      <c r="X177" s="52" t="n">
        <v>2020</v>
      </c>
      <c r="Z177" s="52">
        <f>Z176</f>
        <v/>
      </c>
      <c r="AA177" s="53" t="inlineStr">
        <is>
          <t>INDOIL</t>
        </is>
      </c>
      <c r="AB177" s="52">
        <f>X108</f>
        <v/>
      </c>
      <c r="AC177" s="52" t="n">
        <v>2020</v>
      </c>
      <c r="AE177" s="52">
        <f>AE176</f>
        <v/>
      </c>
      <c r="AF177" s="53" t="inlineStr">
        <is>
          <t>INDOIL</t>
        </is>
      </c>
      <c r="AG177" s="52">
        <f>Y108</f>
        <v/>
      </c>
      <c r="AH177" s="52" t="n">
        <v>2020</v>
      </c>
      <c r="AJ177" s="52">
        <f>AJ176</f>
        <v/>
      </c>
      <c r="AK177" s="53" t="inlineStr">
        <is>
          <t>INDOIL</t>
        </is>
      </c>
      <c r="AL177" s="52">
        <f>Z108</f>
        <v/>
      </c>
      <c r="AM177" s="52" t="n">
        <v>2020</v>
      </c>
      <c r="AO177" s="52">
        <f>AO176</f>
        <v/>
      </c>
      <c r="AP177" s="53" t="inlineStr">
        <is>
          <t>INDOIL</t>
        </is>
      </c>
      <c r="AQ177" s="52">
        <f>AA108</f>
        <v/>
      </c>
      <c r="AR177" s="52" t="n">
        <v>2020</v>
      </c>
      <c r="AT177" s="52">
        <f>AT176</f>
        <v/>
      </c>
      <c r="AU177" s="53" t="inlineStr">
        <is>
          <t>INDOIL</t>
        </is>
      </c>
      <c r="AV177" s="52">
        <f>AB108</f>
        <v/>
      </c>
      <c r="AW177" s="52" t="n">
        <v>2020</v>
      </c>
      <c r="AY177" s="52">
        <f>AY176</f>
        <v/>
      </c>
      <c r="AZ177" s="53" t="inlineStr">
        <is>
          <t>INDOIL</t>
        </is>
      </c>
      <c r="BA177" s="52">
        <f>AC108</f>
        <v/>
      </c>
      <c r="BB177" s="52" t="n">
        <v>2020</v>
      </c>
    </row>
    <row r="178" ht="15.5" customHeight="1" s="213">
      <c r="U178" s="54" t="n"/>
      <c r="V178" s="54" t="n"/>
      <c r="W178" s="54" t="n"/>
      <c r="X178" s="54" t="n"/>
      <c r="Z178" s="54" t="n"/>
      <c r="AA178" s="54" t="n"/>
      <c r="AB178" s="54" t="n"/>
      <c r="AC178" s="54" t="n"/>
      <c r="AE178" s="54" t="n"/>
      <c r="AF178" s="54" t="n"/>
      <c r="AG178" s="54" t="n"/>
      <c r="AH178" s="54" t="n"/>
      <c r="AJ178" s="54" t="n"/>
      <c r="AK178" s="54" t="n"/>
      <c r="AL178" s="54" t="n"/>
      <c r="AM178" s="54" t="n"/>
      <c r="AO178" s="54" t="n"/>
      <c r="AP178" s="54" t="n"/>
      <c r="AQ178" s="54" t="n"/>
      <c r="AR178" s="54" t="n"/>
      <c r="AT178" s="54" t="n"/>
      <c r="AU178" s="54" t="n"/>
      <c r="AV178" s="54" t="n"/>
      <c r="AW178" s="54" t="n"/>
      <c r="AY178" s="54" t="n"/>
      <c r="AZ178" s="54" t="n"/>
      <c r="BA178" s="54" t="n"/>
    </row>
    <row r="183" ht="15.5" customHeight="1" s="213">
      <c r="U183" s="51" t="n"/>
      <c r="V183" s="79" t="inlineStr">
        <is>
          <t>~TFM_UPD: attribute= INPUT</t>
        </is>
      </c>
      <c r="W183" s="51" t="n"/>
      <c r="X183" s="52" t="n"/>
      <c r="Z183" s="51" t="n"/>
      <c r="AA183" s="79" t="inlineStr">
        <is>
          <t>~TFM_UPD: attribute= INPUT</t>
        </is>
      </c>
      <c r="AB183" s="51" t="n"/>
      <c r="AC183" s="52" t="n"/>
      <c r="AE183" s="51" t="n"/>
      <c r="AF183" s="79" t="inlineStr">
        <is>
          <t>~TFM_UPD: attribute= INPUT</t>
        </is>
      </c>
      <c r="AG183" s="51" t="n"/>
      <c r="AH183" s="52" t="n"/>
      <c r="AJ183" s="51" t="n"/>
      <c r="AK183" s="79" t="inlineStr">
        <is>
          <t>~TFM_UPD: attribute= INPUT</t>
        </is>
      </c>
      <c r="AL183" s="51" t="n"/>
      <c r="AM183" s="52" t="n"/>
      <c r="AO183" s="51" t="n"/>
      <c r="AP183" s="79" t="inlineStr">
        <is>
          <t>~TFM_UPD: attribute= INPUT</t>
        </is>
      </c>
      <c r="AQ183" s="51" t="n"/>
      <c r="AR183" s="52" t="n"/>
      <c r="AT183" s="51" t="n"/>
      <c r="AU183" s="79" t="inlineStr">
        <is>
          <t>~TFM_UPD: attribute= INPUT</t>
        </is>
      </c>
      <c r="AV183" s="51" t="n"/>
      <c r="AW183" s="52" t="n"/>
      <c r="AY183" s="51" t="n"/>
      <c r="AZ183" s="79" t="inlineStr">
        <is>
          <t>~TFM_UPD: attribute= INPUT</t>
        </is>
      </c>
      <c r="BA183" s="51" t="n"/>
    </row>
    <row r="184" ht="15.5" customHeight="1" s="213">
      <c r="U184" s="79" t="inlineStr">
        <is>
          <t>process</t>
        </is>
      </c>
      <c r="V184" s="79" t="inlineStr">
        <is>
          <t>cset_cn</t>
        </is>
      </c>
      <c r="W184" s="79" t="inlineStr">
        <is>
          <t>China</t>
        </is>
      </c>
      <c r="X184" s="52" t="inlineStr">
        <is>
          <t>year</t>
        </is>
      </c>
      <c r="Z184" s="79" t="inlineStr">
        <is>
          <t>process</t>
        </is>
      </c>
      <c r="AA184" s="79" t="inlineStr">
        <is>
          <t>cset_cn</t>
        </is>
      </c>
      <c r="AB184" s="79" t="inlineStr">
        <is>
          <t>China</t>
        </is>
      </c>
      <c r="AC184" s="52" t="inlineStr">
        <is>
          <t>year</t>
        </is>
      </c>
      <c r="AE184" s="79" t="inlineStr">
        <is>
          <t>process</t>
        </is>
      </c>
      <c r="AF184" s="79" t="inlineStr">
        <is>
          <t>cset_cn</t>
        </is>
      </c>
      <c r="AG184" s="79" t="inlineStr">
        <is>
          <t>China</t>
        </is>
      </c>
      <c r="AH184" s="52" t="inlineStr">
        <is>
          <t>year</t>
        </is>
      </c>
      <c r="AJ184" s="79" t="inlineStr">
        <is>
          <t>process</t>
        </is>
      </c>
      <c r="AK184" s="79" t="inlineStr">
        <is>
          <t>cset_cn</t>
        </is>
      </c>
      <c r="AL184" s="79" t="inlineStr">
        <is>
          <t>China</t>
        </is>
      </c>
      <c r="AM184" s="52" t="inlineStr">
        <is>
          <t>year</t>
        </is>
      </c>
      <c r="AO184" s="79" t="inlineStr">
        <is>
          <t>process</t>
        </is>
      </c>
      <c r="AP184" s="79" t="inlineStr">
        <is>
          <t>cset_cn</t>
        </is>
      </c>
      <c r="AQ184" s="79" t="inlineStr">
        <is>
          <t>China</t>
        </is>
      </c>
      <c r="AR184" s="52" t="inlineStr">
        <is>
          <t>year</t>
        </is>
      </c>
      <c r="AT184" s="79" t="inlineStr">
        <is>
          <t>process</t>
        </is>
      </c>
      <c r="AU184" s="79" t="inlineStr">
        <is>
          <t>cset_cn</t>
        </is>
      </c>
      <c r="AV184" s="79" t="inlineStr">
        <is>
          <t>China</t>
        </is>
      </c>
      <c r="AW184" s="52" t="inlineStr">
        <is>
          <t>year</t>
        </is>
      </c>
      <c r="AY184" s="79" t="inlineStr">
        <is>
          <t>process</t>
        </is>
      </c>
      <c r="AZ184" s="79" t="inlineStr">
        <is>
          <t>cset_cn</t>
        </is>
      </c>
      <c r="BA184" s="79" t="inlineStr">
        <is>
          <t>China</t>
        </is>
      </c>
      <c r="BB184" s="52" t="inlineStr">
        <is>
          <t>year</t>
        </is>
      </c>
    </row>
    <row r="185" ht="15.5" customHeight="1" s="213">
      <c r="U185" s="52" t="inlineStr">
        <is>
          <t>DirRecy-NMC111</t>
        </is>
      </c>
      <c r="V185" s="53" t="inlineStr">
        <is>
          <t>INDELC</t>
        </is>
      </c>
      <c r="W185" s="52">
        <f>W125</f>
        <v/>
      </c>
      <c r="X185" s="52" t="n">
        <v>2020</v>
      </c>
      <c r="Z185" s="52" t="inlineStr">
        <is>
          <t>DirRecy-NMC532</t>
        </is>
      </c>
      <c r="AA185" s="53" t="inlineStr">
        <is>
          <t>INDELC</t>
        </is>
      </c>
      <c r="AB185" s="52">
        <f>X125</f>
        <v/>
      </c>
      <c r="AC185" s="52" t="n">
        <v>2020</v>
      </c>
      <c r="AE185" s="52" t="inlineStr">
        <is>
          <t>DirRecy-NMC622</t>
        </is>
      </c>
      <c r="AF185" s="53" t="inlineStr">
        <is>
          <t>INDELC</t>
        </is>
      </c>
      <c r="AG185" s="52">
        <f>Y125</f>
        <v/>
      </c>
      <c r="AH185" s="52" t="n">
        <v>2020</v>
      </c>
      <c r="AJ185" s="52" t="inlineStr">
        <is>
          <t>DirRecy-NMC811</t>
        </is>
      </c>
      <c r="AK185" s="53" t="inlineStr">
        <is>
          <t>INDELC</t>
        </is>
      </c>
      <c r="AL185" s="52">
        <f>Z125</f>
        <v/>
      </c>
      <c r="AM185" s="52" t="n">
        <v>2020</v>
      </c>
      <c r="AO185" s="52" t="inlineStr">
        <is>
          <t>DirRecy-NCA</t>
        </is>
      </c>
      <c r="AP185" s="53" t="inlineStr">
        <is>
          <t>INDELC</t>
        </is>
      </c>
      <c r="AQ185" s="52">
        <f>AA125</f>
        <v/>
      </c>
      <c r="AR185" s="52" t="n">
        <v>2020</v>
      </c>
      <c r="AT185" s="52" t="inlineStr">
        <is>
          <t>DirRecy-LMO</t>
        </is>
      </c>
      <c r="AU185" s="53" t="inlineStr">
        <is>
          <t>INDELC</t>
        </is>
      </c>
      <c r="AV185" s="52">
        <f>AB125</f>
        <v/>
      </c>
      <c r="AW185" s="52" t="n">
        <v>2020</v>
      </c>
      <c r="AY185" s="52" t="inlineStr">
        <is>
          <t>DirRecy-LFP</t>
        </is>
      </c>
      <c r="AZ185" s="53" t="inlineStr">
        <is>
          <t>INDELC</t>
        </is>
      </c>
      <c r="BA185" s="52">
        <f>AC125</f>
        <v/>
      </c>
      <c r="BB185" s="52" t="n">
        <v>2020</v>
      </c>
    </row>
    <row r="186" ht="15.5" customHeight="1" s="213">
      <c r="U186" s="52">
        <f>U185</f>
        <v/>
      </c>
      <c r="V186" s="53" t="inlineStr">
        <is>
          <t>INDCOA</t>
        </is>
      </c>
      <c r="W186" s="52">
        <f>W126</f>
        <v/>
      </c>
      <c r="X186" s="52" t="n">
        <v>2020</v>
      </c>
      <c r="Z186" s="52">
        <f>Z185</f>
        <v/>
      </c>
      <c r="AA186" s="53" t="inlineStr">
        <is>
          <t>INDCOA</t>
        </is>
      </c>
      <c r="AB186" s="52">
        <f>X126</f>
        <v/>
      </c>
      <c r="AC186" s="52" t="n">
        <v>2020</v>
      </c>
      <c r="AE186" s="52">
        <f>AE185</f>
        <v/>
      </c>
      <c r="AF186" s="53" t="inlineStr">
        <is>
          <t>INDCOA</t>
        </is>
      </c>
      <c r="AG186" s="52">
        <f>Y126</f>
        <v/>
      </c>
      <c r="AH186" s="52" t="n">
        <v>2020</v>
      </c>
      <c r="AJ186" s="52">
        <f>AJ185</f>
        <v/>
      </c>
      <c r="AK186" s="53" t="inlineStr">
        <is>
          <t>INDCOA</t>
        </is>
      </c>
      <c r="AL186" s="52">
        <f>Z126</f>
        <v/>
      </c>
      <c r="AM186" s="52" t="n">
        <v>2020</v>
      </c>
      <c r="AO186" s="52">
        <f>AO185</f>
        <v/>
      </c>
      <c r="AP186" s="53" t="inlineStr">
        <is>
          <t>INDCOA</t>
        </is>
      </c>
      <c r="AQ186" s="52">
        <f>AA126</f>
        <v/>
      </c>
      <c r="AR186" s="52" t="n">
        <v>2020</v>
      </c>
      <c r="AT186" s="52">
        <f>AT185</f>
        <v/>
      </c>
      <c r="AU186" s="53" t="inlineStr">
        <is>
          <t>INDCOA</t>
        </is>
      </c>
      <c r="AV186" s="52">
        <f>AB126</f>
        <v/>
      </c>
      <c r="AW186" s="52" t="n">
        <v>2020</v>
      </c>
      <c r="AY186" s="52">
        <f>AY185</f>
        <v/>
      </c>
      <c r="AZ186" s="53" t="inlineStr">
        <is>
          <t>INDCOA</t>
        </is>
      </c>
      <c r="BA186" s="52">
        <f>AC126</f>
        <v/>
      </c>
      <c r="BB186" s="52" t="n">
        <v>2020</v>
      </c>
    </row>
    <row r="187" ht="15.5" customHeight="1" s="213">
      <c r="U187" s="52">
        <f>U186</f>
        <v/>
      </c>
      <c r="V187" s="53" t="inlineStr">
        <is>
          <t>INDNGA</t>
        </is>
      </c>
      <c r="W187" s="52">
        <f>W127</f>
        <v/>
      </c>
      <c r="X187" s="52" t="n">
        <v>2020</v>
      </c>
      <c r="Z187" s="52">
        <f>Z186</f>
        <v/>
      </c>
      <c r="AA187" s="53" t="inlineStr">
        <is>
          <t>INDNGA</t>
        </is>
      </c>
      <c r="AB187" s="52">
        <f>X127</f>
        <v/>
      </c>
      <c r="AC187" s="52" t="n">
        <v>2020</v>
      </c>
      <c r="AE187" s="52">
        <f>AE186</f>
        <v/>
      </c>
      <c r="AF187" s="53" t="inlineStr">
        <is>
          <t>INDNGA</t>
        </is>
      </c>
      <c r="AG187" s="52">
        <f>Y127</f>
        <v/>
      </c>
      <c r="AH187" s="52" t="n">
        <v>2020</v>
      </c>
      <c r="AJ187" s="52">
        <f>AJ186</f>
        <v/>
      </c>
      <c r="AK187" s="53" t="inlineStr">
        <is>
          <t>INDNGA</t>
        </is>
      </c>
      <c r="AL187" s="52">
        <f>Z127</f>
        <v/>
      </c>
      <c r="AM187" s="52" t="n">
        <v>2020</v>
      </c>
      <c r="AO187" s="52">
        <f>AO186</f>
        <v/>
      </c>
      <c r="AP187" s="53" t="inlineStr">
        <is>
          <t>INDNGA</t>
        </is>
      </c>
      <c r="AQ187" s="52">
        <f>AA127</f>
        <v/>
      </c>
      <c r="AR187" s="52" t="n">
        <v>2020</v>
      </c>
      <c r="AT187" s="52">
        <f>AT186</f>
        <v/>
      </c>
      <c r="AU187" s="53" t="inlineStr">
        <is>
          <t>INDNGA</t>
        </is>
      </c>
      <c r="AV187" s="52">
        <f>AB127</f>
        <v/>
      </c>
      <c r="AW187" s="52" t="n">
        <v>2020</v>
      </c>
      <c r="AY187" s="52">
        <f>AY186</f>
        <v/>
      </c>
      <c r="AZ187" s="53" t="inlineStr">
        <is>
          <t>INDNGA</t>
        </is>
      </c>
      <c r="BA187" s="52">
        <f>AC127</f>
        <v/>
      </c>
      <c r="BB187" s="52" t="n">
        <v>2020</v>
      </c>
    </row>
    <row r="188" ht="15.5" customHeight="1" s="213">
      <c r="U188" s="52">
        <f>U187</f>
        <v/>
      </c>
      <c r="V188" s="53" t="inlineStr">
        <is>
          <t>INDOIL</t>
        </is>
      </c>
      <c r="W188" s="52">
        <f>W128</f>
        <v/>
      </c>
      <c r="X188" s="52" t="n">
        <v>2020</v>
      </c>
      <c r="Z188" s="52">
        <f>Z187</f>
        <v/>
      </c>
      <c r="AA188" s="53" t="inlineStr">
        <is>
          <t>INDOIL</t>
        </is>
      </c>
      <c r="AB188" s="52">
        <f>X128</f>
        <v/>
      </c>
      <c r="AC188" s="52" t="n">
        <v>2020</v>
      </c>
      <c r="AE188" s="52">
        <f>AE187</f>
        <v/>
      </c>
      <c r="AF188" s="53" t="inlineStr">
        <is>
          <t>INDOIL</t>
        </is>
      </c>
      <c r="AG188" s="52">
        <f>Y128</f>
        <v/>
      </c>
      <c r="AH188" s="52" t="n">
        <v>2020</v>
      </c>
      <c r="AJ188" s="52">
        <f>AJ187</f>
        <v/>
      </c>
      <c r="AK188" s="53" t="inlineStr">
        <is>
          <t>INDOIL</t>
        </is>
      </c>
      <c r="AL188" s="52">
        <f>Z128</f>
        <v/>
      </c>
      <c r="AM188" s="52" t="n">
        <v>2020</v>
      </c>
      <c r="AO188" s="52">
        <f>AO187</f>
        <v/>
      </c>
      <c r="AP188" s="53" t="inlineStr">
        <is>
          <t>INDOIL</t>
        </is>
      </c>
      <c r="AQ188" s="52">
        <f>AA128</f>
        <v/>
      </c>
      <c r="AR188" s="52" t="n">
        <v>2020</v>
      </c>
      <c r="AT188" s="52">
        <f>AT187</f>
        <v/>
      </c>
      <c r="AU188" s="53" t="inlineStr">
        <is>
          <t>INDOIL</t>
        </is>
      </c>
      <c r="AV188" s="52">
        <f>AB128</f>
        <v/>
      </c>
      <c r="AW188" s="52" t="n">
        <v>2020</v>
      </c>
      <c r="AY188" s="52">
        <f>AY187</f>
        <v/>
      </c>
      <c r="AZ188" s="53" t="inlineStr">
        <is>
          <t>INDOIL</t>
        </is>
      </c>
      <c r="BA188" s="52">
        <f>AC128</f>
        <v/>
      </c>
      <c r="BB188" s="52" t="n">
        <v>2020</v>
      </c>
    </row>
    <row r="198" ht="14.5" customHeight="1" s="213">
      <c r="V198" s="208" t="inlineStr">
        <is>
          <t>~TFM_UPD: attribute= INPUT</t>
        </is>
      </c>
      <c r="AA198" s="208" t="inlineStr">
        <is>
          <t>~TFM_UPD: attribute= INPUT</t>
        </is>
      </c>
      <c r="AF198" s="208" t="inlineStr">
        <is>
          <t>~TFM_UPD: attribute= INPUT</t>
        </is>
      </c>
      <c r="AK198" s="208" t="inlineStr">
        <is>
          <t>~TFM_UPD: attribute= INPUT</t>
        </is>
      </c>
      <c r="AP198" s="208" t="inlineStr">
        <is>
          <t>~TFM_UPD: attribute= INPUT</t>
        </is>
      </c>
      <c r="AU198" s="208" t="inlineStr">
        <is>
          <t>~TFM_UPD: attribute= INPUT</t>
        </is>
      </c>
      <c r="AZ198" s="208" t="inlineStr">
        <is>
          <t>~TFM_UPD: attribute= INPUT</t>
        </is>
      </c>
    </row>
    <row r="199" ht="15.5" customHeight="1" s="213">
      <c r="U199" s="208" t="inlineStr">
        <is>
          <t>process</t>
        </is>
      </c>
      <c r="V199" s="208" t="inlineStr">
        <is>
          <t>cset_cn</t>
        </is>
      </c>
      <c r="W199" s="208" t="inlineStr">
        <is>
          <t>China</t>
        </is>
      </c>
      <c r="X199" s="52" t="inlineStr">
        <is>
          <t>year</t>
        </is>
      </c>
      <c r="Z199" s="208" t="inlineStr">
        <is>
          <t>process</t>
        </is>
      </c>
      <c r="AA199" s="208" t="inlineStr">
        <is>
          <t>cset_cn</t>
        </is>
      </c>
      <c r="AB199" s="208" t="inlineStr">
        <is>
          <t>China</t>
        </is>
      </c>
      <c r="AC199" s="52" t="inlineStr">
        <is>
          <t>year</t>
        </is>
      </c>
      <c r="AE199" s="208" t="inlineStr">
        <is>
          <t>process</t>
        </is>
      </c>
      <c r="AF199" s="208" t="inlineStr">
        <is>
          <t>cset_cn</t>
        </is>
      </c>
      <c r="AG199" s="208" t="inlineStr">
        <is>
          <t>China</t>
        </is>
      </c>
      <c r="AH199" s="52" t="inlineStr">
        <is>
          <t>year</t>
        </is>
      </c>
      <c r="AJ199" s="208" t="inlineStr">
        <is>
          <t>process</t>
        </is>
      </c>
      <c r="AK199" s="208" t="inlineStr">
        <is>
          <t>cset_cn</t>
        </is>
      </c>
      <c r="AL199" s="208" t="inlineStr">
        <is>
          <t>China</t>
        </is>
      </c>
      <c r="AM199" s="52" t="inlineStr">
        <is>
          <t>year</t>
        </is>
      </c>
      <c r="AO199" s="208" t="inlineStr">
        <is>
          <t>process</t>
        </is>
      </c>
      <c r="AP199" s="208" t="inlineStr">
        <is>
          <t>cset_cn</t>
        </is>
      </c>
      <c r="AQ199" s="208" t="inlineStr">
        <is>
          <t>China</t>
        </is>
      </c>
      <c r="AR199" s="52" t="inlineStr">
        <is>
          <t>year</t>
        </is>
      </c>
      <c r="AT199" s="208" t="inlineStr">
        <is>
          <t>process</t>
        </is>
      </c>
      <c r="AU199" s="208" t="inlineStr">
        <is>
          <t>cset_cn</t>
        </is>
      </c>
      <c r="AV199" s="208" t="inlineStr">
        <is>
          <t>China</t>
        </is>
      </c>
      <c r="AW199" s="52" t="inlineStr">
        <is>
          <t>year</t>
        </is>
      </c>
      <c r="AY199" s="208" t="inlineStr">
        <is>
          <t>process</t>
        </is>
      </c>
      <c r="AZ199" s="208" t="inlineStr">
        <is>
          <t>cset_cn</t>
        </is>
      </c>
      <c r="BA199" s="208" t="inlineStr">
        <is>
          <t>China</t>
        </is>
      </c>
      <c r="BB199" s="52" t="inlineStr">
        <is>
          <t>year</t>
        </is>
      </c>
    </row>
    <row r="200" ht="15.5" customHeight="1" s="213">
      <c r="U200" s="208" t="inlineStr">
        <is>
          <t>PyroRecy-NMC111</t>
        </is>
      </c>
      <c r="V200" s="208" t="inlineStr">
        <is>
          <t>INDELC</t>
        </is>
      </c>
      <c r="W200" s="208">
        <f>SUM(W162:W165)</f>
        <v/>
      </c>
      <c r="X200" s="52" t="inlineStr">
        <is>
          <t>2050, 2100</t>
        </is>
      </c>
      <c r="Z200" s="208" t="inlineStr">
        <is>
          <t>PyroRecy-NMC532</t>
        </is>
      </c>
      <c r="AA200" s="208" t="inlineStr">
        <is>
          <t>INDELC</t>
        </is>
      </c>
      <c r="AB200" s="208">
        <f>SUM(AB162:AB165)</f>
        <v/>
      </c>
      <c r="AC200" s="52" t="inlineStr">
        <is>
          <t>2050, 2100</t>
        </is>
      </c>
      <c r="AE200" s="208" t="inlineStr">
        <is>
          <t>PyroRecy-NMC622</t>
        </is>
      </c>
      <c r="AF200" s="208" t="inlineStr">
        <is>
          <t>INDELC</t>
        </is>
      </c>
      <c r="AG200" s="208">
        <f>SUM(AG162:AG165)</f>
        <v/>
      </c>
      <c r="AH200" s="52" t="inlineStr">
        <is>
          <t>2050, 2100</t>
        </is>
      </c>
      <c r="AJ200" s="208" t="inlineStr">
        <is>
          <t>PyroRecy-NMC811</t>
        </is>
      </c>
      <c r="AK200" s="208" t="inlineStr">
        <is>
          <t>INDELC</t>
        </is>
      </c>
      <c r="AL200" s="208">
        <f>SUM(AL162:AL165)</f>
        <v/>
      </c>
      <c r="AM200" s="52" t="inlineStr">
        <is>
          <t>2050, 2100</t>
        </is>
      </c>
      <c r="AO200" s="208" t="inlineStr">
        <is>
          <t>PyroRecy-NCA</t>
        </is>
      </c>
      <c r="AP200" s="208" t="inlineStr">
        <is>
          <t>INDELC</t>
        </is>
      </c>
      <c r="AQ200" s="208">
        <f>SUM(AQ162:AQ165)</f>
        <v/>
      </c>
      <c r="AR200" s="52" t="inlineStr">
        <is>
          <t>2050, 2100</t>
        </is>
      </c>
      <c r="AT200" s="208" t="inlineStr">
        <is>
          <t>PyroRecy-LMO</t>
        </is>
      </c>
      <c r="AU200" s="208" t="inlineStr">
        <is>
          <t>INDELC</t>
        </is>
      </c>
      <c r="AV200" s="208">
        <f>SUM(AV162:AV165)</f>
        <v/>
      </c>
      <c r="AW200" s="52" t="inlineStr">
        <is>
          <t>2050, 2100</t>
        </is>
      </c>
      <c r="AY200" s="208" t="inlineStr">
        <is>
          <t>PyroRecy-LFP</t>
        </is>
      </c>
      <c r="AZ200" s="208" t="inlineStr">
        <is>
          <t>INDELC</t>
        </is>
      </c>
      <c r="BA200" s="208">
        <f>SUM(BA162:BA165)</f>
        <v/>
      </c>
      <c r="BB200" s="52" t="inlineStr">
        <is>
          <t>2050, 2100</t>
        </is>
      </c>
    </row>
    <row r="201" ht="15.5" customHeight="1" s="213">
      <c r="U201" s="208" t="inlineStr">
        <is>
          <t>PyroRecy-NMC111</t>
        </is>
      </c>
      <c r="V201" s="208" t="inlineStr">
        <is>
          <t>INDCOA</t>
        </is>
      </c>
      <c r="W201" s="208" t="n">
        <v>0</v>
      </c>
      <c r="X201" s="52" t="inlineStr">
        <is>
          <t>2050, 2100</t>
        </is>
      </c>
      <c r="Z201" s="208" t="inlineStr">
        <is>
          <t>PyroRecy-NMC532</t>
        </is>
      </c>
      <c r="AA201" s="208" t="inlineStr">
        <is>
          <t>INDCOA</t>
        </is>
      </c>
      <c r="AB201" s="208" t="n">
        <v>0</v>
      </c>
      <c r="AC201" s="52" t="inlineStr">
        <is>
          <t>2050, 2100</t>
        </is>
      </c>
      <c r="AE201" s="208" t="inlineStr">
        <is>
          <t>PyroRecy-NMC622</t>
        </is>
      </c>
      <c r="AF201" s="208" t="inlineStr">
        <is>
          <t>INDCOA</t>
        </is>
      </c>
      <c r="AG201" s="208" t="n">
        <v>0</v>
      </c>
      <c r="AH201" s="52" t="inlineStr">
        <is>
          <t>2050, 2100</t>
        </is>
      </c>
      <c r="AJ201" s="208" t="inlineStr">
        <is>
          <t>PyroRecy-NMC811</t>
        </is>
      </c>
      <c r="AK201" s="208" t="inlineStr">
        <is>
          <t>INDCOA</t>
        </is>
      </c>
      <c r="AL201" s="208" t="n">
        <v>0</v>
      </c>
      <c r="AM201" s="52" t="inlineStr">
        <is>
          <t>2050, 2100</t>
        </is>
      </c>
      <c r="AO201" s="208" t="inlineStr">
        <is>
          <t>PyroRecy-NCA</t>
        </is>
      </c>
      <c r="AP201" s="208" t="inlineStr">
        <is>
          <t>INDCOA</t>
        </is>
      </c>
      <c r="AQ201" s="208" t="n">
        <v>0</v>
      </c>
      <c r="AR201" s="52" t="inlineStr">
        <is>
          <t>2050, 2100</t>
        </is>
      </c>
      <c r="AT201" s="208" t="inlineStr">
        <is>
          <t>PyroRecy-LMO</t>
        </is>
      </c>
      <c r="AU201" s="208" t="inlineStr">
        <is>
          <t>INDCOA</t>
        </is>
      </c>
      <c r="AV201" s="208" t="n">
        <v>0</v>
      </c>
      <c r="AW201" s="52" t="inlineStr">
        <is>
          <t>2050, 2100</t>
        </is>
      </c>
      <c r="AY201" s="208" t="inlineStr">
        <is>
          <t>PyroRecy-LFP</t>
        </is>
      </c>
      <c r="AZ201" s="208" t="inlineStr">
        <is>
          <t>INDCOA</t>
        </is>
      </c>
      <c r="BA201" s="208" t="n">
        <v>0</v>
      </c>
      <c r="BB201" s="52" t="inlineStr">
        <is>
          <t>2050, 2100</t>
        </is>
      </c>
    </row>
    <row r="202" ht="15.5" customHeight="1" s="213">
      <c r="U202" s="208" t="inlineStr">
        <is>
          <t>PyroRecy-NMC111</t>
        </is>
      </c>
      <c r="V202" s="208" t="inlineStr">
        <is>
          <t>INDNGA</t>
        </is>
      </c>
      <c r="W202" s="208" t="n">
        <v>0</v>
      </c>
      <c r="X202" s="52" t="inlineStr">
        <is>
          <t>2050, 2100</t>
        </is>
      </c>
      <c r="Z202" s="208" t="inlineStr">
        <is>
          <t>PyroRecy-NMC532</t>
        </is>
      </c>
      <c r="AA202" s="208" t="inlineStr">
        <is>
          <t>INDNGA</t>
        </is>
      </c>
      <c r="AB202" s="208" t="n">
        <v>0</v>
      </c>
      <c r="AC202" s="52" t="inlineStr">
        <is>
          <t>2050, 2100</t>
        </is>
      </c>
      <c r="AE202" s="208" t="inlineStr">
        <is>
          <t>PyroRecy-NMC622</t>
        </is>
      </c>
      <c r="AF202" s="208" t="inlineStr">
        <is>
          <t>INDNGA</t>
        </is>
      </c>
      <c r="AG202" s="208" t="n">
        <v>0</v>
      </c>
      <c r="AH202" s="52" t="inlineStr">
        <is>
          <t>2050, 2100</t>
        </is>
      </c>
      <c r="AJ202" s="208" t="inlineStr">
        <is>
          <t>PyroRecy-NMC811</t>
        </is>
      </c>
      <c r="AK202" s="208" t="inlineStr">
        <is>
          <t>INDNGA</t>
        </is>
      </c>
      <c r="AL202" s="208" t="n">
        <v>0</v>
      </c>
      <c r="AM202" s="52" t="inlineStr">
        <is>
          <t>2050, 2100</t>
        </is>
      </c>
      <c r="AO202" s="208" t="inlineStr">
        <is>
          <t>PyroRecy-NCA</t>
        </is>
      </c>
      <c r="AP202" s="208" t="inlineStr">
        <is>
          <t>INDNGA</t>
        </is>
      </c>
      <c r="AQ202" s="208" t="n">
        <v>0</v>
      </c>
      <c r="AR202" s="52" t="inlineStr">
        <is>
          <t>2050, 2100</t>
        </is>
      </c>
      <c r="AT202" s="208" t="inlineStr">
        <is>
          <t>PyroRecy-LMO</t>
        </is>
      </c>
      <c r="AU202" s="208" t="inlineStr">
        <is>
          <t>INDNGA</t>
        </is>
      </c>
      <c r="AV202" s="208" t="n">
        <v>0</v>
      </c>
      <c r="AW202" s="52" t="inlineStr">
        <is>
          <t>2050, 2100</t>
        </is>
      </c>
      <c r="AY202" s="208" t="inlineStr">
        <is>
          <t>PyroRecy-LFP</t>
        </is>
      </c>
      <c r="AZ202" s="208" t="inlineStr">
        <is>
          <t>INDNGA</t>
        </is>
      </c>
      <c r="BA202" s="208" t="n">
        <v>0</v>
      </c>
      <c r="BB202" s="52" t="inlineStr">
        <is>
          <t>2050, 2100</t>
        </is>
      </c>
    </row>
    <row r="203" ht="15.5" customHeight="1" s="213">
      <c r="U203" s="208" t="inlineStr">
        <is>
          <t>PyroRecy-NMC111</t>
        </is>
      </c>
      <c r="V203" s="208" t="inlineStr">
        <is>
          <t>INDOIL</t>
        </is>
      </c>
      <c r="W203" s="208" t="n">
        <v>0</v>
      </c>
      <c r="X203" s="52" t="inlineStr">
        <is>
          <t>2050, 2100</t>
        </is>
      </c>
      <c r="Z203" s="208" t="inlineStr">
        <is>
          <t>PyroRecy-NMC532</t>
        </is>
      </c>
      <c r="AA203" s="208" t="inlineStr">
        <is>
          <t>INDOIL</t>
        </is>
      </c>
      <c r="AB203" s="208" t="n">
        <v>0</v>
      </c>
      <c r="AC203" s="52" t="inlineStr">
        <is>
          <t>2050, 2100</t>
        </is>
      </c>
      <c r="AE203" s="208" t="inlineStr">
        <is>
          <t>PyroRecy-NMC622</t>
        </is>
      </c>
      <c r="AF203" s="208" t="inlineStr">
        <is>
          <t>INDOIL</t>
        </is>
      </c>
      <c r="AG203" s="208" t="n">
        <v>0</v>
      </c>
      <c r="AH203" s="52" t="inlineStr">
        <is>
          <t>2050, 2100</t>
        </is>
      </c>
      <c r="AJ203" s="208" t="inlineStr">
        <is>
          <t>PyroRecy-NMC811</t>
        </is>
      </c>
      <c r="AK203" s="208" t="inlineStr">
        <is>
          <t>INDOIL</t>
        </is>
      </c>
      <c r="AL203" s="208" t="n">
        <v>0</v>
      </c>
      <c r="AM203" s="52" t="inlineStr">
        <is>
          <t>2050, 2100</t>
        </is>
      </c>
      <c r="AO203" s="208" t="inlineStr">
        <is>
          <t>PyroRecy-NCA</t>
        </is>
      </c>
      <c r="AP203" s="208" t="inlineStr">
        <is>
          <t>INDOIL</t>
        </is>
      </c>
      <c r="AQ203" s="208" t="n">
        <v>0</v>
      </c>
      <c r="AR203" s="52" t="inlineStr">
        <is>
          <t>2050, 2100</t>
        </is>
      </c>
      <c r="AT203" s="208" t="inlineStr">
        <is>
          <t>PyroRecy-LMO</t>
        </is>
      </c>
      <c r="AU203" s="208" t="inlineStr">
        <is>
          <t>INDOIL</t>
        </is>
      </c>
      <c r="AV203" s="208" t="n">
        <v>0</v>
      </c>
      <c r="AW203" s="52" t="inlineStr">
        <is>
          <t>2050, 2100</t>
        </is>
      </c>
      <c r="AY203" s="208" t="inlineStr">
        <is>
          <t>PyroRecy-LFP</t>
        </is>
      </c>
      <c r="AZ203" s="208" t="inlineStr">
        <is>
          <t>INDOIL</t>
        </is>
      </c>
      <c r="BA203" s="208" t="n">
        <v>0</v>
      </c>
      <c r="BB203" s="52" t="inlineStr">
        <is>
          <t>2050, 2100</t>
        </is>
      </c>
    </row>
    <row r="210" ht="14.5" customHeight="1" s="213">
      <c r="V210" s="208" t="inlineStr">
        <is>
          <t>~TFM_UPD: attribute= INPUT</t>
        </is>
      </c>
      <c r="AA210" s="208" t="inlineStr">
        <is>
          <t>~TFM_UPD: attribute= INPUT</t>
        </is>
      </c>
      <c r="AF210" s="208" t="inlineStr">
        <is>
          <t>~TFM_UPD: attribute= INPUT</t>
        </is>
      </c>
      <c r="AK210" s="208" t="inlineStr">
        <is>
          <t>~TFM_UPD: attribute= INPUT</t>
        </is>
      </c>
      <c r="AP210" s="208" t="inlineStr">
        <is>
          <t>~TFM_UPD: attribute= INPUT</t>
        </is>
      </c>
      <c r="AU210" s="208" t="inlineStr">
        <is>
          <t>~TFM_UPD: attribute= INPUT</t>
        </is>
      </c>
      <c r="AZ210" s="208" t="inlineStr">
        <is>
          <t>~TFM_UPD: attribute= INPUT</t>
        </is>
      </c>
    </row>
    <row r="211" ht="15.5" customHeight="1" s="213">
      <c r="U211" s="208" t="inlineStr">
        <is>
          <t>process</t>
        </is>
      </c>
      <c r="V211" s="208" t="inlineStr">
        <is>
          <t>cset_cn</t>
        </is>
      </c>
      <c r="W211" s="208" t="inlineStr">
        <is>
          <t>China</t>
        </is>
      </c>
      <c r="X211" s="52" t="inlineStr">
        <is>
          <t>year</t>
        </is>
      </c>
      <c r="Z211" s="208" t="inlineStr">
        <is>
          <t>process</t>
        </is>
      </c>
      <c r="AA211" s="208" t="inlineStr">
        <is>
          <t>cset_cn</t>
        </is>
      </c>
      <c r="AB211" s="208" t="inlineStr">
        <is>
          <t>China</t>
        </is>
      </c>
      <c r="AC211" s="52" t="inlineStr">
        <is>
          <t>year</t>
        </is>
      </c>
      <c r="AE211" s="208" t="inlineStr">
        <is>
          <t>process</t>
        </is>
      </c>
      <c r="AF211" s="208" t="inlineStr">
        <is>
          <t>cset_cn</t>
        </is>
      </c>
      <c r="AG211" s="208" t="inlineStr">
        <is>
          <t>China</t>
        </is>
      </c>
      <c r="AH211" s="52" t="inlineStr">
        <is>
          <t>year</t>
        </is>
      </c>
      <c r="AJ211" s="208" t="inlineStr">
        <is>
          <t>process</t>
        </is>
      </c>
      <c r="AK211" s="208" t="inlineStr">
        <is>
          <t>cset_cn</t>
        </is>
      </c>
      <c r="AL211" s="208" t="inlineStr">
        <is>
          <t>China</t>
        </is>
      </c>
      <c r="AM211" s="52" t="inlineStr">
        <is>
          <t>year</t>
        </is>
      </c>
      <c r="AO211" s="208" t="inlineStr">
        <is>
          <t>process</t>
        </is>
      </c>
      <c r="AP211" s="208" t="inlineStr">
        <is>
          <t>cset_cn</t>
        </is>
      </c>
      <c r="AQ211" s="208" t="inlineStr">
        <is>
          <t>China</t>
        </is>
      </c>
      <c r="AR211" s="52" t="inlineStr">
        <is>
          <t>year</t>
        </is>
      </c>
      <c r="AT211" s="208" t="inlineStr">
        <is>
          <t>process</t>
        </is>
      </c>
      <c r="AU211" s="208" t="inlineStr">
        <is>
          <t>cset_cn</t>
        </is>
      </c>
      <c r="AV211" s="208" t="inlineStr">
        <is>
          <t>China</t>
        </is>
      </c>
      <c r="AW211" s="52" t="inlineStr">
        <is>
          <t>year</t>
        </is>
      </c>
      <c r="AY211" s="208" t="inlineStr">
        <is>
          <t>process</t>
        </is>
      </c>
      <c r="AZ211" s="208" t="inlineStr">
        <is>
          <t>cset_cn</t>
        </is>
      </c>
      <c r="BA211" s="208" t="inlineStr">
        <is>
          <t>China</t>
        </is>
      </c>
      <c r="BB211" s="52" t="inlineStr">
        <is>
          <t>year</t>
        </is>
      </c>
    </row>
    <row r="212" ht="15.5" customHeight="1" s="213">
      <c r="U212" s="208" t="inlineStr">
        <is>
          <t>HydRecy-NMC111</t>
        </is>
      </c>
      <c r="V212" s="208" t="inlineStr">
        <is>
          <t>INDELC</t>
        </is>
      </c>
      <c r="W212" s="208">
        <f>SUM(W174:W177)</f>
        <v/>
      </c>
      <c r="X212" s="52" t="inlineStr">
        <is>
          <t>2050, 2100</t>
        </is>
      </c>
      <c r="Z212" s="208" t="inlineStr">
        <is>
          <t>HydRecy-NMC532</t>
        </is>
      </c>
      <c r="AA212" s="208" t="inlineStr">
        <is>
          <t>INDELC</t>
        </is>
      </c>
      <c r="AB212" s="208">
        <f>SUM(AB174:AB177)</f>
        <v/>
      </c>
      <c r="AC212" s="52" t="inlineStr">
        <is>
          <t>2050, 2100</t>
        </is>
      </c>
      <c r="AE212" s="208" t="inlineStr">
        <is>
          <t>HydRecy-NMC622</t>
        </is>
      </c>
      <c r="AF212" s="208" t="inlineStr">
        <is>
          <t>INDELC</t>
        </is>
      </c>
      <c r="AG212" s="208">
        <f>SUM(AG174:AG177)</f>
        <v/>
      </c>
      <c r="AH212" s="52" t="inlineStr">
        <is>
          <t>2050, 2100</t>
        </is>
      </c>
      <c r="AJ212" s="208" t="inlineStr">
        <is>
          <t>HydRecy-NMC811</t>
        </is>
      </c>
      <c r="AK212" s="208" t="inlineStr">
        <is>
          <t>INDELC</t>
        </is>
      </c>
      <c r="AL212" s="208">
        <f>SUM(AL174:AL177)</f>
        <v/>
      </c>
      <c r="AM212" s="52" t="inlineStr">
        <is>
          <t>2050, 2100</t>
        </is>
      </c>
      <c r="AO212" s="208" t="inlineStr">
        <is>
          <t>HydRecy-NCA</t>
        </is>
      </c>
      <c r="AP212" s="208" t="inlineStr">
        <is>
          <t>INDELC</t>
        </is>
      </c>
      <c r="AQ212" s="208">
        <f>SUM(AQ174:AQ177)</f>
        <v/>
      </c>
      <c r="AR212" s="52" t="inlineStr">
        <is>
          <t>2050, 2100</t>
        </is>
      </c>
      <c r="AT212" s="208" t="inlineStr">
        <is>
          <t>HydRecy-LMO</t>
        </is>
      </c>
      <c r="AU212" s="208" t="inlineStr">
        <is>
          <t>INDELC</t>
        </is>
      </c>
      <c r="AV212" s="208">
        <f>SUM(AV174:AV177)</f>
        <v/>
      </c>
      <c r="AW212" s="52" t="inlineStr">
        <is>
          <t>2050, 2100</t>
        </is>
      </c>
      <c r="AY212" s="208" t="inlineStr">
        <is>
          <t>HydRecy-LFP</t>
        </is>
      </c>
      <c r="AZ212" s="208" t="inlineStr">
        <is>
          <t>INDELC</t>
        </is>
      </c>
      <c r="BA212" s="208">
        <f>SUM(BA174:BA177)</f>
        <v/>
      </c>
      <c r="BB212" s="52" t="inlineStr">
        <is>
          <t>2050, 2100</t>
        </is>
      </c>
    </row>
    <row r="213" ht="15.5" customHeight="1" s="213">
      <c r="U213" s="208" t="inlineStr">
        <is>
          <t>HydRecy-NMC111</t>
        </is>
      </c>
      <c r="V213" s="208" t="inlineStr">
        <is>
          <t>INDCOA</t>
        </is>
      </c>
      <c r="W213" s="208" t="n">
        <v>0</v>
      </c>
      <c r="X213" s="52" t="inlineStr">
        <is>
          <t>2050, 2100</t>
        </is>
      </c>
      <c r="Z213" s="208" t="inlineStr">
        <is>
          <t>HydRecy-NMC532</t>
        </is>
      </c>
      <c r="AA213" s="208" t="inlineStr">
        <is>
          <t>INDCOA</t>
        </is>
      </c>
      <c r="AB213" s="208" t="n">
        <v>0</v>
      </c>
      <c r="AC213" s="52" t="inlineStr">
        <is>
          <t>2050, 2100</t>
        </is>
      </c>
      <c r="AE213" s="208" t="inlineStr">
        <is>
          <t>HydRecy-NMC622</t>
        </is>
      </c>
      <c r="AF213" s="208" t="inlineStr">
        <is>
          <t>INDCOA</t>
        </is>
      </c>
      <c r="AG213" s="208" t="n">
        <v>0</v>
      </c>
      <c r="AH213" s="52" t="inlineStr">
        <is>
          <t>2050, 2100</t>
        </is>
      </c>
      <c r="AJ213" s="208" t="inlineStr">
        <is>
          <t>HydRecy-NMC811</t>
        </is>
      </c>
      <c r="AK213" s="208" t="inlineStr">
        <is>
          <t>INDCOA</t>
        </is>
      </c>
      <c r="AL213" s="208" t="n">
        <v>0</v>
      </c>
      <c r="AM213" s="52" t="inlineStr">
        <is>
          <t>2050, 2100</t>
        </is>
      </c>
      <c r="AO213" s="208" t="inlineStr">
        <is>
          <t>HydRecy-NCA</t>
        </is>
      </c>
      <c r="AP213" s="208" t="inlineStr">
        <is>
          <t>INDCOA</t>
        </is>
      </c>
      <c r="AQ213" s="208" t="n">
        <v>0</v>
      </c>
      <c r="AR213" s="52" t="inlineStr">
        <is>
          <t>2050, 2100</t>
        </is>
      </c>
      <c r="AT213" s="208" t="inlineStr">
        <is>
          <t>HydRecy-LMO</t>
        </is>
      </c>
      <c r="AU213" s="208" t="inlineStr">
        <is>
          <t>INDCOA</t>
        </is>
      </c>
      <c r="AV213" s="208" t="n">
        <v>0</v>
      </c>
      <c r="AW213" s="52" t="inlineStr">
        <is>
          <t>2050, 2100</t>
        </is>
      </c>
      <c r="AY213" s="208" t="inlineStr">
        <is>
          <t>HydRecy-LFP</t>
        </is>
      </c>
      <c r="AZ213" s="208" t="inlineStr">
        <is>
          <t>INDCOA</t>
        </is>
      </c>
      <c r="BA213" s="208" t="n">
        <v>0</v>
      </c>
      <c r="BB213" s="52" t="inlineStr">
        <is>
          <t>2050, 2100</t>
        </is>
      </c>
    </row>
    <row r="214" ht="15.5" customHeight="1" s="213">
      <c r="U214" s="208" t="inlineStr">
        <is>
          <t>HydRecy-NMC111</t>
        </is>
      </c>
      <c r="V214" s="208" t="inlineStr">
        <is>
          <t>INDNGA</t>
        </is>
      </c>
      <c r="W214" s="208" t="n">
        <v>0</v>
      </c>
      <c r="X214" s="52" t="inlineStr">
        <is>
          <t>2050, 2100</t>
        </is>
      </c>
      <c r="Z214" s="208" t="inlineStr">
        <is>
          <t>HydRecy-NMC532</t>
        </is>
      </c>
      <c r="AA214" s="208" t="inlineStr">
        <is>
          <t>INDNGA</t>
        </is>
      </c>
      <c r="AB214" s="208" t="n">
        <v>0</v>
      </c>
      <c r="AC214" s="52" t="inlineStr">
        <is>
          <t>2050, 2100</t>
        </is>
      </c>
      <c r="AE214" s="208" t="inlineStr">
        <is>
          <t>HydRecy-NMC622</t>
        </is>
      </c>
      <c r="AF214" s="208" t="inlineStr">
        <is>
          <t>INDNGA</t>
        </is>
      </c>
      <c r="AG214" s="208" t="n">
        <v>0</v>
      </c>
      <c r="AH214" s="52" t="inlineStr">
        <is>
          <t>2050, 2100</t>
        </is>
      </c>
      <c r="AJ214" s="208" t="inlineStr">
        <is>
          <t>HydRecy-NMC811</t>
        </is>
      </c>
      <c r="AK214" s="208" t="inlineStr">
        <is>
          <t>INDNGA</t>
        </is>
      </c>
      <c r="AL214" s="208" t="n">
        <v>0</v>
      </c>
      <c r="AM214" s="52" t="inlineStr">
        <is>
          <t>2050, 2100</t>
        </is>
      </c>
      <c r="AO214" s="208" t="inlineStr">
        <is>
          <t>HydRecy-NCA</t>
        </is>
      </c>
      <c r="AP214" s="208" t="inlineStr">
        <is>
          <t>INDNGA</t>
        </is>
      </c>
      <c r="AQ214" s="208" t="n">
        <v>0</v>
      </c>
      <c r="AR214" s="52" t="inlineStr">
        <is>
          <t>2050, 2100</t>
        </is>
      </c>
      <c r="AT214" s="208" t="inlineStr">
        <is>
          <t>HydRecy-LMO</t>
        </is>
      </c>
      <c r="AU214" s="208" t="inlineStr">
        <is>
          <t>INDNGA</t>
        </is>
      </c>
      <c r="AV214" s="208" t="n">
        <v>0</v>
      </c>
      <c r="AW214" s="52" t="inlineStr">
        <is>
          <t>2050, 2100</t>
        </is>
      </c>
      <c r="AY214" s="208" t="inlineStr">
        <is>
          <t>HydRecy-LFP</t>
        </is>
      </c>
      <c r="AZ214" s="208" t="inlineStr">
        <is>
          <t>INDNGA</t>
        </is>
      </c>
      <c r="BA214" s="208" t="n">
        <v>0</v>
      </c>
      <c r="BB214" s="52" t="inlineStr">
        <is>
          <t>2050, 2100</t>
        </is>
      </c>
    </row>
    <row r="215" ht="15.5" customHeight="1" s="213">
      <c r="U215" s="208" t="inlineStr">
        <is>
          <t>HydRecy-NMC111</t>
        </is>
      </c>
      <c r="V215" s="208" t="inlineStr">
        <is>
          <t>INDOIL</t>
        </is>
      </c>
      <c r="W215" s="208" t="n">
        <v>0</v>
      </c>
      <c r="X215" s="52" t="inlineStr">
        <is>
          <t>2050, 2100</t>
        </is>
      </c>
      <c r="Z215" s="208" t="inlineStr">
        <is>
          <t>HydRecy-NMC532</t>
        </is>
      </c>
      <c r="AA215" s="208" t="inlineStr">
        <is>
          <t>INDOIL</t>
        </is>
      </c>
      <c r="AB215" s="208" t="n">
        <v>0</v>
      </c>
      <c r="AC215" s="52" t="inlineStr">
        <is>
          <t>2050, 2100</t>
        </is>
      </c>
      <c r="AE215" s="208" t="inlineStr">
        <is>
          <t>HydRecy-NMC622</t>
        </is>
      </c>
      <c r="AF215" s="208" t="inlineStr">
        <is>
          <t>INDOIL</t>
        </is>
      </c>
      <c r="AG215" s="208" t="n">
        <v>0</v>
      </c>
      <c r="AH215" s="52" t="inlineStr">
        <is>
          <t>2050, 2100</t>
        </is>
      </c>
      <c r="AJ215" s="208" t="inlineStr">
        <is>
          <t>HydRecy-NMC811</t>
        </is>
      </c>
      <c r="AK215" s="208" t="inlineStr">
        <is>
          <t>INDOIL</t>
        </is>
      </c>
      <c r="AL215" s="208" t="n">
        <v>0</v>
      </c>
      <c r="AM215" s="52" t="inlineStr">
        <is>
          <t>2050, 2100</t>
        </is>
      </c>
      <c r="AO215" s="208" t="inlineStr">
        <is>
          <t>HydRecy-NCA</t>
        </is>
      </c>
      <c r="AP215" s="208" t="inlineStr">
        <is>
          <t>INDOIL</t>
        </is>
      </c>
      <c r="AQ215" s="208" t="n">
        <v>0</v>
      </c>
      <c r="AR215" s="52" t="inlineStr">
        <is>
          <t>2050, 2100</t>
        </is>
      </c>
      <c r="AT215" s="208" t="inlineStr">
        <is>
          <t>HydRecy-LMO</t>
        </is>
      </c>
      <c r="AU215" s="208" t="inlineStr">
        <is>
          <t>INDOIL</t>
        </is>
      </c>
      <c r="AV215" s="208" t="n">
        <v>0</v>
      </c>
      <c r="AW215" s="52" t="inlineStr">
        <is>
          <t>2050, 2100</t>
        </is>
      </c>
      <c r="AY215" s="208" t="inlineStr">
        <is>
          <t>HydRecy-LFP</t>
        </is>
      </c>
      <c r="AZ215" s="208" t="inlineStr">
        <is>
          <t>INDOIL</t>
        </is>
      </c>
      <c r="BA215" s="208" t="n">
        <v>0</v>
      </c>
      <c r="BB215" s="52" t="inlineStr">
        <is>
          <t>2050, 2100</t>
        </is>
      </c>
    </row>
    <row r="221" ht="14.5" customHeight="1" s="213">
      <c r="V221" s="208" t="inlineStr">
        <is>
          <t>~TFM_UPD: attribute= INPUT</t>
        </is>
      </c>
      <c r="AA221" s="208" t="inlineStr">
        <is>
          <t>~TFM_UPD: attribute= INPUT</t>
        </is>
      </c>
      <c r="AF221" s="208" t="inlineStr">
        <is>
          <t>~TFM_UPD: attribute= INPUT</t>
        </is>
      </c>
      <c r="AK221" s="208" t="inlineStr">
        <is>
          <t>~TFM_UPD: attribute= INPUT</t>
        </is>
      </c>
      <c r="AP221" s="208" t="inlineStr">
        <is>
          <t>~TFM_UPD: attribute= INPUT</t>
        </is>
      </c>
      <c r="AU221" s="208" t="inlineStr">
        <is>
          <t>~TFM_UPD: attribute= INPUT</t>
        </is>
      </c>
      <c r="AZ221" s="208" t="inlineStr">
        <is>
          <t>~TFM_UPD: attribute= INPUT</t>
        </is>
      </c>
    </row>
    <row r="222" ht="15.5" customHeight="1" s="213">
      <c r="U222" s="208" t="inlineStr">
        <is>
          <t>process</t>
        </is>
      </c>
      <c r="V222" s="208" t="inlineStr">
        <is>
          <t>cset_cn</t>
        </is>
      </c>
      <c r="W222" s="208" t="inlineStr">
        <is>
          <t>China</t>
        </is>
      </c>
      <c r="X222" s="52" t="inlineStr">
        <is>
          <t>year</t>
        </is>
      </c>
      <c r="Z222" s="208" t="inlineStr">
        <is>
          <t>process</t>
        </is>
      </c>
      <c r="AA222" s="208" t="inlineStr">
        <is>
          <t>cset_cn</t>
        </is>
      </c>
      <c r="AB222" s="208" t="inlineStr">
        <is>
          <t>China</t>
        </is>
      </c>
      <c r="AC222" s="52" t="inlineStr">
        <is>
          <t>year</t>
        </is>
      </c>
      <c r="AE222" s="208" t="inlineStr">
        <is>
          <t>process</t>
        </is>
      </c>
      <c r="AF222" s="208" t="inlineStr">
        <is>
          <t>cset_cn</t>
        </is>
      </c>
      <c r="AG222" s="208" t="inlineStr">
        <is>
          <t>China</t>
        </is>
      </c>
      <c r="AH222" s="52" t="inlineStr">
        <is>
          <t>year</t>
        </is>
      </c>
      <c r="AJ222" s="208" t="inlineStr">
        <is>
          <t>process</t>
        </is>
      </c>
      <c r="AK222" s="208" t="inlineStr">
        <is>
          <t>cset_cn</t>
        </is>
      </c>
      <c r="AL222" s="208" t="inlineStr">
        <is>
          <t>China</t>
        </is>
      </c>
      <c r="AM222" s="52" t="inlineStr">
        <is>
          <t>year</t>
        </is>
      </c>
      <c r="AO222" s="208" t="inlineStr">
        <is>
          <t>process</t>
        </is>
      </c>
      <c r="AP222" s="208" t="inlineStr">
        <is>
          <t>cset_cn</t>
        </is>
      </c>
      <c r="AQ222" s="208" t="inlineStr">
        <is>
          <t>China</t>
        </is>
      </c>
      <c r="AR222" s="52" t="inlineStr">
        <is>
          <t>year</t>
        </is>
      </c>
      <c r="AT222" s="208" t="inlineStr">
        <is>
          <t>process</t>
        </is>
      </c>
      <c r="AU222" s="208" t="inlineStr">
        <is>
          <t>cset_cn</t>
        </is>
      </c>
      <c r="AV222" s="208" t="inlineStr">
        <is>
          <t>China</t>
        </is>
      </c>
      <c r="AW222" s="52" t="inlineStr">
        <is>
          <t>year</t>
        </is>
      </c>
      <c r="AY222" s="208" t="inlineStr">
        <is>
          <t>process</t>
        </is>
      </c>
      <c r="AZ222" s="208" t="inlineStr">
        <is>
          <t>cset_cn</t>
        </is>
      </c>
      <c r="BA222" s="208" t="inlineStr">
        <is>
          <t>China</t>
        </is>
      </c>
      <c r="BB222" s="52" t="inlineStr">
        <is>
          <t>year</t>
        </is>
      </c>
    </row>
    <row r="223" ht="15.5" customHeight="1" s="213">
      <c r="U223" s="208" t="inlineStr">
        <is>
          <t>DirRecy-NMC111</t>
        </is>
      </c>
      <c r="V223" s="208" t="inlineStr">
        <is>
          <t>INDELC</t>
        </is>
      </c>
      <c r="W223" s="208">
        <f>SUM(W185:W188)</f>
        <v/>
      </c>
      <c r="X223" s="52" t="inlineStr">
        <is>
          <t>2050, 2100</t>
        </is>
      </c>
      <c r="Z223" s="208" t="inlineStr">
        <is>
          <t>DirRecy-NMC532</t>
        </is>
      </c>
      <c r="AA223" s="208" t="inlineStr">
        <is>
          <t>INDELC</t>
        </is>
      </c>
      <c r="AB223" s="208">
        <f>SUM(AB185:AB188)</f>
        <v/>
      </c>
      <c r="AC223" s="52" t="inlineStr">
        <is>
          <t>2050, 2100</t>
        </is>
      </c>
      <c r="AE223" s="208" t="inlineStr">
        <is>
          <t>DirRecy-NMC622</t>
        </is>
      </c>
      <c r="AF223" s="208" t="inlineStr">
        <is>
          <t>INDELC</t>
        </is>
      </c>
      <c r="AG223" s="208">
        <f>SUM(AG185:AG188)</f>
        <v/>
      </c>
      <c r="AH223" s="52" t="inlineStr">
        <is>
          <t>2050, 2100</t>
        </is>
      </c>
      <c r="AJ223" s="208" t="inlineStr">
        <is>
          <t>DirRecy-NMC811</t>
        </is>
      </c>
      <c r="AK223" s="208" t="inlineStr">
        <is>
          <t>INDELC</t>
        </is>
      </c>
      <c r="AL223" s="208">
        <f>SUM(AL185:AL188)</f>
        <v/>
      </c>
      <c r="AM223" s="52" t="inlineStr">
        <is>
          <t>2050, 2100</t>
        </is>
      </c>
      <c r="AO223" s="208" t="inlineStr">
        <is>
          <t>DirRecy-NCA</t>
        </is>
      </c>
      <c r="AP223" s="208" t="inlineStr">
        <is>
          <t>INDELC</t>
        </is>
      </c>
      <c r="AQ223" s="208">
        <f>SUM(AQ185:AQ188)</f>
        <v/>
      </c>
      <c r="AR223" s="52" t="inlineStr">
        <is>
          <t>2050, 2100</t>
        </is>
      </c>
      <c r="AT223" s="208" t="inlineStr">
        <is>
          <t>DirRecy-LMO</t>
        </is>
      </c>
      <c r="AU223" s="208" t="inlineStr">
        <is>
          <t>INDELC</t>
        </is>
      </c>
      <c r="AV223" s="208">
        <f>SUM(AV185:AV188)</f>
        <v/>
      </c>
      <c r="AW223" s="52" t="inlineStr">
        <is>
          <t>2050, 2100</t>
        </is>
      </c>
      <c r="AY223" s="208" t="inlineStr">
        <is>
          <t>DirRecy-LFP</t>
        </is>
      </c>
      <c r="AZ223" s="208" t="inlineStr">
        <is>
          <t>INDELC</t>
        </is>
      </c>
      <c r="BA223" s="208">
        <f>SUM(BA185:BA188)</f>
        <v/>
      </c>
      <c r="BB223" s="52" t="inlineStr">
        <is>
          <t>2050, 2100</t>
        </is>
      </c>
    </row>
    <row r="224" ht="15.5" customHeight="1" s="213">
      <c r="U224" s="208" t="inlineStr">
        <is>
          <t>DirRecy-NMC111</t>
        </is>
      </c>
      <c r="V224" s="208" t="inlineStr">
        <is>
          <t>INDCOA</t>
        </is>
      </c>
      <c r="W224" s="208" t="n">
        <v>0</v>
      </c>
      <c r="X224" s="52" t="inlineStr">
        <is>
          <t>2050, 2100</t>
        </is>
      </c>
      <c r="Z224" s="208" t="inlineStr">
        <is>
          <t>DirRecy-NMC532</t>
        </is>
      </c>
      <c r="AA224" s="208" t="inlineStr">
        <is>
          <t>INDCOA</t>
        </is>
      </c>
      <c r="AB224" s="208" t="n">
        <v>0</v>
      </c>
      <c r="AC224" s="52" t="inlineStr">
        <is>
          <t>2050, 2100</t>
        </is>
      </c>
      <c r="AE224" s="208" t="inlineStr">
        <is>
          <t>DirRecy-NMC622</t>
        </is>
      </c>
      <c r="AF224" s="208" t="inlineStr">
        <is>
          <t>INDCOA</t>
        </is>
      </c>
      <c r="AG224" s="208" t="n">
        <v>0</v>
      </c>
      <c r="AH224" s="52" t="inlineStr">
        <is>
          <t>2050, 2100</t>
        </is>
      </c>
      <c r="AJ224" s="208" t="inlineStr">
        <is>
          <t>DirRecy-NMC811</t>
        </is>
      </c>
      <c r="AK224" s="208" t="inlineStr">
        <is>
          <t>INDCOA</t>
        </is>
      </c>
      <c r="AL224" s="208" t="n">
        <v>0</v>
      </c>
      <c r="AM224" s="52" t="inlineStr">
        <is>
          <t>2050, 2100</t>
        </is>
      </c>
      <c r="AO224" s="208" t="inlineStr">
        <is>
          <t>DirRecy-NCA</t>
        </is>
      </c>
      <c r="AP224" s="208" t="inlineStr">
        <is>
          <t>INDCOA</t>
        </is>
      </c>
      <c r="AQ224" s="208" t="n">
        <v>0</v>
      </c>
      <c r="AR224" s="52" t="inlineStr">
        <is>
          <t>2050, 2100</t>
        </is>
      </c>
      <c r="AT224" s="208" t="inlineStr">
        <is>
          <t>DirRecy-LMO</t>
        </is>
      </c>
      <c r="AU224" s="208" t="inlineStr">
        <is>
          <t>INDCOA</t>
        </is>
      </c>
      <c r="AV224" s="208" t="n">
        <v>0</v>
      </c>
      <c r="AW224" s="52" t="inlineStr">
        <is>
          <t>2050, 2100</t>
        </is>
      </c>
      <c r="AY224" s="208" t="inlineStr">
        <is>
          <t>DirRecy-LFP</t>
        </is>
      </c>
      <c r="AZ224" s="208" t="inlineStr">
        <is>
          <t>INDCOA</t>
        </is>
      </c>
      <c r="BA224" s="208" t="n">
        <v>0</v>
      </c>
      <c r="BB224" s="52" t="inlineStr">
        <is>
          <t>2050, 2100</t>
        </is>
      </c>
    </row>
    <row r="225" ht="15.5" customHeight="1" s="213">
      <c r="U225" s="208" t="inlineStr">
        <is>
          <t>DirRecy-NMC111</t>
        </is>
      </c>
      <c r="V225" s="208" t="inlineStr">
        <is>
          <t>INDNGA</t>
        </is>
      </c>
      <c r="W225" s="208" t="n">
        <v>0</v>
      </c>
      <c r="X225" s="52" t="inlineStr">
        <is>
          <t>2050, 2100</t>
        </is>
      </c>
      <c r="Z225" s="208" t="inlineStr">
        <is>
          <t>DirRecy-NMC532</t>
        </is>
      </c>
      <c r="AA225" s="208" t="inlineStr">
        <is>
          <t>INDNGA</t>
        </is>
      </c>
      <c r="AB225" s="208" t="n">
        <v>0</v>
      </c>
      <c r="AC225" s="52" t="inlineStr">
        <is>
          <t>2050, 2100</t>
        </is>
      </c>
      <c r="AE225" s="208" t="inlineStr">
        <is>
          <t>DirRecy-NMC622</t>
        </is>
      </c>
      <c r="AF225" s="208" t="inlineStr">
        <is>
          <t>INDNGA</t>
        </is>
      </c>
      <c r="AG225" s="208" t="n">
        <v>0</v>
      </c>
      <c r="AH225" s="52" t="inlineStr">
        <is>
          <t>2050, 2100</t>
        </is>
      </c>
      <c r="AJ225" s="208" t="inlineStr">
        <is>
          <t>DirRecy-NMC811</t>
        </is>
      </c>
      <c r="AK225" s="208" t="inlineStr">
        <is>
          <t>INDNGA</t>
        </is>
      </c>
      <c r="AL225" s="208" t="n">
        <v>0</v>
      </c>
      <c r="AM225" s="52" t="inlineStr">
        <is>
          <t>2050, 2100</t>
        </is>
      </c>
      <c r="AO225" s="208" t="inlineStr">
        <is>
          <t>DirRecy-NCA</t>
        </is>
      </c>
      <c r="AP225" s="208" t="inlineStr">
        <is>
          <t>INDNGA</t>
        </is>
      </c>
      <c r="AQ225" s="208" t="n">
        <v>0</v>
      </c>
      <c r="AR225" s="52" t="inlineStr">
        <is>
          <t>2050, 2100</t>
        </is>
      </c>
      <c r="AT225" s="208" t="inlineStr">
        <is>
          <t>DirRecy-LMO</t>
        </is>
      </c>
      <c r="AU225" s="208" t="inlineStr">
        <is>
          <t>INDNGA</t>
        </is>
      </c>
      <c r="AV225" s="208" t="n">
        <v>0</v>
      </c>
      <c r="AW225" s="52" t="inlineStr">
        <is>
          <t>2050, 2100</t>
        </is>
      </c>
      <c r="AY225" s="208" t="inlineStr">
        <is>
          <t>DirRecy-LFP</t>
        </is>
      </c>
      <c r="AZ225" s="208" t="inlineStr">
        <is>
          <t>INDNGA</t>
        </is>
      </c>
      <c r="BA225" s="208" t="n">
        <v>0</v>
      </c>
      <c r="BB225" s="52" t="inlineStr">
        <is>
          <t>2050, 2100</t>
        </is>
      </c>
    </row>
    <row r="226" ht="15.5" customHeight="1" s="213">
      <c r="U226" s="208" t="inlineStr">
        <is>
          <t>DirRecy-NMC111</t>
        </is>
      </c>
      <c r="V226" s="208" t="inlineStr">
        <is>
          <t>INDOIL</t>
        </is>
      </c>
      <c r="W226" s="208" t="n">
        <v>0</v>
      </c>
      <c r="X226" s="52" t="inlineStr">
        <is>
          <t>2050, 2100</t>
        </is>
      </c>
      <c r="Z226" s="208" t="inlineStr">
        <is>
          <t>DirRecy-NMC532</t>
        </is>
      </c>
      <c r="AA226" s="208" t="inlineStr">
        <is>
          <t>INDOIL</t>
        </is>
      </c>
      <c r="AB226" s="208" t="n">
        <v>0</v>
      </c>
      <c r="AC226" s="52" t="inlineStr">
        <is>
          <t>2050, 2100</t>
        </is>
      </c>
      <c r="AE226" s="208" t="inlineStr">
        <is>
          <t>DirRecy-NMC622</t>
        </is>
      </c>
      <c r="AF226" s="208" t="inlineStr">
        <is>
          <t>INDOIL</t>
        </is>
      </c>
      <c r="AG226" s="208" t="n">
        <v>0</v>
      </c>
      <c r="AH226" s="52" t="inlineStr">
        <is>
          <t>2050, 2100</t>
        </is>
      </c>
      <c r="AJ226" s="208" t="inlineStr">
        <is>
          <t>DirRecy-NMC811</t>
        </is>
      </c>
      <c r="AK226" s="208" t="inlineStr">
        <is>
          <t>INDOIL</t>
        </is>
      </c>
      <c r="AL226" s="208" t="n">
        <v>0</v>
      </c>
      <c r="AM226" s="52" t="inlineStr">
        <is>
          <t>2050, 2100</t>
        </is>
      </c>
      <c r="AO226" s="208" t="inlineStr">
        <is>
          <t>DirRecy-NCA</t>
        </is>
      </c>
      <c r="AP226" s="208" t="inlineStr">
        <is>
          <t>INDOIL</t>
        </is>
      </c>
      <c r="AQ226" s="208" t="n">
        <v>0</v>
      </c>
      <c r="AR226" s="52" t="inlineStr">
        <is>
          <t>2050, 2100</t>
        </is>
      </c>
      <c r="AT226" s="208" t="inlineStr">
        <is>
          <t>DirRecy-LMO</t>
        </is>
      </c>
      <c r="AU226" s="208" t="inlineStr">
        <is>
          <t>INDOIL</t>
        </is>
      </c>
      <c r="AV226" s="208" t="n">
        <v>0</v>
      </c>
      <c r="AW226" s="52" t="inlineStr">
        <is>
          <t>2050, 2100</t>
        </is>
      </c>
      <c r="AY226" s="208" t="inlineStr">
        <is>
          <t>DirRecy-LFP</t>
        </is>
      </c>
      <c r="AZ226" s="208" t="inlineStr">
        <is>
          <t>INDOIL</t>
        </is>
      </c>
      <c r="BA226" s="208" t="n">
        <v>0</v>
      </c>
      <c r="BB226" s="52" t="inlineStr">
        <is>
          <t>2050, 2100</t>
        </is>
      </c>
    </row>
  </sheetData>
  <mergeCells count="64">
    <mergeCell ref="AZ4:AZ8"/>
    <mergeCell ref="U105:U108"/>
    <mergeCell ref="C42:J42"/>
    <mergeCell ref="BA22:BA23"/>
    <mergeCell ref="A4:A8"/>
    <mergeCell ref="AZ21:BI21"/>
    <mergeCell ref="U77:U80"/>
    <mergeCell ref="B2:B3"/>
    <mergeCell ref="A14:A18"/>
    <mergeCell ref="U24:U28"/>
    <mergeCell ref="B42:B43"/>
    <mergeCell ref="U101:U104"/>
    <mergeCell ref="AB1:AC1"/>
    <mergeCell ref="A44:A48"/>
    <mergeCell ref="U54:U58"/>
    <mergeCell ref="A29:A33"/>
    <mergeCell ref="A9:A13"/>
    <mergeCell ref="U4:U8"/>
    <mergeCell ref="BB42:BI42"/>
    <mergeCell ref="U125:U128"/>
    <mergeCell ref="A2:A3"/>
    <mergeCell ref="C22:J22"/>
    <mergeCell ref="U14:U18"/>
    <mergeCell ref="U29:U33"/>
    <mergeCell ref="AZ29:AZ33"/>
    <mergeCell ref="BA42:BA43"/>
    <mergeCell ref="A49:A53"/>
    <mergeCell ref="U97:U100"/>
    <mergeCell ref="AZ1:BI1"/>
    <mergeCell ref="A1:J1"/>
    <mergeCell ref="A34:A38"/>
    <mergeCell ref="U93:U96"/>
    <mergeCell ref="U44:U48"/>
    <mergeCell ref="AZ14:AZ18"/>
    <mergeCell ref="A22:A23"/>
    <mergeCell ref="AZ22:AZ23"/>
    <mergeCell ref="U9:U13"/>
    <mergeCell ref="A42:A43"/>
    <mergeCell ref="U49:U53"/>
    <mergeCell ref="AZ44:AZ48"/>
    <mergeCell ref="A24:A28"/>
    <mergeCell ref="U34:U38"/>
    <mergeCell ref="C2:J2"/>
    <mergeCell ref="U121:U124"/>
    <mergeCell ref="AZ34:AZ38"/>
    <mergeCell ref="AZ9:AZ13"/>
    <mergeCell ref="AZ2:AZ3"/>
    <mergeCell ref="U73:U76"/>
    <mergeCell ref="AZ42:AZ43"/>
    <mergeCell ref="A41:J41"/>
    <mergeCell ref="A54:A58"/>
    <mergeCell ref="AZ24:AZ28"/>
    <mergeCell ref="BB22:BI22"/>
    <mergeCell ref="AZ49:AZ53"/>
    <mergeCell ref="U85:U88"/>
    <mergeCell ref="AZ54:AZ58"/>
    <mergeCell ref="B22:B23"/>
    <mergeCell ref="U117:U120"/>
    <mergeCell ref="A21:J21"/>
    <mergeCell ref="AZ41:BI41"/>
    <mergeCell ref="U113:U116"/>
    <mergeCell ref="BB2:BI2"/>
    <mergeCell ref="BA2:BA3"/>
    <mergeCell ref="U81:U8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K422"/>
  <sheetViews>
    <sheetView topLeftCell="AN1" zoomScale="59" zoomScaleNormal="59" workbookViewId="0">
      <selection pane="topLeft" activeCell="H408" sqref="H408"/>
    </sheetView>
  </sheetViews>
  <sheetFormatPr baseColWidth="8" defaultColWidth="8.72428571428571" defaultRowHeight="12.5"/>
  <cols>
    <col width="34.8571428571429" customWidth="1" style="213" min="1" max="1"/>
    <col width="9.71428571428571" customWidth="1" style="213" min="2" max="2"/>
    <col width="12.8571428571429" customWidth="1" style="31" min="5" max="5"/>
    <col width="12.8571428571429" customWidth="1" style="31" min="6" max="6"/>
    <col width="12.8571428571429" customWidth="1" style="31" min="9" max="10"/>
    <col width="12.8571428571429" customWidth="1" style="31" min="12" max="12"/>
    <col width="12.8571428571429" customWidth="1" style="31" min="22" max="22"/>
  </cols>
  <sheetData>
    <row r="1" ht="12.5" customHeight="1" s="213">
      <c r="A1" t="inlineStr">
        <is>
          <t>~TFM_INS-TS: attribute=COM_PROJ</t>
        </is>
      </c>
      <c r="AI1" t="inlineStr">
        <is>
          <t>driver</t>
        </is>
      </c>
      <c r="BL1" t="inlineStr">
        <is>
          <t>elasticity</t>
        </is>
      </c>
    </row>
    <row r="2" ht="12.5" customHeight="1" s="213">
      <c r="A2" t="inlineStr">
        <is>
          <t>Region</t>
        </is>
      </c>
      <c r="B2" t="inlineStr">
        <is>
          <t>CSET_CN</t>
        </is>
      </c>
      <c r="C2" t="inlineStr">
        <is>
          <t>*</t>
        </is>
      </c>
      <c r="D2" t="n">
        <v>2019</v>
      </c>
      <c r="E2" t="n">
        <v>2020</v>
      </c>
      <c r="F2" t="n">
        <v>2024</v>
      </c>
      <c r="G2" t="n">
        <v>2025</v>
      </c>
      <c r="H2" t="n">
        <v>2030</v>
      </c>
      <c r="I2" t="n">
        <v>2035</v>
      </c>
      <c r="J2" t="n">
        <v>2040</v>
      </c>
      <c r="K2" t="n">
        <v>2045</v>
      </c>
      <c r="L2" t="n">
        <v>2050</v>
      </c>
      <c r="M2" t="n">
        <v>2055</v>
      </c>
      <c r="N2" t="n">
        <v>2060</v>
      </c>
      <c r="O2" t="n">
        <v>2065</v>
      </c>
      <c r="P2" t="n">
        <v>2070</v>
      </c>
      <c r="Q2" t="n">
        <v>2075</v>
      </c>
      <c r="R2" t="n">
        <v>2080</v>
      </c>
      <c r="S2" t="n">
        <v>2085</v>
      </c>
      <c r="T2" t="n">
        <v>2090</v>
      </c>
      <c r="U2" t="n">
        <v>2095</v>
      </c>
      <c r="V2" t="n">
        <v>2100</v>
      </c>
      <c r="W2" t="n">
        <v>0</v>
      </c>
      <c r="AH2" t="inlineStr">
        <is>
          <t>override</t>
        </is>
      </c>
      <c r="BK2" t="inlineStr">
        <is>
          <t>override</t>
        </is>
      </c>
    </row>
    <row r="3" ht="12.5" customHeight="1" s="213">
      <c r="A3" t="inlineStr">
        <is>
          <t>Africa_North</t>
        </is>
      </c>
      <c r="B3" t="inlineStr">
        <is>
          <t>TAD</t>
        </is>
      </c>
      <c r="C3" t="inlineStr">
        <is>
          <t>TAD</t>
        </is>
      </c>
      <c r="E3" t="n">
        <v>29.5822608017472</v>
      </c>
      <c r="F3">
        <f>E3</f>
        <v/>
      </c>
      <c r="I3">
        <f>F3</f>
        <v/>
      </c>
      <c r="J3">
        <f>I3</f>
        <v/>
      </c>
      <c r="L3">
        <f>J3</f>
        <v/>
      </c>
      <c r="V3">
        <f>L3</f>
        <v/>
      </c>
      <c r="W3" t="n">
        <v>3</v>
      </c>
      <c r="AG3" s="223" t="inlineStr">
        <is>
          <t>GDP</t>
        </is>
      </c>
      <c r="AI3" t="n">
        <v>1</v>
      </c>
      <c r="AJ3" t="n">
        <v>1.02349969875313</v>
      </c>
      <c r="AK3" t="n">
        <v>1.25839625558148</v>
      </c>
      <c r="AL3" t="n">
        <v>1.56875019961733</v>
      </c>
      <c r="AM3" t="n">
        <v>1.96121257678312</v>
      </c>
      <c r="AN3" t="n">
        <v>2.43608377440658</v>
      </c>
      <c r="AO3" t="n">
        <v>3.00325350238505</v>
      </c>
      <c r="AP3" t="n">
        <v>3.67420479014643</v>
      </c>
      <c r="AQ3" t="n">
        <v>4.460440572303</v>
      </c>
      <c r="AR3" t="n">
        <v>5.36383284096653</v>
      </c>
      <c r="AS3" t="n">
        <v>6.37421321365854</v>
      </c>
      <c r="AT3" t="n">
        <v>7.45520677550761</v>
      </c>
      <c r="AU3" t="n">
        <v>8.60970837366772</v>
      </c>
      <c r="AV3" t="n">
        <v>9.831423898363401</v>
      </c>
      <c r="AW3" t="n">
        <v>11.1188654370631</v>
      </c>
      <c r="AX3" t="n">
        <v>12.4785673189264</v>
      </c>
      <c r="AY3" t="n">
        <v>13.9094673309328</v>
      </c>
      <c r="AZ3" t="n">
        <v>15.3976698448309</v>
      </c>
      <c r="BA3" t="n">
        <v>0</v>
      </c>
      <c r="BB3" t="n">
        <v>0</v>
      </c>
      <c r="BC3" t="n">
        <v>0</v>
      </c>
      <c r="BD3" t="n">
        <v>0</v>
      </c>
      <c r="BE3" t="n">
        <v>0</v>
      </c>
      <c r="BF3" t="n">
        <v>0</v>
      </c>
      <c r="BG3" t="n">
        <v>0</v>
      </c>
      <c r="BH3" t="n">
        <v>0</v>
      </c>
      <c r="BJ3" t="inlineStr">
        <is>
          <t>High2</t>
        </is>
      </c>
      <c r="BL3" t="n">
        <v>1</v>
      </c>
      <c r="BM3" t="n">
        <v>0.997560975609757</v>
      </c>
      <c r="BN3" t="n">
        <v>0.985365853658537</v>
      </c>
      <c r="BO3" t="n">
        <v>0.973170731707317</v>
      </c>
      <c r="BP3" t="n">
        <v>0.960975609756098</v>
      </c>
      <c r="BQ3" t="n">
        <v>0.948780487804878</v>
      </c>
      <c r="BR3" t="n">
        <v>0.936585365853658</v>
      </c>
      <c r="BS3" t="n">
        <v>0.924390243902439</v>
      </c>
      <c r="BT3" t="n">
        <v>0.91219512195122</v>
      </c>
      <c r="BU3" t="n">
        <v>0.9</v>
      </c>
      <c r="BV3" t="n">
        <v>0.8875</v>
      </c>
      <c r="BW3" t="n">
        <v>0.875000000000001</v>
      </c>
      <c r="BX3" t="n">
        <v>0.862500000000001</v>
      </c>
      <c r="BY3" t="n">
        <v>0.850000000000001</v>
      </c>
      <c r="BZ3" t="n">
        <v>0.8375</v>
      </c>
      <c r="CA3" t="n">
        <v>0.825000000000001</v>
      </c>
      <c r="CB3" t="n">
        <v>0.812500000000001</v>
      </c>
      <c r="CC3" t="n">
        <v>0.800000000000001</v>
      </c>
      <c r="CD3" t="e">
        <v>#VALUE!</v>
      </c>
      <c r="CE3" t="e">
        <v>#VALUE!</v>
      </c>
      <c r="CF3" t="e">
        <v>#VALUE!</v>
      </c>
      <c r="CG3" t="e">
        <v>#VALUE!</v>
      </c>
      <c r="CH3" t="e">
        <v>#VALUE!</v>
      </c>
      <c r="CI3" t="e">
        <v>#VALUE!</v>
      </c>
      <c r="CJ3" t="e">
        <v>#VALUE!</v>
      </c>
      <c r="CK3" t="e">
        <v>#VALUE!</v>
      </c>
    </row>
    <row r="4" ht="12.5" customHeight="1" s="213">
      <c r="A4" t="inlineStr">
        <is>
          <t>Africa_North</t>
        </is>
      </c>
      <c r="B4" t="inlineStr">
        <is>
          <t>TAI</t>
        </is>
      </c>
      <c r="C4" t="inlineStr">
        <is>
          <t>TAI</t>
        </is>
      </c>
      <c r="E4" t="n">
        <v>101.446710074843</v>
      </c>
      <c r="F4">
        <f>E4</f>
        <v/>
      </c>
      <c r="I4">
        <f>F4</f>
        <v/>
      </c>
      <c r="J4">
        <f>I4</f>
        <v/>
      </c>
      <c r="L4">
        <f>J4</f>
        <v/>
      </c>
      <c r="V4">
        <f>L4</f>
        <v/>
      </c>
      <c r="W4" t="n">
        <v>3</v>
      </c>
      <c r="AG4" s="223" t="inlineStr">
        <is>
          <t>GDP</t>
        </is>
      </c>
      <c r="AI4" t="n">
        <v>1</v>
      </c>
      <c r="AJ4" t="n">
        <v>1.02349969875313</v>
      </c>
      <c r="AK4" t="n">
        <v>1.25839625558148</v>
      </c>
      <c r="AL4" t="n">
        <v>1.56875019961733</v>
      </c>
      <c r="AM4" t="n">
        <v>1.96121257678312</v>
      </c>
      <c r="AN4" t="n">
        <v>2.43608377440658</v>
      </c>
      <c r="AO4" t="n">
        <v>3.00325350238505</v>
      </c>
      <c r="AP4" t="n">
        <v>3.67420479014643</v>
      </c>
      <c r="AQ4" t="n">
        <v>4.460440572303</v>
      </c>
      <c r="AR4" t="n">
        <v>5.36383284096653</v>
      </c>
      <c r="AS4" t="n">
        <v>6.37421321365854</v>
      </c>
      <c r="AT4" t="n">
        <v>7.45520677550761</v>
      </c>
      <c r="AU4" t="n">
        <v>8.60970837366772</v>
      </c>
      <c r="AV4" t="n">
        <v>9.831423898363401</v>
      </c>
      <c r="AW4" t="n">
        <v>11.1188654370631</v>
      </c>
      <c r="AX4" t="n">
        <v>12.4785673189264</v>
      </c>
      <c r="AY4" t="n">
        <v>13.9094673309328</v>
      </c>
      <c r="AZ4" t="n">
        <v>15.3976698448309</v>
      </c>
      <c r="BA4" t="n">
        <v>0</v>
      </c>
      <c r="BB4" t="n">
        <v>0</v>
      </c>
      <c r="BC4" t="n">
        <v>0</v>
      </c>
      <c r="BD4" t="n">
        <v>0</v>
      </c>
      <c r="BE4" t="n">
        <v>0</v>
      </c>
      <c r="BF4" t="n">
        <v>0</v>
      </c>
      <c r="BG4" t="n">
        <v>0</v>
      </c>
      <c r="BH4" t="n">
        <v>0</v>
      </c>
      <c r="BJ4" t="inlineStr">
        <is>
          <t>High2</t>
        </is>
      </c>
      <c r="BL4" t="n">
        <v>1</v>
      </c>
      <c r="BM4" t="n">
        <v>0.997560975609757</v>
      </c>
      <c r="BN4" t="n">
        <v>0.985365853658537</v>
      </c>
      <c r="BO4" t="n">
        <v>0.973170731707317</v>
      </c>
      <c r="BP4" t="n">
        <v>0.960975609756098</v>
      </c>
      <c r="BQ4" t="n">
        <v>0.948780487804878</v>
      </c>
      <c r="BR4" t="n">
        <v>0.936585365853658</v>
      </c>
      <c r="BS4" t="n">
        <v>0.924390243902439</v>
      </c>
      <c r="BT4" t="n">
        <v>0.91219512195122</v>
      </c>
      <c r="BU4" t="n">
        <v>0.9</v>
      </c>
      <c r="BV4" t="n">
        <v>0.8875</v>
      </c>
      <c r="BW4" t="n">
        <v>0.875000000000001</v>
      </c>
      <c r="BX4" t="n">
        <v>0.862500000000001</v>
      </c>
      <c r="BY4" t="n">
        <v>0.850000000000001</v>
      </c>
      <c r="BZ4" t="n">
        <v>0.8375</v>
      </c>
      <c r="CA4" t="n">
        <v>0.825000000000001</v>
      </c>
      <c r="CB4" t="n">
        <v>0.812500000000001</v>
      </c>
      <c r="CC4" t="n">
        <v>0.800000000000001</v>
      </c>
      <c r="CD4" t="e">
        <v>#VALUE!</v>
      </c>
      <c r="CE4" t="e">
        <v>#VALUE!</v>
      </c>
      <c r="CF4" t="e">
        <v>#VALUE!</v>
      </c>
      <c r="CG4" t="e">
        <v>#VALUE!</v>
      </c>
      <c r="CH4" t="e">
        <v>#VALUE!</v>
      </c>
      <c r="CI4" t="e">
        <v>#VALUE!</v>
      </c>
      <c r="CJ4" t="e">
        <v>#VALUE!</v>
      </c>
      <c r="CK4" t="e">
        <v>#VALUE!</v>
      </c>
    </row>
    <row r="5" ht="12.5" customHeight="1" s="213">
      <c r="A5" t="inlineStr">
        <is>
          <t>Africa_North</t>
        </is>
      </c>
      <c r="B5" t="inlineStr">
        <is>
          <t>TTF</t>
        </is>
      </c>
      <c r="C5" t="inlineStr">
        <is>
          <t>TTF</t>
        </is>
      </c>
      <c r="E5" t="n">
        <v>7.339410306728</v>
      </c>
      <c r="I5" t="n">
        <v>13.841847071751</v>
      </c>
      <c r="J5" t="n">
        <v>17.0217286798939</v>
      </c>
      <c r="L5" t="n">
        <v>25.0152093842934</v>
      </c>
      <c r="V5" t="n">
        <v>87.2541501773716</v>
      </c>
      <c r="W5" t="n">
        <v>3</v>
      </c>
      <c r="AG5" s="223" t="inlineStr">
        <is>
          <t>GDP</t>
        </is>
      </c>
      <c r="AI5" t="n">
        <v>1</v>
      </c>
      <c r="AJ5" t="n">
        <v>1.02349969875313</v>
      </c>
      <c r="AK5" t="n">
        <v>1.25839625558148</v>
      </c>
      <c r="AL5" t="n">
        <v>1.56875019961733</v>
      </c>
      <c r="AM5" t="n">
        <v>1.96121257678312</v>
      </c>
      <c r="AN5" t="n">
        <v>2.43608377440658</v>
      </c>
      <c r="AO5" t="n">
        <v>3.00325350238505</v>
      </c>
      <c r="AP5" t="n">
        <v>3.67420479014643</v>
      </c>
      <c r="AQ5" t="n">
        <v>4.460440572303</v>
      </c>
      <c r="AR5" t="n">
        <v>5.36383284096653</v>
      </c>
      <c r="AS5" t="n">
        <v>6.37421321365854</v>
      </c>
      <c r="AT5" t="n">
        <v>7.45520677550761</v>
      </c>
      <c r="AU5" t="n">
        <v>8.60970837366772</v>
      </c>
      <c r="AV5" t="n">
        <v>9.831423898363401</v>
      </c>
      <c r="AW5" t="n">
        <v>11.1188654370631</v>
      </c>
      <c r="AX5" t="n">
        <v>12.4785673189264</v>
      </c>
      <c r="AY5" t="n">
        <v>13.9094673309328</v>
      </c>
      <c r="AZ5" t="n">
        <v>15.3976698448309</v>
      </c>
      <c r="BA5" t="n">
        <v>0</v>
      </c>
      <c r="BB5" t="n">
        <v>0</v>
      </c>
      <c r="BC5" t="n">
        <v>0</v>
      </c>
      <c r="BD5" t="n">
        <v>0</v>
      </c>
      <c r="BE5" t="n">
        <v>0</v>
      </c>
      <c r="BF5" t="n">
        <v>0</v>
      </c>
      <c r="BG5" t="n">
        <v>0</v>
      </c>
      <c r="BH5" t="n">
        <v>0</v>
      </c>
      <c r="BJ5" t="inlineStr">
        <is>
          <t>High2</t>
        </is>
      </c>
      <c r="BL5" t="n">
        <v>1</v>
      </c>
      <c r="BM5" t="n">
        <v>0.997560975609757</v>
      </c>
      <c r="BN5" t="n">
        <v>0.985365853658537</v>
      </c>
      <c r="BO5" t="n">
        <v>0.973170731707317</v>
      </c>
      <c r="BP5" t="n">
        <v>0.960975609756098</v>
      </c>
      <c r="BQ5" t="n">
        <v>0.948780487804878</v>
      </c>
      <c r="BR5" t="n">
        <v>0.936585365853658</v>
      </c>
      <c r="BS5" t="n">
        <v>0.924390243902439</v>
      </c>
      <c r="BT5" t="n">
        <v>0.91219512195122</v>
      </c>
      <c r="BU5" t="n">
        <v>0.9</v>
      </c>
      <c r="BV5" t="n">
        <v>0.8875</v>
      </c>
      <c r="BW5" t="n">
        <v>0.875000000000001</v>
      </c>
      <c r="BX5" t="n">
        <v>0.862500000000001</v>
      </c>
      <c r="BY5" t="n">
        <v>0.850000000000001</v>
      </c>
      <c r="BZ5" t="n">
        <v>0.8375</v>
      </c>
      <c r="CA5" t="n">
        <v>0.825000000000001</v>
      </c>
      <c r="CB5" t="n">
        <v>0.812500000000001</v>
      </c>
      <c r="CC5" t="n">
        <v>0.800000000000001</v>
      </c>
      <c r="CD5" t="e">
        <v>#VALUE!</v>
      </c>
      <c r="CE5" t="e">
        <v>#VALUE!</v>
      </c>
      <c r="CF5" t="e">
        <v>#VALUE!</v>
      </c>
      <c r="CG5" t="e">
        <v>#VALUE!</v>
      </c>
      <c r="CH5" t="e">
        <v>#VALUE!</v>
      </c>
      <c r="CI5" t="e">
        <v>#VALUE!</v>
      </c>
      <c r="CJ5" t="e">
        <v>#VALUE!</v>
      </c>
      <c r="CK5" t="e">
        <v>#VALUE!</v>
      </c>
    </row>
    <row r="6" ht="12.5" customHeight="1" s="213">
      <c r="A6" t="inlineStr">
        <is>
          <t>Africa_North</t>
        </is>
      </c>
      <c r="B6" t="inlineStr">
        <is>
          <t>TTP</t>
        </is>
      </c>
      <c r="C6" t="inlineStr">
        <is>
          <t>TTP</t>
        </is>
      </c>
      <c r="E6" t="n">
        <v>7.64151346723974</v>
      </c>
      <c r="I6" t="n">
        <v>9.299392726615199</v>
      </c>
      <c r="J6" t="n">
        <v>9.79653150802128</v>
      </c>
      <c r="L6" t="n">
        <v>10.6662053125579</v>
      </c>
      <c r="V6" t="n">
        <v>11.9574774350737</v>
      </c>
      <c r="W6" t="n">
        <v>3</v>
      </c>
      <c r="AG6" s="223" t="inlineStr">
        <is>
          <t>POP</t>
        </is>
      </c>
      <c r="AI6" t="n">
        <v>1</v>
      </c>
      <c r="AJ6" t="n">
        <v>1.01584628198016</v>
      </c>
      <c r="AK6" t="n">
        <v>1.09507769188094</v>
      </c>
      <c r="AL6" t="n">
        <v>1.1704569144987</v>
      </c>
      <c r="AM6" t="n">
        <v>1.24250514202812</v>
      </c>
      <c r="AN6" t="n">
        <v>1.31251440483152</v>
      </c>
      <c r="AO6" t="n">
        <v>1.37847278122092</v>
      </c>
      <c r="AP6" t="n">
        <v>1.43787155208791</v>
      </c>
      <c r="AQ6" t="n">
        <v>1.48872422701151</v>
      </c>
      <c r="AR6" t="n">
        <v>1.53079373183263</v>
      </c>
      <c r="AS6" t="n">
        <v>1.5634574865207</v>
      </c>
      <c r="AT6" t="n">
        <v>1.58812645526123</v>
      </c>
      <c r="AU6" t="n">
        <v>1.60725760691474</v>
      </c>
      <c r="AV6" t="n">
        <v>1.62190399331504</v>
      </c>
      <c r="AW6" t="n">
        <v>1.63213276332236</v>
      </c>
      <c r="AX6" t="n">
        <v>1.6384236593401</v>
      </c>
      <c r="AY6" t="n">
        <v>1.63955889165861</v>
      </c>
      <c r="AZ6" t="n">
        <v>1.63521866507092</v>
      </c>
      <c r="BA6" t="n">
        <v>0</v>
      </c>
      <c r="BB6" t="n">
        <v>0</v>
      </c>
      <c r="BC6" t="n">
        <v>0</v>
      </c>
      <c r="BD6" t="n">
        <v>0</v>
      </c>
      <c r="BE6" t="n">
        <v>0</v>
      </c>
      <c r="BF6" t="n">
        <v>0</v>
      </c>
      <c r="BG6" t="n">
        <v>0</v>
      </c>
      <c r="BH6" t="n">
        <v>0</v>
      </c>
      <c r="BJ6" t="inlineStr">
        <is>
          <t>High2</t>
        </is>
      </c>
      <c r="BL6" t="n">
        <v>1</v>
      </c>
      <c r="BM6" t="n">
        <v>0.997560975609757</v>
      </c>
      <c r="BN6" t="n">
        <v>0.985365853658537</v>
      </c>
      <c r="BO6" t="n">
        <v>0.973170731707317</v>
      </c>
      <c r="BP6" t="n">
        <v>0.960975609756098</v>
      </c>
      <c r="BQ6" t="n">
        <v>0.948780487804878</v>
      </c>
      <c r="BR6" t="n">
        <v>0.936585365853658</v>
      </c>
      <c r="BS6" t="n">
        <v>0.924390243902439</v>
      </c>
      <c r="BT6" t="n">
        <v>0.91219512195122</v>
      </c>
      <c r="BU6" t="n">
        <v>0.9</v>
      </c>
      <c r="BV6" t="n">
        <v>0.8875</v>
      </c>
      <c r="BW6" t="n">
        <v>0.875000000000001</v>
      </c>
      <c r="BX6" t="n">
        <v>0.862500000000001</v>
      </c>
      <c r="BY6" t="n">
        <v>0.850000000000001</v>
      </c>
      <c r="BZ6" t="n">
        <v>0.8375</v>
      </c>
      <c r="CA6" t="n">
        <v>0.825000000000001</v>
      </c>
      <c r="CB6" t="n">
        <v>0.812500000000001</v>
      </c>
      <c r="CC6" t="n">
        <v>0.800000000000001</v>
      </c>
      <c r="CD6" t="e">
        <v>#VALUE!</v>
      </c>
      <c r="CE6" t="e">
        <v>#VALUE!</v>
      </c>
      <c r="CF6" t="e">
        <v>#VALUE!</v>
      </c>
      <c r="CG6" t="e">
        <v>#VALUE!</v>
      </c>
      <c r="CH6" t="e">
        <v>#VALUE!</v>
      </c>
      <c r="CI6" t="e">
        <v>#VALUE!</v>
      </c>
      <c r="CJ6" t="e">
        <v>#VALUE!</v>
      </c>
      <c r="CK6" t="e">
        <v>#VALUE!</v>
      </c>
    </row>
    <row r="7" ht="12.5" customHeight="1" s="213">
      <c r="A7" t="inlineStr">
        <is>
          <t>Africa_North</t>
        </is>
      </c>
      <c r="B7" t="inlineStr">
        <is>
          <t>TWD</t>
        </is>
      </c>
      <c r="C7" t="inlineStr">
        <is>
          <t>TWD</t>
        </is>
      </c>
      <c r="E7" t="n">
        <v>12.3151564281066</v>
      </c>
      <c r="F7">
        <f>E7</f>
        <v/>
      </c>
      <c r="I7">
        <f>F7</f>
        <v/>
      </c>
      <c r="J7">
        <f>I7</f>
        <v/>
      </c>
      <c r="L7">
        <f>J7</f>
        <v/>
      </c>
      <c r="V7">
        <f>L7</f>
        <v/>
      </c>
      <c r="W7" t="n">
        <v>3</v>
      </c>
      <c r="AG7" s="223" t="inlineStr">
        <is>
          <t>GDP</t>
        </is>
      </c>
      <c r="AI7" t="n">
        <v>1</v>
      </c>
      <c r="AJ7" t="n">
        <v>1.02349969875313</v>
      </c>
      <c r="AK7" t="n">
        <v>1.25839625558148</v>
      </c>
      <c r="AL7" t="n">
        <v>1.56875019961733</v>
      </c>
      <c r="AM7" t="n">
        <v>1.96121257678312</v>
      </c>
      <c r="AN7" t="n">
        <v>2.43608377440658</v>
      </c>
      <c r="AO7" t="n">
        <v>3.00325350238505</v>
      </c>
      <c r="AP7" t="n">
        <v>3.67420479014643</v>
      </c>
      <c r="AQ7" t="n">
        <v>4.460440572303</v>
      </c>
      <c r="AR7" t="n">
        <v>5.36383284096653</v>
      </c>
      <c r="AS7" t="n">
        <v>6.37421321365854</v>
      </c>
      <c r="AT7" t="n">
        <v>7.45520677550761</v>
      </c>
      <c r="AU7" t="n">
        <v>8.60970837366772</v>
      </c>
      <c r="AV7" t="n">
        <v>9.831423898363401</v>
      </c>
      <c r="AW7" t="n">
        <v>11.1188654370631</v>
      </c>
      <c r="AX7" t="n">
        <v>12.4785673189264</v>
      </c>
      <c r="AY7" t="n">
        <v>13.9094673309328</v>
      </c>
      <c r="AZ7" t="n">
        <v>15.3976698448309</v>
      </c>
      <c r="BA7" t="n">
        <v>0</v>
      </c>
      <c r="BB7" t="n">
        <v>0</v>
      </c>
      <c r="BC7" t="n">
        <v>0</v>
      </c>
      <c r="BD7" t="n">
        <v>0</v>
      </c>
      <c r="BE7" t="n">
        <v>0</v>
      </c>
      <c r="BF7" t="n">
        <v>0</v>
      </c>
      <c r="BG7" t="n">
        <v>0</v>
      </c>
      <c r="BH7" t="n">
        <v>0</v>
      </c>
      <c r="BJ7" t="inlineStr">
        <is>
          <t>High2</t>
        </is>
      </c>
      <c r="BL7" t="n">
        <v>1</v>
      </c>
      <c r="BM7" t="n">
        <v>0.997560975609757</v>
      </c>
      <c r="BN7" t="n">
        <v>0.985365853658537</v>
      </c>
      <c r="BO7" t="n">
        <v>0.973170731707317</v>
      </c>
      <c r="BP7" t="n">
        <v>0.960975609756098</v>
      </c>
      <c r="BQ7" t="n">
        <v>0.948780487804878</v>
      </c>
      <c r="BR7" t="n">
        <v>0.936585365853658</v>
      </c>
      <c r="BS7" t="n">
        <v>0.924390243902439</v>
      </c>
      <c r="BT7" t="n">
        <v>0.91219512195122</v>
      </c>
      <c r="BU7" t="n">
        <v>0.9</v>
      </c>
      <c r="BV7" t="n">
        <v>0.8875</v>
      </c>
      <c r="BW7" t="n">
        <v>0.875000000000001</v>
      </c>
      <c r="BX7" t="n">
        <v>0.862500000000001</v>
      </c>
      <c r="BY7" t="n">
        <v>0.850000000000001</v>
      </c>
      <c r="BZ7" t="n">
        <v>0.8375</v>
      </c>
      <c r="CA7" t="n">
        <v>0.825000000000001</v>
      </c>
      <c r="CB7" t="n">
        <v>0.812500000000001</v>
      </c>
      <c r="CC7" t="n">
        <v>0.800000000000001</v>
      </c>
      <c r="CD7" t="e">
        <v>#VALUE!</v>
      </c>
      <c r="CE7" t="e">
        <v>#VALUE!</v>
      </c>
      <c r="CF7" t="e">
        <v>#VALUE!</v>
      </c>
      <c r="CG7" t="e">
        <v>#VALUE!</v>
      </c>
      <c r="CH7" t="e">
        <v>#VALUE!</v>
      </c>
      <c r="CI7" t="e">
        <v>#VALUE!</v>
      </c>
      <c r="CJ7" t="e">
        <v>#VALUE!</v>
      </c>
      <c r="CK7" t="e">
        <v>#VALUE!</v>
      </c>
    </row>
    <row r="8" ht="12.5" customHeight="1" s="213">
      <c r="A8" t="inlineStr">
        <is>
          <t>Africa_North</t>
        </is>
      </c>
      <c r="B8" t="inlineStr">
        <is>
          <t>TWI</t>
        </is>
      </c>
      <c r="C8" t="inlineStr">
        <is>
          <t>TWI</t>
        </is>
      </c>
      <c r="E8" t="n">
        <v>36.6868983480112</v>
      </c>
      <c r="F8">
        <f>E8</f>
        <v/>
      </c>
      <c r="I8">
        <f>F8</f>
        <v/>
      </c>
      <c r="J8">
        <f>I8</f>
        <v/>
      </c>
      <c r="L8">
        <f>J8</f>
        <v/>
      </c>
      <c r="V8">
        <f>L8</f>
        <v/>
      </c>
      <c r="W8" t="n">
        <v>3</v>
      </c>
      <c r="AG8" s="223" t="inlineStr">
        <is>
          <t>GDP</t>
        </is>
      </c>
      <c r="AI8" t="n">
        <v>1</v>
      </c>
      <c r="AJ8" t="n">
        <v>1.02349969875313</v>
      </c>
      <c r="AK8" t="n">
        <v>1.25839625558148</v>
      </c>
      <c r="AL8" t="n">
        <v>1.56875019961733</v>
      </c>
      <c r="AM8" t="n">
        <v>1.96121257678312</v>
      </c>
      <c r="AN8" t="n">
        <v>2.43608377440658</v>
      </c>
      <c r="AO8" t="n">
        <v>3.00325350238505</v>
      </c>
      <c r="AP8" t="n">
        <v>3.67420479014643</v>
      </c>
      <c r="AQ8" t="n">
        <v>4.460440572303</v>
      </c>
      <c r="AR8" t="n">
        <v>5.36383284096653</v>
      </c>
      <c r="AS8" t="n">
        <v>6.37421321365854</v>
      </c>
      <c r="AT8" t="n">
        <v>7.45520677550761</v>
      </c>
      <c r="AU8" t="n">
        <v>8.60970837366772</v>
      </c>
      <c r="AV8" t="n">
        <v>9.831423898363401</v>
      </c>
      <c r="AW8" t="n">
        <v>11.1188654370631</v>
      </c>
      <c r="AX8" t="n">
        <v>12.4785673189264</v>
      </c>
      <c r="AY8" t="n">
        <v>13.9094673309328</v>
      </c>
      <c r="AZ8" t="n">
        <v>15.3976698448309</v>
      </c>
      <c r="BA8" t="n">
        <v>0</v>
      </c>
      <c r="BB8" t="n">
        <v>0</v>
      </c>
      <c r="BC8" t="n">
        <v>0</v>
      </c>
      <c r="BD8" t="n">
        <v>0</v>
      </c>
      <c r="BE8" t="n">
        <v>0</v>
      </c>
      <c r="BF8" t="n">
        <v>0</v>
      </c>
      <c r="BG8" t="n">
        <v>0</v>
      </c>
      <c r="BH8" t="n">
        <v>0</v>
      </c>
      <c r="BJ8" t="inlineStr">
        <is>
          <t>High2</t>
        </is>
      </c>
      <c r="BL8" t="n">
        <v>1</v>
      </c>
      <c r="BM8" t="n">
        <v>0.997560975609757</v>
      </c>
      <c r="BN8" t="n">
        <v>0.985365853658537</v>
      </c>
      <c r="BO8" t="n">
        <v>0.973170731707317</v>
      </c>
      <c r="BP8" t="n">
        <v>0.960975609756098</v>
      </c>
      <c r="BQ8" t="n">
        <v>0.948780487804878</v>
      </c>
      <c r="BR8" t="n">
        <v>0.936585365853658</v>
      </c>
      <c r="BS8" t="n">
        <v>0.924390243902439</v>
      </c>
      <c r="BT8" t="n">
        <v>0.91219512195122</v>
      </c>
      <c r="BU8" t="n">
        <v>0.9</v>
      </c>
      <c r="BV8" t="n">
        <v>0.8875</v>
      </c>
      <c r="BW8" t="n">
        <v>0.875000000000001</v>
      </c>
      <c r="BX8" t="n">
        <v>0.862500000000001</v>
      </c>
      <c r="BY8" t="n">
        <v>0.850000000000001</v>
      </c>
      <c r="BZ8" t="n">
        <v>0.8375</v>
      </c>
      <c r="CA8" t="n">
        <v>0.825000000000001</v>
      </c>
      <c r="CB8" t="n">
        <v>0.812500000000001</v>
      </c>
      <c r="CC8" t="n">
        <v>0.800000000000001</v>
      </c>
      <c r="CD8" t="e">
        <v>#VALUE!</v>
      </c>
      <c r="CE8" t="e">
        <v>#VALUE!</v>
      </c>
      <c r="CF8" t="e">
        <v>#VALUE!</v>
      </c>
      <c r="CG8" t="e">
        <v>#VALUE!</v>
      </c>
      <c r="CH8" t="e">
        <v>#VALUE!</v>
      </c>
      <c r="CI8" t="e">
        <v>#VALUE!</v>
      </c>
      <c r="CJ8" t="e">
        <v>#VALUE!</v>
      </c>
      <c r="CK8" t="e">
        <v>#VALUE!</v>
      </c>
    </row>
    <row r="9" ht="12.5" customHeight="1" s="213">
      <c r="A9" t="inlineStr">
        <is>
          <t>Africa_North</t>
        </is>
      </c>
      <c r="B9" t="inlineStr">
        <is>
          <t>Trd_2w</t>
        </is>
      </c>
      <c r="C9" t="inlineStr">
        <is>
          <t>Trd_2w</t>
        </is>
      </c>
      <c r="D9" t="n">
        <v>247.982</v>
      </c>
      <c r="E9" t="n">
        <v>251.90200832557</v>
      </c>
      <c r="G9" t="n">
        <v>271.261704044487</v>
      </c>
      <c r="H9" t="n">
        <v>289.432930760334</v>
      </c>
      <c r="I9" t="n">
        <v>306.553893294221</v>
      </c>
      <c r="J9" t="n">
        <v>322.9420417925</v>
      </c>
      <c r="K9" t="n">
        <v>338.141840360066</v>
      </c>
      <c r="L9" t="n">
        <v>351.610783775369</v>
      </c>
      <c r="M9" t="n">
        <v>362.954194116709</v>
      </c>
      <c r="N9" t="n">
        <v>372.185166951014</v>
      </c>
      <c r="O9" t="n">
        <v>379.233344772678</v>
      </c>
      <c r="P9" t="n">
        <v>384.46910184135</v>
      </c>
      <c r="Q9" t="n">
        <v>388.463732040384</v>
      </c>
      <c r="R9" t="n">
        <v>391.472678094125</v>
      </c>
      <c r="S9" t="n">
        <v>393.540363884459</v>
      </c>
      <c r="T9" t="n">
        <v>394.791775711966</v>
      </c>
      <c r="U9" t="n">
        <v>395.014029925036</v>
      </c>
      <c r="V9" t="n">
        <v>394.177487655569</v>
      </c>
      <c r="W9" t="n">
        <v>3</v>
      </c>
      <c r="AG9" s="223" t="inlineStr">
        <is>
          <t>POP</t>
        </is>
      </c>
      <c r="AI9" t="n">
        <v>1</v>
      </c>
      <c r="AJ9" t="n">
        <v>1.01584628198016</v>
      </c>
      <c r="AK9" t="n">
        <v>1.09507769188094</v>
      </c>
      <c r="AL9" t="n">
        <v>1.1704569144987</v>
      </c>
      <c r="AM9" t="n">
        <v>1.24250514202812</v>
      </c>
      <c r="AN9" t="n">
        <v>1.31251440483152</v>
      </c>
      <c r="AO9" t="n">
        <v>1.37847278122092</v>
      </c>
      <c r="AP9" t="n">
        <v>1.43787155208791</v>
      </c>
      <c r="AQ9" t="n">
        <v>1.48872422701151</v>
      </c>
      <c r="AR9" t="n">
        <v>1.53079373183263</v>
      </c>
      <c r="AS9" t="n">
        <v>1.5634574865207</v>
      </c>
      <c r="AT9" t="n">
        <v>1.58812645526123</v>
      </c>
      <c r="AU9" t="n">
        <v>1.60725760691474</v>
      </c>
      <c r="AV9" t="n">
        <v>1.62190399331504</v>
      </c>
      <c r="AW9" t="n">
        <v>1.63213276332236</v>
      </c>
      <c r="AX9" t="n">
        <v>1.6384236593401</v>
      </c>
      <c r="AY9" t="n">
        <v>1.63955889165861</v>
      </c>
      <c r="AZ9" t="n">
        <v>1.63521866507092</v>
      </c>
      <c r="BA9" t="n">
        <v>0</v>
      </c>
      <c r="BB9" t="n">
        <v>0</v>
      </c>
      <c r="BC9" t="n">
        <v>0</v>
      </c>
      <c r="BD9" t="n">
        <v>0</v>
      </c>
      <c r="BE9" t="n">
        <v>0</v>
      </c>
      <c r="BF9" t="n">
        <v>0</v>
      </c>
      <c r="BG9" t="n">
        <v>0</v>
      </c>
      <c r="BH9" t="n">
        <v>0</v>
      </c>
      <c r="BJ9" t="inlineStr">
        <is>
          <t>High2</t>
        </is>
      </c>
      <c r="BL9" t="n">
        <v>1</v>
      </c>
      <c r="BM9" t="n">
        <v>0.997560975609757</v>
      </c>
      <c r="BN9" t="n">
        <v>0.985365853658537</v>
      </c>
      <c r="BO9" t="n">
        <v>0.973170731707317</v>
      </c>
      <c r="BP9" t="n">
        <v>0.960975609756098</v>
      </c>
      <c r="BQ9" t="n">
        <v>0.948780487804878</v>
      </c>
      <c r="BR9" t="n">
        <v>0.936585365853658</v>
      </c>
      <c r="BS9" t="n">
        <v>0.924390243902439</v>
      </c>
      <c r="BT9" t="n">
        <v>0.91219512195122</v>
      </c>
      <c r="BU9" t="n">
        <v>0.9</v>
      </c>
      <c r="BV9" t="n">
        <v>0.8875</v>
      </c>
      <c r="BW9" t="n">
        <v>0.875000000000001</v>
      </c>
      <c r="BX9" t="n">
        <v>0.862500000000001</v>
      </c>
      <c r="BY9" t="n">
        <v>0.850000000000001</v>
      </c>
      <c r="BZ9" t="n">
        <v>0.8375</v>
      </c>
      <c r="CA9" t="n">
        <v>0.825000000000001</v>
      </c>
      <c r="CB9" t="n">
        <v>0.812500000000001</v>
      </c>
      <c r="CC9" t="n">
        <v>0.800000000000001</v>
      </c>
      <c r="CD9" t="e">
        <v>#VALUE!</v>
      </c>
      <c r="CE9" t="e">
        <v>#VALUE!</v>
      </c>
      <c r="CF9" t="e">
        <v>#VALUE!</v>
      </c>
      <c r="CG9" t="e">
        <v>#VALUE!</v>
      </c>
      <c r="CH9" t="e">
        <v>#VALUE!</v>
      </c>
      <c r="CI9" t="e">
        <v>#VALUE!</v>
      </c>
      <c r="CJ9" t="e">
        <v>#VALUE!</v>
      </c>
      <c r="CK9" t="e">
        <v>#VALUE!</v>
      </c>
    </row>
    <row r="10" ht="12.5" customHeight="1" s="213">
      <c r="A10" t="inlineStr">
        <is>
          <t>Africa_North</t>
        </is>
      </c>
      <c r="B10" t="inlineStr">
        <is>
          <t>Trd_3w</t>
        </is>
      </c>
      <c r="C10" t="inlineStr">
        <is>
          <t>Trd_3w</t>
        </is>
      </c>
      <c r="D10" t="n">
        <v>42.015</v>
      </c>
      <c r="E10" t="n">
        <v>42.6791576799881</v>
      </c>
      <c r="G10" t="n">
        <v>45.9592248446626</v>
      </c>
      <c r="H10" t="n">
        <v>49.0379325350042</v>
      </c>
      <c r="I10" t="n">
        <v>51.9386964648914</v>
      </c>
      <c r="J10" t="n">
        <v>54.7153014570085</v>
      </c>
      <c r="K10" t="n">
        <v>57.290567148939</v>
      </c>
      <c r="L10" t="n">
        <v>59.5725781722954</v>
      </c>
      <c r="M10" t="n">
        <v>61.4944651862374</v>
      </c>
      <c r="N10" t="n">
        <v>63.0584469414992</v>
      </c>
      <c r="O10" t="n">
        <v>64.2526029333745</v>
      </c>
      <c r="P10" t="n">
        <v>65.139684791091</v>
      </c>
      <c r="Q10" t="n">
        <v>65.81648547748109</v>
      </c>
      <c r="R10" t="n">
        <v>66.32628404531241</v>
      </c>
      <c r="S10" t="n">
        <v>66.67660712715249</v>
      </c>
      <c r="T10" t="n">
        <v>66.8886308544098</v>
      </c>
      <c r="U10" t="n">
        <v>66.9262868567089</v>
      </c>
      <c r="V10" t="n">
        <v>66.7845534911757</v>
      </c>
      <c r="W10" t="n">
        <v>3</v>
      </c>
      <c r="AG10" s="223" t="inlineStr">
        <is>
          <t>POP</t>
        </is>
      </c>
      <c r="AI10" t="n">
        <v>1</v>
      </c>
      <c r="AJ10" t="n">
        <v>1.01584628198016</v>
      </c>
      <c r="AK10" t="n">
        <v>1.09507769188094</v>
      </c>
      <c r="AL10" t="n">
        <v>1.1704569144987</v>
      </c>
      <c r="AM10" t="n">
        <v>1.24250514202812</v>
      </c>
      <c r="AN10" t="n">
        <v>1.31251440483152</v>
      </c>
      <c r="AO10" t="n">
        <v>1.37847278122092</v>
      </c>
      <c r="AP10" t="n">
        <v>1.43787155208791</v>
      </c>
      <c r="AQ10" t="n">
        <v>1.48872422701151</v>
      </c>
      <c r="AR10" t="n">
        <v>1.53079373183263</v>
      </c>
      <c r="AS10" t="n">
        <v>1.5634574865207</v>
      </c>
      <c r="AT10" t="n">
        <v>1.58812645526123</v>
      </c>
      <c r="AU10" t="n">
        <v>1.60725760691474</v>
      </c>
      <c r="AV10" t="n">
        <v>1.62190399331504</v>
      </c>
      <c r="AW10" t="n">
        <v>1.63213276332236</v>
      </c>
      <c r="AX10" t="n">
        <v>1.6384236593401</v>
      </c>
      <c r="AY10" t="n">
        <v>1.63955889165861</v>
      </c>
      <c r="AZ10" t="n">
        <v>1.63521866507092</v>
      </c>
      <c r="BA10" t="n">
        <v>0</v>
      </c>
      <c r="BB10" t="n">
        <v>0</v>
      </c>
      <c r="BC10" t="n">
        <v>0</v>
      </c>
      <c r="BD10" t="n">
        <v>0</v>
      </c>
      <c r="BE10" t="n">
        <v>0</v>
      </c>
      <c r="BF10" t="n">
        <v>0</v>
      </c>
      <c r="BG10" t="n">
        <v>0</v>
      </c>
      <c r="BH10" t="n">
        <v>0</v>
      </c>
      <c r="BJ10" t="inlineStr">
        <is>
          <t>High2</t>
        </is>
      </c>
      <c r="BL10" t="n">
        <v>1</v>
      </c>
      <c r="BM10" t="n">
        <v>0.997560975609757</v>
      </c>
      <c r="BN10" t="n">
        <v>0.985365853658537</v>
      </c>
      <c r="BO10" t="n">
        <v>0.973170731707317</v>
      </c>
      <c r="BP10" t="n">
        <v>0.960975609756098</v>
      </c>
      <c r="BQ10" t="n">
        <v>0.948780487804878</v>
      </c>
      <c r="BR10" t="n">
        <v>0.936585365853658</v>
      </c>
      <c r="BS10" t="n">
        <v>0.924390243902439</v>
      </c>
      <c r="BT10" t="n">
        <v>0.91219512195122</v>
      </c>
      <c r="BU10" t="n">
        <v>0.9</v>
      </c>
      <c r="BV10" t="n">
        <v>0.8875</v>
      </c>
      <c r="BW10" t="n">
        <v>0.875000000000001</v>
      </c>
      <c r="BX10" t="n">
        <v>0.862500000000001</v>
      </c>
      <c r="BY10" t="n">
        <v>0.850000000000001</v>
      </c>
      <c r="BZ10" t="n">
        <v>0.8375</v>
      </c>
      <c r="CA10" t="n">
        <v>0.825000000000001</v>
      </c>
      <c r="CB10" t="n">
        <v>0.812500000000001</v>
      </c>
      <c r="CC10" t="n">
        <v>0.800000000000001</v>
      </c>
      <c r="CD10" t="e">
        <v>#VALUE!</v>
      </c>
      <c r="CE10" t="e">
        <v>#VALUE!</v>
      </c>
      <c r="CF10" t="e">
        <v>#VALUE!</v>
      </c>
      <c r="CG10" t="e">
        <v>#VALUE!</v>
      </c>
      <c r="CH10" t="e">
        <v>#VALUE!</v>
      </c>
      <c r="CI10" t="e">
        <v>#VALUE!</v>
      </c>
      <c r="CJ10" t="e">
        <v>#VALUE!</v>
      </c>
      <c r="CK10" t="e">
        <v>#VALUE!</v>
      </c>
    </row>
    <row r="11" ht="12.5" customHeight="1" s="213">
      <c r="A11" t="inlineStr">
        <is>
          <t>Africa_North</t>
        </is>
      </c>
      <c r="B11" t="inlineStr">
        <is>
          <t>Trd_bus</t>
        </is>
      </c>
      <c r="C11" t="inlineStr">
        <is>
          <t>Trd_bus</t>
        </is>
      </c>
      <c r="D11" t="n">
        <v>26.355</v>
      </c>
      <c r="E11" t="n">
        <v>26.7716101548515</v>
      </c>
      <c r="G11" t="n">
        <v>28.8291174766413</v>
      </c>
      <c r="H11" t="n">
        <v>30.7603168382729</v>
      </c>
      <c r="I11" t="n">
        <v>32.5798963544499</v>
      </c>
      <c r="J11" t="n">
        <v>34.321593952147</v>
      </c>
      <c r="K11" t="n">
        <v>35.9369962444433</v>
      </c>
      <c r="L11" t="n">
        <v>37.3684469292121</v>
      </c>
      <c r="M11" t="n">
        <v>38.5740004756227</v>
      </c>
      <c r="N11" t="n">
        <v>39.5550486527005</v>
      </c>
      <c r="O11" t="n">
        <v>40.3041140142589</v>
      </c>
      <c r="P11" t="n">
        <v>40.8605591495705</v>
      </c>
      <c r="Q11" t="n">
        <v>41.2850999585628</v>
      </c>
      <c r="R11" t="n">
        <v>41.6048843511652</v>
      </c>
      <c r="S11" t="n">
        <v>41.8246336031442</v>
      </c>
      <c r="T11" t="n">
        <v>41.9576309929304</v>
      </c>
      <c r="U11" t="n">
        <v>41.9812516984069</v>
      </c>
      <c r="V11" t="n">
        <v>41.8923457636543</v>
      </c>
      <c r="W11" t="n">
        <v>3</v>
      </c>
      <c r="AG11" s="223" t="inlineStr">
        <is>
          <t>POP</t>
        </is>
      </c>
      <c r="AI11" t="n">
        <v>1</v>
      </c>
      <c r="AJ11" t="n">
        <v>1.01584628198016</v>
      </c>
      <c r="AK11" t="n">
        <v>1.09507769188094</v>
      </c>
      <c r="AL11" t="n">
        <v>1.1704569144987</v>
      </c>
      <c r="AM11" t="n">
        <v>1.24250514202812</v>
      </c>
      <c r="AN11" t="n">
        <v>1.31251440483152</v>
      </c>
      <c r="AO11" t="n">
        <v>1.37847278122092</v>
      </c>
      <c r="AP11" t="n">
        <v>1.43787155208791</v>
      </c>
      <c r="AQ11" t="n">
        <v>1.48872422701151</v>
      </c>
      <c r="AR11" t="n">
        <v>1.53079373183263</v>
      </c>
      <c r="AS11" t="n">
        <v>1.5634574865207</v>
      </c>
      <c r="AT11" t="n">
        <v>1.58812645526123</v>
      </c>
      <c r="AU11" t="n">
        <v>1.60725760691474</v>
      </c>
      <c r="AV11" t="n">
        <v>1.62190399331504</v>
      </c>
      <c r="AW11" t="n">
        <v>1.63213276332236</v>
      </c>
      <c r="AX11" t="n">
        <v>1.6384236593401</v>
      </c>
      <c r="AY11" t="n">
        <v>1.63955889165861</v>
      </c>
      <c r="AZ11" t="n">
        <v>1.63521866507092</v>
      </c>
      <c r="BA11" t="n">
        <v>0</v>
      </c>
      <c r="BB11" t="n">
        <v>0</v>
      </c>
      <c r="BC11" t="n">
        <v>0</v>
      </c>
      <c r="BD11" t="n">
        <v>0</v>
      </c>
      <c r="BE11" t="n">
        <v>0</v>
      </c>
      <c r="BF11" t="n">
        <v>0</v>
      </c>
      <c r="BG11" t="n">
        <v>0</v>
      </c>
      <c r="BH11" t="n">
        <v>0</v>
      </c>
      <c r="BJ11" t="inlineStr">
        <is>
          <t>High2</t>
        </is>
      </c>
      <c r="BL11" t="n">
        <v>1</v>
      </c>
      <c r="BM11" t="n">
        <v>0.997560975609757</v>
      </c>
      <c r="BN11" t="n">
        <v>0.985365853658537</v>
      </c>
      <c r="BO11" t="n">
        <v>0.973170731707317</v>
      </c>
      <c r="BP11" t="n">
        <v>0.960975609756098</v>
      </c>
      <c r="BQ11" t="n">
        <v>0.948780487804878</v>
      </c>
      <c r="BR11" t="n">
        <v>0.936585365853658</v>
      </c>
      <c r="BS11" t="n">
        <v>0.924390243902439</v>
      </c>
      <c r="BT11" t="n">
        <v>0.91219512195122</v>
      </c>
      <c r="BU11" t="n">
        <v>0.9</v>
      </c>
      <c r="BV11" t="n">
        <v>0.8875</v>
      </c>
      <c r="BW11" t="n">
        <v>0.875000000000001</v>
      </c>
      <c r="BX11" t="n">
        <v>0.862500000000001</v>
      </c>
      <c r="BY11" t="n">
        <v>0.850000000000001</v>
      </c>
      <c r="BZ11" t="n">
        <v>0.8375</v>
      </c>
      <c r="CA11" t="n">
        <v>0.825000000000001</v>
      </c>
      <c r="CB11" t="n">
        <v>0.812500000000001</v>
      </c>
      <c r="CC11" t="n">
        <v>0.800000000000001</v>
      </c>
      <c r="CD11" t="e">
        <v>#VALUE!</v>
      </c>
      <c r="CE11" t="e">
        <v>#VALUE!</v>
      </c>
      <c r="CF11" t="e">
        <v>#VALUE!</v>
      </c>
      <c r="CG11" t="e">
        <v>#VALUE!</v>
      </c>
      <c r="CH11" t="e">
        <v>#VALUE!</v>
      </c>
      <c r="CI11" t="e">
        <v>#VALUE!</v>
      </c>
      <c r="CJ11" t="e">
        <v>#VALUE!</v>
      </c>
      <c r="CK11" t="e">
        <v>#VALUE!</v>
      </c>
    </row>
    <row r="12" ht="12.5" customHeight="1" s="213">
      <c r="A12" t="inlineStr">
        <is>
          <t>Africa_North</t>
        </is>
      </c>
      <c r="B12" t="inlineStr">
        <is>
          <t>Trd_car</t>
        </is>
      </c>
      <c r="C12" t="inlineStr">
        <is>
          <t>Trd_car</t>
        </is>
      </c>
      <c r="D12" t="n">
        <v>256.56</v>
      </c>
      <c r="E12" t="n">
        <v>258.488216374671</v>
      </c>
      <c r="G12" t="n">
        <v>294.286020754547</v>
      </c>
      <c r="H12" t="n">
        <v>341.924767254561</v>
      </c>
      <c r="I12" t="n">
        <v>400.307827734166</v>
      </c>
      <c r="J12" t="n">
        <v>467.106424430855</v>
      </c>
      <c r="K12" t="n">
        <v>543.15498327552</v>
      </c>
      <c r="L12" t="n">
        <v>629.950239527197</v>
      </c>
      <c r="M12" t="n">
        <v>729.086667683432</v>
      </c>
      <c r="N12" t="n">
        <v>840.299707157724</v>
      </c>
      <c r="O12" t="n">
        <v>962.2635401592599</v>
      </c>
      <c r="P12" t="n">
        <v>1089.75698872903</v>
      </c>
      <c r="Q12" t="n">
        <v>1222.39049391052</v>
      </c>
      <c r="R12" t="n">
        <v>1359.11460985926</v>
      </c>
      <c r="S12" t="n">
        <v>1500.10371974867</v>
      </c>
      <c r="T12" t="n">
        <v>1646.11243965391</v>
      </c>
      <c r="U12" t="n">
        <v>1798.44559883895</v>
      </c>
      <c r="V12" t="n">
        <v>1956.60846480586</v>
      </c>
      <c r="W12" t="n">
        <v>3</v>
      </c>
      <c r="AG12" s="223" t="inlineStr">
        <is>
          <t>GDPPCAP</t>
        </is>
      </c>
      <c r="AI12" t="n">
        <v>1</v>
      </c>
      <c r="AJ12" t="n">
        <v>1.00753403040277</v>
      </c>
      <c r="AK12" t="n">
        <v>1.14913879162311</v>
      </c>
      <c r="AL12" t="n">
        <v>1.34028871988784</v>
      </c>
      <c r="AM12" t="n">
        <v>1.57843417338448</v>
      </c>
      <c r="AN12" t="n">
        <v>1.85604345783869</v>
      </c>
      <c r="AO12" t="n">
        <v>2.17868175802867</v>
      </c>
      <c r="AP12" t="n">
        <v>2.55530807658804</v>
      </c>
      <c r="AQ12" t="n">
        <v>2.99614965040031</v>
      </c>
      <c r="AR12" t="n">
        <v>3.5039553203194</v>
      </c>
      <c r="AS12" t="n">
        <v>4.07699810747245</v>
      </c>
      <c r="AT12" t="n">
        <v>4.69434077545247</v>
      </c>
      <c r="AU12" t="n">
        <v>5.35676940437366</v>
      </c>
      <c r="AV12" t="n">
        <v>6.06165589263316</v>
      </c>
      <c r="AW12" t="n">
        <v>6.81247609687681</v>
      </c>
      <c r="AX12" t="n">
        <v>7.61620307897183</v>
      </c>
      <c r="AY12" t="n">
        <v>8.48366435734537</v>
      </c>
      <c r="AZ12" t="n">
        <v>9.416275739589359</v>
      </c>
      <c r="BA12" t="n">
        <v>0</v>
      </c>
      <c r="BB12" t="n">
        <v>0</v>
      </c>
      <c r="BC12" t="n">
        <v>0</v>
      </c>
      <c r="BD12" t="n">
        <v>0</v>
      </c>
      <c r="BE12" t="n">
        <v>0</v>
      </c>
      <c r="BF12" t="n">
        <v>0</v>
      </c>
      <c r="BG12" t="n">
        <v>0</v>
      </c>
      <c r="BH12" t="n">
        <v>0</v>
      </c>
      <c r="BJ12" t="inlineStr">
        <is>
          <t>High2</t>
        </is>
      </c>
      <c r="BL12" t="n">
        <v>1</v>
      </c>
      <c r="BM12" t="n">
        <v>0.997560975609757</v>
      </c>
      <c r="BN12" t="n">
        <v>0.985365853658537</v>
      </c>
      <c r="BO12" t="n">
        <v>0.973170731707317</v>
      </c>
      <c r="BP12" t="n">
        <v>0.960975609756098</v>
      </c>
      <c r="BQ12" t="n">
        <v>0.948780487804878</v>
      </c>
      <c r="BR12" t="n">
        <v>0.936585365853658</v>
      </c>
      <c r="BS12" t="n">
        <v>0.924390243902439</v>
      </c>
      <c r="BT12" t="n">
        <v>0.91219512195122</v>
      </c>
      <c r="BU12" t="n">
        <v>0.9</v>
      </c>
      <c r="BV12" t="n">
        <v>0.8875</v>
      </c>
      <c r="BW12" t="n">
        <v>0.875000000000001</v>
      </c>
      <c r="BX12" t="n">
        <v>0.862500000000001</v>
      </c>
      <c r="BY12" t="n">
        <v>0.850000000000001</v>
      </c>
      <c r="BZ12" t="n">
        <v>0.8375</v>
      </c>
      <c r="CA12" t="n">
        <v>0.825000000000001</v>
      </c>
      <c r="CB12" t="n">
        <v>0.812500000000001</v>
      </c>
      <c r="CC12" t="n">
        <v>0.800000000000001</v>
      </c>
      <c r="CD12" t="e">
        <v>#VALUE!</v>
      </c>
      <c r="CE12" t="e">
        <v>#VALUE!</v>
      </c>
      <c r="CF12" t="e">
        <v>#VALUE!</v>
      </c>
      <c r="CG12" t="e">
        <v>#VALUE!</v>
      </c>
      <c r="CH12" t="e">
        <v>#VALUE!</v>
      </c>
      <c r="CI12" t="e">
        <v>#VALUE!</v>
      </c>
      <c r="CJ12" t="e">
        <v>#VALUE!</v>
      </c>
      <c r="CK12" t="e">
        <v>#VALUE!</v>
      </c>
    </row>
    <row r="13" ht="12.5" customHeight="1" s="213">
      <c r="A13" t="inlineStr">
        <is>
          <t>Africa_North</t>
        </is>
      </c>
      <c r="B13" t="inlineStr">
        <is>
          <t>Trd_hdt</t>
        </is>
      </c>
      <c r="C13" t="inlineStr">
        <is>
          <t>Trd_hdt</t>
        </is>
      </c>
      <c r="D13" t="n">
        <v>62.8</v>
      </c>
      <c r="E13" t="n">
        <v>64.2721816156436</v>
      </c>
      <c r="G13" t="n">
        <v>78.80699571933479</v>
      </c>
      <c r="H13" t="n">
        <v>97.7214433171068</v>
      </c>
      <c r="I13" t="n">
        <v>121.214875815842</v>
      </c>
      <c r="J13" t="n">
        <v>149.061517397857</v>
      </c>
      <c r="K13" t="n">
        <v>181.565286874014</v>
      </c>
      <c r="L13" t="n">
        <v>219.061479534236</v>
      </c>
      <c r="M13" t="n">
        <v>261.822022187319</v>
      </c>
      <c r="N13" t="n">
        <v>309.547171328579</v>
      </c>
      <c r="O13" t="n">
        <v>361.296517570375</v>
      </c>
      <c r="P13" t="n">
        <v>414.909300321866</v>
      </c>
      <c r="Q13" t="n">
        <v>470.326824387375</v>
      </c>
      <c r="R13" t="n">
        <v>527.055197101302</v>
      </c>
      <c r="S13" t="n">
        <v>584.858414345939</v>
      </c>
      <c r="T13" t="n">
        <v>643.863292151739</v>
      </c>
      <c r="U13" t="n">
        <v>703.850907296216</v>
      </c>
      <c r="V13" t="n">
        <v>764.096072102391</v>
      </c>
      <c r="W13" t="n">
        <v>3</v>
      </c>
      <c r="AG13" s="223" t="inlineStr">
        <is>
          <t>GDP</t>
        </is>
      </c>
      <c r="AI13" t="n">
        <v>1</v>
      </c>
      <c r="AJ13" t="n">
        <v>1.02349969875313</v>
      </c>
      <c r="AK13" t="n">
        <v>1.25839625558148</v>
      </c>
      <c r="AL13" t="n">
        <v>1.56875019961733</v>
      </c>
      <c r="AM13" t="n">
        <v>1.96121257678312</v>
      </c>
      <c r="AN13" t="n">
        <v>2.43608377440658</v>
      </c>
      <c r="AO13" t="n">
        <v>3.00325350238505</v>
      </c>
      <c r="AP13" t="n">
        <v>3.67420479014643</v>
      </c>
      <c r="AQ13" t="n">
        <v>4.460440572303</v>
      </c>
      <c r="AR13" t="n">
        <v>5.36383284096653</v>
      </c>
      <c r="AS13" t="n">
        <v>6.37421321365854</v>
      </c>
      <c r="AT13" t="n">
        <v>7.45520677550761</v>
      </c>
      <c r="AU13" t="n">
        <v>8.60970837366772</v>
      </c>
      <c r="AV13" t="n">
        <v>9.831423898363401</v>
      </c>
      <c r="AW13" t="n">
        <v>11.1188654370631</v>
      </c>
      <c r="AX13" t="n">
        <v>12.4785673189264</v>
      </c>
      <c r="AY13" t="n">
        <v>13.9094673309328</v>
      </c>
      <c r="AZ13" t="n">
        <v>15.3976698448309</v>
      </c>
      <c r="BA13" t="n">
        <v>0</v>
      </c>
      <c r="BB13" t="n">
        <v>0</v>
      </c>
      <c r="BC13" t="n">
        <v>0</v>
      </c>
      <c r="BD13" t="n">
        <v>0</v>
      </c>
      <c r="BE13" t="n">
        <v>0</v>
      </c>
      <c r="BF13" t="n">
        <v>0</v>
      </c>
      <c r="BG13" t="n">
        <v>0</v>
      </c>
      <c r="BH13" t="n">
        <v>0</v>
      </c>
      <c r="BJ13" t="inlineStr">
        <is>
          <t>High2</t>
        </is>
      </c>
      <c r="BL13" t="n">
        <v>1</v>
      </c>
      <c r="BM13" t="n">
        <v>0.997560975609757</v>
      </c>
      <c r="BN13" t="n">
        <v>0.985365853658537</v>
      </c>
      <c r="BO13" t="n">
        <v>0.973170731707317</v>
      </c>
      <c r="BP13" t="n">
        <v>0.960975609756098</v>
      </c>
      <c r="BQ13" t="n">
        <v>0.948780487804878</v>
      </c>
      <c r="BR13" t="n">
        <v>0.936585365853658</v>
      </c>
      <c r="BS13" t="n">
        <v>0.924390243902439</v>
      </c>
      <c r="BT13" t="n">
        <v>0.91219512195122</v>
      </c>
      <c r="BU13" t="n">
        <v>0.9</v>
      </c>
      <c r="BV13" t="n">
        <v>0.8875</v>
      </c>
      <c r="BW13" t="n">
        <v>0.875000000000001</v>
      </c>
      <c r="BX13" t="n">
        <v>0.862500000000001</v>
      </c>
      <c r="BY13" t="n">
        <v>0.850000000000001</v>
      </c>
      <c r="BZ13" t="n">
        <v>0.8375</v>
      </c>
      <c r="CA13" t="n">
        <v>0.825000000000001</v>
      </c>
      <c r="CB13" t="n">
        <v>0.812500000000001</v>
      </c>
      <c r="CC13" t="n">
        <v>0.800000000000001</v>
      </c>
      <c r="CD13" t="e">
        <v>#VALUE!</v>
      </c>
      <c r="CE13" t="e">
        <v>#VALUE!</v>
      </c>
      <c r="CF13" t="e">
        <v>#VALUE!</v>
      </c>
      <c r="CG13" t="e">
        <v>#VALUE!</v>
      </c>
      <c r="CH13" t="e">
        <v>#VALUE!</v>
      </c>
      <c r="CI13" t="e">
        <v>#VALUE!</v>
      </c>
      <c r="CJ13" t="e">
        <v>#VALUE!</v>
      </c>
      <c r="CK13" t="e">
        <v>#VALUE!</v>
      </c>
    </row>
    <row r="14" ht="12.5" customHeight="1" s="213">
      <c r="A14" t="inlineStr">
        <is>
          <t>Africa_North</t>
        </is>
      </c>
      <c r="B14" t="inlineStr">
        <is>
          <t>Trd_lcv</t>
        </is>
      </c>
      <c r="C14" t="inlineStr">
        <is>
          <t>Trd_lcv</t>
        </is>
      </c>
      <c r="D14" t="n">
        <v>82.28</v>
      </c>
      <c r="E14" t="n">
        <v>84.2088392250821</v>
      </c>
      <c r="G14" t="n">
        <v>103.252223053931</v>
      </c>
      <c r="H14" t="n">
        <v>128.033763632668</v>
      </c>
      <c r="I14" t="n">
        <v>158.814649396934</v>
      </c>
      <c r="J14" t="n">
        <v>195.299070883689</v>
      </c>
      <c r="K14" t="n">
        <v>237.88521980882</v>
      </c>
      <c r="L14" t="n">
        <v>287.012397071289</v>
      </c>
      <c r="M14" t="n">
        <v>343.036878751156</v>
      </c>
      <c r="N14" t="n">
        <v>405.565943581456</v>
      </c>
      <c r="O14" t="n">
        <v>473.367475568319</v>
      </c>
      <c r="P14" t="n">
        <v>543.610465453553</v>
      </c>
      <c r="Q14" t="n">
        <v>616.218011315178</v>
      </c>
      <c r="R14" t="n">
        <v>690.543019386865</v>
      </c>
      <c r="S14" t="n">
        <v>766.276279178086</v>
      </c>
      <c r="T14" t="n">
        <v>843.5839439210999</v>
      </c>
      <c r="U14" t="n">
        <v>922.179182361985</v>
      </c>
      <c r="V14" t="n">
        <v>1001.11186007301</v>
      </c>
      <c r="W14" t="n">
        <v>3</v>
      </c>
      <c r="AG14" s="223" t="inlineStr">
        <is>
          <t>GDP</t>
        </is>
      </c>
      <c r="AI14" t="n">
        <v>1</v>
      </c>
      <c r="AJ14" t="n">
        <v>1.02349969875313</v>
      </c>
      <c r="AK14" t="n">
        <v>1.25839625558148</v>
      </c>
      <c r="AL14" t="n">
        <v>1.56875019961733</v>
      </c>
      <c r="AM14" t="n">
        <v>1.96121257678312</v>
      </c>
      <c r="AN14" t="n">
        <v>2.43608377440658</v>
      </c>
      <c r="AO14" t="n">
        <v>3.00325350238505</v>
      </c>
      <c r="AP14" t="n">
        <v>3.67420479014643</v>
      </c>
      <c r="AQ14" t="n">
        <v>4.460440572303</v>
      </c>
      <c r="AR14" t="n">
        <v>5.36383284096653</v>
      </c>
      <c r="AS14" t="n">
        <v>6.37421321365854</v>
      </c>
      <c r="AT14" t="n">
        <v>7.45520677550761</v>
      </c>
      <c r="AU14" t="n">
        <v>8.60970837366772</v>
      </c>
      <c r="AV14" t="n">
        <v>9.831423898363401</v>
      </c>
      <c r="AW14" t="n">
        <v>11.1188654370631</v>
      </c>
      <c r="AX14" t="n">
        <v>12.4785673189264</v>
      </c>
      <c r="AY14" t="n">
        <v>13.9094673309328</v>
      </c>
      <c r="AZ14" t="n">
        <v>15.3976698448309</v>
      </c>
      <c r="BA14" t="n">
        <v>0</v>
      </c>
      <c r="BB14" t="n">
        <v>0</v>
      </c>
      <c r="BC14" t="n">
        <v>0</v>
      </c>
      <c r="BD14" t="n">
        <v>0</v>
      </c>
      <c r="BE14" t="n">
        <v>0</v>
      </c>
      <c r="BF14" t="n">
        <v>0</v>
      </c>
      <c r="BG14" t="n">
        <v>0</v>
      </c>
      <c r="BH14" t="n">
        <v>0</v>
      </c>
      <c r="BJ14" t="inlineStr">
        <is>
          <t>High2</t>
        </is>
      </c>
      <c r="BL14" t="n">
        <v>1</v>
      </c>
      <c r="BM14" t="n">
        <v>0.997560975609757</v>
      </c>
      <c r="BN14" t="n">
        <v>0.985365853658537</v>
      </c>
      <c r="BO14" t="n">
        <v>0.973170731707317</v>
      </c>
      <c r="BP14" t="n">
        <v>0.960975609756098</v>
      </c>
      <c r="BQ14" t="n">
        <v>0.948780487804878</v>
      </c>
      <c r="BR14" t="n">
        <v>0.936585365853658</v>
      </c>
      <c r="BS14" t="n">
        <v>0.924390243902439</v>
      </c>
      <c r="BT14" t="n">
        <v>0.91219512195122</v>
      </c>
      <c r="BU14" t="n">
        <v>0.9</v>
      </c>
      <c r="BV14" t="n">
        <v>0.8875</v>
      </c>
      <c r="BW14" t="n">
        <v>0.875000000000001</v>
      </c>
      <c r="BX14" t="n">
        <v>0.862500000000001</v>
      </c>
      <c r="BY14" t="n">
        <v>0.850000000000001</v>
      </c>
      <c r="BZ14" t="n">
        <v>0.8375</v>
      </c>
      <c r="CA14" t="n">
        <v>0.825000000000001</v>
      </c>
      <c r="CB14" t="n">
        <v>0.812500000000001</v>
      </c>
      <c r="CC14" t="n">
        <v>0.800000000000001</v>
      </c>
      <c r="CD14" t="e">
        <v>#VALUE!</v>
      </c>
      <c r="CE14" t="e">
        <v>#VALUE!</v>
      </c>
      <c r="CF14" t="e">
        <v>#VALUE!</v>
      </c>
      <c r="CG14" t="e">
        <v>#VALUE!</v>
      </c>
      <c r="CH14" t="e">
        <v>#VALUE!</v>
      </c>
      <c r="CI14" t="e">
        <v>#VALUE!</v>
      </c>
      <c r="CJ14" t="e">
        <v>#VALUE!</v>
      </c>
      <c r="CK14" t="e">
        <v>#VALUE!</v>
      </c>
    </row>
    <row r="15" ht="12.5" customHeight="1" s="213">
      <c r="A15" t="inlineStr">
        <is>
          <t>Africa_Other</t>
        </is>
      </c>
      <c r="B15" t="inlineStr">
        <is>
          <t>TAD</t>
        </is>
      </c>
      <c r="C15" t="inlineStr">
        <is>
          <t>TAD</t>
        </is>
      </c>
      <c r="E15" t="n">
        <v>23.1803432118412</v>
      </c>
      <c r="F15">
        <f>E15</f>
        <v/>
      </c>
      <c r="I15">
        <f>F15</f>
        <v/>
      </c>
      <c r="J15">
        <f>I15</f>
        <v/>
      </c>
      <c r="L15">
        <f>J15</f>
        <v/>
      </c>
      <c r="V15">
        <f>L15</f>
        <v/>
      </c>
      <c r="W15" t="n">
        <v>3</v>
      </c>
      <c r="AG15" s="223" t="inlineStr">
        <is>
          <t>GDP</t>
        </is>
      </c>
      <c r="AI15" t="n">
        <v>1</v>
      </c>
      <c r="AJ15" t="n">
        <v>1.02246891243641</v>
      </c>
      <c r="AK15" t="n">
        <v>1.24938302921191</v>
      </c>
      <c r="AL15" t="n">
        <v>1.59660851081695</v>
      </c>
      <c r="AM15" t="n">
        <v>2.08504784266403</v>
      </c>
      <c r="AN15" t="n">
        <v>2.68343024980208</v>
      </c>
      <c r="AO15" t="n">
        <v>3.43061745145576</v>
      </c>
      <c r="AP15" t="n">
        <v>4.36282278169176</v>
      </c>
      <c r="AQ15" t="n">
        <v>5.51907412505686</v>
      </c>
      <c r="AR15" t="n">
        <v>6.93831073081934</v>
      </c>
      <c r="AS15" t="n">
        <v>8.66105910457652</v>
      </c>
      <c r="AT15" t="n">
        <v>10.7052920010157</v>
      </c>
      <c r="AU15" t="n">
        <v>13.1033847939631</v>
      </c>
      <c r="AV15" t="n">
        <v>15.8686875832727</v>
      </c>
      <c r="AW15" t="n">
        <v>19.0189860674954</v>
      </c>
      <c r="AX15" t="n">
        <v>22.575041414736</v>
      </c>
      <c r="AY15" t="n">
        <v>26.5513879418483</v>
      </c>
      <c r="AZ15" t="n">
        <v>30.9565185519041</v>
      </c>
      <c r="BA15" t="n">
        <v>0</v>
      </c>
      <c r="BB15" t="n">
        <v>0</v>
      </c>
      <c r="BC15" t="n">
        <v>0</v>
      </c>
      <c r="BD15" t="n">
        <v>0</v>
      </c>
      <c r="BE15" t="n">
        <v>0</v>
      </c>
      <c r="BF15" t="n">
        <v>0</v>
      </c>
      <c r="BG15" t="n">
        <v>0</v>
      </c>
      <c r="BH15" t="n">
        <v>0</v>
      </c>
      <c r="BJ15" t="inlineStr">
        <is>
          <t>High2</t>
        </is>
      </c>
      <c r="BL15" t="n">
        <v>1</v>
      </c>
      <c r="BM15" t="n">
        <v>0.997560975609757</v>
      </c>
      <c r="BN15" t="n">
        <v>0.985365853658537</v>
      </c>
      <c r="BO15" t="n">
        <v>0.973170731707317</v>
      </c>
      <c r="BP15" t="n">
        <v>0.960975609756098</v>
      </c>
      <c r="BQ15" t="n">
        <v>0.948780487804878</v>
      </c>
      <c r="BR15" t="n">
        <v>0.936585365853658</v>
      </c>
      <c r="BS15" t="n">
        <v>0.924390243902439</v>
      </c>
      <c r="BT15" t="n">
        <v>0.91219512195122</v>
      </c>
      <c r="BU15" t="n">
        <v>0.9</v>
      </c>
      <c r="BV15" t="n">
        <v>0.8875</v>
      </c>
      <c r="BW15" t="n">
        <v>0.875000000000001</v>
      </c>
      <c r="BX15" t="n">
        <v>0.862500000000001</v>
      </c>
      <c r="BY15" t="n">
        <v>0.850000000000001</v>
      </c>
      <c r="BZ15" t="n">
        <v>0.8375</v>
      </c>
      <c r="CA15" t="n">
        <v>0.825000000000001</v>
      </c>
      <c r="CB15" t="n">
        <v>0.812500000000001</v>
      </c>
      <c r="CC15" t="n">
        <v>0.800000000000001</v>
      </c>
      <c r="CD15" t="e">
        <v>#VALUE!</v>
      </c>
      <c r="CE15" t="e">
        <v>#VALUE!</v>
      </c>
      <c r="CF15" t="e">
        <v>#VALUE!</v>
      </c>
      <c r="CG15" t="e">
        <v>#VALUE!</v>
      </c>
      <c r="CH15" t="e">
        <v>#VALUE!</v>
      </c>
      <c r="CI15" t="e">
        <v>#VALUE!</v>
      </c>
      <c r="CJ15" t="e">
        <v>#VALUE!</v>
      </c>
      <c r="CK15" t="e">
        <v>#VALUE!</v>
      </c>
    </row>
    <row r="16" ht="12.5" customHeight="1" s="213">
      <c r="A16" t="inlineStr">
        <is>
          <t>Africa_Other</t>
        </is>
      </c>
      <c r="B16" t="inlineStr">
        <is>
          <t>TAI</t>
        </is>
      </c>
      <c r="C16" t="inlineStr">
        <is>
          <t>TAI</t>
        </is>
      </c>
      <c r="E16" t="n">
        <v>196.398393249324</v>
      </c>
      <c r="F16">
        <f>E16</f>
        <v/>
      </c>
      <c r="I16">
        <f>F16</f>
        <v/>
      </c>
      <c r="J16">
        <f>I16</f>
        <v/>
      </c>
      <c r="L16">
        <f>J16</f>
        <v/>
      </c>
      <c r="V16">
        <f>L16</f>
        <v/>
      </c>
      <c r="W16" t="n">
        <v>3</v>
      </c>
      <c r="AG16" s="223" t="inlineStr">
        <is>
          <t>GDP</t>
        </is>
      </c>
      <c r="AI16" t="n">
        <v>1</v>
      </c>
      <c r="AJ16" t="n">
        <v>1.02246891243641</v>
      </c>
      <c r="AK16" t="n">
        <v>1.24938302921191</v>
      </c>
      <c r="AL16" t="n">
        <v>1.59660851081695</v>
      </c>
      <c r="AM16" t="n">
        <v>2.08504784266403</v>
      </c>
      <c r="AN16" t="n">
        <v>2.68343024980208</v>
      </c>
      <c r="AO16" t="n">
        <v>3.43061745145576</v>
      </c>
      <c r="AP16" t="n">
        <v>4.36282278169176</v>
      </c>
      <c r="AQ16" t="n">
        <v>5.51907412505686</v>
      </c>
      <c r="AR16" t="n">
        <v>6.93831073081934</v>
      </c>
      <c r="AS16" t="n">
        <v>8.66105910457652</v>
      </c>
      <c r="AT16" t="n">
        <v>10.7052920010157</v>
      </c>
      <c r="AU16" t="n">
        <v>13.1033847939631</v>
      </c>
      <c r="AV16" t="n">
        <v>15.8686875832727</v>
      </c>
      <c r="AW16" t="n">
        <v>19.0189860674954</v>
      </c>
      <c r="AX16" t="n">
        <v>22.575041414736</v>
      </c>
      <c r="AY16" t="n">
        <v>26.5513879418483</v>
      </c>
      <c r="AZ16" t="n">
        <v>30.9565185519041</v>
      </c>
      <c r="BA16" t="n">
        <v>0</v>
      </c>
      <c r="BB16" t="n">
        <v>0</v>
      </c>
      <c r="BC16" t="n">
        <v>0</v>
      </c>
      <c r="BD16" t="n">
        <v>0</v>
      </c>
      <c r="BE16" t="n">
        <v>0</v>
      </c>
      <c r="BF16" t="n">
        <v>0</v>
      </c>
      <c r="BG16" t="n">
        <v>0</v>
      </c>
      <c r="BH16" t="n">
        <v>0</v>
      </c>
      <c r="BJ16" t="inlineStr">
        <is>
          <t>High2</t>
        </is>
      </c>
      <c r="BL16" t="n">
        <v>1</v>
      </c>
      <c r="BM16" t="n">
        <v>0.997560975609757</v>
      </c>
      <c r="BN16" t="n">
        <v>0.985365853658537</v>
      </c>
      <c r="BO16" t="n">
        <v>0.973170731707317</v>
      </c>
      <c r="BP16" t="n">
        <v>0.960975609756098</v>
      </c>
      <c r="BQ16" t="n">
        <v>0.948780487804878</v>
      </c>
      <c r="BR16" t="n">
        <v>0.936585365853658</v>
      </c>
      <c r="BS16" t="n">
        <v>0.924390243902439</v>
      </c>
      <c r="BT16" t="n">
        <v>0.91219512195122</v>
      </c>
      <c r="BU16" t="n">
        <v>0.9</v>
      </c>
      <c r="BV16" t="n">
        <v>0.8875</v>
      </c>
      <c r="BW16" t="n">
        <v>0.875000000000001</v>
      </c>
      <c r="BX16" t="n">
        <v>0.862500000000001</v>
      </c>
      <c r="BY16" t="n">
        <v>0.850000000000001</v>
      </c>
      <c r="BZ16" t="n">
        <v>0.8375</v>
      </c>
      <c r="CA16" t="n">
        <v>0.825000000000001</v>
      </c>
      <c r="CB16" t="n">
        <v>0.812500000000001</v>
      </c>
      <c r="CC16" t="n">
        <v>0.800000000000001</v>
      </c>
      <c r="CD16" t="e">
        <v>#VALUE!</v>
      </c>
      <c r="CE16" t="e">
        <v>#VALUE!</v>
      </c>
      <c r="CF16" t="e">
        <v>#VALUE!</v>
      </c>
      <c r="CG16" t="e">
        <v>#VALUE!</v>
      </c>
      <c r="CH16" t="e">
        <v>#VALUE!</v>
      </c>
      <c r="CI16" t="e">
        <v>#VALUE!</v>
      </c>
      <c r="CJ16" t="e">
        <v>#VALUE!</v>
      </c>
      <c r="CK16" t="e">
        <v>#VALUE!</v>
      </c>
    </row>
    <row r="17" ht="12.5" customHeight="1" s="213">
      <c r="A17" t="inlineStr">
        <is>
          <t>Africa_Other</t>
        </is>
      </c>
      <c r="B17" t="inlineStr">
        <is>
          <t>TTF</t>
        </is>
      </c>
      <c r="C17" t="inlineStr">
        <is>
          <t>TTF</t>
        </is>
      </c>
      <c r="E17" t="n">
        <v>10.9711987039902</v>
      </c>
      <c r="I17" t="n">
        <v>21.9803324306003</v>
      </c>
      <c r="J17" t="n">
        <v>27.9653136634823</v>
      </c>
      <c r="L17" t="n">
        <v>44.1146915834348</v>
      </c>
      <c r="V17" t="n">
        <v>243.633869506012</v>
      </c>
      <c r="W17" t="n">
        <v>3</v>
      </c>
      <c r="AG17" s="223" t="inlineStr">
        <is>
          <t>GDP</t>
        </is>
      </c>
      <c r="AI17" t="n">
        <v>1</v>
      </c>
      <c r="AJ17" t="n">
        <v>1.02246891243641</v>
      </c>
      <c r="AK17" t="n">
        <v>1.24938302921191</v>
      </c>
      <c r="AL17" t="n">
        <v>1.59660851081695</v>
      </c>
      <c r="AM17" t="n">
        <v>2.08504784266403</v>
      </c>
      <c r="AN17" t="n">
        <v>2.68343024980208</v>
      </c>
      <c r="AO17" t="n">
        <v>3.43061745145576</v>
      </c>
      <c r="AP17" t="n">
        <v>4.36282278169176</v>
      </c>
      <c r="AQ17" t="n">
        <v>5.51907412505686</v>
      </c>
      <c r="AR17" t="n">
        <v>6.93831073081934</v>
      </c>
      <c r="AS17" t="n">
        <v>8.66105910457652</v>
      </c>
      <c r="AT17" t="n">
        <v>10.7052920010157</v>
      </c>
      <c r="AU17" t="n">
        <v>13.1033847939631</v>
      </c>
      <c r="AV17" t="n">
        <v>15.8686875832727</v>
      </c>
      <c r="AW17" t="n">
        <v>19.0189860674954</v>
      </c>
      <c r="AX17" t="n">
        <v>22.575041414736</v>
      </c>
      <c r="AY17" t="n">
        <v>26.5513879418483</v>
      </c>
      <c r="AZ17" t="n">
        <v>30.9565185519041</v>
      </c>
      <c r="BA17" t="n">
        <v>0</v>
      </c>
      <c r="BB17" t="n">
        <v>0</v>
      </c>
      <c r="BC17" t="n">
        <v>0</v>
      </c>
      <c r="BD17" t="n">
        <v>0</v>
      </c>
      <c r="BE17" t="n">
        <v>0</v>
      </c>
      <c r="BF17" t="n">
        <v>0</v>
      </c>
      <c r="BG17" t="n">
        <v>0</v>
      </c>
      <c r="BH17" t="n">
        <v>0</v>
      </c>
      <c r="BJ17" t="inlineStr">
        <is>
          <t>High2</t>
        </is>
      </c>
      <c r="BL17" t="n">
        <v>1</v>
      </c>
      <c r="BM17" t="n">
        <v>0.997560975609757</v>
      </c>
      <c r="BN17" t="n">
        <v>0.985365853658537</v>
      </c>
      <c r="BO17" t="n">
        <v>0.973170731707317</v>
      </c>
      <c r="BP17" t="n">
        <v>0.960975609756098</v>
      </c>
      <c r="BQ17" t="n">
        <v>0.948780487804878</v>
      </c>
      <c r="BR17" t="n">
        <v>0.936585365853658</v>
      </c>
      <c r="BS17" t="n">
        <v>0.924390243902439</v>
      </c>
      <c r="BT17" t="n">
        <v>0.91219512195122</v>
      </c>
      <c r="BU17" t="n">
        <v>0.9</v>
      </c>
      <c r="BV17" t="n">
        <v>0.8875</v>
      </c>
      <c r="BW17" t="n">
        <v>0.875000000000001</v>
      </c>
      <c r="BX17" t="n">
        <v>0.862500000000001</v>
      </c>
      <c r="BY17" t="n">
        <v>0.850000000000001</v>
      </c>
      <c r="BZ17" t="n">
        <v>0.8375</v>
      </c>
      <c r="CA17" t="n">
        <v>0.825000000000001</v>
      </c>
      <c r="CB17" t="n">
        <v>0.812500000000001</v>
      </c>
      <c r="CC17" t="n">
        <v>0.800000000000001</v>
      </c>
      <c r="CD17" t="e">
        <v>#VALUE!</v>
      </c>
      <c r="CE17" t="e">
        <v>#VALUE!</v>
      </c>
      <c r="CF17" t="e">
        <v>#VALUE!</v>
      </c>
      <c r="CG17" t="e">
        <v>#VALUE!</v>
      </c>
      <c r="CH17" t="e">
        <v>#VALUE!</v>
      </c>
      <c r="CI17" t="e">
        <v>#VALUE!</v>
      </c>
      <c r="CJ17" t="e">
        <v>#VALUE!</v>
      </c>
      <c r="CK17" t="e">
        <v>#VALUE!</v>
      </c>
    </row>
    <row r="18" ht="12.5" customHeight="1" s="213">
      <c r="A18" t="inlineStr">
        <is>
          <t>Africa_Other</t>
        </is>
      </c>
      <c r="B18" t="inlineStr">
        <is>
          <t>TTP</t>
        </is>
      </c>
      <c r="C18" t="inlineStr">
        <is>
          <t>TTP</t>
        </is>
      </c>
      <c r="E18" t="n">
        <v>4.81437254044958</v>
      </c>
      <c r="I18" t="n">
        <v>6.86787428674687</v>
      </c>
      <c r="J18" t="n">
        <v>7.58517428493052</v>
      </c>
      <c r="L18" t="n">
        <v>8.989311577967589</v>
      </c>
      <c r="V18" t="n">
        <v>13.0281374717101</v>
      </c>
      <c r="W18" t="n">
        <v>3</v>
      </c>
      <c r="AG18" s="223" t="inlineStr">
        <is>
          <t>POP</t>
        </is>
      </c>
      <c r="AI18" t="n">
        <v>1</v>
      </c>
      <c r="AJ18" t="n">
        <v>1.02835964629207</v>
      </c>
      <c r="AK18" t="n">
        <v>1.17015787775242</v>
      </c>
      <c r="AL18" t="n">
        <v>1.32178389095272</v>
      </c>
      <c r="AM18" t="n">
        <v>1.4803215894015</v>
      </c>
      <c r="AN18" t="n">
        <v>1.64327701361462</v>
      </c>
      <c r="AO18" t="n">
        <v>1.807856173634</v>
      </c>
      <c r="AP18" t="n">
        <v>1.97112678896917</v>
      </c>
      <c r="AQ18" t="n">
        <v>2.12882285563043</v>
      </c>
      <c r="AR18" t="n">
        <v>2.27914115883496</v>
      </c>
      <c r="AS18" t="n">
        <v>2.41945733999278</v>
      </c>
      <c r="AT18" t="n">
        <v>2.54829854847816</v>
      </c>
      <c r="AU18" t="n">
        <v>2.6637921436305</v>
      </c>
      <c r="AV18" t="n">
        <v>2.76437656345089</v>
      </c>
      <c r="AW18" t="n">
        <v>2.84931997770064</v>
      </c>
      <c r="AX18" t="n">
        <v>2.91858238898645</v>
      </c>
      <c r="AY18" t="n">
        <v>2.97211785895335</v>
      </c>
      <c r="AZ18" t="n">
        <v>3.01053474588593</v>
      </c>
      <c r="BA18" t="n">
        <v>0</v>
      </c>
      <c r="BB18" t="n">
        <v>0</v>
      </c>
      <c r="BC18" t="n">
        <v>0</v>
      </c>
      <c r="BD18" t="n">
        <v>0</v>
      </c>
      <c r="BE18" t="n">
        <v>0</v>
      </c>
      <c r="BF18" t="n">
        <v>0</v>
      </c>
      <c r="BG18" t="n">
        <v>0</v>
      </c>
      <c r="BH18" t="n">
        <v>0</v>
      </c>
      <c r="BJ18" t="inlineStr">
        <is>
          <t>High2</t>
        </is>
      </c>
      <c r="BL18" t="n">
        <v>1</v>
      </c>
      <c r="BM18" t="n">
        <v>0.997560975609757</v>
      </c>
      <c r="BN18" t="n">
        <v>0.985365853658537</v>
      </c>
      <c r="BO18" t="n">
        <v>0.973170731707317</v>
      </c>
      <c r="BP18" t="n">
        <v>0.960975609756098</v>
      </c>
      <c r="BQ18" t="n">
        <v>0.948780487804878</v>
      </c>
      <c r="BR18" t="n">
        <v>0.936585365853658</v>
      </c>
      <c r="BS18" t="n">
        <v>0.924390243902439</v>
      </c>
      <c r="BT18" t="n">
        <v>0.91219512195122</v>
      </c>
      <c r="BU18" t="n">
        <v>0.9</v>
      </c>
      <c r="BV18" t="n">
        <v>0.8875</v>
      </c>
      <c r="BW18" t="n">
        <v>0.875000000000001</v>
      </c>
      <c r="BX18" t="n">
        <v>0.862500000000001</v>
      </c>
      <c r="BY18" t="n">
        <v>0.850000000000001</v>
      </c>
      <c r="BZ18" t="n">
        <v>0.8375</v>
      </c>
      <c r="CA18" t="n">
        <v>0.825000000000001</v>
      </c>
      <c r="CB18" t="n">
        <v>0.812500000000001</v>
      </c>
      <c r="CC18" t="n">
        <v>0.800000000000001</v>
      </c>
      <c r="CD18" t="e">
        <v>#VALUE!</v>
      </c>
      <c r="CE18" t="e">
        <v>#VALUE!</v>
      </c>
      <c r="CF18" t="e">
        <v>#VALUE!</v>
      </c>
      <c r="CG18" t="e">
        <v>#VALUE!</v>
      </c>
      <c r="CH18" t="e">
        <v>#VALUE!</v>
      </c>
      <c r="CI18" t="e">
        <v>#VALUE!</v>
      </c>
      <c r="CJ18" t="e">
        <v>#VALUE!</v>
      </c>
      <c r="CK18" t="e">
        <v>#VALUE!</v>
      </c>
    </row>
    <row r="19" ht="12.5" customHeight="1" s="213">
      <c r="A19" t="inlineStr">
        <is>
          <t>Africa_Other</t>
        </is>
      </c>
      <c r="B19" t="inlineStr">
        <is>
          <t>TWD</t>
        </is>
      </c>
      <c r="C19" t="inlineStr">
        <is>
          <t>TWD</t>
        </is>
      </c>
      <c r="E19" t="n">
        <v>24.0823261432321</v>
      </c>
      <c r="F19">
        <f>E19</f>
        <v/>
      </c>
      <c r="I19">
        <f>F19</f>
        <v/>
      </c>
      <c r="J19">
        <f>I19</f>
        <v/>
      </c>
      <c r="L19">
        <f>J19</f>
        <v/>
      </c>
      <c r="V19">
        <f>L19</f>
        <v/>
      </c>
      <c r="W19" t="n">
        <v>3</v>
      </c>
      <c r="AG19" s="223" t="inlineStr">
        <is>
          <t>GDP</t>
        </is>
      </c>
      <c r="AI19" t="n">
        <v>1</v>
      </c>
      <c r="AJ19" t="n">
        <v>1.02246891243641</v>
      </c>
      <c r="AK19" t="n">
        <v>1.24938302921191</v>
      </c>
      <c r="AL19" t="n">
        <v>1.59660851081695</v>
      </c>
      <c r="AM19" t="n">
        <v>2.08504784266403</v>
      </c>
      <c r="AN19" t="n">
        <v>2.68343024980208</v>
      </c>
      <c r="AO19" t="n">
        <v>3.43061745145576</v>
      </c>
      <c r="AP19" t="n">
        <v>4.36282278169176</v>
      </c>
      <c r="AQ19" t="n">
        <v>5.51907412505686</v>
      </c>
      <c r="AR19" t="n">
        <v>6.93831073081934</v>
      </c>
      <c r="AS19" t="n">
        <v>8.66105910457652</v>
      </c>
      <c r="AT19" t="n">
        <v>10.7052920010157</v>
      </c>
      <c r="AU19" t="n">
        <v>13.1033847939631</v>
      </c>
      <c r="AV19" t="n">
        <v>15.8686875832727</v>
      </c>
      <c r="AW19" t="n">
        <v>19.0189860674954</v>
      </c>
      <c r="AX19" t="n">
        <v>22.575041414736</v>
      </c>
      <c r="AY19" t="n">
        <v>26.5513879418483</v>
      </c>
      <c r="AZ19" t="n">
        <v>30.9565185519041</v>
      </c>
      <c r="BA19" t="n">
        <v>0</v>
      </c>
      <c r="BB19" t="n">
        <v>0</v>
      </c>
      <c r="BC19" t="n">
        <v>0</v>
      </c>
      <c r="BD19" t="n">
        <v>0</v>
      </c>
      <c r="BE19" t="n">
        <v>0</v>
      </c>
      <c r="BF19" t="n">
        <v>0</v>
      </c>
      <c r="BG19" t="n">
        <v>0</v>
      </c>
      <c r="BH19" t="n">
        <v>0</v>
      </c>
      <c r="BJ19" t="inlineStr">
        <is>
          <t>High2</t>
        </is>
      </c>
      <c r="BL19" t="n">
        <v>1</v>
      </c>
      <c r="BM19" t="n">
        <v>0.997560975609757</v>
      </c>
      <c r="BN19" t="n">
        <v>0.985365853658537</v>
      </c>
      <c r="BO19" t="n">
        <v>0.973170731707317</v>
      </c>
      <c r="BP19" t="n">
        <v>0.960975609756098</v>
      </c>
      <c r="BQ19" t="n">
        <v>0.948780487804878</v>
      </c>
      <c r="BR19" t="n">
        <v>0.936585365853658</v>
      </c>
      <c r="BS19" t="n">
        <v>0.924390243902439</v>
      </c>
      <c r="BT19" t="n">
        <v>0.91219512195122</v>
      </c>
      <c r="BU19" t="n">
        <v>0.9</v>
      </c>
      <c r="BV19" t="n">
        <v>0.8875</v>
      </c>
      <c r="BW19" t="n">
        <v>0.875000000000001</v>
      </c>
      <c r="BX19" t="n">
        <v>0.862500000000001</v>
      </c>
      <c r="BY19" t="n">
        <v>0.850000000000001</v>
      </c>
      <c r="BZ19" t="n">
        <v>0.8375</v>
      </c>
      <c r="CA19" t="n">
        <v>0.825000000000001</v>
      </c>
      <c r="CB19" t="n">
        <v>0.812500000000001</v>
      </c>
      <c r="CC19" t="n">
        <v>0.800000000000001</v>
      </c>
      <c r="CD19" t="e">
        <v>#VALUE!</v>
      </c>
      <c r="CE19" t="e">
        <v>#VALUE!</v>
      </c>
      <c r="CF19" t="e">
        <v>#VALUE!</v>
      </c>
      <c r="CG19" t="e">
        <v>#VALUE!</v>
      </c>
      <c r="CH19" t="e">
        <v>#VALUE!</v>
      </c>
      <c r="CI19" t="e">
        <v>#VALUE!</v>
      </c>
      <c r="CJ19" t="e">
        <v>#VALUE!</v>
      </c>
      <c r="CK19" t="e">
        <v>#VALUE!</v>
      </c>
    </row>
    <row r="20" ht="12.5" customHeight="1" s="213">
      <c r="A20" t="inlineStr">
        <is>
          <t>Africa_Other</t>
        </is>
      </c>
      <c r="B20" t="inlineStr">
        <is>
          <t>TWI</t>
        </is>
      </c>
      <c r="C20" t="inlineStr">
        <is>
          <t>TWI</t>
        </is>
      </c>
      <c r="E20" t="n">
        <v>90.40889223292341</v>
      </c>
      <c r="F20">
        <f>E20</f>
        <v/>
      </c>
      <c r="I20">
        <f>F20</f>
        <v/>
      </c>
      <c r="J20">
        <f>I20</f>
        <v/>
      </c>
      <c r="L20">
        <f>J20</f>
        <v/>
      </c>
      <c r="V20">
        <f>L20</f>
        <v/>
      </c>
      <c r="W20" t="n">
        <v>3</v>
      </c>
      <c r="AG20" s="223" t="inlineStr">
        <is>
          <t>GDP</t>
        </is>
      </c>
      <c r="AI20" t="n">
        <v>1</v>
      </c>
      <c r="AJ20" t="n">
        <v>1.02246891243641</v>
      </c>
      <c r="AK20" t="n">
        <v>1.24938302921191</v>
      </c>
      <c r="AL20" t="n">
        <v>1.59660851081695</v>
      </c>
      <c r="AM20" t="n">
        <v>2.08504784266403</v>
      </c>
      <c r="AN20" t="n">
        <v>2.68343024980208</v>
      </c>
      <c r="AO20" t="n">
        <v>3.43061745145576</v>
      </c>
      <c r="AP20" t="n">
        <v>4.36282278169176</v>
      </c>
      <c r="AQ20" t="n">
        <v>5.51907412505686</v>
      </c>
      <c r="AR20" t="n">
        <v>6.93831073081934</v>
      </c>
      <c r="AS20" t="n">
        <v>8.66105910457652</v>
      </c>
      <c r="AT20" t="n">
        <v>10.7052920010157</v>
      </c>
      <c r="AU20" t="n">
        <v>13.1033847939631</v>
      </c>
      <c r="AV20" t="n">
        <v>15.8686875832727</v>
      </c>
      <c r="AW20" t="n">
        <v>19.0189860674954</v>
      </c>
      <c r="AX20" t="n">
        <v>22.575041414736</v>
      </c>
      <c r="AY20" t="n">
        <v>26.5513879418483</v>
      </c>
      <c r="AZ20" t="n">
        <v>30.9565185519041</v>
      </c>
      <c r="BA20" t="n">
        <v>0</v>
      </c>
      <c r="BB20" t="n">
        <v>0</v>
      </c>
      <c r="BC20" t="n">
        <v>0</v>
      </c>
      <c r="BD20" t="n">
        <v>0</v>
      </c>
      <c r="BE20" t="n">
        <v>0</v>
      </c>
      <c r="BF20" t="n">
        <v>0</v>
      </c>
      <c r="BG20" t="n">
        <v>0</v>
      </c>
      <c r="BH20" t="n">
        <v>0</v>
      </c>
      <c r="BJ20" t="inlineStr">
        <is>
          <t>High2</t>
        </is>
      </c>
      <c r="BL20" t="n">
        <v>1</v>
      </c>
      <c r="BM20" t="n">
        <v>0.997560975609757</v>
      </c>
      <c r="BN20" t="n">
        <v>0.985365853658537</v>
      </c>
      <c r="BO20" t="n">
        <v>0.973170731707317</v>
      </c>
      <c r="BP20" t="n">
        <v>0.960975609756098</v>
      </c>
      <c r="BQ20" t="n">
        <v>0.948780487804878</v>
      </c>
      <c r="BR20" t="n">
        <v>0.936585365853658</v>
      </c>
      <c r="BS20" t="n">
        <v>0.924390243902439</v>
      </c>
      <c r="BT20" t="n">
        <v>0.91219512195122</v>
      </c>
      <c r="BU20" t="n">
        <v>0.9</v>
      </c>
      <c r="BV20" t="n">
        <v>0.8875</v>
      </c>
      <c r="BW20" t="n">
        <v>0.875000000000001</v>
      </c>
      <c r="BX20" t="n">
        <v>0.862500000000001</v>
      </c>
      <c r="BY20" t="n">
        <v>0.850000000000001</v>
      </c>
      <c r="BZ20" t="n">
        <v>0.8375</v>
      </c>
      <c r="CA20" t="n">
        <v>0.825000000000001</v>
      </c>
      <c r="CB20" t="n">
        <v>0.812500000000001</v>
      </c>
      <c r="CC20" t="n">
        <v>0.800000000000001</v>
      </c>
      <c r="CD20" t="e">
        <v>#VALUE!</v>
      </c>
      <c r="CE20" t="e">
        <v>#VALUE!</v>
      </c>
      <c r="CF20" t="e">
        <v>#VALUE!</v>
      </c>
      <c r="CG20" t="e">
        <v>#VALUE!</v>
      </c>
      <c r="CH20" t="e">
        <v>#VALUE!</v>
      </c>
      <c r="CI20" t="e">
        <v>#VALUE!</v>
      </c>
      <c r="CJ20" t="e">
        <v>#VALUE!</v>
      </c>
      <c r="CK20" t="e">
        <v>#VALUE!</v>
      </c>
    </row>
    <row r="21" ht="12.5" customHeight="1" s="213">
      <c r="A21" t="inlineStr">
        <is>
          <t>Africa_Other</t>
        </is>
      </c>
      <c r="B21" t="inlineStr">
        <is>
          <t>Trd_2w</t>
        </is>
      </c>
      <c r="C21" t="inlineStr">
        <is>
          <t>Trd_2w</t>
        </is>
      </c>
      <c r="D21" t="n">
        <v>430.612</v>
      </c>
      <c r="E21" t="n">
        <v>442.794218633489</v>
      </c>
      <c r="G21" t="n">
        <v>502.956630473746</v>
      </c>
      <c r="H21" t="n">
        <v>566.379930005521</v>
      </c>
      <c r="I21" t="n">
        <v>631.661759226702</v>
      </c>
      <c r="J21" t="n">
        <v>697.634279955618</v>
      </c>
      <c r="K21" t="n">
        <v>763.073669799907</v>
      </c>
      <c r="L21" t="n">
        <v>826.7775629692831</v>
      </c>
      <c r="M21" t="n">
        <v>887.114426195659</v>
      </c>
      <c r="N21" t="n">
        <v>943.490456473223</v>
      </c>
      <c r="O21" t="n">
        <v>995.042086942428</v>
      </c>
      <c r="P21" t="n">
        <v>1041.40666630462</v>
      </c>
      <c r="Q21" t="n">
        <v>1082.11534915572</v>
      </c>
      <c r="R21" t="n">
        <v>1116.8467951166</v>
      </c>
      <c r="S21" t="n">
        <v>1145.58839431704</v>
      </c>
      <c r="T21" t="n">
        <v>1168.56251709046</v>
      </c>
      <c r="U21" t="n">
        <v>1185.97837943395</v>
      </c>
      <c r="V21" t="n">
        <v>1198.24211848318</v>
      </c>
      <c r="W21" t="n">
        <v>3</v>
      </c>
      <c r="AG21" s="223" t="inlineStr">
        <is>
          <t>POP</t>
        </is>
      </c>
      <c r="AI21" t="n">
        <v>1</v>
      </c>
      <c r="AJ21" t="n">
        <v>1.02835964629207</v>
      </c>
      <c r="AK21" t="n">
        <v>1.17015787775242</v>
      </c>
      <c r="AL21" t="n">
        <v>1.32178389095272</v>
      </c>
      <c r="AM21" t="n">
        <v>1.4803215894015</v>
      </c>
      <c r="AN21" t="n">
        <v>1.64327701361462</v>
      </c>
      <c r="AO21" t="n">
        <v>1.807856173634</v>
      </c>
      <c r="AP21" t="n">
        <v>1.97112678896917</v>
      </c>
      <c r="AQ21" t="n">
        <v>2.12882285563043</v>
      </c>
      <c r="AR21" t="n">
        <v>2.27914115883496</v>
      </c>
      <c r="AS21" t="n">
        <v>2.41945733999278</v>
      </c>
      <c r="AT21" t="n">
        <v>2.54829854847816</v>
      </c>
      <c r="AU21" t="n">
        <v>2.6637921436305</v>
      </c>
      <c r="AV21" t="n">
        <v>2.76437656345089</v>
      </c>
      <c r="AW21" t="n">
        <v>2.84931997770064</v>
      </c>
      <c r="AX21" t="n">
        <v>2.91858238898645</v>
      </c>
      <c r="AY21" t="n">
        <v>2.97211785895335</v>
      </c>
      <c r="AZ21" t="n">
        <v>3.01053474588593</v>
      </c>
      <c r="BA21" t="n">
        <v>0</v>
      </c>
      <c r="BB21" t="n">
        <v>0</v>
      </c>
      <c r="BC21" t="n">
        <v>0</v>
      </c>
      <c r="BD21" t="n">
        <v>0</v>
      </c>
      <c r="BE21" t="n">
        <v>0</v>
      </c>
      <c r="BF21" t="n">
        <v>0</v>
      </c>
      <c r="BG21" t="n">
        <v>0</v>
      </c>
      <c r="BH21" t="n">
        <v>0</v>
      </c>
      <c r="BJ21" t="inlineStr">
        <is>
          <t>High2</t>
        </is>
      </c>
      <c r="BL21" t="n">
        <v>1</v>
      </c>
      <c r="BM21" t="n">
        <v>0.997560975609757</v>
      </c>
      <c r="BN21" t="n">
        <v>0.985365853658537</v>
      </c>
      <c r="BO21" t="n">
        <v>0.973170731707317</v>
      </c>
      <c r="BP21" t="n">
        <v>0.960975609756098</v>
      </c>
      <c r="BQ21" t="n">
        <v>0.948780487804878</v>
      </c>
      <c r="BR21" t="n">
        <v>0.936585365853658</v>
      </c>
      <c r="BS21" t="n">
        <v>0.924390243902439</v>
      </c>
      <c r="BT21" t="n">
        <v>0.91219512195122</v>
      </c>
      <c r="BU21" t="n">
        <v>0.9</v>
      </c>
      <c r="BV21" t="n">
        <v>0.8875</v>
      </c>
      <c r="BW21" t="n">
        <v>0.875000000000001</v>
      </c>
      <c r="BX21" t="n">
        <v>0.862500000000001</v>
      </c>
      <c r="BY21" t="n">
        <v>0.850000000000001</v>
      </c>
      <c r="BZ21" t="n">
        <v>0.8375</v>
      </c>
      <c r="CA21" t="n">
        <v>0.825000000000001</v>
      </c>
      <c r="CB21" t="n">
        <v>0.812500000000001</v>
      </c>
      <c r="CC21" t="n">
        <v>0.800000000000001</v>
      </c>
      <c r="CD21" t="e">
        <v>#VALUE!</v>
      </c>
      <c r="CE21" t="e">
        <v>#VALUE!</v>
      </c>
      <c r="CF21" t="e">
        <v>#VALUE!</v>
      </c>
      <c r="CG21" t="e">
        <v>#VALUE!</v>
      </c>
      <c r="CH21" t="e">
        <v>#VALUE!</v>
      </c>
      <c r="CI21" t="e">
        <v>#VALUE!</v>
      </c>
      <c r="CJ21" t="e">
        <v>#VALUE!</v>
      </c>
      <c r="CK21" t="e">
        <v>#VALUE!</v>
      </c>
    </row>
    <row r="22" ht="12.5" customHeight="1" s="213">
      <c r="A22" t="inlineStr">
        <is>
          <t>Africa_Other</t>
        </is>
      </c>
      <c r="B22" t="inlineStr">
        <is>
          <t>Trd_3w</t>
        </is>
      </c>
      <c r="C22" t="inlineStr">
        <is>
          <t>Trd_3w</t>
        </is>
      </c>
      <c r="D22" t="n">
        <v>72.94499999999999</v>
      </c>
      <c r="E22" t="n">
        <v>75.0086488026805</v>
      </c>
      <c r="G22" t="n">
        <v>85.2000673690175</v>
      </c>
      <c r="H22" t="n">
        <v>95.9438752153974</v>
      </c>
      <c r="I22" t="n">
        <v>107.002515087345</v>
      </c>
      <c r="J22" t="n">
        <v>118.178157021547</v>
      </c>
      <c r="K22" t="n">
        <v>129.263487416872</v>
      </c>
      <c r="L22" t="n">
        <v>140.054827387055</v>
      </c>
      <c r="M22" t="n">
        <v>150.275797745633</v>
      </c>
      <c r="N22" t="n">
        <v>159.825809191196</v>
      </c>
      <c r="O22" t="n">
        <v>168.558574846998</v>
      </c>
      <c r="P22" t="n">
        <v>176.412662149663</v>
      </c>
      <c r="Q22" t="n">
        <v>183.308649420276</v>
      </c>
      <c r="R22" t="n">
        <v>189.192102100686</v>
      </c>
      <c r="S22" t="n">
        <v>194.060884098577</v>
      </c>
      <c r="T22" t="n">
        <v>197.952664600994</v>
      </c>
      <c r="U22" t="n">
        <v>200.902884470961</v>
      </c>
      <c r="V22" t="n">
        <v>202.980342704699</v>
      </c>
      <c r="W22" t="n">
        <v>3</v>
      </c>
      <c r="AG22" s="223" t="inlineStr">
        <is>
          <t>POP</t>
        </is>
      </c>
      <c r="AI22" t="n">
        <v>1</v>
      </c>
      <c r="AJ22" t="n">
        <v>1.02835964629207</v>
      </c>
      <c r="AK22" t="n">
        <v>1.17015787775242</v>
      </c>
      <c r="AL22" t="n">
        <v>1.32178389095272</v>
      </c>
      <c r="AM22" t="n">
        <v>1.4803215894015</v>
      </c>
      <c r="AN22" t="n">
        <v>1.64327701361462</v>
      </c>
      <c r="AO22" t="n">
        <v>1.807856173634</v>
      </c>
      <c r="AP22" t="n">
        <v>1.97112678896917</v>
      </c>
      <c r="AQ22" t="n">
        <v>2.12882285563043</v>
      </c>
      <c r="AR22" t="n">
        <v>2.27914115883496</v>
      </c>
      <c r="AS22" t="n">
        <v>2.41945733999278</v>
      </c>
      <c r="AT22" t="n">
        <v>2.54829854847816</v>
      </c>
      <c r="AU22" t="n">
        <v>2.6637921436305</v>
      </c>
      <c r="AV22" t="n">
        <v>2.76437656345089</v>
      </c>
      <c r="AW22" t="n">
        <v>2.84931997770064</v>
      </c>
      <c r="AX22" t="n">
        <v>2.91858238898645</v>
      </c>
      <c r="AY22" t="n">
        <v>2.97211785895335</v>
      </c>
      <c r="AZ22" t="n">
        <v>3.01053474588593</v>
      </c>
      <c r="BA22" t="n">
        <v>0</v>
      </c>
      <c r="BB22" t="n">
        <v>0</v>
      </c>
      <c r="BC22" t="n">
        <v>0</v>
      </c>
      <c r="BD22" t="n">
        <v>0</v>
      </c>
      <c r="BE22" t="n">
        <v>0</v>
      </c>
      <c r="BF22" t="n">
        <v>0</v>
      </c>
      <c r="BG22" t="n">
        <v>0</v>
      </c>
      <c r="BH22" t="n">
        <v>0</v>
      </c>
      <c r="BJ22" t="inlineStr">
        <is>
          <t>High2</t>
        </is>
      </c>
      <c r="BL22" t="n">
        <v>1</v>
      </c>
      <c r="BM22" t="n">
        <v>0.997560975609757</v>
      </c>
      <c r="BN22" t="n">
        <v>0.985365853658537</v>
      </c>
      <c r="BO22" t="n">
        <v>0.973170731707317</v>
      </c>
      <c r="BP22" t="n">
        <v>0.960975609756098</v>
      </c>
      <c r="BQ22" t="n">
        <v>0.948780487804878</v>
      </c>
      <c r="BR22" t="n">
        <v>0.936585365853658</v>
      </c>
      <c r="BS22" t="n">
        <v>0.924390243902439</v>
      </c>
      <c r="BT22" t="n">
        <v>0.91219512195122</v>
      </c>
      <c r="BU22" t="n">
        <v>0.9</v>
      </c>
      <c r="BV22" t="n">
        <v>0.8875</v>
      </c>
      <c r="BW22" t="n">
        <v>0.875000000000001</v>
      </c>
      <c r="BX22" t="n">
        <v>0.862500000000001</v>
      </c>
      <c r="BY22" t="n">
        <v>0.850000000000001</v>
      </c>
      <c r="BZ22" t="n">
        <v>0.8375</v>
      </c>
      <c r="CA22" t="n">
        <v>0.825000000000001</v>
      </c>
      <c r="CB22" t="n">
        <v>0.812500000000001</v>
      </c>
      <c r="CC22" t="n">
        <v>0.800000000000001</v>
      </c>
      <c r="CD22" t="e">
        <v>#VALUE!</v>
      </c>
      <c r="CE22" t="e">
        <v>#VALUE!</v>
      </c>
      <c r="CF22" t="e">
        <v>#VALUE!</v>
      </c>
      <c r="CG22" t="e">
        <v>#VALUE!</v>
      </c>
      <c r="CH22" t="e">
        <v>#VALUE!</v>
      </c>
      <c r="CI22" t="e">
        <v>#VALUE!</v>
      </c>
      <c r="CJ22" t="e">
        <v>#VALUE!</v>
      </c>
      <c r="CK22" t="e">
        <v>#VALUE!</v>
      </c>
    </row>
    <row r="23" ht="12.5" customHeight="1" s="213">
      <c r="A23" t="inlineStr">
        <is>
          <t>Africa_Other</t>
        </is>
      </c>
      <c r="B23" t="inlineStr">
        <is>
          <t>Trd_bus</t>
        </is>
      </c>
      <c r="C23" t="inlineStr">
        <is>
          <t>Trd_bus</t>
        </is>
      </c>
      <c r="D23" t="n">
        <v>22.435</v>
      </c>
      <c r="E23" t="n">
        <v>23.0696968385515</v>
      </c>
      <c r="G23" t="n">
        <v>26.2041745345659</v>
      </c>
      <c r="H23" t="n">
        <v>29.5085453486523</v>
      </c>
      <c r="I23" t="n">
        <v>32.9097460550358</v>
      </c>
      <c r="J23" t="n">
        <v>36.3469319731087</v>
      </c>
      <c r="K23" t="n">
        <v>39.7563416299613</v>
      </c>
      <c r="L23" t="n">
        <v>43.0753314473722</v>
      </c>
      <c r="M23" t="n">
        <v>46.2188981071117</v>
      </c>
      <c r="N23" t="n">
        <v>49.1561043142708</v>
      </c>
      <c r="O23" t="n">
        <v>51.8419580052422</v>
      </c>
      <c r="P23" t="n">
        <v>54.2575649506847</v>
      </c>
      <c r="Q23" t="n">
        <v>56.378498180052</v>
      </c>
      <c r="R23" t="n">
        <v>58.1880157739241</v>
      </c>
      <c r="S23" t="n">
        <v>59.6854607546999</v>
      </c>
      <c r="T23" t="n">
        <v>60.8824186760341</v>
      </c>
      <c r="U23" t="n">
        <v>61.7897897471522</v>
      </c>
      <c r="V23" t="n">
        <v>62.4287338210969</v>
      </c>
      <c r="W23" t="n">
        <v>3</v>
      </c>
      <c r="AG23" s="223" t="inlineStr">
        <is>
          <t>POP</t>
        </is>
      </c>
      <c r="AI23" t="n">
        <v>1</v>
      </c>
      <c r="AJ23" t="n">
        <v>1.02835964629207</v>
      </c>
      <c r="AK23" t="n">
        <v>1.17015787775242</v>
      </c>
      <c r="AL23" t="n">
        <v>1.32178389095272</v>
      </c>
      <c r="AM23" t="n">
        <v>1.4803215894015</v>
      </c>
      <c r="AN23" t="n">
        <v>1.64327701361462</v>
      </c>
      <c r="AO23" t="n">
        <v>1.807856173634</v>
      </c>
      <c r="AP23" t="n">
        <v>1.97112678896917</v>
      </c>
      <c r="AQ23" t="n">
        <v>2.12882285563043</v>
      </c>
      <c r="AR23" t="n">
        <v>2.27914115883496</v>
      </c>
      <c r="AS23" t="n">
        <v>2.41945733999278</v>
      </c>
      <c r="AT23" t="n">
        <v>2.54829854847816</v>
      </c>
      <c r="AU23" t="n">
        <v>2.6637921436305</v>
      </c>
      <c r="AV23" t="n">
        <v>2.76437656345089</v>
      </c>
      <c r="AW23" t="n">
        <v>2.84931997770064</v>
      </c>
      <c r="AX23" t="n">
        <v>2.91858238898645</v>
      </c>
      <c r="AY23" t="n">
        <v>2.97211785895335</v>
      </c>
      <c r="AZ23" t="n">
        <v>3.01053474588593</v>
      </c>
      <c r="BA23" t="n">
        <v>0</v>
      </c>
      <c r="BB23" t="n">
        <v>0</v>
      </c>
      <c r="BC23" t="n">
        <v>0</v>
      </c>
      <c r="BD23" t="n">
        <v>0</v>
      </c>
      <c r="BE23" t="n">
        <v>0</v>
      </c>
      <c r="BF23" t="n">
        <v>0</v>
      </c>
      <c r="BG23" t="n">
        <v>0</v>
      </c>
      <c r="BH23" t="n">
        <v>0</v>
      </c>
      <c r="BJ23" t="inlineStr">
        <is>
          <t>High2</t>
        </is>
      </c>
      <c r="BL23" t="n">
        <v>1</v>
      </c>
      <c r="BM23" t="n">
        <v>0.997560975609757</v>
      </c>
      <c r="BN23" t="n">
        <v>0.985365853658537</v>
      </c>
      <c r="BO23" t="n">
        <v>0.973170731707317</v>
      </c>
      <c r="BP23" t="n">
        <v>0.960975609756098</v>
      </c>
      <c r="BQ23" t="n">
        <v>0.948780487804878</v>
      </c>
      <c r="BR23" t="n">
        <v>0.936585365853658</v>
      </c>
      <c r="BS23" t="n">
        <v>0.924390243902439</v>
      </c>
      <c r="BT23" t="n">
        <v>0.91219512195122</v>
      </c>
      <c r="BU23" t="n">
        <v>0.9</v>
      </c>
      <c r="BV23" t="n">
        <v>0.8875</v>
      </c>
      <c r="BW23" t="n">
        <v>0.875000000000001</v>
      </c>
      <c r="BX23" t="n">
        <v>0.862500000000001</v>
      </c>
      <c r="BY23" t="n">
        <v>0.850000000000001</v>
      </c>
      <c r="BZ23" t="n">
        <v>0.8375</v>
      </c>
      <c r="CA23" t="n">
        <v>0.825000000000001</v>
      </c>
      <c r="CB23" t="n">
        <v>0.812500000000001</v>
      </c>
      <c r="CC23" t="n">
        <v>0.800000000000001</v>
      </c>
      <c r="CD23" t="e">
        <v>#VALUE!</v>
      </c>
      <c r="CE23" t="e">
        <v>#VALUE!</v>
      </c>
      <c r="CF23" t="e">
        <v>#VALUE!</v>
      </c>
      <c r="CG23" t="e">
        <v>#VALUE!</v>
      </c>
      <c r="CH23" t="e">
        <v>#VALUE!</v>
      </c>
      <c r="CI23" t="e">
        <v>#VALUE!</v>
      </c>
      <c r="CJ23" t="e">
        <v>#VALUE!</v>
      </c>
      <c r="CK23" t="e">
        <v>#VALUE!</v>
      </c>
    </row>
    <row r="24" ht="12.5" customHeight="1" s="213">
      <c r="A24" t="inlineStr">
        <is>
          <t>Africa_Other</t>
        </is>
      </c>
      <c r="B24" t="inlineStr">
        <is>
          <t>Trd_car</t>
        </is>
      </c>
      <c r="C24" t="inlineStr">
        <is>
          <t>Trd_car</t>
        </is>
      </c>
      <c r="D24" t="n">
        <v>370.728</v>
      </c>
      <c r="E24" t="n">
        <v>368.609545137503</v>
      </c>
      <c r="G24" t="n">
        <v>395.435178075436</v>
      </c>
      <c r="H24" t="n">
        <v>445.971902816158</v>
      </c>
      <c r="I24" t="n">
        <v>517.141154478426</v>
      </c>
      <c r="J24" t="n">
        <v>595.3333456923129</v>
      </c>
      <c r="K24" t="n">
        <v>685.695337785793</v>
      </c>
      <c r="L24" t="n">
        <v>791.163028948559</v>
      </c>
      <c r="M24" t="n">
        <v>914.800189861376</v>
      </c>
      <c r="N24" t="n">
        <v>1058.25315588521</v>
      </c>
      <c r="O24" t="n">
        <v>1223.45868731069</v>
      </c>
      <c r="P24" t="n">
        <v>1409.22996358322</v>
      </c>
      <c r="Q24" t="n">
        <v>1617.00184979229</v>
      </c>
      <c r="R24" t="n">
        <v>1846.49755642542</v>
      </c>
      <c r="S24" t="n">
        <v>2098.24711298761</v>
      </c>
      <c r="T24" t="n">
        <v>2373.14758692814</v>
      </c>
      <c r="U24" t="n">
        <v>2671.92673123458</v>
      </c>
      <c r="V24" t="n">
        <v>2994.76314727127</v>
      </c>
      <c r="W24" t="n">
        <v>3</v>
      </c>
      <c r="AG24" s="223" t="inlineStr">
        <is>
          <t>GDPPCAP</t>
        </is>
      </c>
      <c r="AI24" t="n">
        <v>1</v>
      </c>
      <c r="AJ24" t="n">
        <v>0.994271718190323</v>
      </c>
      <c r="AK24" t="n">
        <v>1.06770466871673</v>
      </c>
      <c r="AL24" t="n">
        <v>1.20791948044255</v>
      </c>
      <c r="AM24" t="n">
        <v>1.40851005456661</v>
      </c>
      <c r="AN24" t="n">
        <v>1.63297498082779</v>
      </c>
      <c r="AO24" t="n">
        <v>1.89761635991199</v>
      </c>
      <c r="AP24" t="n">
        <v>2.21336486628207</v>
      </c>
      <c r="AQ24" t="n">
        <v>2.59254738385569</v>
      </c>
      <c r="AR24" t="n">
        <v>3.04426546987814</v>
      </c>
      <c r="AS24" t="n">
        <v>3.57975276580091</v>
      </c>
      <c r="AT24" t="n">
        <v>4.20095675501165</v>
      </c>
      <c r="AU24" t="n">
        <v>4.91907179217984</v>
      </c>
      <c r="AV24" t="n">
        <v>5.7404218343767</v>
      </c>
      <c r="AW24" t="n">
        <v>6.67492110971807</v>
      </c>
      <c r="AX24" t="n">
        <v>7.73493374726207</v>
      </c>
      <c r="AY24" t="n">
        <v>8.93349093201792</v>
      </c>
      <c r="AZ24" t="n">
        <v>10.2827308650757</v>
      </c>
      <c r="BA24" t="n">
        <v>0</v>
      </c>
      <c r="BB24" t="n">
        <v>0</v>
      </c>
      <c r="BC24" t="n">
        <v>0</v>
      </c>
      <c r="BD24" t="n">
        <v>0</v>
      </c>
      <c r="BE24" t="n">
        <v>0</v>
      </c>
      <c r="BF24" t="n">
        <v>0</v>
      </c>
      <c r="BG24" t="n">
        <v>0</v>
      </c>
      <c r="BH24" t="n">
        <v>0</v>
      </c>
      <c r="BJ24" t="inlineStr">
        <is>
          <t>High2</t>
        </is>
      </c>
      <c r="BL24" t="n">
        <v>1</v>
      </c>
      <c r="BM24" t="n">
        <v>0.997560975609757</v>
      </c>
      <c r="BN24" t="n">
        <v>0.985365853658537</v>
      </c>
      <c r="BO24" t="n">
        <v>0.973170731707317</v>
      </c>
      <c r="BP24" t="n">
        <v>0.960975609756098</v>
      </c>
      <c r="BQ24" t="n">
        <v>0.948780487804878</v>
      </c>
      <c r="BR24" t="n">
        <v>0.936585365853658</v>
      </c>
      <c r="BS24" t="n">
        <v>0.924390243902439</v>
      </c>
      <c r="BT24" t="n">
        <v>0.91219512195122</v>
      </c>
      <c r="BU24" t="n">
        <v>0.9</v>
      </c>
      <c r="BV24" t="n">
        <v>0.8875</v>
      </c>
      <c r="BW24" t="n">
        <v>0.875000000000001</v>
      </c>
      <c r="BX24" t="n">
        <v>0.862500000000001</v>
      </c>
      <c r="BY24" t="n">
        <v>0.850000000000001</v>
      </c>
      <c r="BZ24" t="n">
        <v>0.8375</v>
      </c>
      <c r="CA24" t="n">
        <v>0.825000000000001</v>
      </c>
      <c r="CB24" t="n">
        <v>0.812500000000001</v>
      </c>
      <c r="CC24" t="n">
        <v>0.800000000000001</v>
      </c>
      <c r="CD24" t="e">
        <v>#VALUE!</v>
      </c>
      <c r="CE24" t="e">
        <v>#VALUE!</v>
      </c>
      <c r="CF24" t="e">
        <v>#VALUE!</v>
      </c>
      <c r="CG24" t="e">
        <v>#VALUE!</v>
      </c>
      <c r="CH24" t="e">
        <v>#VALUE!</v>
      </c>
      <c r="CI24" t="e">
        <v>#VALUE!</v>
      </c>
      <c r="CJ24" t="e">
        <v>#VALUE!</v>
      </c>
      <c r="CK24" t="e">
        <v>#VALUE!</v>
      </c>
    </row>
    <row r="25" ht="12.5" customHeight="1" s="213">
      <c r="A25" t="inlineStr">
        <is>
          <t>Africa_Other</t>
        </is>
      </c>
      <c r="B25" t="inlineStr">
        <is>
          <t>Trd_hdt</t>
        </is>
      </c>
      <c r="C25" t="inlineStr">
        <is>
          <t>Trd_hdt</t>
        </is>
      </c>
      <c r="D25" t="n">
        <v>55.8</v>
      </c>
      <c r="E25" t="n">
        <v>57.0507073497713</v>
      </c>
      <c r="G25" t="n">
        <v>69.5265516034102</v>
      </c>
      <c r="H25" t="n">
        <v>88.3307885559441</v>
      </c>
      <c r="I25" t="n">
        <v>114.29867845642</v>
      </c>
      <c r="J25" t="n">
        <v>145.42083949128</v>
      </c>
      <c r="K25" t="n">
        <v>183.344751327249</v>
      </c>
      <c r="L25" t="n">
        <v>229.398302524283</v>
      </c>
      <c r="M25" t="n">
        <v>284.856100771211</v>
      </c>
      <c r="N25" t="n">
        <v>350.782083424432</v>
      </c>
      <c r="O25" t="n">
        <v>428.08108204192</v>
      </c>
      <c r="P25" t="n">
        <v>516.489467462947</v>
      </c>
      <c r="Q25" t="n">
        <v>616.279701105412</v>
      </c>
      <c r="R25" t="n">
        <v>726.828998311414</v>
      </c>
      <c r="S25" t="n">
        <v>847.673739517023</v>
      </c>
      <c r="T25" t="n">
        <v>978.43040271808</v>
      </c>
      <c r="U25" t="n">
        <v>1118.45649782882</v>
      </c>
      <c r="V25" t="n">
        <v>1266.90664937321</v>
      </c>
      <c r="W25" t="n">
        <v>3</v>
      </c>
      <c r="AG25" s="223" t="inlineStr">
        <is>
          <t>GDP</t>
        </is>
      </c>
      <c r="AI25" t="n">
        <v>1</v>
      </c>
      <c r="AJ25" t="n">
        <v>1.02246891243641</v>
      </c>
      <c r="AK25" t="n">
        <v>1.24938302921191</v>
      </c>
      <c r="AL25" t="n">
        <v>1.59660851081695</v>
      </c>
      <c r="AM25" t="n">
        <v>2.08504784266403</v>
      </c>
      <c r="AN25" t="n">
        <v>2.68343024980208</v>
      </c>
      <c r="AO25" t="n">
        <v>3.43061745145576</v>
      </c>
      <c r="AP25" t="n">
        <v>4.36282278169176</v>
      </c>
      <c r="AQ25" t="n">
        <v>5.51907412505686</v>
      </c>
      <c r="AR25" t="n">
        <v>6.93831073081934</v>
      </c>
      <c r="AS25" t="n">
        <v>8.66105910457652</v>
      </c>
      <c r="AT25" t="n">
        <v>10.7052920010157</v>
      </c>
      <c r="AU25" t="n">
        <v>13.1033847939631</v>
      </c>
      <c r="AV25" t="n">
        <v>15.8686875832727</v>
      </c>
      <c r="AW25" t="n">
        <v>19.0189860674954</v>
      </c>
      <c r="AX25" t="n">
        <v>22.575041414736</v>
      </c>
      <c r="AY25" t="n">
        <v>26.5513879418483</v>
      </c>
      <c r="AZ25" t="n">
        <v>30.9565185519041</v>
      </c>
      <c r="BA25" t="n">
        <v>0</v>
      </c>
      <c r="BB25" t="n">
        <v>0</v>
      </c>
      <c r="BC25" t="n">
        <v>0</v>
      </c>
      <c r="BD25" t="n">
        <v>0</v>
      </c>
      <c r="BE25" t="n">
        <v>0</v>
      </c>
      <c r="BF25" t="n">
        <v>0</v>
      </c>
      <c r="BG25" t="n">
        <v>0</v>
      </c>
      <c r="BH25" t="n">
        <v>0</v>
      </c>
      <c r="BJ25" t="inlineStr">
        <is>
          <t>High2</t>
        </is>
      </c>
      <c r="BL25" t="n">
        <v>1</v>
      </c>
      <c r="BM25" t="n">
        <v>0.997560975609757</v>
      </c>
      <c r="BN25" t="n">
        <v>0.985365853658537</v>
      </c>
      <c r="BO25" t="n">
        <v>0.973170731707317</v>
      </c>
      <c r="BP25" t="n">
        <v>0.960975609756098</v>
      </c>
      <c r="BQ25" t="n">
        <v>0.948780487804878</v>
      </c>
      <c r="BR25" t="n">
        <v>0.936585365853658</v>
      </c>
      <c r="BS25" t="n">
        <v>0.924390243902439</v>
      </c>
      <c r="BT25" t="n">
        <v>0.91219512195122</v>
      </c>
      <c r="BU25" t="n">
        <v>0.9</v>
      </c>
      <c r="BV25" t="n">
        <v>0.8875</v>
      </c>
      <c r="BW25" t="n">
        <v>0.875000000000001</v>
      </c>
      <c r="BX25" t="n">
        <v>0.862500000000001</v>
      </c>
      <c r="BY25" t="n">
        <v>0.850000000000001</v>
      </c>
      <c r="BZ25" t="n">
        <v>0.8375</v>
      </c>
      <c r="CA25" t="n">
        <v>0.825000000000001</v>
      </c>
      <c r="CB25" t="n">
        <v>0.812500000000001</v>
      </c>
      <c r="CC25" t="n">
        <v>0.800000000000001</v>
      </c>
      <c r="CD25" t="e">
        <v>#VALUE!</v>
      </c>
      <c r="CE25" t="e">
        <v>#VALUE!</v>
      </c>
      <c r="CF25" t="e">
        <v>#VALUE!</v>
      </c>
      <c r="CG25" t="e">
        <v>#VALUE!</v>
      </c>
      <c r="CH25" t="e">
        <v>#VALUE!</v>
      </c>
      <c r="CI25" t="e">
        <v>#VALUE!</v>
      </c>
      <c r="CJ25" t="e">
        <v>#VALUE!</v>
      </c>
      <c r="CK25" t="e">
        <v>#VALUE!</v>
      </c>
    </row>
    <row r="26" ht="12.5" customHeight="1" s="213">
      <c r="A26" t="inlineStr">
        <is>
          <t>Africa_Other</t>
        </is>
      </c>
      <c r="B26" t="inlineStr">
        <is>
          <t>Trd_lcv</t>
        </is>
      </c>
      <c r="C26" t="inlineStr">
        <is>
          <t>Trd_lcv</t>
        </is>
      </c>
      <c r="D26" t="n">
        <v>67.52</v>
      </c>
      <c r="E26" t="n">
        <v>69.0334007214437</v>
      </c>
      <c r="G26" t="n">
        <v>84.1296194312232</v>
      </c>
      <c r="H26" t="n">
        <v>106.883420130777</v>
      </c>
      <c r="I26" t="n">
        <v>138.305497659095</v>
      </c>
      <c r="J26" t="n">
        <v>175.964428000918</v>
      </c>
      <c r="K26" t="n">
        <v>221.853720602435</v>
      </c>
      <c r="L26" t="n">
        <v>277.580168215763</v>
      </c>
      <c r="M26" t="n">
        <v>344.68609182925</v>
      </c>
      <c r="N26" t="n">
        <v>424.458893778094</v>
      </c>
      <c r="O26" t="n">
        <v>517.993452678681</v>
      </c>
      <c r="P26" t="n">
        <v>624.970767797459</v>
      </c>
      <c r="Q26" t="n">
        <v>745.720527215725</v>
      </c>
      <c r="R26" t="n">
        <v>879.489139175389</v>
      </c>
      <c r="S26" t="n">
        <v>1025.71560738691</v>
      </c>
      <c r="T26" t="n">
        <v>1183.93585647894</v>
      </c>
      <c r="U26" t="n">
        <v>1353.37245041939</v>
      </c>
      <c r="V26" t="n">
        <v>1533.00245458206</v>
      </c>
      <c r="W26" t="n">
        <v>3</v>
      </c>
      <c r="AG26" s="223" t="inlineStr">
        <is>
          <t>GDP</t>
        </is>
      </c>
      <c r="AI26" t="n">
        <v>1</v>
      </c>
      <c r="AJ26" t="n">
        <v>1.02246891243641</v>
      </c>
      <c r="AK26" t="n">
        <v>1.24938302921191</v>
      </c>
      <c r="AL26" t="n">
        <v>1.59660851081695</v>
      </c>
      <c r="AM26" t="n">
        <v>2.08504784266403</v>
      </c>
      <c r="AN26" t="n">
        <v>2.68343024980208</v>
      </c>
      <c r="AO26" t="n">
        <v>3.43061745145576</v>
      </c>
      <c r="AP26" t="n">
        <v>4.36282278169176</v>
      </c>
      <c r="AQ26" t="n">
        <v>5.51907412505686</v>
      </c>
      <c r="AR26" t="n">
        <v>6.93831073081934</v>
      </c>
      <c r="AS26" t="n">
        <v>8.66105910457652</v>
      </c>
      <c r="AT26" t="n">
        <v>10.7052920010157</v>
      </c>
      <c r="AU26" t="n">
        <v>13.1033847939631</v>
      </c>
      <c r="AV26" t="n">
        <v>15.8686875832727</v>
      </c>
      <c r="AW26" t="n">
        <v>19.0189860674954</v>
      </c>
      <c r="AX26" t="n">
        <v>22.575041414736</v>
      </c>
      <c r="AY26" t="n">
        <v>26.5513879418483</v>
      </c>
      <c r="AZ26" t="n">
        <v>30.9565185519041</v>
      </c>
      <c r="BA26" t="n">
        <v>0</v>
      </c>
      <c r="BB26" t="n">
        <v>0</v>
      </c>
      <c r="BC26" t="n">
        <v>0</v>
      </c>
      <c r="BD26" t="n">
        <v>0</v>
      </c>
      <c r="BE26" t="n">
        <v>0</v>
      </c>
      <c r="BF26" t="n">
        <v>0</v>
      </c>
      <c r="BG26" t="n">
        <v>0</v>
      </c>
      <c r="BH26" t="n">
        <v>0</v>
      </c>
      <c r="BJ26" t="inlineStr">
        <is>
          <t>High2</t>
        </is>
      </c>
      <c r="BL26" t="n">
        <v>1</v>
      </c>
      <c r="BM26" t="n">
        <v>0.997560975609757</v>
      </c>
      <c r="BN26" t="n">
        <v>0.985365853658537</v>
      </c>
      <c r="BO26" t="n">
        <v>0.973170731707317</v>
      </c>
      <c r="BP26" t="n">
        <v>0.960975609756098</v>
      </c>
      <c r="BQ26" t="n">
        <v>0.948780487804878</v>
      </c>
      <c r="BR26" t="n">
        <v>0.936585365853658</v>
      </c>
      <c r="BS26" t="n">
        <v>0.924390243902439</v>
      </c>
      <c r="BT26" t="n">
        <v>0.91219512195122</v>
      </c>
      <c r="BU26" t="n">
        <v>0.9</v>
      </c>
      <c r="BV26" t="n">
        <v>0.8875</v>
      </c>
      <c r="BW26" t="n">
        <v>0.875000000000001</v>
      </c>
      <c r="BX26" t="n">
        <v>0.862500000000001</v>
      </c>
      <c r="BY26" t="n">
        <v>0.850000000000001</v>
      </c>
      <c r="BZ26" t="n">
        <v>0.8375</v>
      </c>
      <c r="CA26" t="n">
        <v>0.825000000000001</v>
      </c>
      <c r="CB26" t="n">
        <v>0.812500000000001</v>
      </c>
      <c r="CC26" t="n">
        <v>0.800000000000001</v>
      </c>
      <c r="CD26" t="e">
        <v>#VALUE!</v>
      </c>
      <c r="CE26" t="e">
        <v>#VALUE!</v>
      </c>
      <c r="CF26" t="e">
        <v>#VALUE!</v>
      </c>
      <c r="CG26" t="e">
        <v>#VALUE!</v>
      </c>
      <c r="CH26" t="e">
        <v>#VALUE!</v>
      </c>
      <c r="CI26" t="e">
        <v>#VALUE!</v>
      </c>
      <c r="CJ26" t="e">
        <v>#VALUE!</v>
      </c>
      <c r="CK26" t="e">
        <v>#VALUE!</v>
      </c>
    </row>
    <row r="27" ht="12.5" customHeight="1" s="213">
      <c r="A27" t="inlineStr">
        <is>
          <t>Australia</t>
        </is>
      </c>
      <c r="B27" t="inlineStr">
        <is>
          <t>TAD</t>
        </is>
      </c>
      <c r="C27" t="inlineStr">
        <is>
          <t>TAD</t>
        </is>
      </c>
      <c r="E27" t="n">
        <v>125.236568967332</v>
      </c>
      <c r="F27">
        <f>E27</f>
        <v/>
      </c>
      <c r="I27">
        <f>F27</f>
        <v/>
      </c>
      <c r="J27">
        <f>I27</f>
        <v/>
      </c>
      <c r="L27">
        <f>J27</f>
        <v/>
      </c>
      <c r="V27">
        <f>L27</f>
        <v/>
      </c>
      <c r="W27" t="n">
        <v>3</v>
      </c>
      <c r="AG27" s="223" t="inlineStr">
        <is>
          <t>GDP</t>
        </is>
      </c>
      <c r="AI27" t="n">
        <v>1</v>
      </c>
      <c r="AJ27" t="n">
        <v>1.01538282310513</v>
      </c>
      <c r="AK27" t="n">
        <v>1.16783502508932</v>
      </c>
      <c r="AL27" t="n">
        <v>1.33034996724544</v>
      </c>
      <c r="AM27" t="n">
        <v>1.50536735755145</v>
      </c>
      <c r="AN27" t="n">
        <v>1.69386645595694</v>
      </c>
      <c r="AO27" t="n">
        <v>1.89761161875046</v>
      </c>
      <c r="AP27" t="n">
        <v>2.10930060579047</v>
      </c>
      <c r="AQ27" t="n">
        <v>2.32434102558908</v>
      </c>
      <c r="AR27" t="n">
        <v>2.54768827116721</v>
      </c>
      <c r="AS27" t="n">
        <v>2.77881050306947</v>
      </c>
      <c r="AT27" t="n">
        <v>3.01109771663594</v>
      </c>
      <c r="AU27" t="n">
        <v>3.23989842710592</v>
      </c>
      <c r="AV27" t="n">
        <v>3.46150664208387</v>
      </c>
      <c r="AW27" t="n">
        <v>3.67298458172093</v>
      </c>
      <c r="AX27" t="n">
        <v>3.87332766037914</v>
      </c>
      <c r="AY27" t="n">
        <v>4.06283978631873</v>
      </c>
      <c r="AZ27" t="n">
        <v>4.24070209561629</v>
      </c>
      <c r="BA27" t="n">
        <v>0</v>
      </c>
      <c r="BB27" t="n">
        <v>0</v>
      </c>
      <c r="BC27" t="n">
        <v>0</v>
      </c>
      <c r="BD27" t="n">
        <v>0</v>
      </c>
      <c r="BE27" t="n">
        <v>0</v>
      </c>
      <c r="BF27" t="n">
        <v>0</v>
      </c>
      <c r="BG27" t="n">
        <v>0</v>
      </c>
      <c r="BH27" t="n">
        <v>0</v>
      </c>
      <c r="BJ27" t="inlineStr">
        <is>
          <t>Med2</t>
        </is>
      </c>
      <c r="BL27" t="n">
        <v>0.8</v>
      </c>
      <c r="BM27" t="n">
        <v>0.797560975609756</v>
      </c>
      <c r="BN27" t="n">
        <v>0.785365853658536</v>
      </c>
      <c r="BO27" t="n">
        <v>0.773170731707317</v>
      </c>
      <c r="BP27" t="n">
        <v>0.760975609756097</v>
      </c>
      <c r="BQ27" t="n">
        <v>0.748780487804878</v>
      </c>
      <c r="BR27" t="n">
        <v>0.736585365853658</v>
      </c>
      <c r="BS27" t="n">
        <v>0.724390243902439</v>
      </c>
      <c r="BT27" t="n">
        <v>0.71219512195122</v>
      </c>
      <c r="BU27" t="n">
        <v>0.699999999999999</v>
      </c>
      <c r="BV27" t="n">
        <v>0.687499999999999</v>
      </c>
      <c r="BW27" t="n">
        <v>0.675</v>
      </c>
      <c r="BX27" t="n">
        <v>0.6625</v>
      </c>
      <c r="BY27" t="n">
        <v>0.649999999999999</v>
      </c>
      <c r="BZ27" t="n">
        <v>0.637499999999999</v>
      </c>
      <c r="CA27" t="n">
        <v>0.625</v>
      </c>
      <c r="CB27" t="n">
        <v>0.6125</v>
      </c>
      <c r="CC27" t="n">
        <v>0.6</v>
      </c>
      <c r="CD27" t="e">
        <v>#VALUE!</v>
      </c>
      <c r="CE27" t="e">
        <v>#VALUE!</v>
      </c>
      <c r="CF27" t="e">
        <v>#VALUE!</v>
      </c>
      <c r="CG27" t="e">
        <v>#VALUE!</v>
      </c>
      <c r="CH27" t="e">
        <v>#VALUE!</v>
      </c>
      <c r="CI27" t="e">
        <v>#VALUE!</v>
      </c>
      <c r="CJ27" t="e">
        <v>#VALUE!</v>
      </c>
      <c r="CK27" t="e">
        <v>#VALUE!</v>
      </c>
    </row>
    <row r="28" ht="12.5" customHeight="1" s="213">
      <c r="A28" t="inlineStr">
        <is>
          <t>Australia</t>
        </is>
      </c>
      <c r="B28" t="inlineStr">
        <is>
          <t>TAI</t>
        </is>
      </c>
      <c r="C28" t="inlineStr">
        <is>
          <t>TAI</t>
        </is>
      </c>
      <c r="E28" t="n">
        <v>213.949612782254</v>
      </c>
      <c r="F28">
        <f>E28</f>
        <v/>
      </c>
      <c r="I28">
        <f>F28</f>
        <v/>
      </c>
      <c r="J28">
        <f>I28</f>
        <v/>
      </c>
      <c r="L28">
        <f>J28</f>
        <v/>
      </c>
      <c r="V28">
        <f>L28</f>
        <v/>
      </c>
      <c r="W28" t="n">
        <v>3</v>
      </c>
      <c r="AG28" s="223" t="inlineStr">
        <is>
          <t>GDP</t>
        </is>
      </c>
      <c r="AI28" t="n">
        <v>1</v>
      </c>
      <c r="AJ28" t="n">
        <v>1.01538282310513</v>
      </c>
      <c r="AK28" t="n">
        <v>1.16783502508932</v>
      </c>
      <c r="AL28" t="n">
        <v>1.33034996724544</v>
      </c>
      <c r="AM28" t="n">
        <v>1.50536735755145</v>
      </c>
      <c r="AN28" t="n">
        <v>1.69386645595694</v>
      </c>
      <c r="AO28" t="n">
        <v>1.89761161875046</v>
      </c>
      <c r="AP28" t="n">
        <v>2.10930060579047</v>
      </c>
      <c r="AQ28" t="n">
        <v>2.32434102558908</v>
      </c>
      <c r="AR28" t="n">
        <v>2.54768827116721</v>
      </c>
      <c r="AS28" t="n">
        <v>2.77881050306947</v>
      </c>
      <c r="AT28" t="n">
        <v>3.01109771663594</v>
      </c>
      <c r="AU28" t="n">
        <v>3.23989842710592</v>
      </c>
      <c r="AV28" t="n">
        <v>3.46150664208387</v>
      </c>
      <c r="AW28" t="n">
        <v>3.67298458172093</v>
      </c>
      <c r="AX28" t="n">
        <v>3.87332766037914</v>
      </c>
      <c r="AY28" t="n">
        <v>4.06283978631873</v>
      </c>
      <c r="AZ28" t="n">
        <v>4.24070209561629</v>
      </c>
      <c r="BA28" t="n">
        <v>0</v>
      </c>
      <c r="BB28" t="n">
        <v>0</v>
      </c>
      <c r="BC28" t="n">
        <v>0</v>
      </c>
      <c r="BD28" t="n">
        <v>0</v>
      </c>
      <c r="BE28" t="n">
        <v>0</v>
      </c>
      <c r="BF28" t="n">
        <v>0</v>
      </c>
      <c r="BG28" t="n">
        <v>0</v>
      </c>
      <c r="BH28" t="n">
        <v>0</v>
      </c>
      <c r="BJ28" t="inlineStr">
        <is>
          <t>Med2</t>
        </is>
      </c>
      <c r="BL28" t="n">
        <v>0.8</v>
      </c>
      <c r="BM28" t="n">
        <v>0.797560975609756</v>
      </c>
      <c r="BN28" t="n">
        <v>0.785365853658536</v>
      </c>
      <c r="BO28" t="n">
        <v>0.773170731707317</v>
      </c>
      <c r="BP28" t="n">
        <v>0.760975609756097</v>
      </c>
      <c r="BQ28" t="n">
        <v>0.748780487804878</v>
      </c>
      <c r="BR28" t="n">
        <v>0.736585365853658</v>
      </c>
      <c r="BS28" t="n">
        <v>0.724390243902439</v>
      </c>
      <c r="BT28" t="n">
        <v>0.71219512195122</v>
      </c>
      <c r="BU28" t="n">
        <v>0.699999999999999</v>
      </c>
      <c r="BV28" t="n">
        <v>0.687499999999999</v>
      </c>
      <c r="BW28" t="n">
        <v>0.675</v>
      </c>
      <c r="BX28" t="n">
        <v>0.6625</v>
      </c>
      <c r="BY28" t="n">
        <v>0.649999999999999</v>
      </c>
      <c r="BZ28" t="n">
        <v>0.637499999999999</v>
      </c>
      <c r="CA28" t="n">
        <v>0.625</v>
      </c>
      <c r="CB28" t="n">
        <v>0.6125</v>
      </c>
      <c r="CC28" t="n">
        <v>0.6</v>
      </c>
      <c r="CD28" t="e">
        <v>#VALUE!</v>
      </c>
      <c r="CE28" t="e">
        <v>#VALUE!</v>
      </c>
      <c r="CF28" t="e">
        <v>#VALUE!</v>
      </c>
      <c r="CG28" t="e">
        <v>#VALUE!</v>
      </c>
      <c r="CH28" t="e">
        <v>#VALUE!</v>
      </c>
      <c r="CI28" t="e">
        <v>#VALUE!</v>
      </c>
      <c r="CJ28" t="e">
        <v>#VALUE!</v>
      </c>
      <c r="CK28" t="e">
        <v>#VALUE!</v>
      </c>
    </row>
    <row r="29" ht="12.5" customHeight="1" s="213">
      <c r="A29" t="inlineStr">
        <is>
          <t>Australia</t>
        </is>
      </c>
      <c r="B29" t="inlineStr">
        <is>
          <t>TTF</t>
        </is>
      </c>
      <c r="C29" t="inlineStr">
        <is>
          <t>TTF</t>
        </is>
      </c>
      <c r="E29" t="n">
        <v>37.3435930436258</v>
      </c>
      <c r="I29" t="n">
        <v>50.867806738396</v>
      </c>
      <c r="J29" t="n">
        <v>55.6372129625937</v>
      </c>
      <c r="L29" t="n">
        <v>65.4610142006929</v>
      </c>
      <c r="V29" t="n">
        <v>104.777296697505</v>
      </c>
      <c r="W29" t="n">
        <v>3</v>
      </c>
      <c r="AG29" s="223" t="inlineStr">
        <is>
          <t>GDP</t>
        </is>
      </c>
      <c r="AI29" t="n">
        <v>1</v>
      </c>
      <c r="AJ29" t="n">
        <v>1.01538282310513</v>
      </c>
      <c r="AK29" t="n">
        <v>1.16783502508932</v>
      </c>
      <c r="AL29" t="n">
        <v>1.33034996724544</v>
      </c>
      <c r="AM29" t="n">
        <v>1.50536735755145</v>
      </c>
      <c r="AN29" t="n">
        <v>1.69386645595694</v>
      </c>
      <c r="AO29" t="n">
        <v>1.89761161875046</v>
      </c>
      <c r="AP29" t="n">
        <v>2.10930060579047</v>
      </c>
      <c r="AQ29" t="n">
        <v>2.32434102558908</v>
      </c>
      <c r="AR29" t="n">
        <v>2.54768827116721</v>
      </c>
      <c r="AS29" t="n">
        <v>2.77881050306947</v>
      </c>
      <c r="AT29" t="n">
        <v>3.01109771663594</v>
      </c>
      <c r="AU29" t="n">
        <v>3.23989842710592</v>
      </c>
      <c r="AV29" t="n">
        <v>3.46150664208387</v>
      </c>
      <c r="AW29" t="n">
        <v>3.67298458172093</v>
      </c>
      <c r="AX29" t="n">
        <v>3.87332766037914</v>
      </c>
      <c r="AY29" t="n">
        <v>4.06283978631873</v>
      </c>
      <c r="AZ29" t="n">
        <v>4.24070209561629</v>
      </c>
      <c r="BA29" t="n">
        <v>0</v>
      </c>
      <c r="BB29" t="n">
        <v>0</v>
      </c>
      <c r="BC29" t="n">
        <v>0</v>
      </c>
      <c r="BD29" t="n">
        <v>0</v>
      </c>
      <c r="BE29" t="n">
        <v>0</v>
      </c>
      <c r="BF29" t="n">
        <v>0</v>
      </c>
      <c r="BG29" t="n">
        <v>0</v>
      </c>
      <c r="BH29" t="n">
        <v>0</v>
      </c>
      <c r="BJ29" t="inlineStr">
        <is>
          <t>Med2</t>
        </is>
      </c>
      <c r="BL29" t="n">
        <v>0.8</v>
      </c>
      <c r="BM29" t="n">
        <v>0.797560975609756</v>
      </c>
      <c r="BN29" t="n">
        <v>0.785365853658536</v>
      </c>
      <c r="BO29" t="n">
        <v>0.773170731707317</v>
      </c>
      <c r="BP29" t="n">
        <v>0.760975609756097</v>
      </c>
      <c r="BQ29" t="n">
        <v>0.748780487804878</v>
      </c>
      <c r="BR29" t="n">
        <v>0.736585365853658</v>
      </c>
      <c r="BS29" t="n">
        <v>0.724390243902439</v>
      </c>
      <c r="BT29" t="n">
        <v>0.71219512195122</v>
      </c>
      <c r="BU29" t="n">
        <v>0.699999999999999</v>
      </c>
      <c r="BV29" t="n">
        <v>0.687499999999999</v>
      </c>
      <c r="BW29" t="n">
        <v>0.675</v>
      </c>
      <c r="BX29" t="n">
        <v>0.6625</v>
      </c>
      <c r="BY29" t="n">
        <v>0.649999999999999</v>
      </c>
      <c r="BZ29" t="n">
        <v>0.637499999999999</v>
      </c>
      <c r="CA29" t="n">
        <v>0.625</v>
      </c>
      <c r="CB29" t="n">
        <v>0.6125</v>
      </c>
      <c r="CC29" t="n">
        <v>0.6</v>
      </c>
      <c r="CD29" t="e">
        <v>#VALUE!</v>
      </c>
      <c r="CE29" t="e">
        <v>#VALUE!</v>
      </c>
      <c r="CF29" t="e">
        <v>#VALUE!</v>
      </c>
      <c r="CG29" t="e">
        <v>#VALUE!</v>
      </c>
      <c r="CH29" t="e">
        <v>#VALUE!</v>
      </c>
      <c r="CI29" t="e">
        <v>#VALUE!</v>
      </c>
      <c r="CJ29" t="e">
        <v>#VALUE!</v>
      </c>
      <c r="CK29" t="e">
        <v>#VALUE!</v>
      </c>
    </row>
    <row r="30" ht="12.5" customHeight="1" s="213">
      <c r="A30" t="inlineStr">
        <is>
          <t>Australia</t>
        </is>
      </c>
      <c r="B30" t="inlineStr">
        <is>
          <t>TTP</t>
        </is>
      </c>
      <c r="C30" t="inlineStr">
        <is>
          <t>TTP</t>
        </is>
      </c>
      <c r="E30" t="n">
        <v>22.6322603522854</v>
      </c>
      <c r="I30" t="n">
        <v>24.6222738080731</v>
      </c>
      <c r="J30" t="n">
        <v>25.1847275482685</v>
      </c>
      <c r="L30" t="n">
        <v>26.2652817642942</v>
      </c>
      <c r="V30" t="n">
        <v>28.4622983069202</v>
      </c>
      <c r="W30" t="n">
        <v>3</v>
      </c>
      <c r="AG30" s="223" t="inlineStr">
        <is>
          <t>POP</t>
        </is>
      </c>
      <c r="AI30" t="n">
        <v>1</v>
      </c>
      <c r="AJ30" t="n">
        <v>1.00806756087954</v>
      </c>
      <c r="AK30" t="n">
        <v>1.04840536527724</v>
      </c>
      <c r="AL30" t="n">
        <v>1.08732275330387</v>
      </c>
      <c r="AM30" t="n">
        <v>1.12354717901157</v>
      </c>
      <c r="AN30" t="n">
        <v>1.15782359835946</v>
      </c>
      <c r="AO30" t="n">
        <v>1.19166808768815</v>
      </c>
      <c r="AP30" t="n">
        <v>1.22608843109086</v>
      </c>
      <c r="AQ30" t="n">
        <v>1.25818767846711</v>
      </c>
      <c r="AR30" t="n">
        <v>1.28796306735902</v>
      </c>
      <c r="AS30" t="n">
        <v>1.31375846481219</v>
      </c>
      <c r="AT30" t="n">
        <v>1.33604222582596</v>
      </c>
      <c r="AU30" t="n">
        <v>1.35475878553354</v>
      </c>
      <c r="AV30" t="n">
        <v>1.36928268401038</v>
      </c>
      <c r="AW30" t="n">
        <v>1.37849007446916</v>
      </c>
      <c r="AX30" t="n">
        <v>1.38228774368874</v>
      </c>
      <c r="AY30" t="n">
        <v>1.3817633107947</v>
      </c>
      <c r="AZ30" t="n">
        <v>1.37813032352762</v>
      </c>
      <c r="BA30" t="n">
        <v>0</v>
      </c>
      <c r="BB30" t="n">
        <v>0</v>
      </c>
      <c r="BC30" t="n">
        <v>0</v>
      </c>
      <c r="BD30" t="n">
        <v>0</v>
      </c>
      <c r="BE30" t="n">
        <v>0</v>
      </c>
      <c r="BF30" t="n">
        <v>0</v>
      </c>
      <c r="BG30" t="n">
        <v>0</v>
      </c>
      <c r="BH30" t="n">
        <v>0</v>
      </c>
      <c r="BJ30" t="inlineStr">
        <is>
          <t>Med2</t>
        </is>
      </c>
      <c r="BL30" t="n">
        <v>0.8</v>
      </c>
      <c r="BM30" t="n">
        <v>0.797560975609756</v>
      </c>
      <c r="BN30" t="n">
        <v>0.785365853658536</v>
      </c>
      <c r="BO30" t="n">
        <v>0.773170731707317</v>
      </c>
      <c r="BP30" t="n">
        <v>0.760975609756097</v>
      </c>
      <c r="BQ30" t="n">
        <v>0.748780487804878</v>
      </c>
      <c r="BR30" t="n">
        <v>0.736585365853658</v>
      </c>
      <c r="BS30" t="n">
        <v>0.724390243902439</v>
      </c>
      <c r="BT30" t="n">
        <v>0.71219512195122</v>
      </c>
      <c r="BU30" t="n">
        <v>0.699999999999999</v>
      </c>
      <c r="BV30" t="n">
        <v>0.687499999999999</v>
      </c>
      <c r="BW30" t="n">
        <v>0.675</v>
      </c>
      <c r="BX30" t="n">
        <v>0.6625</v>
      </c>
      <c r="BY30" t="n">
        <v>0.649999999999999</v>
      </c>
      <c r="BZ30" t="n">
        <v>0.637499999999999</v>
      </c>
      <c r="CA30" t="n">
        <v>0.625</v>
      </c>
      <c r="CB30" t="n">
        <v>0.6125</v>
      </c>
      <c r="CC30" t="n">
        <v>0.6</v>
      </c>
      <c r="CD30" t="e">
        <v>#VALUE!</v>
      </c>
      <c r="CE30" t="e">
        <v>#VALUE!</v>
      </c>
      <c r="CF30" t="e">
        <v>#VALUE!</v>
      </c>
      <c r="CG30" t="e">
        <v>#VALUE!</v>
      </c>
      <c r="CH30" t="e">
        <v>#VALUE!</v>
      </c>
      <c r="CI30" t="e">
        <v>#VALUE!</v>
      </c>
      <c r="CJ30" t="e">
        <v>#VALUE!</v>
      </c>
      <c r="CK30" t="e">
        <v>#VALUE!</v>
      </c>
    </row>
    <row r="31" ht="12.5" customHeight="1" s="213">
      <c r="A31" t="inlineStr">
        <is>
          <t>Australia</t>
        </is>
      </c>
      <c r="B31" t="inlineStr">
        <is>
          <t>TWD</t>
        </is>
      </c>
      <c r="C31" t="inlineStr">
        <is>
          <t>TWD</t>
        </is>
      </c>
      <c r="E31" t="n">
        <v>29.5450191028017</v>
      </c>
      <c r="F31">
        <f>E31</f>
        <v/>
      </c>
      <c r="I31">
        <f>F31</f>
        <v/>
      </c>
      <c r="J31">
        <f>I31</f>
        <v/>
      </c>
      <c r="L31">
        <f>J31</f>
        <v/>
      </c>
      <c r="V31">
        <f>L31</f>
        <v/>
      </c>
      <c r="W31" t="n">
        <v>3</v>
      </c>
      <c r="AG31" s="223" t="inlineStr">
        <is>
          <t>GDP</t>
        </is>
      </c>
      <c r="AI31" t="n">
        <v>1</v>
      </c>
      <c r="AJ31" t="n">
        <v>1.01538282310513</v>
      </c>
      <c r="AK31" t="n">
        <v>1.16783502508932</v>
      </c>
      <c r="AL31" t="n">
        <v>1.33034996724544</v>
      </c>
      <c r="AM31" t="n">
        <v>1.50536735755145</v>
      </c>
      <c r="AN31" t="n">
        <v>1.69386645595694</v>
      </c>
      <c r="AO31" t="n">
        <v>1.89761161875046</v>
      </c>
      <c r="AP31" t="n">
        <v>2.10930060579047</v>
      </c>
      <c r="AQ31" t="n">
        <v>2.32434102558908</v>
      </c>
      <c r="AR31" t="n">
        <v>2.54768827116721</v>
      </c>
      <c r="AS31" t="n">
        <v>2.77881050306947</v>
      </c>
      <c r="AT31" t="n">
        <v>3.01109771663594</v>
      </c>
      <c r="AU31" t="n">
        <v>3.23989842710592</v>
      </c>
      <c r="AV31" t="n">
        <v>3.46150664208387</v>
      </c>
      <c r="AW31" t="n">
        <v>3.67298458172093</v>
      </c>
      <c r="AX31" t="n">
        <v>3.87332766037914</v>
      </c>
      <c r="AY31" t="n">
        <v>4.06283978631873</v>
      </c>
      <c r="AZ31" t="n">
        <v>4.24070209561629</v>
      </c>
      <c r="BA31" t="n">
        <v>0</v>
      </c>
      <c r="BB31" t="n">
        <v>0</v>
      </c>
      <c r="BC31" t="n">
        <v>0</v>
      </c>
      <c r="BD31" t="n">
        <v>0</v>
      </c>
      <c r="BE31" t="n">
        <v>0</v>
      </c>
      <c r="BF31" t="n">
        <v>0</v>
      </c>
      <c r="BG31" t="n">
        <v>0</v>
      </c>
      <c r="BH31" t="n">
        <v>0</v>
      </c>
      <c r="BJ31" t="inlineStr">
        <is>
          <t>Med2</t>
        </is>
      </c>
      <c r="BL31" t="n">
        <v>0.8</v>
      </c>
      <c r="BM31" t="n">
        <v>0.797560975609756</v>
      </c>
      <c r="BN31" t="n">
        <v>0.785365853658536</v>
      </c>
      <c r="BO31" t="n">
        <v>0.773170731707317</v>
      </c>
      <c r="BP31" t="n">
        <v>0.760975609756097</v>
      </c>
      <c r="BQ31" t="n">
        <v>0.748780487804878</v>
      </c>
      <c r="BR31" t="n">
        <v>0.736585365853658</v>
      </c>
      <c r="BS31" t="n">
        <v>0.724390243902439</v>
      </c>
      <c r="BT31" t="n">
        <v>0.71219512195122</v>
      </c>
      <c r="BU31" t="n">
        <v>0.699999999999999</v>
      </c>
      <c r="BV31" t="n">
        <v>0.687499999999999</v>
      </c>
      <c r="BW31" t="n">
        <v>0.675</v>
      </c>
      <c r="BX31" t="n">
        <v>0.6625</v>
      </c>
      <c r="BY31" t="n">
        <v>0.649999999999999</v>
      </c>
      <c r="BZ31" t="n">
        <v>0.637499999999999</v>
      </c>
      <c r="CA31" t="n">
        <v>0.625</v>
      </c>
      <c r="CB31" t="n">
        <v>0.6125</v>
      </c>
      <c r="CC31" t="n">
        <v>0.6</v>
      </c>
      <c r="CD31" t="e">
        <v>#VALUE!</v>
      </c>
      <c r="CE31" t="e">
        <v>#VALUE!</v>
      </c>
      <c r="CF31" t="e">
        <v>#VALUE!</v>
      </c>
      <c r="CG31" t="e">
        <v>#VALUE!</v>
      </c>
      <c r="CH31" t="e">
        <v>#VALUE!</v>
      </c>
      <c r="CI31" t="e">
        <v>#VALUE!</v>
      </c>
      <c r="CJ31" t="e">
        <v>#VALUE!</v>
      </c>
      <c r="CK31" t="e">
        <v>#VALUE!</v>
      </c>
    </row>
    <row r="32" ht="12.5" customHeight="1" s="213">
      <c r="A32" t="inlineStr">
        <is>
          <t>Australia</t>
        </is>
      </c>
      <c r="B32" t="inlineStr">
        <is>
          <t>TWI</t>
        </is>
      </c>
      <c r="C32" t="inlineStr">
        <is>
          <t>TWI</t>
        </is>
      </c>
      <c r="E32" t="n">
        <v>32.4911044377169</v>
      </c>
      <c r="F32">
        <f>E32</f>
        <v/>
      </c>
      <c r="I32">
        <f>F32</f>
        <v/>
      </c>
      <c r="J32">
        <f>I32</f>
        <v/>
      </c>
      <c r="L32">
        <f>J32</f>
        <v/>
      </c>
      <c r="V32">
        <f>L32</f>
        <v/>
      </c>
      <c r="W32" t="n">
        <v>3</v>
      </c>
      <c r="AG32" s="223" t="inlineStr">
        <is>
          <t>GDP</t>
        </is>
      </c>
      <c r="AI32" t="n">
        <v>1</v>
      </c>
      <c r="AJ32" t="n">
        <v>1.01538282310513</v>
      </c>
      <c r="AK32" t="n">
        <v>1.16783502508932</v>
      </c>
      <c r="AL32" t="n">
        <v>1.33034996724544</v>
      </c>
      <c r="AM32" t="n">
        <v>1.50536735755145</v>
      </c>
      <c r="AN32" t="n">
        <v>1.69386645595694</v>
      </c>
      <c r="AO32" t="n">
        <v>1.89761161875046</v>
      </c>
      <c r="AP32" t="n">
        <v>2.10930060579047</v>
      </c>
      <c r="AQ32" t="n">
        <v>2.32434102558908</v>
      </c>
      <c r="AR32" t="n">
        <v>2.54768827116721</v>
      </c>
      <c r="AS32" t="n">
        <v>2.77881050306947</v>
      </c>
      <c r="AT32" t="n">
        <v>3.01109771663594</v>
      </c>
      <c r="AU32" t="n">
        <v>3.23989842710592</v>
      </c>
      <c r="AV32" t="n">
        <v>3.46150664208387</v>
      </c>
      <c r="AW32" t="n">
        <v>3.67298458172093</v>
      </c>
      <c r="AX32" t="n">
        <v>3.87332766037914</v>
      </c>
      <c r="AY32" t="n">
        <v>4.06283978631873</v>
      </c>
      <c r="AZ32" t="n">
        <v>4.24070209561629</v>
      </c>
      <c r="BA32" t="n">
        <v>0</v>
      </c>
      <c r="BB32" t="n">
        <v>0</v>
      </c>
      <c r="BC32" t="n">
        <v>0</v>
      </c>
      <c r="BD32" t="n">
        <v>0</v>
      </c>
      <c r="BE32" t="n">
        <v>0</v>
      </c>
      <c r="BF32" t="n">
        <v>0</v>
      </c>
      <c r="BG32" t="n">
        <v>0</v>
      </c>
      <c r="BH32" t="n">
        <v>0</v>
      </c>
      <c r="BJ32" t="inlineStr">
        <is>
          <t>Med2</t>
        </is>
      </c>
      <c r="BL32" t="n">
        <v>0.8</v>
      </c>
      <c r="BM32" t="n">
        <v>0.797560975609756</v>
      </c>
      <c r="BN32" t="n">
        <v>0.785365853658536</v>
      </c>
      <c r="BO32" t="n">
        <v>0.773170731707317</v>
      </c>
      <c r="BP32" t="n">
        <v>0.760975609756097</v>
      </c>
      <c r="BQ32" t="n">
        <v>0.748780487804878</v>
      </c>
      <c r="BR32" t="n">
        <v>0.736585365853658</v>
      </c>
      <c r="BS32" t="n">
        <v>0.724390243902439</v>
      </c>
      <c r="BT32" t="n">
        <v>0.71219512195122</v>
      </c>
      <c r="BU32" t="n">
        <v>0.699999999999999</v>
      </c>
      <c r="BV32" t="n">
        <v>0.687499999999999</v>
      </c>
      <c r="BW32" t="n">
        <v>0.675</v>
      </c>
      <c r="BX32" t="n">
        <v>0.6625</v>
      </c>
      <c r="BY32" t="n">
        <v>0.649999999999999</v>
      </c>
      <c r="BZ32" t="n">
        <v>0.637499999999999</v>
      </c>
      <c r="CA32" t="n">
        <v>0.625</v>
      </c>
      <c r="CB32" t="n">
        <v>0.6125</v>
      </c>
      <c r="CC32" t="n">
        <v>0.6</v>
      </c>
      <c r="CD32" t="e">
        <v>#VALUE!</v>
      </c>
      <c r="CE32" t="e">
        <v>#VALUE!</v>
      </c>
      <c r="CF32" t="e">
        <v>#VALUE!</v>
      </c>
      <c r="CG32" t="e">
        <v>#VALUE!</v>
      </c>
      <c r="CH32" t="e">
        <v>#VALUE!</v>
      </c>
      <c r="CI32" t="e">
        <v>#VALUE!</v>
      </c>
      <c r="CJ32" t="e">
        <v>#VALUE!</v>
      </c>
      <c r="CK32" t="e">
        <v>#VALUE!</v>
      </c>
    </row>
    <row r="33" ht="12.5" customHeight="1" s="213">
      <c r="A33" t="inlineStr">
        <is>
          <t>Australia</t>
        </is>
      </c>
      <c r="B33" t="inlineStr">
        <is>
          <t>Trd_2w</t>
        </is>
      </c>
      <c r="C33" t="inlineStr">
        <is>
          <t>Trd_2w</t>
        </is>
      </c>
      <c r="D33" t="n">
        <v>10.136</v>
      </c>
      <c r="E33" t="n">
        <v>10.2012187918135</v>
      </c>
      <c r="G33" t="n">
        <v>10.5218063719303</v>
      </c>
      <c r="H33" t="n">
        <v>10.8237877485925</v>
      </c>
      <c r="I33" t="n">
        <v>11.0981933911311</v>
      </c>
      <c r="J33" t="n">
        <v>11.3517126408523</v>
      </c>
      <c r="K33" t="n">
        <v>11.5961288722843</v>
      </c>
      <c r="L33" t="n">
        <v>11.8387594405318</v>
      </c>
      <c r="M33" t="n">
        <v>12.0594980212159</v>
      </c>
      <c r="N33" t="n">
        <v>12.2592721683466</v>
      </c>
      <c r="O33" t="n">
        <v>12.4280736302691</v>
      </c>
      <c r="P33" t="n">
        <v>12.5703656537178</v>
      </c>
      <c r="Q33" t="n">
        <v>12.6870303979346</v>
      </c>
      <c r="R33" t="n">
        <v>12.7754390085566</v>
      </c>
      <c r="S33" t="n">
        <v>12.8302035513989</v>
      </c>
      <c r="T33" t="n">
        <v>12.8522951454964</v>
      </c>
      <c r="U33" t="n">
        <v>12.8493085373166</v>
      </c>
      <c r="V33" t="n">
        <v>12.8290381882884</v>
      </c>
      <c r="W33" t="n">
        <v>3</v>
      </c>
      <c r="AG33" s="223" t="inlineStr">
        <is>
          <t>POP</t>
        </is>
      </c>
      <c r="AI33" t="n">
        <v>1</v>
      </c>
      <c r="AJ33" t="n">
        <v>1.00806756087954</v>
      </c>
      <c r="AK33" t="n">
        <v>1.04840536527724</v>
      </c>
      <c r="AL33" t="n">
        <v>1.08732275330387</v>
      </c>
      <c r="AM33" t="n">
        <v>1.12354717901157</v>
      </c>
      <c r="AN33" t="n">
        <v>1.15782359835946</v>
      </c>
      <c r="AO33" t="n">
        <v>1.19166808768815</v>
      </c>
      <c r="AP33" t="n">
        <v>1.22608843109086</v>
      </c>
      <c r="AQ33" t="n">
        <v>1.25818767846711</v>
      </c>
      <c r="AR33" t="n">
        <v>1.28796306735902</v>
      </c>
      <c r="AS33" t="n">
        <v>1.31375846481219</v>
      </c>
      <c r="AT33" t="n">
        <v>1.33604222582596</v>
      </c>
      <c r="AU33" t="n">
        <v>1.35475878553354</v>
      </c>
      <c r="AV33" t="n">
        <v>1.36928268401038</v>
      </c>
      <c r="AW33" t="n">
        <v>1.37849007446916</v>
      </c>
      <c r="AX33" t="n">
        <v>1.38228774368874</v>
      </c>
      <c r="AY33" t="n">
        <v>1.3817633107947</v>
      </c>
      <c r="AZ33" t="n">
        <v>1.37813032352762</v>
      </c>
      <c r="BA33" t="n">
        <v>0</v>
      </c>
      <c r="BB33" t="n">
        <v>0</v>
      </c>
      <c r="BC33" t="n">
        <v>0</v>
      </c>
      <c r="BD33" t="n">
        <v>0</v>
      </c>
      <c r="BE33" t="n">
        <v>0</v>
      </c>
      <c r="BF33" t="n">
        <v>0</v>
      </c>
      <c r="BG33" t="n">
        <v>0</v>
      </c>
      <c r="BH33" t="n">
        <v>0</v>
      </c>
      <c r="BJ33" t="inlineStr">
        <is>
          <t>Med2</t>
        </is>
      </c>
      <c r="BL33" t="n">
        <v>0.8</v>
      </c>
      <c r="BM33" t="n">
        <v>0.797560975609756</v>
      </c>
      <c r="BN33" t="n">
        <v>0.785365853658536</v>
      </c>
      <c r="BO33" t="n">
        <v>0.773170731707317</v>
      </c>
      <c r="BP33" t="n">
        <v>0.760975609756097</v>
      </c>
      <c r="BQ33" t="n">
        <v>0.748780487804878</v>
      </c>
      <c r="BR33" t="n">
        <v>0.736585365853658</v>
      </c>
      <c r="BS33" t="n">
        <v>0.724390243902439</v>
      </c>
      <c r="BT33" t="n">
        <v>0.71219512195122</v>
      </c>
      <c r="BU33" t="n">
        <v>0.699999999999999</v>
      </c>
      <c r="BV33" t="n">
        <v>0.687499999999999</v>
      </c>
      <c r="BW33" t="n">
        <v>0.675</v>
      </c>
      <c r="BX33" t="n">
        <v>0.6625</v>
      </c>
      <c r="BY33" t="n">
        <v>0.649999999999999</v>
      </c>
      <c r="BZ33" t="n">
        <v>0.637499999999999</v>
      </c>
      <c r="CA33" t="n">
        <v>0.625</v>
      </c>
      <c r="CB33" t="n">
        <v>0.6125</v>
      </c>
      <c r="CC33" t="n">
        <v>0.6</v>
      </c>
      <c r="CD33" t="e">
        <v>#VALUE!</v>
      </c>
      <c r="CE33" t="e">
        <v>#VALUE!</v>
      </c>
      <c r="CF33" t="e">
        <v>#VALUE!</v>
      </c>
      <c r="CG33" t="e">
        <v>#VALUE!</v>
      </c>
      <c r="CH33" t="e">
        <v>#VALUE!</v>
      </c>
      <c r="CI33" t="e">
        <v>#VALUE!</v>
      </c>
      <c r="CJ33" t="e">
        <v>#VALUE!</v>
      </c>
      <c r="CK33" t="e">
        <v>#VALUE!</v>
      </c>
    </row>
    <row r="34" ht="12.5" customHeight="1" s="213">
      <c r="A34" t="inlineStr">
        <is>
          <t>Australia</t>
        </is>
      </c>
      <c r="B34" t="inlineStr">
        <is>
          <t>Trd_3w</t>
        </is>
      </c>
      <c r="C34" t="inlineStr">
        <is>
          <t>Trd_3w</t>
        </is>
      </c>
      <c r="D34" t="n">
        <v>0</v>
      </c>
      <c r="E34" t="n">
        <v>0</v>
      </c>
      <c r="G34" t="n">
        <v>0</v>
      </c>
      <c r="H34" t="n">
        <v>0</v>
      </c>
      <c r="I34" t="n">
        <v>0</v>
      </c>
      <c r="J34" t="n">
        <v>0</v>
      </c>
      <c r="K34" t="n">
        <v>0</v>
      </c>
      <c r="L34" t="n">
        <v>0</v>
      </c>
      <c r="M34" t="n">
        <v>0</v>
      </c>
      <c r="N34" t="n">
        <v>0</v>
      </c>
      <c r="O34" t="n">
        <v>0</v>
      </c>
      <c r="P34" t="n">
        <v>0</v>
      </c>
      <c r="Q34" t="n">
        <v>0</v>
      </c>
      <c r="R34" t="n">
        <v>0</v>
      </c>
      <c r="S34" t="n">
        <v>0</v>
      </c>
      <c r="T34" t="n">
        <v>0</v>
      </c>
      <c r="U34" t="n">
        <v>0</v>
      </c>
      <c r="V34" t="n">
        <v>0</v>
      </c>
      <c r="W34" t="n">
        <v>3</v>
      </c>
      <c r="AG34" s="223" t="inlineStr">
        <is>
          <t>POP</t>
        </is>
      </c>
      <c r="AI34" t="n">
        <v>1</v>
      </c>
      <c r="AJ34" t="n">
        <v>1.00806756087954</v>
      </c>
      <c r="AK34" t="n">
        <v>1.04840536527724</v>
      </c>
      <c r="AL34" t="n">
        <v>1.08732275330387</v>
      </c>
      <c r="AM34" t="n">
        <v>1.12354717901157</v>
      </c>
      <c r="AN34" t="n">
        <v>1.15782359835946</v>
      </c>
      <c r="AO34" t="n">
        <v>1.19166808768815</v>
      </c>
      <c r="AP34" t="n">
        <v>1.22608843109086</v>
      </c>
      <c r="AQ34" t="n">
        <v>1.25818767846711</v>
      </c>
      <c r="AR34" t="n">
        <v>1.28796306735902</v>
      </c>
      <c r="AS34" t="n">
        <v>1.31375846481219</v>
      </c>
      <c r="AT34" t="n">
        <v>1.33604222582596</v>
      </c>
      <c r="AU34" t="n">
        <v>1.35475878553354</v>
      </c>
      <c r="AV34" t="n">
        <v>1.36928268401038</v>
      </c>
      <c r="AW34" t="n">
        <v>1.37849007446916</v>
      </c>
      <c r="AX34" t="n">
        <v>1.38228774368874</v>
      </c>
      <c r="AY34" t="n">
        <v>1.3817633107947</v>
      </c>
      <c r="AZ34" t="n">
        <v>1.37813032352762</v>
      </c>
      <c r="BA34" t="n">
        <v>0</v>
      </c>
      <c r="BB34" t="n">
        <v>0</v>
      </c>
      <c r="BC34" t="n">
        <v>0</v>
      </c>
      <c r="BD34" t="n">
        <v>0</v>
      </c>
      <c r="BE34" t="n">
        <v>0</v>
      </c>
      <c r="BF34" t="n">
        <v>0</v>
      </c>
      <c r="BG34" t="n">
        <v>0</v>
      </c>
      <c r="BH34" t="n">
        <v>0</v>
      </c>
      <c r="BJ34" t="inlineStr">
        <is>
          <t>Med2</t>
        </is>
      </c>
      <c r="BL34" t="n">
        <v>0.8</v>
      </c>
      <c r="BM34" t="n">
        <v>0.797560975609756</v>
      </c>
      <c r="BN34" t="n">
        <v>0.785365853658536</v>
      </c>
      <c r="BO34" t="n">
        <v>0.773170731707317</v>
      </c>
      <c r="BP34" t="n">
        <v>0.760975609756097</v>
      </c>
      <c r="BQ34" t="n">
        <v>0.748780487804878</v>
      </c>
      <c r="BR34" t="n">
        <v>0.736585365853658</v>
      </c>
      <c r="BS34" t="n">
        <v>0.724390243902439</v>
      </c>
      <c r="BT34" t="n">
        <v>0.71219512195122</v>
      </c>
      <c r="BU34" t="n">
        <v>0.699999999999999</v>
      </c>
      <c r="BV34" t="n">
        <v>0.687499999999999</v>
      </c>
      <c r="BW34" t="n">
        <v>0.675</v>
      </c>
      <c r="BX34" t="n">
        <v>0.6625</v>
      </c>
      <c r="BY34" t="n">
        <v>0.649999999999999</v>
      </c>
      <c r="BZ34" t="n">
        <v>0.637499999999999</v>
      </c>
      <c r="CA34" t="n">
        <v>0.625</v>
      </c>
      <c r="CB34" t="n">
        <v>0.6125</v>
      </c>
      <c r="CC34" t="n">
        <v>0.6</v>
      </c>
      <c r="CD34" t="e">
        <v>#VALUE!</v>
      </c>
      <c r="CE34" t="e">
        <v>#VALUE!</v>
      </c>
      <c r="CF34" t="e">
        <v>#VALUE!</v>
      </c>
      <c r="CG34" t="e">
        <v>#VALUE!</v>
      </c>
      <c r="CH34" t="e">
        <v>#VALUE!</v>
      </c>
      <c r="CI34" t="e">
        <v>#VALUE!</v>
      </c>
      <c r="CJ34" t="e">
        <v>#VALUE!</v>
      </c>
      <c r="CK34" t="e">
        <v>#VALUE!</v>
      </c>
    </row>
    <row r="35" ht="12.5" customHeight="1" s="213">
      <c r="A35" t="inlineStr">
        <is>
          <t>Australia</t>
        </is>
      </c>
      <c r="B35" t="inlineStr">
        <is>
          <t>Trd_bus</t>
        </is>
      </c>
      <c r="C35" t="inlineStr">
        <is>
          <t>Trd_bus</t>
        </is>
      </c>
      <c r="D35" t="n">
        <v>7.14</v>
      </c>
      <c r="E35" t="n">
        <v>7.18594141412276</v>
      </c>
      <c r="G35" t="n">
        <v>7.41176968188462</v>
      </c>
      <c r="H35" t="n">
        <v>7.62449136986489</v>
      </c>
      <c r="I35" t="n">
        <v>7.81778816226085</v>
      </c>
      <c r="J35" t="n">
        <v>7.99637216413631</v>
      </c>
      <c r="K35" t="n">
        <v>8.16854381887434</v>
      </c>
      <c r="L35" t="n">
        <v>8.339457616949231</v>
      </c>
      <c r="M35" t="n">
        <v>8.4949502635637</v>
      </c>
      <c r="N35" t="n">
        <v>8.63567514621098</v>
      </c>
      <c r="O35" t="n">
        <v>8.75458225336639</v>
      </c>
      <c r="P35" t="n">
        <v>8.85481558480123</v>
      </c>
      <c r="Q35" t="n">
        <v>8.936996551031299</v>
      </c>
      <c r="R35" t="n">
        <v>8.999273334756721</v>
      </c>
      <c r="S35" t="n">
        <v>9.037850567974379</v>
      </c>
      <c r="T35" t="n">
        <v>9.053412326247461</v>
      </c>
      <c r="U35" t="n">
        <v>9.051308500043451</v>
      </c>
      <c r="V35" t="n">
        <v>9.037029663020849</v>
      </c>
      <c r="W35" t="n">
        <v>3</v>
      </c>
      <c r="AG35" s="223" t="inlineStr">
        <is>
          <t>POP</t>
        </is>
      </c>
      <c r="AI35" t="n">
        <v>1</v>
      </c>
      <c r="AJ35" t="n">
        <v>1.00806756087954</v>
      </c>
      <c r="AK35" t="n">
        <v>1.04840536527724</v>
      </c>
      <c r="AL35" t="n">
        <v>1.08732275330387</v>
      </c>
      <c r="AM35" t="n">
        <v>1.12354717901157</v>
      </c>
      <c r="AN35" t="n">
        <v>1.15782359835946</v>
      </c>
      <c r="AO35" t="n">
        <v>1.19166808768815</v>
      </c>
      <c r="AP35" t="n">
        <v>1.22608843109086</v>
      </c>
      <c r="AQ35" t="n">
        <v>1.25818767846711</v>
      </c>
      <c r="AR35" t="n">
        <v>1.28796306735902</v>
      </c>
      <c r="AS35" t="n">
        <v>1.31375846481219</v>
      </c>
      <c r="AT35" t="n">
        <v>1.33604222582596</v>
      </c>
      <c r="AU35" t="n">
        <v>1.35475878553354</v>
      </c>
      <c r="AV35" t="n">
        <v>1.36928268401038</v>
      </c>
      <c r="AW35" t="n">
        <v>1.37849007446916</v>
      </c>
      <c r="AX35" t="n">
        <v>1.38228774368874</v>
      </c>
      <c r="AY35" t="n">
        <v>1.3817633107947</v>
      </c>
      <c r="AZ35" t="n">
        <v>1.37813032352762</v>
      </c>
      <c r="BA35" t="n">
        <v>0</v>
      </c>
      <c r="BB35" t="n">
        <v>0</v>
      </c>
      <c r="BC35" t="n">
        <v>0</v>
      </c>
      <c r="BD35" t="n">
        <v>0</v>
      </c>
      <c r="BE35" t="n">
        <v>0</v>
      </c>
      <c r="BF35" t="n">
        <v>0</v>
      </c>
      <c r="BG35" t="n">
        <v>0</v>
      </c>
      <c r="BH35" t="n">
        <v>0</v>
      </c>
      <c r="BJ35" t="inlineStr">
        <is>
          <t>Med2</t>
        </is>
      </c>
      <c r="BL35" t="n">
        <v>0.8</v>
      </c>
      <c r="BM35" t="n">
        <v>0.797560975609756</v>
      </c>
      <c r="BN35" t="n">
        <v>0.785365853658536</v>
      </c>
      <c r="BO35" t="n">
        <v>0.773170731707317</v>
      </c>
      <c r="BP35" t="n">
        <v>0.760975609756097</v>
      </c>
      <c r="BQ35" t="n">
        <v>0.748780487804878</v>
      </c>
      <c r="BR35" t="n">
        <v>0.736585365853658</v>
      </c>
      <c r="BS35" t="n">
        <v>0.724390243902439</v>
      </c>
      <c r="BT35" t="n">
        <v>0.71219512195122</v>
      </c>
      <c r="BU35" t="n">
        <v>0.699999999999999</v>
      </c>
      <c r="BV35" t="n">
        <v>0.687499999999999</v>
      </c>
      <c r="BW35" t="n">
        <v>0.675</v>
      </c>
      <c r="BX35" t="n">
        <v>0.6625</v>
      </c>
      <c r="BY35" t="n">
        <v>0.649999999999999</v>
      </c>
      <c r="BZ35" t="n">
        <v>0.637499999999999</v>
      </c>
      <c r="CA35" t="n">
        <v>0.625</v>
      </c>
      <c r="CB35" t="n">
        <v>0.6125</v>
      </c>
      <c r="CC35" t="n">
        <v>0.6</v>
      </c>
      <c r="CD35" t="e">
        <v>#VALUE!</v>
      </c>
      <c r="CE35" t="e">
        <v>#VALUE!</v>
      </c>
      <c r="CF35" t="e">
        <v>#VALUE!</v>
      </c>
      <c r="CG35" t="e">
        <v>#VALUE!</v>
      </c>
      <c r="CH35" t="e">
        <v>#VALUE!</v>
      </c>
      <c r="CI35" t="e">
        <v>#VALUE!</v>
      </c>
      <c r="CJ35" t="e">
        <v>#VALUE!</v>
      </c>
      <c r="CK35" t="e">
        <v>#VALUE!</v>
      </c>
    </row>
    <row r="36" ht="12.5" customHeight="1" s="213">
      <c r="A36" t="inlineStr">
        <is>
          <t>Australia</t>
        </is>
      </c>
      <c r="B36" t="inlineStr">
        <is>
          <t>Trd_car</t>
        </is>
      </c>
      <c r="C36" t="inlineStr">
        <is>
          <t>Trd_car</t>
        </is>
      </c>
      <c r="D36" t="n">
        <v>242.172</v>
      </c>
      <c r="E36" t="n">
        <v>243.573612891857</v>
      </c>
      <c r="G36" t="n">
        <v>263.829853570693</v>
      </c>
      <c r="H36" t="n">
        <v>283.899264297911</v>
      </c>
      <c r="I36" t="n">
        <v>304.439246599583</v>
      </c>
      <c r="J36" t="n">
        <v>325.390163313964</v>
      </c>
      <c r="K36" t="n">
        <v>346.593714879194</v>
      </c>
      <c r="L36" t="n">
        <v>366.7672330622</v>
      </c>
      <c r="M36" t="n">
        <v>386.053778837822</v>
      </c>
      <c r="N36" t="n">
        <v>405.173342067379</v>
      </c>
      <c r="O36" t="n">
        <v>424.477977613716</v>
      </c>
      <c r="P36" t="n">
        <v>443.250698062686</v>
      </c>
      <c r="Q36" t="n">
        <v>461.198987217964</v>
      </c>
      <c r="R36" t="n">
        <v>478.306581903341</v>
      </c>
      <c r="S36" t="n">
        <v>494.774356421311</v>
      </c>
      <c r="T36" t="n">
        <v>510.745611134922</v>
      </c>
      <c r="U36" t="n">
        <v>526.176215384945</v>
      </c>
      <c r="V36" t="n">
        <v>540.8658157071779</v>
      </c>
      <c r="W36" t="n">
        <v>3</v>
      </c>
      <c r="AG36" s="223" t="inlineStr">
        <is>
          <t>GDPPCAP</t>
        </is>
      </c>
      <c r="AI36" t="n">
        <v>1</v>
      </c>
      <c r="AJ36" t="n">
        <v>1.00725671820965</v>
      </c>
      <c r="AK36" t="n">
        <v>1.11391553664979</v>
      </c>
      <c r="AL36" t="n">
        <v>1.22350972901388</v>
      </c>
      <c r="AM36" t="n">
        <v>1.33983457541656</v>
      </c>
      <c r="AN36" t="n">
        <v>1.46297454841739</v>
      </c>
      <c r="AO36" t="n">
        <v>1.59239945951045</v>
      </c>
      <c r="AP36" t="n">
        <v>1.72034948891394</v>
      </c>
      <c r="AQ36" t="n">
        <v>1.84737226835737</v>
      </c>
      <c r="AR36" t="n">
        <v>1.97807556422504</v>
      </c>
      <c r="AS36" t="n">
        <v>2.11516087431393</v>
      </c>
      <c r="AT36" t="n">
        <v>2.25374442396418</v>
      </c>
      <c r="AU36" t="n">
        <v>2.3914946791284</v>
      </c>
      <c r="AV36" t="n">
        <v>2.52797079997079</v>
      </c>
      <c r="AW36" t="n">
        <v>2.66449838830749</v>
      </c>
      <c r="AX36" t="n">
        <v>2.80211387105471</v>
      </c>
      <c r="AY36" t="n">
        <v>2.94032976167389</v>
      </c>
      <c r="AZ36" t="n">
        <v>3.07714156144632</v>
      </c>
      <c r="BA36" t="n">
        <v>0</v>
      </c>
      <c r="BB36" t="n">
        <v>0</v>
      </c>
      <c r="BC36" t="n">
        <v>0</v>
      </c>
      <c r="BD36" t="n">
        <v>0</v>
      </c>
      <c r="BE36" t="n">
        <v>0</v>
      </c>
      <c r="BF36" t="n">
        <v>0</v>
      </c>
      <c r="BG36" t="n">
        <v>0</v>
      </c>
      <c r="BH36" t="n">
        <v>0</v>
      </c>
      <c r="BJ36" t="inlineStr">
        <is>
          <t>Med2</t>
        </is>
      </c>
      <c r="BL36" t="n">
        <v>0.8</v>
      </c>
      <c r="BM36" t="n">
        <v>0.797560975609756</v>
      </c>
      <c r="BN36" t="n">
        <v>0.785365853658536</v>
      </c>
      <c r="BO36" t="n">
        <v>0.773170731707317</v>
      </c>
      <c r="BP36" t="n">
        <v>0.760975609756097</v>
      </c>
      <c r="BQ36" t="n">
        <v>0.748780487804878</v>
      </c>
      <c r="BR36" t="n">
        <v>0.736585365853658</v>
      </c>
      <c r="BS36" t="n">
        <v>0.724390243902439</v>
      </c>
      <c r="BT36" t="n">
        <v>0.71219512195122</v>
      </c>
      <c r="BU36" t="n">
        <v>0.699999999999999</v>
      </c>
      <c r="BV36" t="n">
        <v>0.687499999999999</v>
      </c>
      <c r="BW36" t="n">
        <v>0.675</v>
      </c>
      <c r="BX36" t="n">
        <v>0.6625</v>
      </c>
      <c r="BY36" t="n">
        <v>0.649999999999999</v>
      </c>
      <c r="BZ36" t="n">
        <v>0.637499999999999</v>
      </c>
      <c r="CA36" t="n">
        <v>0.625</v>
      </c>
      <c r="CB36" t="n">
        <v>0.6125</v>
      </c>
      <c r="CC36" t="n">
        <v>0.6</v>
      </c>
      <c r="CD36" t="e">
        <v>#VALUE!</v>
      </c>
      <c r="CE36" t="e">
        <v>#VALUE!</v>
      </c>
      <c r="CF36" t="e">
        <v>#VALUE!</v>
      </c>
      <c r="CG36" t="e">
        <v>#VALUE!</v>
      </c>
      <c r="CH36" t="e">
        <v>#VALUE!</v>
      </c>
      <c r="CI36" t="e">
        <v>#VALUE!</v>
      </c>
      <c r="CJ36" t="e">
        <v>#VALUE!</v>
      </c>
      <c r="CK36" t="e">
        <v>#VALUE!</v>
      </c>
    </row>
    <row r="37" ht="12.5" customHeight="1" s="213">
      <c r="A37" t="inlineStr">
        <is>
          <t>Australia</t>
        </is>
      </c>
      <c r="B37" t="inlineStr">
        <is>
          <t>Trd_hdt</t>
        </is>
      </c>
      <c r="C37" t="inlineStr">
        <is>
          <t>Trd_hdt</t>
        </is>
      </c>
      <c r="D37" t="n">
        <v>51.1</v>
      </c>
      <c r="E37" t="n">
        <v>51.7269325835117</v>
      </c>
      <c r="G37" t="n">
        <v>57.8264100285185</v>
      </c>
      <c r="H37" t="n">
        <v>64.0481726602432</v>
      </c>
      <c r="I37" t="n">
        <v>70.46016184768921</v>
      </c>
      <c r="J37" t="n">
        <v>77.0665629493252</v>
      </c>
      <c r="K37" t="n">
        <v>83.89462117506881</v>
      </c>
      <c r="L37" t="n">
        <v>90.6741208445533</v>
      </c>
      <c r="M37" t="n">
        <v>97.2577289310377</v>
      </c>
      <c r="N37" t="n">
        <v>103.799614110601</v>
      </c>
      <c r="O37" t="n">
        <v>110.273482654212</v>
      </c>
      <c r="P37" t="n">
        <v>116.495643536256</v>
      </c>
      <c r="Q37" t="n">
        <v>122.360104321629</v>
      </c>
      <c r="R37" t="n">
        <v>127.800214002118</v>
      </c>
      <c r="S37" t="n">
        <v>132.777718617817</v>
      </c>
      <c r="T37" t="n">
        <v>137.304197073765</v>
      </c>
      <c r="U37" t="n">
        <v>141.418939666899</v>
      </c>
      <c r="V37" t="n">
        <v>145.133548242743</v>
      </c>
      <c r="W37" t="n">
        <v>3</v>
      </c>
      <c r="AG37" s="223" t="inlineStr">
        <is>
          <t>GDP</t>
        </is>
      </c>
      <c r="AI37" t="n">
        <v>1</v>
      </c>
      <c r="AJ37" t="n">
        <v>1.01538282310513</v>
      </c>
      <c r="AK37" t="n">
        <v>1.16783502508932</v>
      </c>
      <c r="AL37" t="n">
        <v>1.33034996724544</v>
      </c>
      <c r="AM37" t="n">
        <v>1.50536735755145</v>
      </c>
      <c r="AN37" t="n">
        <v>1.69386645595694</v>
      </c>
      <c r="AO37" t="n">
        <v>1.89761161875046</v>
      </c>
      <c r="AP37" t="n">
        <v>2.10930060579047</v>
      </c>
      <c r="AQ37" t="n">
        <v>2.32434102558908</v>
      </c>
      <c r="AR37" t="n">
        <v>2.54768827116721</v>
      </c>
      <c r="AS37" t="n">
        <v>2.77881050306947</v>
      </c>
      <c r="AT37" t="n">
        <v>3.01109771663594</v>
      </c>
      <c r="AU37" t="n">
        <v>3.23989842710592</v>
      </c>
      <c r="AV37" t="n">
        <v>3.46150664208387</v>
      </c>
      <c r="AW37" t="n">
        <v>3.67298458172093</v>
      </c>
      <c r="AX37" t="n">
        <v>3.87332766037914</v>
      </c>
      <c r="AY37" t="n">
        <v>4.06283978631873</v>
      </c>
      <c r="AZ37" t="n">
        <v>4.24070209561629</v>
      </c>
      <c r="BA37" t="n">
        <v>0</v>
      </c>
      <c r="BB37" t="n">
        <v>0</v>
      </c>
      <c r="BC37" t="n">
        <v>0</v>
      </c>
      <c r="BD37" t="n">
        <v>0</v>
      </c>
      <c r="BE37" t="n">
        <v>0</v>
      </c>
      <c r="BF37" t="n">
        <v>0</v>
      </c>
      <c r="BG37" t="n">
        <v>0</v>
      </c>
      <c r="BH37" t="n">
        <v>0</v>
      </c>
      <c r="BJ37" t="inlineStr">
        <is>
          <t>Med2</t>
        </is>
      </c>
      <c r="BL37" t="n">
        <v>0.8</v>
      </c>
      <c r="BM37" t="n">
        <v>0.797560975609756</v>
      </c>
      <c r="BN37" t="n">
        <v>0.785365853658536</v>
      </c>
      <c r="BO37" t="n">
        <v>0.773170731707317</v>
      </c>
      <c r="BP37" t="n">
        <v>0.760975609756097</v>
      </c>
      <c r="BQ37" t="n">
        <v>0.748780487804878</v>
      </c>
      <c r="BR37" t="n">
        <v>0.736585365853658</v>
      </c>
      <c r="BS37" t="n">
        <v>0.724390243902439</v>
      </c>
      <c r="BT37" t="n">
        <v>0.71219512195122</v>
      </c>
      <c r="BU37" t="n">
        <v>0.699999999999999</v>
      </c>
      <c r="BV37" t="n">
        <v>0.687499999999999</v>
      </c>
      <c r="BW37" t="n">
        <v>0.675</v>
      </c>
      <c r="BX37" t="n">
        <v>0.6625</v>
      </c>
      <c r="BY37" t="n">
        <v>0.649999999999999</v>
      </c>
      <c r="BZ37" t="n">
        <v>0.637499999999999</v>
      </c>
      <c r="CA37" t="n">
        <v>0.625</v>
      </c>
      <c r="CB37" t="n">
        <v>0.6125</v>
      </c>
      <c r="CC37" t="n">
        <v>0.6</v>
      </c>
      <c r="CD37" t="e">
        <v>#VALUE!</v>
      </c>
      <c r="CE37" t="e">
        <v>#VALUE!</v>
      </c>
      <c r="CF37" t="e">
        <v>#VALUE!</v>
      </c>
      <c r="CG37" t="e">
        <v>#VALUE!</v>
      </c>
      <c r="CH37" t="e">
        <v>#VALUE!</v>
      </c>
      <c r="CI37" t="e">
        <v>#VALUE!</v>
      </c>
      <c r="CJ37" t="e">
        <v>#VALUE!</v>
      </c>
      <c r="CK37" t="e">
        <v>#VALUE!</v>
      </c>
    </row>
    <row r="38" ht="12.5" customHeight="1" s="213">
      <c r="A38" t="inlineStr">
        <is>
          <t>Australia</t>
        </is>
      </c>
      <c r="B38" t="inlineStr">
        <is>
          <t>Trd_lcv</t>
        </is>
      </c>
      <c r="C38" t="inlineStr">
        <is>
          <t>Trd_lcv</t>
        </is>
      </c>
      <c r="D38" t="n">
        <v>64.16</v>
      </c>
      <c r="E38" t="n">
        <v>64.9471623201196</v>
      </c>
      <c r="G38" t="n">
        <v>72.6055277383512</v>
      </c>
      <c r="H38" t="n">
        <v>80.4174316610803</v>
      </c>
      <c r="I38" t="n">
        <v>88.4681797289185</v>
      </c>
      <c r="J38" t="n">
        <v>96.7630269829491</v>
      </c>
      <c r="K38" t="n">
        <v>105.336181890262</v>
      </c>
      <c r="L38" t="n">
        <v>113.848367776645</v>
      </c>
      <c r="M38" t="n">
        <v>122.114596638266</v>
      </c>
      <c r="N38" t="n">
        <v>130.328439165091</v>
      </c>
      <c r="O38" t="n">
        <v>138.456881547833</v>
      </c>
      <c r="P38" t="n">
        <v>146.269285504622</v>
      </c>
      <c r="Q38" t="n">
        <v>153.632569340033</v>
      </c>
      <c r="R38" t="n">
        <v>160.463047561172</v>
      </c>
      <c r="S38" t="n">
        <v>166.712689364366</v>
      </c>
      <c r="T38" t="n">
        <v>172.396032959937</v>
      </c>
      <c r="U38" t="n">
        <v>177.562410352803</v>
      </c>
      <c r="V38" t="n">
        <v>182.226388556838</v>
      </c>
      <c r="W38" t="n">
        <v>3</v>
      </c>
      <c r="AG38" s="223" t="inlineStr">
        <is>
          <t>GDP</t>
        </is>
      </c>
      <c r="AI38" t="n">
        <v>1</v>
      </c>
      <c r="AJ38" t="n">
        <v>1.01538282310513</v>
      </c>
      <c r="AK38" t="n">
        <v>1.16783502508932</v>
      </c>
      <c r="AL38" t="n">
        <v>1.33034996724544</v>
      </c>
      <c r="AM38" t="n">
        <v>1.50536735755145</v>
      </c>
      <c r="AN38" t="n">
        <v>1.69386645595694</v>
      </c>
      <c r="AO38" t="n">
        <v>1.89761161875046</v>
      </c>
      <c r="AP38" t="n">
        <v>2.10930060579047</v>
      </c>
      <c r="AQ38" t="n">
        <v>2.32434102558908</v>
      </c>
      <c r="AR38" t="n">
        <v>2.54768827116721</v>
      </c>
      <c r="AS38" t="n">
        <v>2.77881050306947</v>
      </c>
      <c r="AT38" t="n">
        <v>3.01109771663594</v>
      </c>
      <c r="AU38" t="n">
        <v>3.23989842710592</v>
      </c>
      <c r="AV38" t="n">
        <v>3.46150664208387</v>
      </c>
      <c r="AW38" t="n">
        <v>3.67298458172093</v>
      </c>
      <c r="AX38" t="n">
        <v>3.87332766037914</v>
      </c>
      <c r="AY38" t="n">
        <v>4.06283978631873</v>
      </c>
      <c r="AZ38" t="n">
        <v>4.24070209561629</v>
      </c>
      <c r="BA38" t="n">
        <v>0</v>
      </c>
      <c r="BB38" t="n">
        <v>0</v>
      </c>
      <c r="BC38" t="n">
        <v>0</v>
      </c>
      <c r="BD38" t="n">
        <v>0</v>
      </c>
      <c r="BE38" t="n">
        <v>0</v>
      </c>
      <c r="BF38" t="n">
        <v>0</v>
      </c>
      <c r="BG38" t="n">
        <v>0</v>
      </c>
      <c r="BH38" t="n">
        <v>0</v>
      </c>
      <c r="BJ38" t="inlineStr">
        <is>
          <t>Med2</t>
        </is>
      </c>
      <c r="BL38" t="n">
        <v>0.8</v>
      </c>
      <c r="BM38" t="n">
        <v>0.797560975609756</v>
      </c>
      <c r="BN38" t="n">
        <v>0.785365853658536</v>
      </c>
      <c r="BO38" t="n">
        <v>0.773170731707317</v>
      </c>
      <c r="BP38" t="n">
        <v>0.760975609756097</v>
      </c>
      <c r="BQ38" t="n">
        <v>0.748780487804878</v>
      </c>
      <c r="BR38" t="n">
        <v>0.736585365853658</v>
      </c>
      <c r="BS38" t="n">
        <v>0.724390243902439</v>
      </c>
      <c r="BT38" t="n">
        <v>0.71219512195122</v>
      </c>
      <c r="BU38" t="n">
        <v>0.699999999999999</v>
      </c>
      <c r="BV38" t="n">
        <v>0.687499999999999</v>
      </c>
      <c r="BW38" t="n">
        <v>0.675</v>
      </c>
      <c r="BX38" t="n">
        <v>0.6625</v>
      </c>
      <c r="BY38" t="n">
        <v>0.649999999999999</v>
      </c>
      <c r="BZ38" t="n">
        <v>0.637499999999999</v>
      </c>
      <c r="CA38" t="n">
        <v>0.625</v>
      </c>
      <c r="CB38" t="n">
        <v>0.6125</v>
      </c>
      <c r="CC38" t="n">
        <v>0.6</v>
      </c>
      <c r="CD38" t="e">
        <v>#VALUE!</v>
      </c>
      <c r="CE38" t="e">
        <v>#VALUE!</v>
      </c>
      <c r="CF38" t="e">
        <v>#VALUE!</v>
      </c>
      <c r="CG38" t="e">
        <v>#VALUE!</v>
      </c>
      <c r="CH38" t="e">
        <v>#VALUE!</v>
      </c>
      <c r="CI38" t="e">
        <v>#VALUE!</v>
      </c>
      <c r="CJ38" t="e">
        <v>#VALUE!</v>
      </c>
      <c r="CK38" t="e">
        <v>#VALUE!</v>
      </c>
    </row>
    <row r="39" ht="12.5" customHeight="1" s="213">
      <c r="A39" t="inlineStr">
        <is>
          <t>Austria</t>
        </is>
      </c>
      <c r="B39" t="inlineStr">
        <is>
          <t>TAD</t>
        </is>
      </c>
      <c r="C39" t="inlineStr">
        <is>
          <t>TAD</t>
        </is>
      </c>
      <c r="E39" t="n">
        <v>1.31029971791135</v>
      </c>
      <c r="F39">
        <f>E39</f>
        <v/>
      </c>
      <c r="I39">
        <f>F39</f>
        <v/>
      </c>
      <c r="J39">
        <f>I39</f>
        <v/>
      </c>
      <c r="L39">
        <f>J39</f>
        <v/>
      </c>
      <c r="V39">
        <f>L39</f>
        <v/>
      </c>
      <c r="W39" t="n">
        <v>3</v>
      </c>
      <c r="AG39" s="223" t="inlineStr">
        <is>
          <t>GDP</t>
        </is>
      </c>
      <c r="AI39" t="n">
        <v>1</v>
      </c>
      <c r="AJ39" t="n">
        <v>1.00222228558761</v>
      </c>
      <c r="AK39" t="n">
        <v>1.11536936759602</v>
      </c>
      <c r="AL39" t="n">
        <v>1.22692746022008</v>
      </c>
      <c r="AM39" t="n">
        <v>1.31065179378735</v>
      </c>
      <c r="AN39" t="n">
        <v>1.39418296511398</v>
      </c>
      <c r="AO39" t="n">
        <v>1.47814645193158</v>
      </c>
      <c r="AP39" t="n">
        <v>1.55843985617691</v>
      </c>
      <c r="AQ39" t="n">
        <v>1.63661997352757</v>
      </c>
      <c r="AR39" t="n">
        <v>1.71631319509662</v>
      </c>
      <c r="AS39" t="n">
        <v>1.79843244242615</v>
      </c>
      <c r="AT39" t="n">
        <v>1.88001359494246</v>
      </c>
      <c r="AU39" t="n">
        <v>1.95857313812296</v>
      </c>
      <c r="AV39" t="n">
        <v>2.0297419260483</v>
      </c>
      <c r="AW39" t="n">
        <v>2.09143656598008</v>
      </c>
      <c r="AX39" t="n">
        <v>2.14401348824332</v>
      </c>
      <c r="AY39" t="n">
        <v>2.18899039615736</v>
      </c>
      <c r="AZ39" t="n">
        <v>2.22693297914124</v>
      </c>
      <c r="BA39" t="n">
        <v>0</v>
      </c>
      <c r="BB39" t="n">
        <v>0</v>
      </c>
      <c r="BC39" t="n">
        <v>0</v>
      </c>
      <c r="BD39" t="n">
        <v>0</v>
      </c>
      <c r="BE39" t="n">
        <v>0</v>
      </c>
      <c r="BF39" t="n">
        <v>0</v>
      </c>
      <c r="BG39" t="n">
        <v>0</v>
      </c>
      <c r="BH39" t="n">
        <v>0</v>
      </c>
      <c r="BJ39" t="inlineStr">
        <is>
          <t>Med2</t>
        </is>
      </c>
      <c r="BL39" t="n">
        <v>0.8</v>
      </c>
      <c r="BM39" t="n">
        <v>0.797560975609756</v>
      </c>
      <c r="BN39" t="n">
        <v>0.785365853658536</v>
      </c>
      <c r="BO39" t="n">
        <v>0.773170731707317</v>
      </c>
      <c r="BP39" t="n">
        <v>0.760975609756097</v>
      </c>
      <c r="BQ39" t="n">
        <v>0.748780487804878</v>
      </c>
      <c r="BR39" t="n">
        <v>0.736585365853658</v>
      </c>
      <c r="BS39" t="n">
        <v>0.724390243902439</v>
      </c>
      <c r="BT39" t="n">
        <v>0.71219512195122</v>
      </c>
      <c r="BU39" t="n">
        <v>0.699999999999999</v>
      </c>
      <c r="BV39" t="n">
        <v>0.687499999999999</v>
      </c>
      <c r="BW39" t="n">
        <v>0.675</v>
      </c>
      <c r="BX39" t="n">
        <v>0.6625</v>
      </c>
      <c r="BY39" t="n">
        <v>0.649999999999999</v>
      </c>
      <c r="BZ39" t="n">
        <v>0.637499999999999</v>
      </c>
      <c r="CA39" t="n">
        <v>0.625</v>
      </c>
      <c r="CB39" t="n">
        <v>0.6125</v>
      </c>
      <c r="CC39" t="n">
        <v>0.6</v>
      </c>
      <c r="CD39" t="e">
        <v>#VALUE!</v>
      </c>
      <c r="CE39" t="e">
        <v>#VALUE!</v>
      </c>
      <c r="CF39" t="e">
        <v>#VALUE!</v>
      </c>
      <c r="CG39" t="e">
        <v>#VALUE!</v>
      </c>
      <c r="CH39" t="e">
        <v>#VALUE!</v>
      </c>
      <c r="CI39" t="e">
        <v>#VALUE!</v>
      </c>
      <c r="CJ39" t="e">
        <v>#VALUE!</v>
      </c>
      <c r="CK39" t="e">
        <v>#VALUE!</v>
      </c>
    </row>
    <row r="40" ht="12.5" customHeight="1" s="213">
      <c r="A40" t="inlineStr">
        <is>
          <t>Austria</t>
        </is>
      </c>
      <c r="B40" t="inlineStr">
        <is>
          <t>TAI</t>
        </is>
      </c>
      <c r="C40" t="inlineStr">
        <is>
          <t>TAI</t>
        </is>
      </c>
      <c r="E40" t="n">
        <v>39.7497370273663</v>
      </c>
      <c r="F40">
        <f>E40</f>
        <v/>
      </c>
      <c r="I40">
        <f>F40</f>
        <v/>
      </c>
      <c r="J40">
        <f>I40</f>
        <v/>
      </c>
      <c r="L40">
        <f>J40</f>
        <v/>
      </c>
      <c r="V40">
        <f>L40</f>
        <v/>
      </c>
      <c r="W40" t="n">
        <v>3</v>
      </c>
      <c r="AG40" s="223" t="inlineStr">
        <is>
          <t>GDP</t>
        </is>
      </c>
      <c r="AI40" t="n">
        <v>1</v>
      </c>
      <c r="AJ40" t="n">
        <v>1.00222228558761</v>
      </c>
      <c r="AK40" t="n">
        <v>1.11536936759602</v>
      </c>
      <c r="AL40" t="n">
        <v>1.22692746022008</v>
      </c>
      <c r="AM40" t="n">
        <v>1.31065179378735</v>
      </c>
      <c r="AN40" t="n">
        <v>1.39418296511398</v>
      </c>
      <c r="AO40" t="n">
        <v>1.47814645193158</v>
      </c>
      <c r="AP40" t="n">
        <v>1.55843985617691</v>
      </c>
      <c r="AQ40" t="n">
        <v>1.63661997352757</v>
      </c>
      <c r="AR40" t="n">
        <v>1.71631319509662</v>
      </c>
      <c r="AS40" t="n">
        <v>1.79843244242615</v>
      </c>
      <c r="AT40" t="n">
        <v>1.88001359494246</v>
      </c>
      <c r="AU40" t="n">
        <v>1.95857313812296</v>
      </c>
      <c r="AV40" t="n">
        <v>2.0297419260483</v>
      </c>
      <c r="AW40" t="n">
        <v>2.09143656598008</v>
      </c>
      <c r="AX40" t="n">
        <v>2.14401348824332</v>
      </c>
      <c r="AY40" t="n">
        <v>2.18899039615736</v>
      </c>
      <c r="AZ40" t="n">
        <v>2.22693297914124</v>
      </c>
      <c r="BA40" t="n">
        <v>0</v>
      </c>
      <c r="BB40" t="n">
        <v>0</v>
      </c>
      <c r="BC40" t="n">
        <v>0</v>
      </c>
      <c r="BD40" t="n">
        <v>0</v>
      </c>
      <c r="BE40" t="n">
        <v>0</v>
      </c>
      <c r="BF40" t="n">
        <v>0</v>
      </c>
      <c r="BG40" t="n">
        <v>0</v>
      </c>
      <c r="BH40" t="n">
        <v>0</v>
      </c>
      <c r="BJ40" t="inlineStr">
        <is>
          <t>Med2</t>
        </is>
      </c>
      <c r="BL40" t="n">
        <v>0.8</v>
      </c>
      <c r="BM40" t="n">
        <v>0.797560975609756</v>
      </c>
      <c r="BN40" t="n">
        <v>0.785365853658536</v>
      </c>
      <c r="BO40" t="n">
        <v>0.773170731707317</v>
      </c>
      <c r="BP40" t="n">
        <v>0.760975609756097</v>
      </c>
      <c r="BQ40" t="n">
        <v>0.748780487804878</v>
      </c>
      <c r="BR40" t="n">
        <v>0.736585365853658</v>
      </c>
      <c r="BS40" t="n">
        <v>0.724390243902439</v>
      </c>
      <c r="BT40" t="n">
        <v>0.71219512195122</v>
      </c>
      <c r="BU40" t="n">
        <v>0.699999999999999</v>
      </c>
      <c r="BV40" t="n">
        <v>0.687499999999999</v>
      </c>
      <c r="BW40" t="n">
        <v>0.675</v>
      </c>
      <c r="BX40" t="n">
        <v>0.6625</v>
      </c>
      <c r="BY40" t="n">
        <v>0.649999999999999</v>
      </c>
      <c r="BZ40" t="n">
        <v>0.637499999999999</v>
      </c>
      <c r="CA40" t="n">
        <v>0.625</v>
      </c>
      <c r="CB40" t="n">
        <v>0.6125</v>
      </c>
      <c r="CC40" t="n">
        <v>0.6</v>
      </c>
      <c r="CD40" t="e">
        <v>#VALUE!</v>
      </c>
      <c r="CE40" t="e">
        <v>#VALUE!</v>
      </c>
      <c r="CF40" t="e">
        <v>#VALUE!</v>
      </c>
      <c r="CG40" t="e">
        <v>#VALUE!</v>
      </c>
      <c r="CH40" t="e">
        <v>#VALUE!</v>
      </c>
      <c r="CI40" t="e">
        <v>#VALUE!</v>
      </c>
      <c r="CJ40" t="e">
        <v>#VALUE!</v>
      </c>
      <c r="CK40" t="e">
        <v>#VALUE!</v>
      </c>
    </row>
    <row r="41" ht="12.5" customHeight="1" s="213">
      <c r="A41" t="inlineStr">
        <is>
          <t>Austria</t>
        </is>
      </c>
      <c r="B41" t="inlineStr">
        <is>
          <t>TTF</t>
        </is>
      </c>
      <c r="C41" t="inlineStr">
        <is>
          <t>TTF</t>
        </is>
      </c>
      <c r="E41" t="n">
        <v>1.27011069498277</v>
      </c>
      <c r="I41" t="n">
        <v>1.56700840734804</v>
      </c>
      <c r="J41" t="n">
        <v>1.64178868795761</v>
      </c>
      <c r="L41" t="n">
        <v>1.7820875475286</v>
      </c>
      <c r="V41" t="n">
        <v>2.26478361303252</v>
      </c>
      <c r="W41" t="n">
        <v>3</v>
      </c>
      <c r="AG41" s="223" t="inlineStr">
        <is>
          <t>GDP</t>
        </is>
      </c>
      <c r="AI41" t="n">
        <v>1</v>
      </c>
      <c r="AJ41" t="n">
        <v>1.00222228558761</v>
      </c>
      <c r="AK41" t="n">
        <v>1.11536936759602</v>
      </c>
      <c r="AL41" t="n">
        <v>1.22692746022008</v>
      </c>
      <c r="AM41" t="n">
        <v>1.31065179378735</v>
      </c>
      <c r="AN41" t="n">
        <v>1.39418296511398</v>
      </c>
      <c r="AO41" t="n">
        <v>1.47814645193158</v>
      </c>
      <c r="AP41" t="n">
        <v>1.55843985617691</v>
      </c>
      <c r="AQ41" t="n">
        <v>1.63661997352757</v>
      </c>
      <c r="AR41" t="n">
        <v>1.71631319509662</v>
      </c>
      <c r="AS41" t="n">
        <v>1.79843244242615</v>
      </c>
      <c r="AT41" t="n">
        <v>1.88001359494246</v>
      </c>
      <c r="AU41" t="n">
        <v>1.95857313812296</v>
      </c>
      <c r="AV41" t="n">
        <v>2.0297419260483</v>
      </c>
      <c r="AW41" t="n">
        <v>2.09143656598008</v>
      </c>
      <c r="AX41" t="n">
        <v>2.14401348824332</v>
      </c>
      <c r="AY41" t="n">
        <v>2.18899039615736</v>
      </c>
      <c r="AZ41" t="n">
        <v>2.22693297914124</v>
      </c>
      <c r="BA41" t="n">
        <v>0</v>
      </c>
      <c r="BB41" t="n">
        <v>0</v>
      </c>
      <c r="BC41" t="n">
        <v>0</v>
      </c>
      <c r="BD41" t="n">
        <v>0</v>
      </c>
      <c r="BE41" t="n">
        <v>0</v>
      </c>
      <c r="BF41" t="n">
        <v>0</v>
      </c>
      <c r="BG41" t="n">
        <v>0</v>
      </c>
      <c r="BH41" t="n">
        <v>0</v>
      </c>
      <c r="BJ41" t="inlineStr">
        <is>
          <t>Med2</t>
        </is>
      </c>
      <c r="BL41" t="n">
        <v>0.8</v>
      </c>
      <c r="BM41" t="n">
        <v>0.797560975609756</v>
      </c>
      <c r="BN41" t="n">
        <v>0.785365853658536</v>
      </c>
      <c r="BO41" t="n">
        <v>0.773170731707317</v>
      </c>
      <c r="BP41" t="n">
        <v>0.760975609756097</v>
      </c>
      <c r="BQ41" t="n">
        <v>0.748780487804878</v>
      </c>
      <c r="BR41" t="n">
        <v>0.736585365853658</v>
      </c>
      <c r="BS41" t="n">
        <v>0.724390243902439</v>
      </c>
      <c r="BT41" t="n">
        <v>0.71219512195122</v>
      </c>
      <c r="BU41" t="n">
        <v>0.699999999999999</v>
      </c>
      <c r="BV41" t="n">
        <v>0.687499999999999</v>
      </c>
      <c r="BW41" t="n">
        <v>0.675</v>
      </c>
      <c r="BX41" t="n">
        <v>0.6625</v>
      </c>
      <c r="BY41" t="n">
        <v>0.649999999999999</v>
      </c>
      <c r="BZ41" t="n">
        <v>0.637499999999999</v>
      </c>
      <c r="CA41" t="n">
        <v>0.625</v>
      </c>
      <c r="CB41" t="n">
        <v>0.6125</v>
      </c>
      <c r="CC41" t="n">
        <v>0.6</v>
      </c>
      <c r="CD41" t="e">
        <v>#VALUE!</v>
      </c>
      <c r="CE41" t="e">
        <v>#VALUE!</v>
      </c>
      <c r="CF41" t="e">
        <v>#VALUE!</v>
      </c>
      <c r="CG41" t="e">
        <v>#VALUE!</v>
      </c>
      <c r="CH41" t="e">
        <v>#VALUE!</v>
      </c>
      <c r="CI41" t="e">
        <v>#VALUE!</v>
      </c>
      <c r="CJ41" t="e">
        <v>#VALUE!</v>
      </c>
      <c r="CK41" t="e">
        <v>#VALUE!</v>
      </c>
    </row>
    <row r="42" ht="12.5" customHeight="1" s="213">
      <c r="A42" t="inlineStr">
        <is>
          <t>Austria</t>
        </is>
      </c>
      <c r="B42" t="inlineStr">
        <is>
          <t>TTP</t>
        </is>
      </c>
      <c r="C42" t="inlineStr">
        <is>
          <t>TTP</t>
        </is>
      </c>
      <c r="E42" t="n">
        <v>7.31143704140328</v>
      </c>
      <c r="I42" t="n">
        <v>7.4712788225843</v>
      </c>
      <c r="J42" t="n">
        <v>7.49446942090852</v>
      </c>
      <c r="L42" t="n">
        <v>7.53994546338287</v>
      </c>
      <c r="V42" t="n">
        <v>7.26035151569322</v>
      </c>
      <c r="W42" t="n">
        <v>3</v>
      </c>
      <c r="AG42" s="223" t="inlineStr">
        <is>
          <t>POP</t>
        </is>
      </c>
      <c r="AI42" t="n">
        <v>1</v>
      </c>
      <c r="AJ42" t="n">
        <v>1.00323836883231</v>
      </c>
      <c r="AK42" t="n">
        <v>1.01943021299387</v>
      </c>
      <c r="AL42" t="n">
        <v>1.02630425158199</v>
      </c>
      <c r="AM42" t="n">
        <v>1.03148032182615</v>
      </c>
      <c r="AN42" t="n">
        <v>1.03575618143882</v>
      </c>
      <c r="AO42" t="n">
        <v>1.04031122243802</v>
      </c>
      <c r="AP42" t="n">
        <v>1.04436031057323</v>
      </c>
      <c r="AQ42" t="n">
        <v>1.0460204085313</v>
      </c>
      <c r="AR42" t="n">
        <v>1.04563234978531</v>
      </c>
      <c r="AS42" t="n">
        <v>1.0433225943739</v>
      </c>
      <c r="AT42" t="n">
        <v>1.04070976316582</v>
      </c>
      <c r="AU42" t="n">
        <v>1.03733411418462</v>
      </c>
      <c r="AV42" t="n">
        <v>1.03156609374183</v>
      </c>
      <c r="AW42" t="n">
        <v>1.02257818882174</v>
      </c>
      <c r="AX42" t="n">
        <v>1.01090464236831</v>
      </c>
      <c r="AY42" t="n">
        <v>0.997492664866922</v>
      </c>
      <c r="AZ42" t="n">
        <v>0.9829517891953981</v>
      </c>
      <c r="BA42" t="n">
        <v>0</v>
      </c>
      <c r="BB42" t="n">
        <v>0</v>
      </c>
      <c r="BC42" t="n">
        <v>0</v>
      </c>
      <c r="BD42" t="n">
        <v>0</v>
      </c>
      <c r="BE42" t="n">
        <v>0</v>
      </c>
      <c r="BF42" t="n">
        <v>0</v>
      </c>
      <c r="BG42" t="n">
        <v>0</v>
      </c>
      <c r="BH42" t="n">
        <v>0</v>
      </c>
      <c r="BJ42" t="inlineStr">
        <is>
          <t>Med2</t>
        </is>
      </c>
      <c r="BL42" t="n">
        <v>0.8</v>
      </c>
      <c r="BM42" t="n">
        <v>0.797560975609756</v>
      </c>
      <c r="BN42" t="n">
        <v>0.785365853658536</v>
      </c>
      <c r="BO42" t="n">
        <v>0.773170731707317</v>
      </c>
      <c r="BP42" t="n">
        <v>0.760975609756097</v>
      </c>
      <c r="BQ42" t="n">
        <v>0.748780487804878</v>
      </c>
      <c r="BR42" t="n">
        <v>0.736585365853658</v>
      </c>
      <c r="BS42" t="n">
        <v>0.724390243902439</v>
      </c>
      <c r="BT42" t="n">
        <v>0.71219512195122</v>
      </c>
      <c r="BU42" t="n">
        <v>0.699999999999999</v>
      </c>
      <c r="BV42" t="n">
        <v>0.687499999999999</v>
      </c>
      <c r="BW42" t="n">
        <v>0.675</v>
      </c>
      <c r="BX42" t="n">
        <v>0.6625</v>
      </c>
      <c r="BY42" t="n">
        <v>0.649999999999999</v>
      </c>
      <c r="BZ42" t="n">
        <v>0.637499999999999</v>
      </c>
      <c r="CA42" t="n">
        <v>0.625</v>
      </c>
      <c r="CB42" t="n">
        <v>0.6125</v>
      </c>
      <c r="CC42" t="n">
        <v>0.6</v>
      </c>
      <c r="CD42" t="e">
        <v>#VALUE!</v>
      </c>
      <c r="CE42" t="e">
        <v>#VALUE!</v>
      </c>
      <c r="CF42" t="e">
        <v>#VALUE!</v>
      </c>
      <c r="CG42" t="e">
        <v>#VALUE!</v>
      </c>
      <c r="CH42" t="e">
        <v>#VALUE!</v>
      </c>
      <c r="CI42" t="e">
        <v>#VALUE!</v>
      </c>
      <c r="CJ42" t="e">
        <v>#VALUE!</v>
      </c>
      <c r="CK42" t="e">
        <v>#VALUE!</v>
      </c>
    </row>
    <row r="43" ht="12.5" customHeight="1" s="213">
      <c r="A43" t="inlineStr">
        <is>
          <t>Austria</t>
        </is>
      </c>
      <c r="B43" t="inlineStr">
        <is>
          <t>TWD</t>
        </is>
      </c>
      <c r="C43" t="inlineStr">
        <is>
          <t>TWD</t>
        </is>
      </c>
      <c r="E43" t="n">
        <v>1.13972076127334</v>
      </c>
      <c r="F43">
        <f>E43</f>
        <v/>
      </c>
      <c r="I43">
        <f>F43</f>
        <v/>
      </c>
      <c r="J43">
        <f>I43</f>
        <v/>
      </c>
      <c r="L43">
        <f>J43</f>
        <v/>
      </c>
      <c r="V43">
        <f>L43</f>
        <v/>
      </c>
      <c r="W43" t="n">
        <v>3</v>
      </c>
      <c r="AG43" s="223" t="inlineStr">
        <is>
          <t>GDP</t>
        </is>
      </c>
      <c r="AI43" t="n">
        <v>1</v>
      </c>
      <c r="AJ43" t="n">
        <v>1.00222228558761</v>
      </c>
      <c r="AK43" t="n">
        <v>1.11536936759602</v>
      </c>
      <c r="AL43" t="n">
        <v>1.22692746022008</v>
      </c>
      <c r="AM43" t="n">
        <v>1.31065179378735</v>
      </c>
      <c r="AN43" t="n">
        <v>1.39418296511398</v>
      </c>
      <c r="AO43" t="n">
        <v>1.47814645193158</v>
      </c>
      <c r="AP43" t="n">
        <v>1.55843985617691</v>
      </c>
      <c r="AQ43" t="n">
        <v>1.63661997352757</v>
      </c>
      <c r="AR43" t="n">
        <v>1.71631319509662</v>
      </c>
      <c r="AS43" t="n">
        <v>1.79843244242615</v>
      </c>
      <c r="AT43" t="n">
        <v>1.88001359494246</v>
      </c>
      <c r="AU43" t="n">
        <v>1.95857313812296</v>
      </c>
      <c r="AV43" t="n">
        <v>2.0297419260483</v>
      </c>
      <c r="AW43" t="n">
        <v>2.09143656598008</v>
      </c>
      <c r="AX43" t="n">
        <v>2.14401348824332</v>
      </c>
      <c r="AY43" t="n">
        <v>2.18899039615736</v>
      </c>
      <c r="AZ43" t="n">
        <v>2.22693297914124</v>
      </c>
      <c r="BA43" t="n">
        <v>0</v>
      </c>
      <c r="BB43" t="n">
        <v>0</v>
      </c>
      <c r="BC43" t="n">
        <v>0</v>
      </c>
      <c r="BD43" t="n">
        <v>0</v>
      </c>
      <c r="BE43" t="n">
        <v>0</v>
      </c>
      <c r="BF43" t="n">
        <v>0</v>
      </c>
      <c r="BG43" t="n">
        <v>0</v>
      </c>
      <c r="BH43" t="n">
        <v>0</v>
      </c>
      <c r="BJ43" t="inlineStr">
        <is>
          <t>Med2</t>
        </is>
      </c>
      <c r="BL43" t="n">
        <v>0.8</v>
      </c>
      <c r="BM43" t="n">
        <v>0.797560975609756</v>
      </c>
      <c r="BN43" t="n">
        <v>0.785365853658536</v>
      </c>
      <c r="BO43" t="n">
        <v>0.773170731707317</v>
      </c>
      <c r="BP43" t="n">
        <v>0.760975609756097</v>
      </c>
      <c r="BQ43" t="n">
        <v>0.748780487804878</v>
      </c>
      <c r="BR43" t="n">
        <v>0.736585365853658</v>
      </c>
      <c r="BS43" t="n">
        <v>0.724390243902439</v>
      </c>
      <c r="BT43" t="n">
        <v>0.71219512195122</v>
      </c>
      <c r="BU43" t="n">
        <v>0.699999999999999</v>
      </c>
      <c r="BV43" t="n">
        <v>0.687499999999999</v>
      </c>
      <c r="BW43" t="n">
        <v>0.675</v>
      </c>
      <c r="BX43" t="n">
        <v>0.6625</v>
      </c>
      <c r="BY43" t="n">
        <v>0.649999999999999</v>
      </c>
      <c r="BZ43" t="n">
        <v>0.637499999999999</v>
      </c>
      <c r="CA43" t="n">
        <v>0.625</v>
      </c>
      <c r="CB43" t="n">
        <v>0.6125</v>
      </c>
      <c r="CC43" t="n">
        <v>0.6</v>
      </c>
      <c r="CD43" t="e">
        <v>#VALUE!</v>
      </c>
      <c r="CE43" t="e">
        <v>#VALUE!</v>
      </c>
      <c r="CF43" t="e">
        <v>#VALUE!</v>
      </c>
      <c r="CG43" t="e">
        <v>#VALUE!</v>
      </c>
      <c r="CH43" t="e">
        <v>#VALUE!</v>
      </c>
      <c r="CI43" t="e">
        <v>#VALUE!</v>
      </c>
      <c r="CJ43" t="e">
        <v>#VALUE!</v>
      </c>
      <c r="CK43" t="e">
        <v>#VALUE!</v>
      </c>
    </row>
    <row r="44" ht="12.5" customHeight="1" s="213">
      <c r="A44" t="inlineStr">
        <is>
          <t>Austria</t>
        </is>
      </c>
      <c r="B44" t="inlineStr">
        <is>
          <t>TWI</t>
        </is>
      </c>
      <c r="C44" t="inlineStr">
        <is>
          <t>TWI</t>
        </is>
      </c>
      <c r="E44" t="n">
        <v>0.614101020779717</v>
      </c>
      <c r="F44">
        <f>E44</f>
        <v/>
      </c>
      <c r="I44">
        <f>F44</f>
        <v/>
      </c>
      <c r="J44">
        <f>I44</f>
        <v/>
      </c>
      <c r="L44">
        <f>J44</f>
        <v/>
      </c>
      <c r="V44">
        <f>L44</f>
        <v/>
      </c>
      <c r="W44" t="n">
        <v>3</v>
      </c>
      <c r="AG44" s="223" t="inlineStr">
        <is>
          <t>GDP</t>
        </is>
      </c>
      <c r="AI44" t="n">
        <v>1</v>
      </c>
      <c r="AJ44" t="n">
        <v>1.00222228558761</v>
      </c>
      <c r="AK44" t="n">
        <v>1.11536936759602</v>
      </c>
      <c r="AL44" t="n">
        <v>1.22692746022008</v>
      </c>
      <c r="AM44" t="n">
        <v>1.31065179378735</v>
      </c>
      <c r="AN44" t="n">
        <v>1.39418296511398</v>
      </c>
      <c r="AO44" t="n">
        <v>1.47814645193158</v>
      </c>
      <c r="AP44" t="n">
        <v>1.55843985617691</v>
      </c>
      <c r="AQ44" t="n">
        <v>1.63661997352757</v>
      </c>
      <c r="AR44" t="n">
        <v>1.71631319509662</v>
      </c>
      <c r="AS44" t="n">
        <v>1.79843244242615</v>
      </c>
      <c r="AT44" t="n">
        <v>1.88001359494246</v>
      </c>
      <c r="AU44" t="n">
        <v>1.95857313812296</v>
      </c>
      <c r="AV44" t="n">
        <v>2.0297419260483</v>
      </c>
      <c r="AW44" t="n">
        <v>2.09143656598008</v>
      </c>
      <c r="AX44" t="n">
        <v>2.14401348824332</v>
      </c>
      <c r="AY44" t="n">
        <v>2.18899039615736</v>
      </c>
      <c r="AZ44" t="n">
        <v>2.22693297914124</v>
      </c>
      <c r="BA44" t="n">
        <v>0</v>
      </c>
      <c r="BB44" t="n">
        <v>0</v>
      </c>
      <c r="BC44" t="n">
        <v>0</v>
      </c>
      <c r="BD44" t="n">
        <v>0</v>
      </c>
      <c r="BE44" t="n">
        <v>0</v>
      </c>
      <c r="BF44" t="n">
        <v>0</v>
      </c>
      <c r="BG44" t="n">
        <v>0</v>
      </c>
      <c r="BH44" t="n">
        <v>0</v>
      </c>
      <c r="BJ44" t="inlineStr">
        <is>
          <t>Med2</t>
        </is>
      </c>
      <c r="BL44" t="n">
        <v>0.8</v>
      </c>
      <c r="BM44" t="n">
        <v>0.797560975609756</v>
      </c>
      <c r="BN44" t="n">
        <v>0.785365853658536</v>
      </c>
      <c r="BO44" t="n">
        <v>0.773170731707317</v>
      </c>
      <c r="BP44" t="n">
        <v>0.760975609756097</v>
      </c>
      <c r="BQ44" t="n">
        <v>0.748780487804878</v>
      </c>
      <c r="BR44" t="n">
        <v>0.736585365853658</v>
      </c>
      <c r="BS44" t="n">
        <v>0.724390243902439</v>
      </c>
      <c r="BT44" t="n">
        <v>0.71219512195122</v>
      </c>
      <c r="BU44" t="n">
        <v>0.699999999999999</v>
      </c>
      <c r="BV44" t="n">
        <v>0.687499999999999</v>
      </c>
      <c r="BW44" t="n">
        <v>0.675</v>
      </c>
      <c r="BX44" t="n">
        <v>0.6625</v>
      </c>
      <c r="BY44" t="n">
        <v>0.649999999999999</v>
      </c>
      <c r="BZ44" t="n">
        <v>0.637499999999999</v>
      </c>
      <c r="CA44" t="n">
        <v>0.625</v>
      </c>
      <c r="CB44" t="n">
        <v>0.6125</v>
      </c>
      <c r="CC44" t="n">
        <v>0.6</v>
      </c>
      <c r="CD44" t="e">
        <v>#VALUE!</v>
      </c>
      <c r="CE44" t="e">
        <v>#VALUE!</v>
      </c>
      <c r="CF44" t="e">
        <v>#VALUE!</v>
      </c>
      <c r="CG44" t="e">
        <v>#VALUE!</v>
      </c>
      <c r="CH44" t="e">
        <v>#VALUE!</v>
      </c>
      <c r="CI44" t="e">
        <v>#VALUE!</v>
      </c>
      <c r="CJ44" t="e">
        <v>#VALUE!</v>
      </c>
      <c r="CK44" t="e">
        <v>#VALUE!</v>
      </c>
    </row>
    <row r="45" ht="12.5" customHeight="1" s="213">
      <c r="A45" t="inlineStr">
        <is>
          <t>Austria</t>
        </is>
      </c>
      <c r="B45" t="inlineStr">
        <is>
          <t>Trd_2w</t>
        </is>
      </c>
      <c r="C45" t="inlineStr">
        <is>
          <t>Trd_2w</t>
        </is>
      </c>
      <c r="D45" t="n">
        <v>0.329</v>
      </c>
      <c r="E45" t="n">
        <v>0.329849740083138</v>
      </c>
      <c r="G45" t="n">
        <v>0.334030741773154</v>
      </c>
      <c r="H45" t="n">
        <v>0.335772213021045</v>
      </c>
      <c r="I45" t="n">
        <v>0.337060876509318</v>
      </c>
      <c r="J45" t="n">
        <v>0.33810710213997</v>
      </c>
      <c r="K45" t="n">
        <v>0.339202349301157</v>
      </c>
      <c r="L45" t="n">
        <v>0.340158718081574</v>
      </c>
      <c r="M45" t="n">
        <v>0.340543809603631</v>
      </c>
      <c r="N45" t="n">
        <v>0.340455373754921</v>
      </c>
      <c r="O45" t="n">
        <v>0.339938338832083</v>
      </c>
      <c r="P45" t="n">
        <v>0.339363697761251</v>
      </c>
      <c r="Q45" t="n">
        <v>0.33863444359812</v>
      </c>
      <c r="R45" t="n">
        <v>0.337410524767833</v>
      </c>
      <c r="S45" t="n">
        <v>0.335536392557153</v>
      </c>
      <c r="T45" t="n">
        <v>0.333142382673514</v>
      </c>
      <c r="U45" t="n">
        <v>0.330435193491893</v>
      </c>
      <c r="V45" t="n">
        <v>0.327545056710765</v>
      </c>
      <c r="W45" t="n">
        <v>3</v>
      </c>
      <c r="AG45" s="223" t="inlineStr">
        <is>
          <t>POP</t>
        </is>
      </c>
      <c r="AI45" t="n">
        <v>1</v>
      </c>
      <c r="AJ45" t="n">
        <v>1.00323836883231</v>
      </c>
      <c r="AK45" t="n">
        <v>1.01943021299387</v>
      </c>
      <c r="AL45" t="n">
        <v>1.02630425158199</v>
      </c>
      <c r="AM45" t="n">
        <v>1.03148032182615</v>
      </c>
      <c r="AN45" t="n">
        <v>1.03575618143882</v>
      </c>
      <c r="AO45" t="n">
        <v>1.04031122243802</v>
      </c>
      <c r="AP45" t="n">
        <v>1.04436031057323</v>
      </c>
      <c r="AQ45" t="n">
        <v>1.0460204085313</v>
      </c>
      <c r="AR45" t="n">
        <v>1.04563234978531</v>
      </c>
      <c r="AS45" t="n">
        <v>1.0433225943739</v>
      </c>
      <c r="AT45" t="n">
        <v>1.04070976316582</v>
      </c>
      <c r="AU45" t="n">
        <v>1.03733411418462</v>
      </c>
      <c r="AV45" t="n">
        <v>1.03156609374183</v>
      </c>
      <c r="AW45" t="n">
        <v>1.02257818882174</v>
      </c>
      <c r="AX45" t="n">
        <v>1.01090464236831</v>
      </c>
      <c r="AY45" t="n">
        <v>0.997492664866922</v>
      </c>
      <c r="AZ45" t="n">
        <v>0.9829517891953981</v>
      </c>
      <c r="BA45" t="n">
        <v>0</v>
      </c>
      <c r="BB45" t="n">
        <v>0</v>
      </c>
      <c r="BC45" t="n">
        <v>0</v>
      </c>
      <c r="BD45" t="n">
        <v>0</v>
      </c>
      <c r="BE45" t="n">
        <v>0</v>
      </c>
      <c r="BF45" t="n">
        <v>0</v>
      </c>
      <c r="BG45" t="n">
        <v>0</v>
      </c>
      <c r="BH45" t="n">
        <v>0</v>
      </c>
      <c r="BJ45" t="inlineStr">
        <is>
          <t>Med2</t>
        </is>
      </c>
      <c r="BL45" t="n">
        <v>0.8</v>
      </c>
      <c r="BM45" t="n">
        <v>0.797560975609756</v>
      </c>
      <c r="BN45" t="n">
        <v>0.785365853658536</v>
      </c>
      <c r="BO45" t="n">
        <v>0.773170731707317</v>
      </c>
      <c r="BP45" t="n">
        <v>0.760975609756097</v>
      </c>
      <c r="BQ45" t="n">
        <v>0.748780487804878</v>
      </c>
      <c r="BR45" t="n">
        <v>0.736585365853658</v>
      </c>
      <c r="BS45" t="n">
        <v>0.724390243902439</v>
      </c>
      <c r="BT45" t="n">
        <v>0.71219512195122</v>
      </c>
      <c r="BU45" t="n">
        <v>0.699999999999999</v>
      </c>
      <c r="BV45" t="n">
        <v>0.687499999999999</v>
      </c>
      <c r="BW45" t="n">
        <v>0.675</v>
      </c>
      <c r="BX45" t="n">
        <v>0.6625</v>
      </c>
      <c r="BY45" t="n">
        <v>0.649999999999999</v>
      </c>
      <c r="BZ45" t="n">
        <v>0.637499999999999</v>
      </c>
      <c r="CA45" t="n">
        <v>0.625</v>
      </c>
      <c r="CB45" t="n">
        <v>0.6125</v>
      </c>
      <c r="CC45" t="n">
        <v>0.6</v>
      </c>
      <c r="CD45" t="e">
        <v>#VALUE!</v>
      </c>
      <c r="CE45" t="e">
        <v>#VALUE!</v>
      </c>
      <c r="CF45" t="e">
        <v>#VALUE!</v>
      </c>
      <c r="CG45" t="e">
        <v>#VALUE!</v>
      </c>
      <c r="CH45" t="e">
        <v>#VALUE!</v>
      </c>
      <c r="CI45" t="e">
        <v>#VALUE!</v>
      </c>
      <c r="CJ45" t="e">
        <v>#VALUE!</v>
      </c>
      <c r="CK45" t="e">
        <v>#VALUE!</v>
      </c>
    </row>
    <row r="46" ht="12.5" customHeight="1" s="213">
      <c r="A46" t="inlineStr">
        <is>
          <t>Austria</t>
        </is>
      </c>
      <c r="B46" t="inlineStr">
        <is>
          <t>Trd_3w</t>
        </is>
      </c>
      <c r="C46" t="inlineStr">
        <is>
          <t>Trd_3w</t>
        </is>
      </c>
      <c r="D46" t="n">
        <v>0.195</v>
      </c>
      <c r="E46" t="n">
        <v>0.19550364533803</v>
      </c>
      <c r="G46" t="n">
        <v>0.197981746643663</v>
      </c>
      <c r="H46" t="n">
        <v>0.199013925650771</v>
      </c>
      <c r="I46" t="n">
        <v>0.199777723159018</v>
      </c>
      <c r="J46" t="n">
        <v>0.200397826496335</v>
      </c>
      <c r="K46" t="n">
        <v>0.201046985148102</v>
      </c>
      <c r="L46" t="n">
        <v>0.201613829865978</v>
      </c>
      <c r="M46" t="n">
        <v>0.201842075600936</v>
      </c>
      <c r="N46" t="n">
        <v>0.201789659216442</v>
      </c>
      <c r="O46" t="n">
        <v>0.201483209946067</v>
      </c>
      <c r="P46" t="n">
        <v>0.201142617214116</v>
      </c>
      <c r="Q46" t="n">
        <v>0.200710384503445</v>
      </c>
      <c r="R46" t="n">
        <v>0.199984961488533</v>
      </c>
      <c r="S46" t="n">
        <v>0.198874153643297</v>
      </c>
      <c r="T46" t="n">
        <v>0.197455211615001</v>
      </c>
      <c r="U46" t="n">
        <v>0.195850646598538</v>
      </c>
      <c r="V46" t="n">
        <v>0.194137647594526</v>
      </c>
      <c r="W46" t="n">
        <v>3</v>
      </c>
      <c r="AG46" s="223" t="inlineStr">
        <is>
          <t>POP</t>
        </is>
      </c>
      <c r="AI46" t="n">
        <v>1</v>
      </c>
      <c r="AJ46" t="n">
        <v>1.00323836883231</v>
      </c>
      <c r="AK46" t="n">
        <v>1.01943021299387</v>
      </c>
      <c r="AL46" t="n">
        <v>1.02630425158199</v>
      </c>
      <c r="AM46" t="n">
        <v>1.03148032182615</v>
      </c>
      <c r="AN46" t="n">
        <v>1.03575618143882</v>
      </c>
      <c r="AO46" t="n">
        <v>1.04031122243802</v>
      </c>
      <c r="AP46" t="n">
        <v>1.04436031057323</v>
      </c>
      <c r="AQ46" t="n">
        <v>1.0460204085313</v>
      </c>
      <c r="AR46" t="n">
        <v>1.04563234978531</v>
      </c>
      <c r="AS46" t="n">
        <v>1.0433225943739</v>
      </c>
      <c r="AT46" t="n">
        <v>1.04070976316582</v>
      </c>
      <c r="AU46" t="n">
        <v>1.03733411418462</v>
      </c>
      <c r="AV46" t="n">
        <v>1.03156609374183</v>
      </c>
      <c r="AW46" t="n">
        <v>1.02257818882174</v>
      </c>
      <c r="AX46" t="n">
        <v>1.01090464236831</v>
      </c>
      <c r="AY46" t="n">
        <v>0.997492664866922</v>
      </c>
      <c r="AZ46" t="n">
        <v>0.9829517891953981</v>
      </c>
      <c r="BA46" t="n">
        <v>0</v>
      </c>
      <c r="BB46" t="n">
        <v>0</v>
      </c>
      <c r="BC46" t="n">
        <v>0</v>
      </c>
      <c r="BD46" t="n">
        <v>0</v>
      </c>
      <c r="BE46" t="n">
        <v>0</v>
      </c>
      <c r="BF46" t="n">
        <v>0</v>
      </c>
      <c r="BG46" t="n">
        <v>0</v>
      </c>
      <c r="BH46" t="n">
        <v>0</v>
      </c>
      <c r="BJ46" t="inlineStr">
        <is>
          <t>Med2</t>
        </is>
      </c>
      <c r="BL46" t="n">
        <v>0.8</v>
      </c>
      <c r="BM46" t="n">
        <v>0.797560975609756</v>
      </c>
      <c r="BN46" t="n">
        <v>0.785365853658536</v>
      </c>
      <c r="BO46" t="n">
        <v>0.773170731707317</v>
      </c>
      <c r="BP46" t="n">
        <v>0.760975609756097</v>
      </c>
      <c r="BQ46" t="n">
        <v>0.748780487804878</v>
      </c>
      <c r="BR46" t="n">
        <v>0.736585365853658</v>
      </c>
      <c r="BS46" t="n">
        <v>0.724390243902439</v>
      </c>
      <c r="BT46" t="n">
        <v>0.71219512195122</v>
      </c>
      <c r="BU46" t="n">
        <v>0.699999999999999</v>
      </c>
      <c r="BV46" t="n">
        <v>0.687499999999999</v>
      </c>
      <c r="BW46" t="n">
        <v>0.675</v>
      </c>
      <c r="BX46" t="n">
        <v>0.6625</v>
      </c>
      <c r="BY46" t="n">
        <v>0.649999999999999</v>
      </c>
      <c r="BZ46" t="n">
        <v>0.637499999999999</v>
      </c>
      <c r="CA46" t="n">
        <v>0.625</v>
      </c>
      <c r="CB46" t="n">
        <v>0.6125</v>
      </c>
      <c r="CC46" t="n">
        <v>0.6</v>
      </c>
      <c r="CD46" t="e">
        <v>#VALUE!</v>
      </c>
      <c r="CE46" t="e">
        <v>#VALUE!</v>
      </c>
      <c r="CF46" t="e">
        <v>#VALUE!</v>
      </c>
      <c r="CG46" t="e">
        <v>#VALUE!</v>
      </c>
      <c r="CH46" t="e">
        <v>#VALUE!</v>
      </c>
      <c r="CI46" t="e">
        <v>#VALUE!</v>
      </c>
      <c r="CJ46" t="e">
        <v>#VALUE!</v>
      </c>
      <c r="CK46" t="e">
        <v>#VALUE!</v>
      </c>
    </row>
    <row r="47" ht="12.5" customHeight="1" s="213">
      <c r="A47" t="inlineStr">
        <is>
          <t>Austria</t>
        </is>
      </c>
      <c r="B47" t="inlineStr">
        <is>
          <t>Trd_bus</t>
        </is>
      </c>
      <c r="C47" t="inlineStr">
        <is>
          <t>Trd_bus</t>
        </is>
      </c>
      <c r="D47" t="n">
        <v>0.77</v>
      </c>
      <c r="E47" t="n">
        <v>0.771988753386067</v>
      </c>
      <c r="G47" t="n">
        <v>0.78177407649036</v>
      </c>
      <c r="H47" t="n">
        <v>0.78584986026202</v>
      </c>
      <c r="I47" t="n">
        <v>0.7888658811920199</v>
      </c>
      <c r="J47" t="n">
        <v>0.791314494370143</v>
      </c>
      <c r="K47" t="n">
        <v>0.793877838789942</v>
      </c>
      <c r="L47" t="n">
        <v>0.796116148701556</v>
      </c>
      <c r="M47" t="n">
        <v>0.797017426731902</v>
      </c>
      <c r="N47" t="n">
        <v>0.796810449213644</v>
      </c>
      <c r="O47" t="n">
        <v>0.795600367479342</v>
      </c>
      <c r="P47" t="n">
        <v>0.794255462845482</v>
      </c>
      <c r="Q47" t="n">
        <v>0.792548697782834</v>
      </c>
      <c r="R47" t="n">
        <v>0.78968420690344</v>
      </c>
      <c r="S47" t="n">
        <v>0.785297940027379</v>
      </c>
      <c r="T47" t="n">
        <v>0.779694938172054</v>
      </c>
      <c r="U47" t="n">
        <v>0.773358963491663</v>
      </c>
      <c r="V47" t="n">
        <v>0.766594813578386</v>
      </c>
      <c r="W47" t="n">
        <v>3</v>
      </c>
      <c r="AG47" s="223" t="inlineStr">
        <is>
          <t>POP</t>
        </is>
      </c>
      <c r="AI47" t="n">
        <v>1</v>
      </c>
      <c r="AJ47" t="n">
        <v>1.00323836883231</v>
      </c>
      <c r="AK47" t="n">
        <v>1.01943021299387</v>
      </c>
      <c r="AL47" t="n">
        <v>1.02630425158199</v>
      </c>
      <c r="AM47" t="n">
        <v>1.03148032182615</v>
      </c>
      <c r="AN47" t="n">
        <v>1.03575618143882</v>
      </c>
      <c r="AO47" t="n">
        <v>1.04031122243802</v>
      </c>
      <c r="AP47" t="n">
        <v>1.04436031057323</v>
      </c>
      <c r="AQ47" t="n">
        <v>1.0460204085313</v>
      </c>
      <c r="AR47" t="n">
        <v>1.04563234978531</v>
      </c>
      <c r="AS47" t="n">
        <v>1.0433225943739</v>
      </c>
      <c r="AT47" t="n">
        <v>1.04070976316582</v>
      </c>
      <c r="AU47" t="n">
        <v>1.03733411418462</v>
      </c>
      <c r="AV47" t="n">
        <v>1.03156609374183</v>
      </c>
      <c r="AW47" t="n">
        <v>1.02257818882174</v>
      </c>
      <c r="AX47" t="n">
        <v>1.01090464236831</v>
      </c>
      <c r="AY47" t="n">
        <v>0.997492664866922</v>
      </c>
      <c r="AZ47" t="n">
        <v>0.9829517891953981</v>
      </c>
      <c r="BA47" t="n">
        <v>0</v>
      </c>
      <c r="BB47" t="n">
        <v>0</v>
      </c>
      <c r="BC47" t="n">
        <v>0</v>
      </c>
      <c r="BD47" t="n">
        <v>0</v>
      </c>
      <c r="BE47" t="n">
        <v>0</v>
      </c>
      <c r="BF47" t="n">
        <v>0</v>
      </c>
      <c r="BG47" t="n">
        <v>0</v>
      </c>
      <c r="BH47" t="n">
        <v>0</v>
      </c>
      <c r="BJ47" t="inlineStr">
        <is>
          <t>Med2</t>
        </is>
      </c>
      <c r="BL47" t="n">
        <v>0.8</v>
      </c>
      <c r="BM47" t="n">
        <v>0.797560975609756</v>
      </c>
      <c r="BN47" t="n">
        <v>0.785365853658536</v>
      </c>
      <c r="BO47" t="n">
        <v>0.773170731707317</v>
      </c>
      <c r="BP47" t="n">
        <v>0.760975609756097</v>
      </c>
      <c r="BQ47" t="n">
        <v>0.748780487804878</v>
      </c>
      <c r="BR47" t="n">
        <v>0.736585365853658</v>
      </c>
      <c r="BS47" t="n">
        <v>0.724390243902439</v>
      </c>
      <c r="BT47" t="n">
        <v>0.71219512195122</v>
      </c>
      <c r="BU47" t="n">
        <v>0.699999999999999</v>
      </c>
      <c r="BV47" t="n">
        <v>0.687499999999999</v>
      </c>
      <c r="BW47" t="n">
        <v>0.675</v>
      </c>
      <c r="BX47" t="n">
        <v>0.6625</v>
      </c>
      <c r="BY47" t="n">
        <v>0.649999999999999</v>
      </c>
      <c r="BZ47" t="n">
        <v>0.637499999999999</v>
      </c>
      <c r="CA47" t="n">
        <v>0.625</v>
      </c>
      <c r="CB47" t="n">
        <v>0.6125</v>
      </c>
      <c r="CC47" t="n">
        <v>0.6</v>
      </c>
      <c r="CD47" t="e">
        <v>#VALUE!</v>
      </c>
      <c r="CE47" t="e">
        <v>#VALUE!</v>
      </c>
      <c r="CF47" t="e">
        <v>#VALUE!</v>
      </c>
      <c r="CG47" t="e">
        <v>#VALUE!</v>
      </c>
      <c r="CH47" t="e">
        <v>#VALUE!</v>
      </c>
      <c r="CI47" t="e">
        <v>#VALUE!</v>
      </c>
      <c r="CJ47" t="e">
        <v>#VALUE!</v>
      </c>
      <c r="CK47" t="e">
        <v>#VALUE!</v>
      </c>
    </row>
    <row r="48" ht="12.5" customHeight="1" s="213">
      <c r="A48" t="inlineStr">
        <is>
          <t>Austria</t>
        </is>
      </c>
      <c r="B48" t="inlineStr">
        <is>
          <t>Trd_car</t>
        </is>
      </c>
      <c r="C48" t="inlineStr">
        <is>
          <t>Trd_car</t>
        </is>
      </c>
      <c r="D48" t="n">
        <v>60.552</v>
      </c>
      <c r="E48" t="n">
        <v>60.5030877608683</v>
      </c>
      <c r="G48" t="n">
        <v>65.02765304085671</v>
      </c>
      <c r="H48" t="n">
        <v>69.6859216382221</v>
      </c>
      <c r="I48" t="n">
        <v>73.0203234250387</v>
      </c>
      <c r="J48" t="n">
        <v>76.2648737855567</v>
      </c>
      <c r="K48" t="n">
        <v>79.38722101761429</v>
      </c>
      <c r="L48" t="n">
        <v>82.2759651766126</v>
      </c>
      <c r="M48" t="n">
        <v>85.11783609161679</v>
      </c>
      <c r="N48" t="n">
        <v>88.04232203565439</v>
      </c>
      <c r="O48" t="n">
        <v>91.0788293341822</v>
      </c>
      <c r="P48" t="n">
        <v>94.0289767594457</v>
      </c>
      <c r="Q48" t="n">
        <v>96.8432309401162</v>
      </c>
      <c r="R48" t="n">
        <v>99.4953449667202</v>
      </c>
      <c r="S48" t="n">
        <v>101.997712843937</v>
      </c>
      <c r="T48" t="n">
        <v>104.354947803445</v>
      </c>
      <c r="U48" t="n">
        <v>106.573243303633</v>
      </c>
      <c r="V48" t="n">
        <v>108.643930898978</v>
      </c>
      <c r="W48" t="n">
        <v>3</v>
      </c>
      <c r="AG48" s="223" t="inlineStr">
        <is>
          <t>GDPPCAP</t>
        </is>
      </c>
      <c r="AI48" t="n">
        <v>1</v>
      </c>
      <c r="AJ48" t="n">
        <v>0.998987196586309</v>
      </c>
      <c r="AK48" t="n">
        <v>1.09411056625485</v>
      </c>
      <c r="AL48" t="n">
        <v>1.19548122141055</v>
      </c>
      <c r="AM48" t="n">
        <v>1.27065128248589</v>
      </c>
      <c r="AN48" t="n">
        <v>1.34605324119548</v>
      </c>
      <c r="AO48" t="n">
        <v>1.42086946680001</v>
      </c>
      <c r="AP48" t="n">
        <v>1.49224347229503</v>
      </c>
      <c r="AQ48" t="n">
        <v>1.56461571894714</v>
      </c>
      <c r="AR48" t="n">
        <v>1.64141172128905</v>
      </c>
      <c r="AS48" t="n">
        <v>1.72375490775736</v>
      </c>
      <c r="AT48" t="n">
        <v>1.80647252623392</v>
      </c>
      <c r="AU48" t="n">
        <v>1.88808322346794</v>
      </c>
      <c r="AV48" t="n">
        <v>1.96763148610842</v>
      </c>
      <c r="AW48" t="n">
        <v>2.04525833705677</v>
      </c>
      <c r="AX48" t="n">
        <v>2.12088598507216</v>
      </c>
      <c r="AY48" t="n">
        <v>2.1944927248657</v>
      </c>
      <c r="AZ48" t="n">
        <v>2.26555666678637</v>
      </c>
      <c r="BA48" t="n">
        <v>0</v>
      </c>
      <c r="BB48" t="n">
        <v>0</v>
      </c>
      <c r="BC48" t="n">
        <v>0</v>
      </c>
      <c r="BD48" t="n">
        <v>0</v>
      </c>
      <c r="BE48" t="n">
        <v>0</v>
      </c>
      <c r="BF48" t="n">
        <v>0</v>
      </c>
      <c r="BG48" t="n">
        <v>0</v>
      </c>
      <c r="BH48" t="n">
        <v>0</v>
      </c>
      <c r="BJ48" t="inlineStr">
        <is>
          <t>Med2</t>
        </is>
      </c>
      <c r="BL48" t="n">
        <v>0.8</v>
      </c>
      <c r="BM48" t="n">
        <v>0.797560975609756</v>
      </c>
      <c r="BN48" t="n">
        <v>0.785365853658536</v>
      </c>
      <c r="BO48" t="n">
        <v>0.773170731707317</v>
      </c>
      <c r="BP48" t="n">
        <v>0.760975609756097</v>
      </c>
      <c r="BQ48" t="n">
        <v>0.748780487804878</v>
      </c>
      <c r="BR48" t="n">
        <v>0.736585365853658</v>
      </c>
      <c r="BS48" t="n">
        <v>0.724390243902439</v>
      </c>
      <c r="BT48" t="n">
        <v>0.71219512195122</v>
      </c>
      <c r="BU48" t="n">
        <v>0.699999999999999</v>
      </c>
      <c r="BV48" t="n">
        <v>0.687499999999999</v>
      </c>
      <c r="BW48" t="n">
        <v>0.675</v>
      </c>
      <c r="BX48" t="n">
        <v>0.6625</v>
      </c>
      <c r="BY48" t="n">
        <v>0.649999999999999</v>
      </c>
      <c r="BZ48" t="n">
        <v>0.637499999999999</v>
      </c>
      <c r="CA48" t="n">
        <v>0.625</v>
      </c>
      <c r="CB48" t="n">
        <v>0.6125</v>
      </c>
      <c r="CC48" t="n">
        <v>0.6</v>
      </c>
      <c r="CD48" t="e">
        <v>#VALUE!</v>
      </c>
      <c r="CE48" t="e">
        <v>#VALUE!</v>
      </c>
      <c r="CF48" t="e">
        <v>#VALUE!</v>
      </c>
      <c r="CG48" t="e">
        <v>#VALUE!</v>
      </c>
      <c r="CH48" t="e">
        <v>#VALUE!</v>
      </c>
      <c r="CI48" t="e">
        <v>#VALUE!</v>
      </c>
      <c r="CJ48" t="e">
        <v>#VALUE!</v>
      </c>
      <c r="CK48" t="e">
        <v>#VALUE!</v>
      </c>
    </row>
    <row r="49" ht="12.5" customHeight="1" s="213">
      <c r="A49" t="inlineStr">
        <is>
          <t>Austria</t>
        </is>
      </c>
      <c r="B49" t="inlineStr">
        <is>
          <t>Trd_hdt</t>
        </is>
      </c>
      <c r="C49" t="inlineStr">
        <is>
          <t>Trd_hdt</t>
        </is>
      </c>
      <c r="D49" t="n">
        <v>24.7</v>
      </c>
      <c r="E49" t="n">
        <v>24.743778484055</v>
      </c>
      <c r="G49" t="n">
        <v>26.9376810531496</v>
      </c>
      <c r="H49" t="n">
        <v>29.0208187561915</v>
      </c>
      <c r="I49" t="n">
        <v>30.5278186123753</v>
      </c>
      <c r="J49" t="n">
        <v>31.9846575364848</v>
      </c>
      <c r="K49" t="n">
        <v>33.4035042705639</v>
      </c>
      <c r="L49" t="n">
        <v>34.7179026910239</v>
      </c>
      <c r="M49" t="n">
        <v>35.9582940947106</v>
      </c>
      <c r="N49" t="n">
        <v>37.1839559107832</v>
      </c>
      <c r="O49" t="n">
        <v>38.4070974420523</v>
      </c>
      <c r="P49" t="n">
        <v>39.5831073160645</v>
      </c>
      <c r="Q49" t="n">
        <v>40.6789134471302</v>
      </c>
      <c r="R49" t="n">
        <v>41.639712301189</v>
      </c>
      <c r="S49" t="n">
        <v>42.4465654917359</v>
      </c>
      <c r="T49" t="n">
        <v>43.1134844084097</v>
      </c>
      <c r="U49" t="n">
        <v>43.6674480973478</v>
      </c>
      <c r="V49" t="n">
        <v>44.1215905484165</v>
      </c>
      <c r="W49" t="n">
        <v>3</v>
      </c>
      <c r="AG49" s="223" t="inlineStr">
        <is>
          <t>GDP</t>
        </is>
      </c>
      <c r="AI49" t="n">
        <v>1</v>
      </c>
      <c r="AJ49" t="n">
        <v>1.00222228558761</v>
      </c>
      <c r="AK49" t="n">
        <v>1.11536936759602</v>
      </c>
      <c r="AL49" t="n">
        <v>1.22692746022008</v>
      </c>
      <c r="AM49" t="n">
        <v>1.31065179378735</v>
      </c>
      <c r="AN49" t="n">
        <v>1.39418296511398</v>
      </c>
      <c r="AO49" t="n">
        <v>1.47814645193158</v>
      </c>
      <c r="AP49" t="n">
        <v>1.55843985617691</v>
      </c>
      <c r="AQ49" t="n">
        <v>1.63661997352757</v>
      </c>
      <c r="AR49" t="n">
        <v>1.71631319509662</v>
      </c>
      <c r="AS49" t="n">
        <v>1.79843244242615</v>
      </c>
      <c r="AT49" t="n">
        <v>1.88001359494246</v>
      </c>
      <c r="AU49" t="n">
        <v>1.95857313812296</v>
      </c>
      <c r="AV49" t="n">
        <v>2.0297419260483</v>
      </c>
      <c r="AW49" t="n">
        <v>2.09143656598008</v>
      </c>
      <c r="AX49" t="n">
        <v>2.14401348824332</v>
      </c>
      <c r="AY49" t="n">
        <v>2.18899039615736</v>
      </c>
      <c r="AZ49" t="n">
        <v>2.22693297914124</v>
      </c>
      <c r="BA49" t="n">
        <v>0</v>
      </c>
      <c r="BB49" t="n">
        <v>0</v>
      </c>
      <c r="BC49" t="n">
        <v>0</v>
      </c>
      <c r="BD49" t="n">
        <v>0</v>
      </c>
      <c r="BE49" t="n">
        <v>0</v>
      </c>
      <c r="BF49" t="n">
        <v>0</v>
      </c>
      <c r="BG49" t="n">
        <v>0</v>
      </c>
      <c r="BH49" t="n">
        <v>0</v>
      </c>
      <c r="BJ49" t="inlineStr">
        <is>
          <t>Med2</t>
        </is>
      </c>
      <c r="BL49" t="n">
        <v>0.8</v>
      </c>
      <c r="BM49" t="n">
        <v>0.797560975609756</v>
      </c>
      <c r="BN49" t="n">
        <v>0.785365853658536</v>
      </c>
      <c r="BO49" t="n">
        <v>0.773170731707317</v>
      </c>
      <c r="BP49" t="n">
        <v>0.760975609756097</v>
      </c>
      <c r="BQ49" t="n">
        <v>0.748780487804878</v>
      </c>
      <c r="BR49" t="n">
        <v>0.736585365853658</v>
      </c>
      <c r="BS49" t="n">
        <v>0.724390243902439</v>
      </c>
      <c r="BT49" t="n">
        <v>0.71219512195122</v>
      </c>
      <c r="BU49" t="n">
        <v>0.699999999999999</v>
      </c>
      <c r="BV49" t="n">
        <v>0.687499999999999</v>
      </c>
      <c r="BW49" t="n">
        <v>0.675</v>
      </c>
      <c r="BX49" t="n">
        <v>0.6625</v>
      </c>
      <c r="BY49" t="n">
        <v>0.649999999999999</v>
      </c>
      <c r="BZ49" t="n">
        <v>0.637499999999999</v>
      </c>
      <c r="CA49" t="n">
        <v>0.625</v>
      </c>
      <c r="CB49" t="n">
        <v>0.6125</v>
      </c>
      <c r="CC49" t="n">
        <v>0.6</v>
      </c>
      <c r="CD49" t="e">
        <v>#VALUE!</v>
      </c>
      <c r="CE49" t="e">
        <v>#VALUE!</v>
      </c>
      <c r="CF49" t="e">
        <v>#VALUE!</v>
      </c>
      <c r="CG49" t="e">
        <v>#VALUE!</v>
      </c>
      <c r="CH49" t="e">
        <v>#VALUE!</v>
      </c>
      <c r="CI49" t="e">
        <v>#VALUE!</v>
      </c>
      <c r="CJ49" t="e">
        <v>#VALUE!</v>
      </c>
      <c r="CK49" t="e">
        <v>#VALUE!</v>
      </c>
    </row>
    <row r="50" ht="12.5" customHeight="1" s="213">
      <c r="A50" t="inlineStr">
        <is>
          <t>Austria</t>
        </is>
      </c>
      <c r="B50" t="inlineStr">
        <is>
          <t>Trd_lcv</t>
        </is>
      </c>
      <c r="C50" t="inlineStr">
        <is>
          <t>Trd_lcv</t>
        </is>
      </c>
      <c r="D50" t="n">
        <v>13.36</v>
      </c>
      <c r="E50" t="n">
        <v>13.3836793743715</v>
      </c>
      <c r="G50" t="n">
        <v>14.5703408449424</v>
      </c>
      <c r="H50" t="n">
        <v>15.6970906308793</v>
      </c>
      <c r="I50" t="n">
        <v>16.5122128202969</v>
      </c>
      <c r="J50" t="n">
        <v>17.3002034286411</v>
      </c>
      <c r="K50" t="n">
        <v>18.0676444151714</v>
      </c>
      <c r="L50" t="n">
        <v>18.7785902814607</v>
      </c>
      <c r="M50" t="n">
        <v>19.4495064415115</v>
      </c>
      <c r="N50" t="n">
        <v>20.1124555047799</v>
      </c>
      <c r="O50" t="n">
        <v>20.7740413694664</v>
      </c>
      <c r="P50" t="n">
        <v>21.4101341596203</v>
      </c>
      <c r="Q50" t="n">
        <v>22.002845492051</v>
      </c>
      <c r="R50" t="n">
        <v>22.5225326455014</v>
      </c>
      <c r="S50" t="n">
        <v>22.9589520230604</v>
      </c>
      <c r="T50" t="n">
        <v>23.3196822549131</v>
      </c>
      <c r="U50" t="n">
        <v>23.6193160558934</v>
      </c>
      <c r="V50" t="n">
        <v>23.8649574788196</v>
      </c>
      <c r="W50" t="n">
        <v>3</v>
      </c>
      <c r="AG50" s="223" t="inlineStr">
        <is>
          <t>GDP</t>
        </is>
      </c>
      <c r="AI50" t="n">
        <v>1</v>
      </c>
      <c r="AJ50" t="n">
        <v>1.00222228558761</v>
      </c>
      <c r="AK50" t="n">
        <v>1.11536936759602</v>
      </c>
      <c r="AL50" t="n">
        <v>1.22692746022008</v>
      </c>
      <c r="AM50" t="n">
        <v>1.31065179378735</v>
      </c>
      <c r="AN50" t="n">
        <v>1.39418296511398</v>
      </c>
      <c r="AO50" t="n">
        <v>1.47814645193158</v>
      </c>
      <c r="AP50" t="n">
        <v>1.55843985617691</v>
      </c>
      <c r="AQ50" t="n">
        <v>1.63661997352757</v>
      </c>
      <c r="AR50" t="n">
        <v>1.71631319509662</v>
      </c>
      <c r="AS50" t="n">
        <v>1.79843244242615</v>
      </c>
      <c r="AT50" t="n">
        <v>1.88001359494246</v>
      </c>
      <c r="AU50" t="n">
        <v>1.95857313812296</v>
      </c>
      <c r="AV50" t="n">
        <v>2.0297419260483</v>
      </c>
      <c r="AW50" t="n">
        <v>2.09143656598008</v>
      </c>
      <c r="AX50" t="n">
        <v>2.14401348824332</v>
      </c>
      <c r="AY50" t="n">
        <v>2.18899039615736</v>
      </c>
      <c r="AZ50" t="n">
        <v>2.22693297914124</v>
      </c>
      <c r="BA50" t="n">
        <v>0</v>
      </c>
      <c r="BB50" t="n">
        <v>0</v>
      </c>
      <c r="BC50" t="n">
        <v>0</v>
      </c>
      <c r="BD50" t="n">
        <v>0</v>
      </c>
      <c r="BE50" t="n">
        <v>0</v>
      </c>
      <c r="BF50" t="n">
        <v>0</v>
      </c>
      <c r="BG50" t="n">
        <v>0</v>
      </c>
      <c r="BH50" t="n">
        <v>0</v>
      </c>
      <c r="BJ50" t="inlineStr">
        <is>
          <t>Med2</t>
        </is>
      </c>
      <c r="BL50" t="n">
        <v>0.8</v>
      </c>
      <c r="BM50" t="n">
        <v>0.797560975609756</v>
      </c>
      <c r="BN50" t="n">
        <v>0.785365853658536</v>
      </c>
      <c r="BO50" t="n">
        <v>0.773170731707317</v>
      </c>
      <c r="BP50" t="n">
        <v>0.760975609756097</v>
      </c>
      <c r="BQ50" t="n">
        <v>0.748780487804878</v>
      </c>
      <c r="BR50" t="n">
        <v>0.736585365853658</v>
      </c>
      <c r="BS50" t="n">
        <v>0.724390243902439</v>
      </c>
      <c r="BT50" t="n">
        <v>0.71219512195122</v>
      </c>
      <c r="BU50" t="n">
        <v>0.699999999999999</v>
      </c>
      <c r="BV50" t="n">
        <v>0.687499999999999</v>
      </c>
      <c r="BW50" t="n">
        <v>0.675</v>
      </c>
      <c r="BX50" t="n">
        <v>0.6625</v>
      </c>
      <c r="BY50" t="n">
        <v>0.649999999999999</v>
      </c>
      <c r="BZ50" t="n">
        <v>0.637499999999999</v>
      </c>
      <c r="CA50" t="n">
        <v>0.625</v>
      </c>
      <c r="CB50" t="n">
        <v>0.6125</v>
      </c>
      <c r="CC50" t="n">
        <v>0.6</v>
      </c>
      <c r="CD50" t="e">
        <v>#VALUE!</v>
      </c>
      <c r="CE50" t="e">
        <v>#VALUE!</v>
      </c>
      <c r="CF50" t="e">
        <v>#VALUE!</v>
      </c>
      <c r="CG50" t="e">
        <v>#VALUE!</v>
      </c>
      <c r="CH50" t="e">
        <v>#VALUE!</v>
      </c>
      <c r="CI50" t="e">
        <v>#VALUE!</v>
      </c>
      <c r="CJ50" t="e">
        <v>#VALUE!</v>
      </c>
      <c r="CK50" t="e">
        <v>#VALUE!</v>
      </c>
    </row>
    <row r="51" ht="12.5" customHeight="1" s="213">
      <c r="A51" t="inlineStr">
        <is>
          <t>Baltics</t>
        </is>
      </c>
      <c r="B51" t="inlineStr">
        <is>
          <t>TAD</t>
        </is>
      </c>
      <c r="C51" t="inlineStr">
        <is>
          <t>TAD</t>
        </is>
      </c>
      <c r="E51" t="n">
        <v>0.0904007668523383</v>
      </c>
      <c r="F51">
        <f>E51</f>
        <v/>
      </c>
      <c r="I51">
        <f>F51</f>
        <v/>
      </c>
      <c r="J51">
        <f>I51</f>
        <v/>
      </c>
      <c r="L51">
        <f>J51</f>
        <v/>
      </c>
      <c r="V51">
        <f>L51</f>
        <v/>
      </c>
      <c r="W51" t="n">
        <v>3</v>
      </c>
      <c r="AG51" s="223" t="inlineStr">
        <is>
          <t>GDP</t>
        </is>
      </c>
      <c r="AI51" t="n">
        <v>1</v>
      </c>
      <c r="AJ51" t="n">
        <v>1.02456207653745</v>
      </c>
      <c r="AK51" t="n">
        <v>1.15425102266182</v>
      </c>
      <c r="AL51" t="n">
        <v>1.31001036569329</v>
      </c>
      <c r="AM51" t="n">
        <v>1.40143289909313</v>
      </c>
      <c r="AN51" t="n">
        <v>1.46131720335972</v>
      </c>
      <c r="AO51" t="n">
        <v>1.49853726680739</v>
      </c>
      <c r="AP51" t="n">
        <v>1.52174255958907</v>
      </c>
      <c r="AQ51" t="n">
        <v>1.53852305748937</v>
      </c>
      <c r="AR51" t="n">
        <v>1.55692513386698</v>
      </c>
      <c r="AS51" t="n">
        <v>1.5786103282771</v>
      </c>
      <c r="AT51" t="n">
        <v>1.60030340974207</v>
      </c>
      <c r="AU51" t="n">
        <v>1.61869391843923</v>
      </c>
      <c r="AV51" t="n">
        <v>1.63377344151007</v>
      </c>
      <c r="AW51" t="n">
        <v>1.64683019791355</v>
      </c>
      <c r="AX51" t="n">
        <v>1.65988853172799</v>
      </c>
      <c r="AY51" t="n">
        <v>1.6739506247231</v>
      </c>
      <c r="AZ51" t="n">
        <v>1.68740594029836</v>
      </c>
      <c r="BA51" t="n">
        <v>0</v>
      </c>
      <c r="BB51" t="n">
        <v>0</v>
      </c>
      <c r="BC51" t="n">
        <v>0</v>
      </c>
      <c r="BD51" t="n">
        <v>0</v>
      </c>
      <c r="BE51" t="n">
        <v>0</v>
      </c>
      <c r="BF51" t="n">
        <v>0</v>
      </c>
      <c r="BG51" t="n">
        <v>0</v>
      </c>
      <c r="BH51" t="n">
        <v>0</v>
      </c>
      <c r="BJ51" t="inlineStr">
        <is>
          <t>Med2</t>
        </is>
      </c>
      <c r="BL51" t="n">
        <v>0.8</v>
      </c>
      <c r="BM51" t="n">
        <v>0.797560975609756</v>
      </c>
      <c r="BN51" t="n">
        <v>0.785365853658536</v>
      </c>
      <c r="BO51" t="n">
        <v>0.773170731707317</v>
      </c>
      <c r="BP51" t="n">
        <v>0.760975609756097</v>
      </c>
      <c r="BQ51" t="n">
        <v>0.748780487804878</v>
      </c>
      <c r="BR51" t="n">
        <v>0.736585365853658</v>
      </c>
      <c r="BS51" t="n">
        <v>0.724390243902439</v>
      </c>
      <c r="BT51" t="n">
        <v>0.71219512195122</v>
      </c>
      <c r="BU51" t="n">
        <v>0.699999999999999</v>
      </c>
      <c r="BV51" t="n">
        <v>0.687499999999999</v>
      </c>
      <c r="BW51" t="n">
        <v>0.675</v>
      </c>
      <c r="BX51" t="n">
        <v>0.6625</v>
      </c>
      <c r="BY51" t="n">
        <v>0.649999999999999</v>
      </c>
      <c r="BZ51" t="n">
        <v>0.637499999999999</v>
      </c>
      <c r="CA51" t="n">
        <v>0.625</v>
      </c>
      <c r="CB51" t="n">
        <v>0.6125</v>
      </c>
      <c r="CC51" t="n">
        <v>0.6</v>
      </c>
      <c r="CD51" t="e">
        <v>#VALUE!</v>
      </c>
      <c r="CE51" t="e">
        <v>#VALUE!</v>
      </c>
      <c r="CF51" t="e">
        <v>#VALUE!</v>
      </c>
      <c r="CG51" t="e">
        <v>#VALUE!</v>
      </c>
      <c r="CH51" t="e">
        <v>#VALUE!</v>
      </c>
      <c r="CI51" t="e">
        <v>#VALUE!</v>
      </c>
      <c r="CJ51" t="e">
        <v>#VALUE!</v>
      </c>
      <c r="CK51" t="e">
        <v>#VALUE!</v>
      </c>
    </row>
    <row r="52" ht="12.5" customHeight="1" s="213">
      <c r="A52" t="inlineStr">
        <is>
          <t>Baltics</t>
        </is>
      </c>
      <c r="B52" t="inlineStr">
        <is>
          <t>TAI</t>
        </is>
      </c>
      <c r="C52" t="inlineStr">
        <is>
          <t>TAI</t>
        </is>
      </c>
      <c r="E52" t="n">
        <v>14.8181528799758</v>
      </c>
      <c r="F52">
        <f>E52</f>
        <v/>
      </c>
      <c r="I52">
        <f>F52</f>
        <v/>
      </c>
      <c r="J52">
        <f>I52</f>
        <v/>
      </c>
      <c r="L52">
        <f>J52</f>
        <v/>
      </c>
      <c r="V52">
        <f>L52</f>
        <v/>
      </c>
      <c r="W52" t="n">
        <v>3</v>
      </c>
      <c r="AG52" s="223" t="inlineStr">
        <is>
          <t>GDP</t>
        </is>
      </c>
      <c r="AI52" t="n">
        <v>1</v>
      </c>
      <c r="AJ52" t="n">
        <v>1.02456207653745</v>
      </c>
      <c r="AK52" t="n">
        <v>1.15425102266182</v>
      </c>
      <c r="AL52" t="n">
        <v>1.31001036569329</v>
      </c>
      <c r="AM52" t="n">
        <v>1.40143289909313</v>
      </c>
      <c r="AN52" t="n">
        <v>1.46131720335972</v>
      </c>
      <c r="AO52" t="n">
        <v>1.49853726680739</v>
      </c>
      <c r="AP52" t="n">
        <v>1.52174255958907</v>
      </c>
      <c r="AQ52" t="n">
        <v>1.53852305748937</v>
      </c>
      <c r="AR52" t="n">
        <v>1.55692513386698</v>
      </c>
      <c r="AS52" t="n">
        <v>1.5786103282771</v>
      </c>
      <c r="AT52" t="n">
        <v>1.60030340974207</v>
      </c>
      <c r="AU52" t="n">
        <v>1.61869391843923</v>
      </c>
      <c r="AV52" t="n">
        <v>1.63377344151007</v>
      </c>
      <c r="AW52" t="n">
        <v>1.64683019791355</v>
      </c>
      <c r="AX52" t="n">
        <v>1.65988853172799</v>
      </c>
      <c r="AY52" t="n">
        <v>1.6739506247231</v>
      </c>
      <c r="AZ52" t="n">
        <v>1.68740594029836</v>
      </c>
      <c r="BA52" t="n">
        <v>0</v>
      </c>
      <c r="BB52" t="n">
        <v>0</v>
      </c>
      <c r="BC52" t="n">
        <v>0</v>
      </c>
      <c r="BD52" t="n">
        <v>0</v>
      </c>
      <c r="BE52" t="n">
        <v>0</v>
      </c>
      <c r="BF52" t="n">
        <v>0</v>
      </c>
      <c r="BG52" t="n">
        <v>0</v>
      </c>
      <c r="BH52" t="n">
        <v>0</v>
      </c>
      <c r="BJ52" t="inlineStr">
        <is>
          <t>Med2</t>
        </is>
      </c>
      <c r="BL52" t="n">
        <v>0.8</v>
      </c>
      <c r="BM52" t="n">
        <v>0.797560975609756</v>
      </c>
      <c r="BN52" t="n">
        <v>0.785365853658536</v>
      </c>
      <c r="BO52" t="n">
        <v>0.773170731707317</v>
      </c>
      <c r="BP52" t="n">
        <v>0.760975609756097</v>
      </c>
      <c r="BQ52" t="n">
        <v>0.748780487804878</v>
      </c>
      <c r="BR52" t="n">
        <v>0.736585365853658</v>
      </c>
      <c r="BS52" t="n">
        <v>0.724390243902439</v>
      </c>
      <c r="BT52" t="n">
        <v>0.71219512195122</v>
      </c>
      <c r="BU52" t="n">
        <v>0.699999999999999</v>
      </c>
      <c r="BV52" t="n">
        <v>0.687499999999999</v>
      </c>
      <c r="BW52" t="n">
        <v>0.675</v>
      </c>
      <c r="BX52" t="n">
        <v>0.6625</v>
      </c>
      <c r="BY52" t="n">
        <v>0.649999999999999</v>
      </c>
      <c r="BZ52" t="n">
        <v>0.637499999999999</v>
      </c>
      <c r="CA52" t="n">
        <v>0.625</v>
      </c>
      <c r="CB52" t="n">
        <v>0.6125</v>
      </c>
      <c r="CC52" t="n">
        <v>0.6</v>
      </c>
      <c r="CD52" t="e">
        <v>#VALUE!</v>
      </c>
      <c r="CE52" t="e">
        <v>#VALUE!</v>
      </c>
      <c r="CF52" t="e">
        <v>#VALUE!</v>
      </c>
      <c r="CG52" t="e">
        <v>#VALUE!</v>
      </c>
      <c r="CH52" t="e">
        <v>#VALUE!</v>
      </c>
      <c r="CI52" t="e">
        <v>#VALUE!</v>
      </c>
      <c r="CJ52" t="e">
        <v>#VALUE!</v>
      </c>
      <c r="CK52" t="e">
        <v>#VALUE!</v>
      </c>
    </row>
    <row r="53" ht="12.5" customHeight="1" s="213">
      <c r="A53" t="inlineStr">
        <is>
          <t>Baltics</t>
        </is>
      </c>
      <c r="B53" t="inlineStr">
        <is>
          <t>TTF</t>
        </is>
      </c>
      <c r="C53" t="inlineStr">
        <is>
          <t>TTF</t>
        </is>
      </c>
      <c r="E53" t="n">
        <v>4.41815872313833</v>
      </c>
      <c r="I53" t="n">
        <v>5.64904106823887</v>
      </c>
      <c r="J53" t="n">
        <v>5.82978759084491</v>
      </c>
      <c r="L53" t="n">
        <v>6.00578208244984</v>
      </c>
      <c r="V53" t="n">
        <v>6.43196534717608</v>
      </c>
      <c r="W53" t="n">
        <v>3</v>
      </c>
      <c r="AG53" s="223" t="inlineStr">
        <is>
          <t>GDP</t>
        </is>
      </c>
      <c r="AI53" t="n">
        <v>1</v>
      </c>
      <c r="AJ53" t="n">
        <v>1.02456207653745</v>
      </c>
      <c r="AK53" t="n">
        <v>1.15425102266182</v>
      </c>
      <c r="AL53" t="n">
        <v>1.31001036569329</v>
      </c>
      <c r="AM53" t="n">
        <v>1.40143289909313</v>
      </c>
      <c r="AN53" t="n">
        <v>1.46131720335972</v>
      </c>
      <c r="AO53" t="n">
        <v>1.49853726680739</v>
      </c>
      <c r="AP53" t="n">
        <v>1.52174255958907</v>
      </c>
      <c r="AQ53" t="n">
        <v>1.53852305748937</v>
      </c>
      <c r="AR53" t="n">
        <v>1.55692513386698</v>
      </c>
      <c r="AS53" t="n">
        <v>1.5786103282771</v>
      </c>
      <c r="AT53" t="n">
        <v>1.60030340974207</v>
      </c>
      <c r="AU53" t="n">
        <v>1.61869391843923</v>
      </c>
      <c r="AV53" t="n">
        <v>1.63377344151007</v>
      </c>
      <c r="AW53" t="n">
        <v>1.64683019791355</v>
      </c>
      <c r="AX53" t="n">
        <v>1.65988853172799</v>
      </c>
      <c r="AY53" t="n">
        <v>1.6739506247231</v>
      </c>
      <c r="AZ53" t="n">
        <v>1.68740594029836</v>
      </c>
      <c r="BA53" t="n">
        <v>0</v>
      </c>
      <c r="BB53" t="n">
        <v>0</v>
      </c>
      <c r="BC53" t="n">
        <v>0</v>
      </c>
      <c r="BD53" t="n">
        <v>0</v>
      </c>
      <c r="BE53" t="n">
        <v>0</v>
      </c>
      <c r="BF53" t="n">
        <v>0</v>
      </c>
      <c r="BG53" t="n">
        <v>0</v>
      </c>
      <c r="BH53" t="n">
        <v>0</v>
      </c>
      <c r="BJ53" t="inlineStr">
        <is>
          <t>Med2</t>
        </is>
      </c>
      <c r="BL53" t="n">
        <v>0.8</v>
      </c>
      <c r="BM53" t="n">
        <v>0.797560975609756</v>
      </c>
      <c r="BN53" t="n">
        <v>0.785365853658536</v>
      </c>
      <c r="BO53" t="n">
        <v>0.773170731707317</v>
      </c>
      <c r="BP53" t="n">
        <v>0.760975609756097</v>
      </c>
      <c r="BQ53" t="n">
        <v>0.748780487804878</v>
      </c>
      <c r="BR53" t="n">
        <v>0.736585365853658</v>
      </c>
      <c r="BS53" t="n">
        <v>0.724390243902439</v>
      </c>
      <c r="BT53" t="n">
        <v>0.71219512195122</v>
      </c>
      <c r="BU53" t="n">
        <v>0.699999999999999</v>
      </c>
      <c r="BV53" t="n">
        <v>0.687499999999999</v>
      </c>
      <c r="BW53" t="n">
        <v>0.675</v>
      </c>
      <c r="BX53" t="n">
        <v>0.6625</v>
      </c>
      <c r="BY53" t="n">
        <v>0.649999999999999</v>
      </c>
      <c r="BZ53" t="n">
        <v>0.637499999999999</v>
      </c>
      <c r="CA53" t="n">
        <v>0.625</v>
      </c>
      <c r="CB53" t="n">
        <v>0.6125</v>
      </c>
      <c r="CC53" t="n">
        <v>0.6</v>
      </c>
      <c r="CD53" t="e">
        <v>#VALUE!</v>
      </c>
      <c r="CE53" t="e">
        <v>#VALUE!</v>
      </c>
      <c r="CF53" t="e">
        <v>#VALUE!</v>
      </c>
      <c r="CG53" t="e">
        <v>#VALUE!</v>
      </c>
      <c r="CH53" t="e">
        <v>#VALUE!</v>
      </c>
      <c r="CI53" t="e">
        <v>#VALUE!</v>
      </c>
      <c r="CJ53" t="e">
        <v>#VALUE!</v>
      </c>
      <c r="CK53" t="e">
        <v>#VALUE!</v>
      </c>
    </row>
    <row r="54" ht="12.5" customHeight="1" s="213">
      <c r="A54" t="inlineStr">
        <is>
          <t>Baltics</t>
        </is>
      </c>
      <c r="B54" t="inlineStr">
        <is>
          <t>TTP</t>
        </is>
      </c>
      <c r="C54" t="inlineStr">
        <is>
          <t>TTP</t>
        </is>
      </c>
      <c r="E54" t="n">
        <v>0.743295306072797</v>
      </c>
      <c r="I54" t="n">
        <v>0.677223548832968</v>
      </c>
      <c r="J54" t="n">
        <v>0.656209277870055</v>
      </c>
      <c r="L54" t="n">
        <v>0.6224747065334399</v>
      </c>
      <c r="V54" t="n">
        <v>0.524452135498622</v>
      </c>
      <c r="W54" t="n">
        <v>3</v>
      </c>
      <c r="AG54" s="223" t="inlineStr">
        <is>
          <t>POP</t>
        </is>
      </c>
      <c r="AI54" t="n">
        <v>1</v>
      </c>
      <c r="AJ54" t="n">
        <v>0.994655635543914</v>
      </c>
      <c r="AK54" t="n">
        <v>0.967933813263484</v>
      </c>
      <c r="AL54" t="n">
        <v>0.9225108268647439</v>
      </c>
      <c r="AM54" t="n">
        <v>0.881038463024037</v>
      </c>
      <c r="AN54" t="n">
        <v>0.844527555633293</v>
      </c>
      <c r="AO54" t="n">
        <v>0.813152064438621</v>
      </c>
      <c r="AP54" t="n">
        <v>0.78540368309147</v>
      </c>
      <c r="AQ54" t="n">
        <v>0.759047143517085</v>
      </c>
      <c r="AR54" t="n">
        <v>0.733846404289723</v>
      </c>
      <c r="AS54" t="n">
        <v>0.71088683007766</v>
      </c>
      <c r="AT54" t="n">
        <v>0.690423954971224</v>
      </c>
      <c r="AU54" t="n">
        <v>0.672374402783251</v>
      </c>
      <c r="AV54" t="n">
        <v>0.656418428293023</v>
      </c>
      <c r="AW54" t="n">
        <v>0.642061835122001</v>
      </c>
      <c r="AX54" t="n">
        <v>0.629054330904787</v>
      </c>
      <c r="AY54" t="n">
        <v>0.617255535695606</v>
      </c>
      <c r="AZ54" t="n">
        <v>0.606078703910127</v>
      </c>
      <c r="BA54" t="n">
        <v>0</v>
      </c>
      <c r="BB54" t="n">
        <v>0</v>
      </c>
      <c r="BC54" t="n">
        <v>0</v>
      </c>
      <c r="BD54" t="n">
        <v>0</v>
      </c>
      <c r="BE54" t="n">
        <v>0</v>
      </c>
      <c r="BF54" t="n">
        <v>0</v>
      </c>
      <c r="BG54" t="n">
        <v>0</v>
      </c>
      <c r="BH54" t="n">
        <v>0</v>
      </c>
      <c r="BJ54" t="inlineStr">
        <is>
          <t>Med2</t>
        </is>
      </c>
      <c r="BL54" t="n">
        <v>0.8</v>
      </c>
      <c r="BM54" t="n">
        <v>0.797560975609756</v>
      </c>
      <c r="BN54" t="n">
        <v>0.785365853658536</v>
      </c>
      <c r="BO54" t="n">
        <v>0.773170731707317</v>
      </c>
      <c r="BP54" t="n">
        <v>0.760975609756097</v>
      </c>
      <c r="BQ54" t="n">
        <v>0.748780487804878</v>
      </c>
      <c r="BR54" t="n">
        <v>0.736585365853658</v>
      </c>
      <c r="BS54" t="n">
        <v>0.724390243902439</v>
      </c>
      <c r="BT54" t="n">
        <v>0.71219512195122</v>
      </c>
      <c r="BU54" t="n">
        <v>0.699999999999999</v>
      </c>
      <c r="BV54" t="n">
        <v>0.687499999999999</v>
      </c>
      <c r="BW54" t="n">
        <v>0.675</v>
      </c>
      <c r="BX54" t="n">
        <v>0.6625</v>
      </c>
      <c r="BY54" t="n">
        <v>0.649999999999999</v>
      </c>
      <c r="BZ54" t="n">
        <v>0.637499999999999</v>
      </c>
      <c r="CA54" t="n">
        <v>0.625</v>
      </c>
      <c r="CB54" t="n">
        <v>0.6125</v>
      </c>
      <c r="CC54" t="n">
        <v>0.6</v>
      </c>
      <c r="CD54" t="e">
        <v>#VALUE!</v>
      </c>
      <c r="CE54" t="e">
        <v>#VALUE!</v>
      </c>
      <c r="CF54" t="e">
        <v>#VALUE!</v>
      </c>
      <c r="CG54" t="e">
        <v>#VALUE!</v>
      </c>
      <c r="CH54" t="e">
        <v>#VALUE!</v>
      </c>
      <c r="CI54" t="e">
        <v>#VALUE!</v>
      </c>
      <c r="CJ54" t="e">
        <v>#VALUE!</v>
      </c>
      <c r="CK54" t="e">
        <v>#VALUE!</v>
      </c>
    </row>
    <row r="55" ht="12.5" customHeight="1" s="213">
      <c r="A55" t="inlineStr">
        <is>
          <t>Baltics</t>
        </is>
      </c>
      <c r="B55" t="inlineStr">
        <is>
          <t>TWD</t>
        </is>
      </c>
      <c r="C55" t="inlineStr">
        <is>
          <t>TWD</t>
        </is>
      </c>
      <c r="E55" t="n">
        <v>0.53141239378321</v>
      </c>
      <c r="F55">
        <f>E55</f>
        <v/>
      </c>
      <c r="I55">
        <f>F55</f>
        <v/>
      </c>
      <c r="J55">
        <f>I55</f>
        <v/>
      </c>
      <c r="L55">
        <f>J55</f>
        <v/>
      </c>
      <c r="V55">
        <f>L55</f>
        <v/>
      </c>
      <c r="W55" t="n">
        <v>3</v>
      </c>
      <c r="AG55" s="223" t="inlineStr">
        <is>
          <t>GDP</t>
        </is>
      </c>
      <c r="AI55" t="n">
        <v>1</v>
      </c>
      <c r="AJ55" t="n">
        <v>1.02456207653745</v>
      </c>
      <c r="AK55" t="n">
        <v>1.15425102266182</v>
      </c>
      <c r="AL55" t="n">
        <v>1.31001036569329</v>
      </c>
      <c r="AM55" t="n">
        <v>1.40143289909313</v>
      </c>
      <c r="AN55" t="n">
        <v>1.46131720335972</v>
      </c>
      <c r="AO55" t="n">
        <v>1.49853726680739</v>
      </c>
      <c r="AP55" t="n">
        <v>1.52174255958907</v>
      </c>
      <c r="AQ55" t="n">
        <v>1.53852305748937</v>
      </c>
      <c r="AR55" t="n">
        <v>1.55692513386698</v>
      </c>
      <c r="AS55" t="n">
        <v>1.5786103282771</v>
      </c>
      <c r="AT55" t="n">
        <v>1.60030340974207</v>
      </c>
      <c r="AU55" t="n">
        <v>1.61869391843923</v>
      </c>
      <c r="AV55" t="n">
        <v>1.63377344151007</v>
      </c>
      <c r="AW55" t="n">
        <v>1.64683019791355</v>
      </c>
      <c r="AX55" t="n">
        <v>1.65988853172799</v>
      </c>
      <c r="AY55" t="n">
        <v>1.6739506247231</v>
      </c>
      <c r="AZ55" t="n">
        <v>1.68740594029836</v>
      </c>
      <c r="BA55" t="n">
        <v>0</v>
      </c>
      <c r="BB55" t="n">
        <v>0</v>
      </c>
      <c r="BC55" t="n">
        <v>0</v>
      </c>
      <c r="BD55" t="n">
        <v>0</v>
      </c>
      <c r="BE55" t="n">
        <v>0</v>
      </c>
      <c r="BF55" t="n">
        <v>0</v>
      </c>
      <c r="BG55" t="n">
        <v>0</v>
      </c>
      <c r="BH55" t="n">
        <v>0</v>
      </c>
      <c r="BJ55" t="inlineStr">
        <is>
          <t>Med2</t>
        </is>
      </c>
      <c r="BL55" t="n">
        <v>0.8</v>
      </c>
      <c r="BM55" t="n">
        <v>0.797560975609756</v>
      </c>
      <c r="BN55" t="n">
        <v>0.785365853658536</v>
      </c>
      <c r="BO55" t="n">
        <v>0.773170731707317</v>
      </c>
      <c r="BP55" t="n">
        <v>0.760975609756097</v>
      </c>
      <c r="BQ55" t="n">
        <v>0.748780487804878</v>
      </c>
      <c r="BR55" t="n">
        <v>0.736585365853658</v>
      </c>
      <c r="BS55" t="n">
        <v>0.724390243902439</v>
      </c>
      <c r="BT55" t="n">
        <v>0.71219512195122</v>
      </c>
      <c r="BU55" t="n">
        <v>0.699999999999999</v>
      </c>
      <c r="BV55" t="n">
        <v>0.687499999999999</v>
      </c>
      <c r="BW55" t="n">
        <v>0.675</v>
      </c>
      <c r="BX55" t="n">
        <v>0.6625</v>
      </c>
      <c r="BY55" t="n">
        <v>0.649999999999999</v>
      </c>
      <c r="BZ55" t="n">
        <v>0.637499999999999</v>
      </c>
      <c r="CA55" t="n">
        <v>0.625</v>
      </c>
      <c r="CB55" t="n">
        <v>0.6125</v>
      </c>
      <c r="CC55" t="n">
        <v>0.6</v>
      </c>
      <c r="CD55" t="e">
        <v>#VALUE!</v>
      </c>
      <c r="CE55" t="e">
        <v>#VALUE!</v>
      </c>
      <c r="CF55" t="e">
        <v>#VALUE!</v>
      </c>
      <c r="CG55" t="e">
        <v>#VALUE!</v>
      </c>
      <c r="CH55" t="e">
        <v>#VALUE!</v>
      </c>
      <c r="CI55" t="e">
        <v>#VALUE!</v>
      </c>
      <c r="CJ55" t="e">
        <v>#VALUE!</v>
      </c>
      <c r="CK55" t="e">
        <v>#VALUE!</v>
      </c>
    </row>
    <row r="56" ht="12.5" customHeight="1" s="213">
      <c r="A56" t="inlineStr">
        <is>
          <t>Baltics</t>
        </is>
      </c>
      <c r="B56" t="inlineStr">
        <is>
          <t>TWI</t>
        </is>
      </c>
      <c r="C56" t="inlineStr">
        <is>
          <t>TWI</t>
        </is>
      </c>
      <c r="E56" t="n">
        <v>28.7369724475552</v>
      </c>
      <c r="F56">
        <f>E56</f>
        <v/>
      </c>
      <c r="I56">
        <f>F56</f>
        <v/>
      </c>
      <c r="J56">
        <f>I56</f>
        <v/>
      </c>
      <c r="L56">
        <f>J56</f>
        <v/>
      </c>
      <c r="V56">
        <f>L56</f>
        <v/>
      </c>
      <c r="W56" t="n">
        <v>3</v>
      </c>
      <c r="AG56" s="223" t="inlineStr">
        <is>
          <t>GDP</t>
        </is>
      </c>
      <c r="AI56" t="n">
        <v>1</v>
      </c>
      <c r="AJ56" t="n">
        <v>1.02456207653745</v>
      </c>
      <c r="AK56" t="n">
        <v>1.15425102266182</v>
      </c>
      <c r="AL56" t="n">
        <v>1.31001036569329</v>
      </c>
      <c r="AM56" t="n">
        <v>1.40143289909313</v>
      </c>
      <c r="AN56" t="n">
        <v>1.46131720335972</v>
      </c>
      <c r="AO56" t="n">
        <v>1.49853726680739</v>
      </c>
      <c r="AP56" t="n">
        <v>1.52174255958907</v>
      </c>
      <c r="AQ56" t="n">
        <v>1.53852305748937</v>
      </c>
      <c r="AR56" t="n">
        <v>1.55692513386698</v>
      </c>
      <c r="AS56" t="n">
        <v>1.5786103282771</v>
      </c>
      <c r="AT56" t="n">
        <v>1.60030340974207</v>
      </c>
      <c r="AU56" t="n">
        <v>1.61869391843923</v>
      </c>
      <c r="AV56" t="n">
        <v>1.63377344151007</v>
      </c>
      <c r="AW56" t="n">
        <v>1.64683019791355</v>
      </c>
      <c r="AX56" t="n">
        <v>1.65988853172799</v>
      </c>
      <c r="AY56" t="n">
        <v>1.6739506247231</v>
      </c>
      <c r="AZ56" t="n">
        <v>1.68740594029836</v>
      </c>
      <c r="BA56" t="n">
        <v>0</v>
      </c>
      <c r="BB56" t="n">
        <v>0</v>
      </c>
      <c r="BC56" t="n">
        <v>0</v>
      </c>
      <c r="BD56" t="n">
        <v>0</v>
      </c>
      <c r="BE56" t="n">
        <v>0</v>
      </c>
      <c r="BF56" t="n">
        <v>0</v>
      </c>
      <c r="BG56" t="n">
        <v>0</v>
      </c>
      <c r="BH56" t="n">
        <v>0</v>
      </c>
      <c r="BJ56" t="inlineStr">
        <is>
          <t>Med2</t>
        </is>
      </c>
      <c r="BL56" t="n">
        <v>0.8</v>
      </c>
      <c r="BM56" t="n">
        <v>0.797560975609756</v>
      </c>
      <c r="BN56" t="n">
        <v>0.785365853658536</v>
      </c>
      <c r="BO56" t="n">
        <v>0.773170731707317</v>
      </c>
      <c r="BP56" t="n">
        <v>0.760975609756097</v>
      </c>
      <c r="BQ56" t="n">
        <v>0.748780487804878</v>
      </c>
      <c r="BR56" t="n">
        <v>0.736585365853658</v>
      </c>
      <c r="BS56" t="n">
        <v>0.724390243902439</v>
      </c>
      <c r="BT56" t="n">
        <v>0.71219512195122</v>
      </c>
      <c r="BU56" t="n">
        <v>0.699999999999999</v>
      </c>
      <c r="BV56" t="n">
        <v>0.687499999999999</v>
      </c>
      <c r="BW56" t="n">
        <v>0.675</v>
      </c>
      <c r="BX56" t="n">
        <v>0.6625</v>
      </c>
      <c r="BY56" t="n">
        <v>0.649999999999999</v>
      </c>
      <c r="BZ56" t="n">
        <v>0.637499999999999</v>
      </c>
      <c r="CA56" t="n">
        <v>0.625</v>
      </c>
      <c r="CB56" t="n">
        <v>0.6125</v>
      </c>
      <c r="CC56" t="n">
        <v>0.6</v>
      </c>
      <c r="CD56" t="e">
        <v>#VALUE!</v>
      </c>
      <c r="CE56" t="e">
        <v>#VALUE!</v>
      </c>
      <c r="CF56" t="e">
        <v>#VALUE!</v>
      </c>
      <c r="CG56" t="e">
        <v>#VALUE!</v>
      </c>
      <c r="CH56" t="e">
        <v>#VALUE!</v>
      </c>
      <c r="CI56" t="e">
        <v>#VALUE!</v>
      </c>
      <c r="CJ56" t="e">
        <v>#VALUE!</v>
      </c>
      <c r="CK56" t="e">
        <v>#VALUE!</v>
      </c>
    </row>
    <row r="57" ht="12.5" customHeight="1" s="213">
      <c r="A57" t="inlineStr">
        <is>
          <t>Baltics</t>
        </is>
      </c>
      <c r="B57" t="inlineStr">
        <is>
          <t>Trd_2w</t>
        </is>
      </c>
      <c r="C57" t="inlineStr">
        <is>
          <t>Trd_2w</t>
        </is>
      </c>
      <c r="D57" t="n">
        <v>0.301</v>
      </c>
      <c r="E57" t="n">
        <v>0.299717000584587</v>
      </c>
      <c r="G57" t="n">
        <v>0.293393221113225</v>
      </c>
      <c r="H57" t="n">
        <v>0.282747979982797</v>
      </c>
      <c r="I57" t="n">
        <v>0.273075060642974</v>
      </c>
      <c r="J57" t="n">
        <v>0.264601531735933</v>
      </c>
      <c r="K57" t="n">
        <v>0.25736063841315</v>
      </c>
      <c r="L57" t="n">
        <v>0.2509988297487</v>
      </c>
      <c r="M57" t="n">
        <v>0.245000005370027</v>
      </c>
      <c r="N57" t="n">
        <v>0.239306120729086</v>
      </c>
      <c r="O57" t="n">
        <v>0.234158753321223</v>
      </c>
      <c r="P57" t="n">
        <v>0.229609078524824</v>
      </c>
      <c r="Q57" t="n">
        <v>0.225632353900795</v>
      </c>
      <c r="R57" t="n">
        <v>0.222151972071459</v>
      </c>
      <c r="S57" t="n">
        <v>0.219054545705653</v>
      </c>
      <c r="T57" t="n">
        <v>0.216280910080545</v>
      </c>
      <c r="U57" t="n">
        <v>0.213796211065374</v>
      </c>
      <c r="V57" t="n">
        <v>0.211473447656124</v>
      </c>
      <c r="W57" t="n">
        <v>3</v>
      </c>
      <c r="AG57" s="223" t="inlineStr">
        <is>
          <t>POP</t>
        </is>
      </c>
      <c r="AI57" t="n">
        <v>1</v>
      </c>
      <c r="AJ57" t="n">
        <v>0.994655635543914</v>
      </c>
      <c r="AK57" t="n">
        <v>0.967933813263484</v>
      </c>
      <c r="AL57" t="n">
        <v>0.9225108268647439</v>
      </c>
      <c r="AM57" t="n">
        <v>0.881038463024037</v>
      </c>
      <c r="AN57" t="n">
        <v>0.844527555633293</v>
      </c>
      <c r="AO57" t="n">
        <v>0.813152064438621</v>
      </c>
      <c r="AP57" t="n">
        <v>0.78540368309147</v>
      </c>
      <c r="AQ57" t="n">
        <v>0.759047143517085</v>
      </c>
      <c r="AR57" t="n">
        <v>0.733846404289723</v>
      </c>
      <c r="AS57" t="n">
        <v>0.71088683007766</v>
      </c>
      <c r="AT57" t="n">
        <v>0.690423954971224</v>
      </c>
      <c r="AU57" t="n">
        <v>0.672374402783251</v>
      </c>
      <c r="AV57" t="n">
        <v>0.656418428293023</v>
      </c>
      <c r="AW57" t="n">
        <v>0.642061835122001</v>
      </c>
      <c r="AX57" t="n">
        <v>0.629054330904787</v>
      </c>
      <c r="AY57" t="n">
        <v>0.617255535695606</v>
      </c>
      <c r="AZ57" t="n">
        <v>0.606078703910127</v>
      </c>
      <c r="BA57" t="n">
        <v>0</v>
      </c>
      <c r="BB57" t="n">
        <v>0</v>
      </c>
      <c r="BC57" t="n">
        <v>0</v>
      </c>
      <c r="BD57" t="n">
        <v>0</v>
      </c>
      <c r="BE57" t="n">
        <v>0</v>
      </c>
      <c r="BF57" t="n">
        <v>0</v>
      </c>
      <c r="BG57" t="n">
        <v>0</v>
      </c>
      <c r="BH57" t="n">
        <v>0</v>
      </c>
      <c r="BJ57" t="inlineStr">
        <is>
          <t>Med2</t>
        </is>
      </c>
      <c r="BL57" t="n">
        <v>0.8</v>
      </c>
      <c r="BM57" t="n">
        <v>0.797560975609756</v>
      </c>
      <c r="BN57" t="n">
        <v>0.785365853658536</v>
      </c>
      <c r="BO57" t="n">
        <v>0.773170731707317</v>
      </c>
      <c r="BP57" t="n">
        <v>0.760975609756097</v>
      </c>
      <c r="BQ57" t="n">
        <v>0.748780487804878</v>
      </c>
      <c r="BR57" t="n">
        <v>0.736585365853658</v>
      </c>
      <c r="BS57" t="n">
        <v>0.724390243902439</v>
      </c>
      <c r="BT57" t="n">
        <v>0.71219512195122</v>
      </c>
      <c r="BU57" t="n">
        <v>0.699999999999999</v>
      </c>
      <c r="BV57" t="n">
        <v>0.687499999999999</v>
      </c>
      <c r="BW57" t="n">
        <v>0.675</v>
      </c>
      <c r="BX57" t="n">
        <v>0.6625</v>
      </c>
      <c r="BY57" t="n">
        <v>0.649999999999999</v>
      </c>
      <c r="BZ57" t="n">
        <v>0.637499999999999</v>
      </c>
      <c r="CA57" t="n">
        <v>0.625</v>
      </c>
      <c r="CB57" t="n">
        <v>0.6125</v>
      </c>
      <c r="CC57" t="n">
        <v>0.6</v>
      </c>
      <c r="CD57" t="e">
        <v>#VALUE!</v>
      </c>
      <c r="CE57" t="e">
        <v>#VALUE!</v>
      </c>
      <c r="CF57" t="e">
        <v>#VALUE!</v>
      </c>
      <c r="CG57" t="e">
        <v>#VALUE!</v>
      </c>
      <c r="CH57" t="e">
        <v>#VALUE!</v>
      </c>
      <c r="CI57" t="e">
        <v>#VALUE!</v>
      </c>
      <c r="CJ57" t="e">
        <v>#VALUE!</v>
      </c>
      <c r="CK57" t="e">
        <v>#VALUE!</v>
      </c>
    </row>
    <row r="58" ht="12.5" customHeight="1" s="213">
      <c r="A58" t="inlineStr">
        <is>
          <t>Baltics</t>
        </is>
      </c>
      <c r="B58" t="inlineStr">
        <is>
          <t>Trd_3w</t>
        </is>
      </c>
      <c r="C58" t="inlineStr">
        <is>
          <t>Trd_3w</t>
        </is>
      </c>
      <c r="D58" t="n">
        <v>0.06</v>
      </c>
      <c r="E58" t="n">
        <v>0.0597442526082234</v>
      </c>
      <c r="G58" t="n">
        <v>0.0584836985607757</v>
      </c>
      <c r="H58" t="n">
        <v>0.0563617235846107</v>
      </c>
      <c r="I58" t="n">
        <v>0.0544335669055762</v>
      </c>
      <c r="J58" t="n">
        <v>0.0527444913759334</v>
      </c>
      <c r="K58" t="n">
        <v>0.051301123936176</v>
      </c>
      <c r="L58" t="n">
        <v>0.0500329893186777</v>
      </c>
      <c r="M58" t="n">
        <v>0.0488372103727629</v>
      </c>
      <c r="N58" t="n">
        <v>0.0477022167566283</v>
      </c>
      <c r="O58" t="n">
        <v>0.0466761634527356</v>
      </c>
      <c r="P58" t="n">
        <v>0.0457692515331876</v>
      </c>
      <c r="Q58" t="n">
        <v>0.0449765489503246</v>
      </c>
      <c r="R58" t="n">
        <v>0.0442827851305234</v>
      </c>
      <c r="S58" t="n">
        <v>0.0436653579479707</v>
      </c>
      <c r="T58" t="n">
        <v>0.0431124737702083</v>
      </c>
      <c r="U58" t="n">
        <v>0.0426171849299748</v>
      </c>
      <c r="V58" t="n">
        <v>0.0421541756125165</v>
      </c>
      <c r="W58" t="n">
        <v>3</v>
      </c>
      <c r="AG58" s="223" t="inlineStr">
        <is>
          <t>POP</t>
        </is>
      </c>
      <c r="AI58" t="n">
        <v>1</v>
      </c>
      <c r="AJ58" t="n">
        <v>0.994655635543914</v>
      </c>
      <c r="AK58" t="n">
        <v>0.967933813263484</v>
      </c>
      <c r="AL58" t="n">
        <v>0.9225108268647439</v>
      </c>
      <c r="AM58" t="n">
        <v>0.881038463024037</v>
      </c>
      <c r="AN58" t="n">
        <v>0.844527555633293</v>
      </c>
      <c r="AO58" t="n">
        <v>0.813152064438621</v>
      </c>
      <c r="AP58" t="n">
        <v>0.78540368309147</v>
      </c>
      <c r="AQ58" t="n">
        <v>0.759047143517085</v>
      </c>
      <c r="AR58" t="n">
        <v>0.733846404289723</v>
      </c>
      <c r="AS58" t="n">
        <v>0.71088683007766</v>
      </c>
      <c r="AT58" t="n">
        <v>0.690423954971224</v>
      </c>
      <c r="AU58" t="n">
        <v>0.672374402783251</v>
      </c>
      <c r="AV58" t="n">
        <v>0.656418428293023</v>
      </c>
      <c r="AW58" t="n">
        <v>0.642061835122001</v>
      </c>
      <c r="AX58" t="n">
        <v>0.629054330904787</v>
      </c>
      <c r="AY58" t="n">
        <v>0.617255535695606</v>
      </c>
      <c r="AZ58" t="n">
        <v>0.606078703910127</v>
      </c>
      <c r="BA58" t="n">
        <v>0</v>
      </c>
      <c r="BB58" t="n">
        <v>0</v>
      </c>
      <c r="BC58" t="n">
        <v>0</v>
      </c>
      <c r="BD58" t="n">
        <v>0</v>
      </c>
      <c r="BE58" t="n">
        <v>0</v>
      </c>
      <c r="BF58" t="n">
        <v>0</v>
      </c>
      <c r="BG58" t="n">
        <v>0</v>
      </c>
      <c r="BH58" t="n">
        <v>0</v>
      </c>
      <c r="BJ58" t="inlineStr">
        <is>
          <t>Med2</t>
        </is>
      </c>
      <c r="BL58" t="n">
        <v>0.8</v>
      </c>
      <c r="BM58" t="n">
        <v>0.797560975609756</v>
      </c>
      <c r="BN58" t="n">
        <v>0.785365853658536</v>
      </c>
      <c r="BO58" t="n">
        <v>0.773170731707317</v>
      </c>
      <c r="BP58" t="n">
        <v>0.760975609756097</v>
      </c>
      <c r="BQ58" t="n">
        <v>0.748780487804878</v>
      </c>
      <c r="BR58" t="n">
        <v>0.736585365853658</v>
      </c>
      <c r="BS58" t="n">
        <v>0.724390243902439</v>
      </c>
      <c r="BT58" t="n">
        <v>0.71219512195122</v>
      </c>
      <c r="BU58" t="n">
        <v>0.699999999999999</v>
      </c>
      <c r="BV58" t="n">
        <v>0.687499999999999</v>
      </c>
      <c r="BW58" t="n">
        <v>0.675</v>
      </c>
      <c r="BX58" t="n">
        <v>0.6625</v>
      </c>
      <c r="BY58" t="n">
        <v>0.649999999999999</v>
      </c>
      <c r="BZ58" t="n">
        <v>0.637499999999999</v>
      </c>
      <c r="CA58" t="n">
        <v>0.625</v>
      </c>
      <c r="CB58" t="n">
        <v>0.6125</v>
      </c>
      <c r="CC58" t="n">
        <v>0.6</v>
      </c>
      <c r="CD58" t="e">
        <v>#VALUE!</v>
      </c>
      <c r="CE58" t="e">
        <v>#VALUE!</v>
      </c>
      <c r="CF58" t="e">
        <v>#VALUE!</v>
      </c>
      <c r="CG58" t="e">
        <v>#VALUE!</v>
      </c>
      <c r="CH58" t="e">
        <v>#VALUE!</v>
      </c>
      <c r="CI58" t="e">
        <v>#VALUE!</v>
      </c>
      <c r="CJ58" t="e">
        <v>#VALUE!</v>
      </c>
      <c r="CK58" t="e">
        <v>#VALUE!</v>
      </c>
    </row>
    <row r="59" ht="12.5" customHeight="1" s="213">
      <c r="A59" t="inlineStr">
        <is>
          <t>Baltics</t>
        </is>
      </c>
      <c r="B59" t="inlineStr">
        <is>
          <t>Trd_bus</t>
        </is>
      </c>
      <c r="C59" t="inlineStr">
        <is>
          <t>Trd_bus</t>
        </is>
      </c>
      <c r="D59" t="n">
        <v>1.015</v>
      </c>
      <c r="E59" t="n">
        <v>1.01067360662245</v>
      </c>
      <c r="G59" t="n">
        <v>0.989349233986455</v>
      </c>
      <c r="H59" t="n">
        <v>0.953452490639665</v>
      </c>
      <c r="I59" t="n">
        <v>0.920834506819331</v>
      </c>
      <c r="J59" t="n">
        <v>0.8922609791095401</v>
      </c>
      <c r="K59" t="n">
        <v>0.867844013253645</v>
      </c>
      <c r="L59" t="n">
        <v>0.846391402640965</v>
      </c>
      <c r="M59" t="n">
        <v>0.826162808805906</v>
      </c>
      <c r="N59" t="n">
        <v>0.806962500132963</v>
      </c>
      <c r="O59" t="n">
        <v>0.789605098408777</v>
      </c>
      <c r="P59" t="n">
        <v>0.774263171769757</v>
      </c>
      <c r="Q59" t="n">
        <v>0.760853286409657</v>
      </c>
      <c r="R59" t="n">
        <v>0.749117115124688</v>
      </c>
      <c r="S59" t="n">
        <v>0.738672305286504</v>
      </c>
      <c r="T59" t="n">
        <v>0.729319347946025</v>
      </c>
      <c r="U59" t="n">
        <v>0.720940711732074</v>
      </c>
      <c r="V59" t="n">
        <v>0.713108137445071</v>
      </c>
      <c r="W59" t="n">
        <v>3</v>
      </c>
      <c r="AG59" s="223" t="inlineStr">
        <is>
          <t>POP</t>
        </is>
      </c>
      <c r="AI59" t="n">
        <v>1</v>
      </c>
      <c r="AJ59" t="n">
        <v>0.994655635543914</v>
      </c>
      <c r="AK59" t="n">
        <v>0.967933813263484</v>
      </c>
      <c r="AL59" t="n">
        <v>0.9225108268647439</v>
      </c>
      <c r="AM59" t="n">
        <v>0.881038463024037</v>
      </c>
      <c r="AN59" t="n">
        <v>0.844527555633293</v>
      </c>
      <c r="AO59" t="n">
        <v>0.813152064438621</v>
      </c>
      <c r="AP59" t="n">
        <v>0.78540368309147</v>
      </c>
      <c r="AQ59" t="n">
        <v>0.759047143517085</v>
      </c>
      <c r="AR59" t="n">
        <v>0.733846404289723</v>
      </c>
      <c r="AS59" t="n">
        <v>0.71088683007766</v>
      </c>
      <c r="AT59" t="n">
        <v>0.690423954971224</v>
      </c>
      <c r="AU59" t="n">
        <v>0.672374402783251</v>
      </c>
      <c r="AV59" t="n">
        <v>0.656418428293023</v>
      </c>
      <c r="AW59" t="n">
        <v>0.642061835122001</v>
      </c>
      <c r="AX59" t="n">
        <v>0.629054330904787</v>
      </c>
      <c r="AY59" t="n">
        <v>0.617255535695606</v>
      </c>
      <c r="AZ59" t="n">
        <v>0.606078703910127</v>
      </c>
      <c r="BA59" t="n">
        <v>0</v>
      </c>
      <c r="BB59" t="n">
        <v>0</v>
      </c>
      <c r="BC59" t="n">
        <v>0</v>
      </c>
      <c r="BD59" t="n">
        <v>0</v>
      </c>
      <c r="BE59" t="n">
        <v>0</v>
      </c>
      <c r="BF59" t="n">
        <v>0</v>
      </c>
      <c r="BG59" t="n">
        <v>0</v>
      </c>
      <c r="BH59" t="n">
        <v>0</v>
      </c>
      <c r="BJ59" t="inlineStr">
        <is>
          <t>Med2</t>
        </is>
      </c>
      <c r="BL59" t="n">
        <v>0.8</v>
      </c>
      <c r="BM59" t="n">
        <v>0.797560975609756</v>
      </c>
      <c r="BN59" t="n">
        <v>0.785365853658536</v>
      </c>
      <c r="BO59" t="n">
        <v>0.773170731707317</v>
      </c>
      <c r="BP59" t="n">
        <v>0.760975609756097</v>
      </c>
      <c r="BQ59" t="n">
        <v>0.748780487804878</v>
      </c>
      <c r="BR59" t="n">
        <v>0.736585365853658</v>
      </c>
      <c r="BS59" t="n">
        <v>0.724390243902439</v>
      </c>
      <c r="BT59" t="n">
        <v>0.71219512195122</v>
      </c>
      <c r="BU59" t="n">
        <v>0.699999999999999</v>
      </c>
      <c r="BV59" t="n">
        <v>0.687499999999999</v>
      </c>
      <c r="BW59" t="n">
        <v>0.675</v>
      </c>
      <c r="BX59" t="n">
        <v>0.6625</v>
      </c>
      <c r="BY59" t="n">
        <v>0.649999999999999</v>
      </c>
      <c r="BZ59" t="n">
        <v>0.637499999999999</v>
      </c>
      <c r="CA59" t="n">
        <v>0.625</v>
      </c>
      <c r="CB59" t="n">
        <v>0.6125</v>
      </c>
      <c r="CC59" t="n">
        <v>0.6</v>
      </c>
      <c r="CD59" t="e">
        <v>#VALUE!</v>
      </c>
      <c r="CE59" t="e">
        <v>#VALUE!</v>
      </c>
      <c r="CF59" t="e">
        <v>#VALUE!</v>
      </c>
      <c r="CG59" t="e">
        <v>#VALUE!</v>
      </c>
      <c r="CH59" t="e">
        <v>#VALUE!</v>
      </c>
      <c r="CI59" t="e">
        <v>#VALUE!</v>
      </c>
      <c r="CJ59" t="e">
        <v>#VALUE!</v>
      </c>
      <c r="CK59" t="e">
        <v>#VALUE!</v>
      </c>
    </row>
    <row r="60" ht="12.5" customHeight="1" s="213">
      <c r="A60" t="inlineStr">
        <is>
          <t>Baltics</t>
        </is>
      </c>
      <c r="B60" t="inlineStr">
        <is>
          <t>Trd_car</t>
        </is>
      </c>
      <c r="C60" t="inlineStr">
        <is>
          <t>Trd_car</t>
        </is>
      </c>
      <c r="D60" t="n">
        <v>14.676</v>
      </c>
      <c r="E60" t="n">
        <v>15.0279359114907</v>
      </c>
      <c r="G60" t="n">
        <v>16.8889599183515</v>
      </c>
      <c r="H60" t="n">
        <v>19.3807876412468</v>
      </c>
      <c r="I60" t="n">
        <v>21.1527204765845</v>
      </c>
      <c r="J60" t="n">
        <v>22.543527989314</v>
      </c>
      <c r="K60" t="n">
        <v>23.6234992372747</v>
      </c>
      <c r="L60" t="n">
        <v>24.5024464883538</v>
      </c>
      <c r="M60" t="n">
        <v>25.3074958134495</v>
      </c>
      <c r="N60" t="n">
        <v>26.1350145681235</v>
      </c>
      <c r="O60" t="n">
        <v>26.9736653362655</v>
      </c>
      <c r="P60" t="n">
        <v>27.7709105010172</v>
      </c>
      <c r="Q60" t="n">
        <v>28.4819078040894</v>
      </c>
      <c r="R60" t="n">
        <v>29.1085797201388</v>
      </c>
      <c r="S60" t="n">
        <v>29.6751278254503</v>
      </c>
      <c r="T60" t="n">
        <v>30.2087461262979</v>
      </c>
      <c r="U60" t="n">
        <v>30.7221740134875</v>
      </c>
      <c r="V60" t="n">
        <v>31.2130070740177</v>
      </c>
      <c r="W60" t="n">
        <v>3</v>
      </c>
      <c r="AG60" s="223" t="inlineStr">
        <is>
          <t>GDPPCAP</t>
        </is>
      </c>
      <c r="AI60" t="n">
        <v>1</v>
      </c>
      <c r="AJ60" t="n">
        <v>1.03006713069814</v>
      </c>
      <c r="AK60" t="n">
        <v>1.19248961741522</v>
      </c>
      <c r="AL60" t="n">
        <v>1.42004877075048</v>
      </c>
      <c r="AM60" t="n">
        <v>1.59066029226795</v>
      </c>
      <c r="AN60" t="n">
        <v>1.73033691276527</v>
      </c>
      <c r="AO60" t="n">
        <v>1.84287457702262</v>
      </c>
      <c r="AP60" t="n">
        <v>1.93752918702806</v>
      </c>
      <c r="AQ60" t="n">
        <v>2.02691370441175</v>
      </c>
      <c r="AR60" t="n">
        <v>2.1215953703199</v>
      </c>
      <c r="AS60" t="n">
        <v>2.22062114739789</v>
      </c>
      <c r="AT60" t="n">
        <v>2.31785614942744</v>
      </c>
      <c r="AU60" t="n">
        <v>2.40742941988682</v>
      </c>
      <c r="AV60" t="n">
        <v>2.48892074184846</v>
      </c>
      <c r="AW60" t="n">
        <v>2.56490902873962</v>
      </c>
      <c r="AX60" t="n">
        <v>2.63870456044794</v>
      </c>
      <c r="AY60" t="n">
        <v>2.7119248478455</v>
      </c>
      <c r="AZ60" t="n">
        <v>2.78413666312977</v>
      </c>
      <c r="BA60" t="n">
        <v>0</v>
      </c>
      <c r="BB60" t="n">
        <v>0</v>
      </c>
      <c r="BC60" t="n">
        <v>0</v>
      </c>
      <c r="BD60" t="n">
        <v>0</v>
      </c>
      <c r="BE60" t="n">
        <v>0</v>
      </c>
      <c r="BF60" t="n">
        <v>0</v>
      </c>
      <c r="BG60" t="n">
        <v>0</v>
      </c>
      <c r="BH60" t="n">
        <v>0</v>
      </c>
      <c r="BJ60" t="inlineStr">
        <is>
          <t>Med2</t>
        </is>
      </c>
      <c r="BL60" t="n">
        <v>0.8</v>
      </c>
      <c r="BM60" t="n">
        <v>0.797560975609756</v>
      </c>
      <c r="BN60" t="n">
        <v>0.785365853658536</v>
      </c>
      <c r="BO60" t="n">
        <v>0.773170731707317</v>
      </c>
      <c r="BP60" t="n">
        <v>0.760975609756097</v>
      </c>
      <c r="BQ60" t="n">
        <v>0.748780487804878</v>
      </c>
      <c r="BR60" t="n">
        <v>0.736585365853658</v>
      </c>
      <c r="BS60" t="n">
        <v>0.724390243902439</v>
      </c>
      <c r="BT60" t="n">
        <v>0.71219512195122</v>
      </c>
      <c r="BU60" t="n">
        <v>0.699999999999999</v>
      </c>
      <c r="BV60" t="n">
        <v>0.687499999999999</v>
      </c>
      <c r="BW60" t="n">
        <v>0.675</v>
      </c>
      <c r="BX60" t="n">
        <v>0.6625</v>
      </c>
      <c r="BY60" t="n">
        <v>0.649999999999999</v>
      </c>
      <c r="BZ60" t="n">
        <v>0.637499999999999</v>
      </c>
      <c r="CA60" t="n">
        <v>0.625</v>
      </c>
      <c r="CB60" t="n">
        <v>0.6125</v>
      </c>
      <c r="CC60" t="n">
        <v>0.6</v>
      </c>
      <c r="CD60" t="e">
        <v>#VALUE!</v>
      </c>
      <c r="CE60" t="e">
        <v>#VALUE!</v>
      </c>
      <c r="CF60" t="e">
        <v>#VALUE!</v>
      </c>
      <c r="CG60" t="e">
        <v>#VALUE!</v>
      </c>
      <c r="CH60" t="e">
        <v>#VALUE!</v>
      </c>
      <c r="CI60" t="e">
        <v>#VALUE!</v>
      </c>
      <c r="CJ60" t="e">
        <v>#VALUE!</v>
      </c>
      <c r="CK60" t="e">
        <v>#VALUE!</v>
      </c>
    </row>
    <row r="61" ht="12.5" customHeight="1" s="213">
      <c r="A61" t="inlineStr">
        <is>
          <t>Baltics</t>
        </is>
      </c>
      <c r="B61" t="inlineStr">
        <is>
          <t>Trd_hdt</t>
        </is>
      </c>
      <c r="C61" t="inlineStr">
        <is>
          <t>Trd_hdt</t>
        </is>
      </c>
      <c r="D61" t="n">
        <v>13.8</v>
      </c>
      <c r="E61" t="n">
        <v>14.0703386014217</v>
      </c>
      <c r="G61" t="n">
        <v>15.4690923009141</v>
      </c>
      <c r="H61" t="n">
        <v>17.0830571616842</v>
      </c>
      <c r="I61" t="n">
        <v>17.9902818310245</v>
      </c>
      <c r="J61" t="n">
        <v>18.5658982661647</v>
      </c>
      <c r="K61" t="n">
        <v>18.9142128548411</v>
      </c>
      <c r="L61" t="n">
        <v>19.1263810926186</v>
      </c>
      <c r="M61" t="n">
        <v>19.2765899198589</v>
      </c>
      <c r="N61" t="n">
        <v>19.4379852884852</v>
      </c>
      <c r="O61" t="n">
        <v>19.6241166447833</v>
      </c>
      <c r="P61" t="n">
        <v>19.8061454827833</v>
      </c>
      <c r="Q61" t="n">
        <v>19.9569371208929</v>
      </c>
      <c r="R61" t="n">
        <v>20.0777825189643</v>
      </c>
      <c r="S61" t="n">
        <v>20.1800739853741</v>
      </c>
      <c r="T61" t="n">
        <v>20.2800835912654</v>
      </c>
      <c r="U61" t="n">
        <v>20.3853153612151</v>
      </c>
      <c r="V61" t="n">
        <v>20.4836303941326</v>
      </c>
      <c r="W61" t="n">
        <v>3</v>
      </c>
      <c r="AG61" s="223" t="inlineStr">
        <is>
          <t>GDP</t>
        </is>
      </c>
      <c r="AI61" t="n">
        <v>1</v>
      </c>
      <c r="AJ61" t="n">
        <v>1.02456207653745</v>
      </c>
      <c r="AK61" t="n">
        <v>1.15425102266182</v>
      </c>
      <c r="AL61" t="n">
        <v>1.31001036569329</v>
      </c>
      <c r="AM61" t="n">
        <v>1.40143289909313</v>
      </c>
      <c r="AN61" t="n">
        <v>1.46131720335972</v>
      </c>
      <c r="AO61" t="n">
        <v>1.49853726680739</v>
      </c>
      <c r="AP61" t="n">
        <v>1.52174255958907</v>
      </c>
      <c r="AQ61" t="n">
        <v>1.53852305748937</v>
      </c>
      <c r="AR61" t="n">
        <v>1.55692513386698</v>
      </c>
      <c r="AS61" t="n">
        <v>1.5786103282771</v>
      </c>
      <c r="AT61" t="n">
        <v>1.60030340974207</v>
      </c>
      <c r="AU61" t="n">
        <v>1.61869391843923</v>
      </c>
      <c r="AV61" t="n">
        <v>1.63377344151007</v>
      </c>
      <c r="AW61" t="n">
        <v>1.64683019791355</v>
      </c>
      <c r="AX61" t="n">
        <v>1.65988853172799</v>
      </c>
      <c r="AY61" t="n">
        <v>1.6739506247231</v>
      </c>
      <c r="AZ61" t="n">
        <v>1.68740594029836</v>
      </c>
      <c r="BA61" t="n">
        <v>0</v>
      </c>
      <c r="BB61" t="n">
        <v>0</v>
      </c>
      <c r="BC61" t="n">
        <v>0</v>
      </c>
      <c r="BD61" t="n">
        <v>0</v>
      </c>
      <c r="BE61" t="n">
        <v>0</v>
      </c>
      <c r="BF61" t="n">
        <v>0</v>
      </c>
      <c r="BG61" t="n">
        <v>0</v>
      </c>
      <c r="BH61" t="n">
        <v>0</v>
      </c>
      <c r="BJ61" t="inlineStr">
        <is>
          <t>Med2</t>
        </is>
      </c>
      <c r="BL61" t="n">
        <v>0.8</v>
      </c>
      <c r="BM61" t="n">
        <v>0.797560975609756</v>
      </c>
      <c r="BN61" t="n">
        <v>0.785365853658536</v>
      </c>
      <c r="BO61" t="n">
        <v>0.773170731707317</v>
      </c>
      <c r="BP61" t="n">
        <v>0.760975609756097</v>
      </c>
      <c r="BQ61" t="n">
        <v>0.748780487804878</v>
      </c>
      <c r="BR61" t="n">
        <v>0.736585365853658</v>
      </c>
      <c r="BS61" t="n">
        <v>0.724390243902439</v>
      </c>
      <c r="BT61" t="n">
        <v>0.71219512195122</v>
      </c>
      <c r="BU61" t="n">
        <v>0.699999999999999</v>
      </c>
      <c r="BV61" t="n">
        <v>0.687499999999999</v>
      </c>
      <c r="BW61" t="n">
        <v>0.675</v>
      </c>
      <c r="BX61" t="n">
        <v>0.6625</v>
      </c>
      <c r="BY61" t="n">
        <v>0.649999999999999</v>
      </c>
      <c r="BZ61" t="n">
        <v>0.637499999999999</v>
      </c>
      <c r="CA61" t="n">
        <v>0.625</v>
      </c>
      <c r="CB61" t="n">
        <v>0.6125</v>
      </c>
      <c r="CC61" t="n">
        <v>0.6</v>
      </c>
      <c r="CD61" t="e">
        <v>#VALUE!</v>
      </c>
      <c r="CE61" t="e">
        <v>#VALUE!</v>
      </c>
      <c r="CF61" t="e">
        <v>#VALUE!</v>
      </c>
      <c r="CG61" t="e">
        <v>#VALUE!</v>
      </c>
      <c r="CH61" t="e">
        <v>#VALUE!</v>
      </c>
      <c r="CI61" t="e">
        <v>#VALUE!</v>
      </c>
      <c r="CJ61" t="e">
        <v>#VALUE!</v>
      </c>
      <c r="CK61" t="e">
        <v>#VALUE!</v>
      </c>
    </row>
    <row r="62" ht="12.5" customHeight="1" s="213">
      <c r="A62" t="inlineStr">
        <is>
          <t>Baltics</t>
        </is>
      </c>
      <c r="B62" t="inlineStr">
        <is>
          <t>Trd_lcv</t>
        </is>
      </c>
      <c r="C62" t="inlineStr">
        <is>
          <t>Trd_lcv</t>
        </is>
      </c>
      <c r="D62" t="n">
        <v>7.68</v>
      </c>
      <c r="E62" t="n">
        <v>7.83044930861729</v>
      </c>
      <c r="G62" t="n">
        <v>8.608886150073941</v>
      </c>
      <c r="H62" t="n">
        <v>9.507092681285121</v>
      </c>
      <c r="I62" t="n">
        <v>10.0119829320484</v>
      </c>
      <c r="J62" t="n">
        <v>10.3323259916047</v>
      </c>
      <c r="K62" t="n">
        <v>10.5261706322594</v>
      </c>
      <c r="L62" t="n">
        <v>10.6442468689356</v>
      </c>
      <c r="M62" t="n">
        <v>10.7278413467041</v>
      </c>
      <c r="N62" t="n">
        <v>10.8176613779396</v>
      </c>
      <c r="O62" t="n">
        <v>10.9212475240533</v>
      </c>
      <c r="P62" t="n">
        <v>11.0225505295489</v>
      </c>
      <c r="Q62" t="n">
        <v>11.106469354236</v>
      </c>
      <c r="R62" t="n">
        <v>11.1737224453366</v>
      </c>
      <c r="S62" t="n">
        <v>11.2306498701212</v>
      </c>
      <c r="T62" t="n">
        <v>11.2863073899216</v>
      </c>
      <c r="U62" t="n">
        <v>11.3448711575458</v>
      </c>
      <c r="V62" t="n">
        <v>11.3995856106477</v>
      </c>
      <c r="W62" t="n">
        <v>3</v>
      </c>
      <c r="AG62" s="223" t="inlineStr">
        <is>
          <t>GDP</t>
        </is>
      </c>
      <c r="AI62" t="n">
        <v>1</v>
      </c>
      <c r="AJ62" t="n">
        <v>1.02456207653745</v>
      </c>
      <c r="AK62" t="n">
        <v>1.15425102266182</v>
      </c>
      <c r="AL62" t="n">
        <v>1.31001036569329</v>
      </c>
      <c r="AM62" t="n">
        <v>1.40143289909313</v>
      </c>
      <c r="AN62" t="n">
        <v>1.46131720335972</v>
      </c>
      <c r="AO62" t="n">
        <v>1.49853726680739</v>
      </c>
      <c r="AP62" t="n">
        <v>1.52174255958907</v>
      </c>
      <c r="AQ62" t="n">
        <v>1.53852305748937</v>
      </c>
      <c r="AR62" t="n">
        <v>1.55692513386698</v>
      </c>
      <c r="AS62" t="n">
        <v>1.5786103282771</v>
      </c>
      <c r="AT62" t="n">
        <v>1.60030340974207</v>
      </c>
      <c r="AU62" t="n">
        <v>1.61869391843923</v>
      </c>
      <c r="AV62" t="n">
        <v>1.63377344151007</v>
      </c>
      <c r="AW62" t="n">
        <v>1.64683019791355</v>
      </c>
      <c r="AX62" t="n">
        <v>1.65988853172799</v>
      </c>
      <c r="AY62" t="n">
        <v>1.6739506247231</v>
      </c>
      <c r="AZ62" t="n">
        <v>1.68740594029836</v>
      </c>
      <c r="BA62" t="n">
        <v>0</v>
      </c>
      <c r="BB62" t="n">
        <v>0</v>
      </c>
      <c r="BC62" t="n">
        <v>0</v>
      </c>
      <c r="BD62" t="n">
        <v>0</v>
      </c>
      <c r="BE62" t="n">
        <v>0</v>
      </c>
      <c r="BF62" t="n">
        <v>0</v>
      </c>
      <c r="BG62" t="n">
        <v>0</v>
      </c>
      <c r="BH62" t="n">
        <v>0</v>
      </c>
      <c r="BJ62" t="inlineStr">
        <is>
          <t>Med2</t>
        </is>
      </c>
      <c r="BL62" t="n">
        <v>0.8</v>
      </c>
      <c r="BM62" t="n">
        <v>0.797560975609756</v>
      </c>
      <c r="BN62" t="n">
        <v>0.785365853658536</v>
      </c>
      <c r="BO62" t="n">
        <v>0.773170731707317</v>
      </c>
      <c r="BP62" t="n">
        <v>0.760975609756097</v>
      </c>
      <c r="BQ62" t="n">
        <v>0.748780487804878</v>
      </c>
      <c r="BR62" t="n">
        <v>0.736585365853658</v>
      </c>
      <c r="BS62" t="n">
        <v>0.724390243902439</v>
      </c>
      <c r="BT62" t="n">
        <v>0.71219512195122</v>
      </c>
      <c r="BU62" t="n">
        <v>0.699999999999999</v>
      </c>
      <c r="BV62" t="n">
        <v>0.687499999999999</v>
      </c>
      <c r="BW62" t="n">
        <v>0.675</v>
      </c>
      <c r="BX62" t="n">
        <v>0.6625</v>
      </c>
      <c r="BY62" t="n">
        <v>0.649999999999999</v>
      </c>
      <c r="BZ62" t="n">
        <v>0.637499999999999</v>
      </c>
      <c r="CA62" t="n">
        <v>0.625</v>
      </c>
      <c r="CB62" t="n">
        <v>0.6125</v>
      </c>
      <c r="CC62" t="n">
        <v>0.6</v>
      </c>
      <c r="CD62" t="e">
        <v>#VALUE!</v>
      </c>
      <c r="CE62" t="e">
        <v>#VALUE!</v>
      </c>
      <c r="CF62" t="e">
        <v>#VALUE!</v>
      </c>
      <c r="CG62" t="e">
        <v>#VALUE!</v>
      </c>
      <c r="CH62" t="e">
        <v>#VALUE!</v>
      </c>
      <c r="CI62" t="e">
        <v>#VALUE!</v>
      </c>
      <c r="CJ62" t="e">
        <v>#VALUE!</v>
      </c>
      <c r="CK62" t="e">
        <v>#VALUE!</v>
      </c>
    </row>
    <row r="63" ht="12.5" customHeight="1" s="213">
      <c r="A63" t="inlineStr">
        <is>
          <t>BeNeLux</t>
        </is>
      </c>
      <c r="B63" t="inlineStr">
        <is>
          <t>TAD</t>
        </is>
      </c>
      <c r="C63" t="inlineStr">
        <is>
          <t>TAD</t>
        </is>
      </c>
      <c r="E63" t="n">
        <v>0.556097471395552</v>
      </c>
      <c r="F63">
        <f>E63</f>
        <v/>
      </c>
      <c r="I63">
        <f>F63</f>
        <v/>
      </c>
      <c r="J63">
        <f>I63</f>
        <v/>
      </c>
      <c r="L63">
        <f>J63</f>
        <v/>
      </c>
      <c r="V63">
        <f>L63</f>
        <v/>
      </c>
      <c r="W63" t="n">
        <v>3</v>
      </c>
      <c r="AG63" s="223" t="inlineStr">
        <is>
          <t>GDP</t>
        </is>
      </c>
      <c r="AI63" t="n">
        <v>1</v>
      </c>
      <c r="AJ63" t="n">
        <v>1.00809088662721</v>
      </c>
      <c r="AK63" t="n">
        <v>1.14400338979557</v>
      </c>
      <c r="AL63" t="n">
        <v>1.25050759781859</v>
      </c>
      <c r="AM63" t="n">
        <v>1.33772956440188</v>
      </c>
      <c r="AN63" t="n">
        <v>1.41833893109734</v>
      </c>
      <c r="AO63" t="n">
        <v>1.49432278315945</v>
      </c>
      <c r="AP63" t="n">
        <v>1.56678818974415</v>
      </c>
      <c r="AQ63" t="n">
        <v>1.63621947674348</v>
      </c>
      <c r="AR63" t="n">
        <v>1.70585717561322</v>
      </c>
      <c r="AS63" t="n">
        <v>1.77645880442683</v>
      </c>
      <c r="AT63" t="n">
        <v>1.84470086225119</v>
      </c>
      <c r="AU63" t="n">
        <v>1.90940288904307</v>
      </c>
      <c r="AV63" t="n">
        <v>1.96812166978731</v>
      </c>
      <c r="AW63" t="n">
        <v>2.01904873969769</v>
      </c>
      <c r="AX63" t="n">
        <v>2.06183130985843</v>
      </c>
      <c r="AY63" t="n">
        <v>2.09672570873607</v>
      </c>
      <c r="AZ63" t="n">
        <v>2.12356532282736</v>
      </c>
      <c r="BA63" t="n">
        <v>0</v>
      </c>
      <c r="BB63" t="n">
        <v>0</v>
      </c>
      <c r="BC63" t="n">
        <v>0</v>
      </c>
      <c r="BD63" t="n">
        <v>0</v>
      </c>
      <c r="BE63" t="n">
        <v>0</v>
      </c>
      <c r="BF63" t="n">
        <v>0</v>
      </c>
      <c r="BG63" t="n">
        <v>0</v>
      </c>
      <c r="BH63" t="n">
        <v>0</v>
      </c>
      <c r="BJ63" t="inlineStr">
        <is>
          <t>Med2</t>
        </is>
      </c>
      <c r="BL63" t="n">
        <v>0.8</v>
      </c>
      <c r="BM63" t="n">
        <v>0.797560975609756</v>
      </c>
      <c r="BN63" t="n">
        <v>0.785365853658536</v>
      </c>
      <c r="BO63" t="n">
        <v>0.773170731707317</v>
      </c>
      <c r="BP63" t="n">
        <v>0.760975609756097</v>
      </c>
      <c r="BQ63" t="n">
        <v>0.748780487804878</v>
      </c>
      <c r="BR63" t="n">
        <v>0.736585365853658</v>
      </c>
      <c r="BS63" t="n">
        <v>0.724390243902439</v>
      </c>
      <c r="BT63" t="n">
        <v>0.71219512195122</v>
      </c>
      <c r="BU63" t="n">
        <v>0.699999999999999</v>
      </c>
      <c r="BV63" t="n">
        <v>0.687499999999999</v>
      </c>
      <c r="BW63" t="n">
        <v>0.675</v>
      </c>
      <c r="BX63" t="n">
        <v>0.6625</v>
      </c>
      <c r="BY63" t="n">
        <v>0.649999999999999</v>
      </c>
      <c r="BZ63" t="n">
        <v>0.637499999999999</v>
      </c>
      <c r="CA63" t="n">
        <v>0.625</v>
      </c>
      <c r="CB63" t="n">
        <v>0.6125</v>
      </c>
      <c r="CC63" t="n">
        <v>0.6</v>
      </c>
      <c r="CD63" t="e">
        <v>#VALUE!</v>
      </c>
      <c r="CE63" t="e">
        <v>#VALUE!</v>
      </c>
      <c r="CF63" t="e">
        <v>#VALUE!</v>
      </c>
      <c r="CG63" t="e">
        <v>#VALUE!</v>
      </c>
      <c r="CH63" t="e">
        <v>#VALUE!</v>
      </c>
      <c r="CI63" t="e">
        <v>#VALUE!</v>
      </c>
      <c r="CJ63" t="e">
        <v>#VALUE!</v>
      </c>
      <c r="CK63" t="e">
        <v>#VALUE!</v>
      </c>
    </row>
    <row r="64" ht="12.5" customHeight="1" s="213">
      <c r="A64" t="inlineStr">
        <is>
          <t>BeNeLux</t>
        </is>
      </c>
      <c r="B64" t="inlineStr">
        <is>
          <t>TAI</t>
        </is>
      </c>
      <c r="C64" t="inlineStr">
        <is>
          <t>TAI</t>
        </is>
      </c>
      <c r="E64" t="n">
        <v>262.50625171618</v>
      </c>
      <c r="F64">
        <f>E64</f>
        <v/>
      </c>
      <c r="I64">
        <f>F64</f>
        <v/>
      </c>
      <c r="J64">
        <f>I64</f>
        <v/>
      </c>
      <c r="L64">
        <f>J64</f>
        <v/>
      </c>
      <c r="V64">
        <f>L64</f>
        <v/>
      </c>
      <c r="W64" t="n">
        <v>3</v>
      </c>
      <c r="AG64" s="223" t="inlineStr">
        <is>
          <t>GDP</t>
        </is>
      </c>
      <c r="AI64" t="n">
        <v>1</v>
      </c>
      <c r="AJ64" t="n">
        <v>1.00809088662721</v>
      </c>
      <c r="AK64" t="n">
        <v>1.14400338979557</v>
      </c>
      <c r="AL64" t="n">
        <v>1.25050759781859</v>
      </c>
      <c r="AM64" t="n">
        <v>1.33772956440188</v>
      </c>
      <c r="AN64" t="n">
        <v>1.41833893109734</v>
      </c>
      <c r="AO64" t="n">
        <v>1.49432278315945</v>
      </c>
      <c r="AP64" t="n">
        <v>1.56678818974415</v>
      </c>
      <c r="AQ64" t="n">
        <v>1.63621947674348</v>
      </c>
      <c r="AR64" t="n">
        <v>1.70585717561322</v>
      </c>
      <c r="AS64" t="n">
        <v>1.77645880442683</v>
      </c>
      <c r="AT64" t="n">
        <v>1.84470086225119</v>
      </c>
      <c r="AU64" t="n">
        <v>1.90940288904307</v>
      </c>
      <c r="AV64" t="n">
        <v>1.96812166978731</v>
      </c>
      <c r="AW64" t="n">
        <v>2.01904873969769</v>
      </c>
      <c r="AX64" t="n">
        <v>2.06183130985843</v>
      </c>
      <c r="AY64" t="n">
        <v>2.09672570873607</v>
      </c>
      <c r="AZ64" t="n">
        <v>2.12356532282736</v>
      </c>
      <c r="BA64" t="n">
        <v>0</v>
      </c>
      <c r="BB64" t="n">
        <v>0</v>
      </c>
      <c r="BC64" t="n">
        <v>0</v>
      </c>
      <c r="BD64" t="n">
        <v>0</v>
      </c>
      <c r="BE64" t="n">
        <v>0</v>
      </c>
      <c r="BF64" t="n">
        <v>0</v>
      </c>
      <c r="BG64" t="n">
        <v>0</v>
      </c>
      <c r="BH64" t="n">
        <v>0</v>
      </c>
      <c r="BJ64" t="inlineStr">
        <is>
          <t>Med2</t>
        </is>
      </c>
      <c r="BL64" t="n">
        <v>0.8</v>
      </c>
      <c r="BM64" t="n">
        <v>0.797560975609756</v>
      </c>
      <c r="BN64" t="n">
        <v>0.785365853658536</v>
      </c>
      <c r="BO64" t="n">
        <v>0.773170731707317</v>
      </c>
      <c r="BP64" t="n">
        <v>0.760975609756097</v>
      </c>
      <c r="BQ64" t="n">
        <v>0.748780487804878</v>
      </c>
      <c r="BR64" t="n">
        <v>0.736585365853658</v>
      </c>
      <c r="BS64" t="n">
        <v>0.724390243902439</v>
      </c>
      <c r="BT64" t="n">
        <v>0.71219512195122</v>
      </c>
      <c r="BU64" t="n">
        <v>0.699999999999999</v>
      </c>
      <c r="BV64" t="n">
        <v>0.687499999999999</v>
      </c>
      <c r="BW64" t="n">
        <v>0.675</v>
      </c>
      <c r="BX64" t="n">
        <v>0.6625</v>
      </c>
      <c r="BY64" t="n">
        <v>0.649999999999999</v>
      </c>
      <c r="BZ64" t="n">
        <v>0.637499999999999</v>
      </c>
      <c r="CA64" t="n">
        <v>0.625</v>
      </c>
      <c r="CB64" t="n">
        <v>0.6125</v>
      </c>
      <c r="CC64" t="n">
        <v>0.6</v>
      </c>
      <c r="CD64" t="e">
        <v>#VALUE!</v>
      </c>
      <c r="CE64" t="e">
        <v>#VALUE!</v>
      </c>
      <c r="CF64" t="e">
        <v>#VALUE!</v>
      </c>
      <c r="CG64" t="e">
        <v>#VALUE!</v>
      </c>
      <c r="CH64" t="e">
        <v>#VALUE!</v>
      </c>
      <c r="CI64" t="e">
        <v>#VALUE!</v>
      </c>
      <c r="CJ64" t="e">
        <v>#VALUE!</v>
      </c>
      <c r="CK64" t="e">
        <v>#VALUE!</v>
      </c>
    </row>
    <row r="65" ht="12.5" customHeight="1" s="213">
      <c r="A65" t="inlineStr">
        <is>
          <t>BeNeLux</t>
        </is>
      </c>
      <c r="B65" t="inlineStr">
        <is>
          <t>TTF</t>
        </is>
      </c>
      <c r="C65" t="inlineStr">
        <is>
          <t>TTF</t>
        </is>
      </c>
      <c r="E65" t="n">
        <v>1.78356265105312</v>
      </c>
      <c r="I65" t="n">
        <v>2.22661580785633</v>
      </c>
      <c r="J65" t="n">
        <v>2.32708131726095</v>
      </c>
      <c r="L65" t="n">
        <v>2.50388201247059</v>
      </c>
      <c r="V65" t="n">
        <v>3.07152023009688</v>
      </c>
      <c r="W65" t="n">
        <v>3</v>
      </c>
      <c r="AG65" s="223" t="inlineStr">
        <is>
          <t>GDP</t>
        </is>
      </c>
      <c r="AI65" t="n">
        <v>1</v>
      </c>
      <c r="AJ65" t="n">
        <v>1.00809088662721</v>
      </c>
      <c r="AK65" t="n">
        <v>1.14400338979557</v>
      </c>
      <c r="AL65" t="n">
        <v>1.25050759781859</v>
      </c>
      <c r="AM65" t="n">
        <v>1.33772956440188</v>
      </c>
      <c r="AN65" t="n">
        <v>1.41833893109734</v>
      </c>
      <c r="AO65" t="n">
        <v>1.49432278315945</v>
      </c>
      <c r="AP65" t="n">
        <v>1.56678818974415</v>
      </c>
      <c r="AQ65" t="n">
        <v>1.63621947674348</v>
      </c>
      <c r="AR65" t="n">
        <v>1.70585717561322</v>
      </c>
      <c r="AS65" t="n">
        <v>1.77645880442683</v>
      </c>
      <c r="AT65" t="n">
        <v>1.84470086225119</v>
      </c>
      <c r="AU65" t="n">
        <v>1.90940288904307</v>
      </c>
      <c r="AV65" t="n">
        <v>1.96812166978731</v>
      </c>
      <c r="AW65" t="n">
        <v>2.01904873969769</v>
      </c>
      <c r="AX65" t="n">
        <v>2.06183130985843</v>
      </c>
      <c r="AY65" t="n">
        <v>2.09672570873607</v>
      </c>
      <c r="AZ65" t="n">
        <v>2.12356532282736</v>
      </c>
      <c r="BA65" t="n">
        <v>0</v>
      </c>
      <c r="BB65" t="n">
        <v>0</v>
      </c>
      <c r="BC65" t="n">
        <v>0</v>
      </c>
      <c r="BD65" t="n">
        <v>0</v>
      </c>
      <c r="BE65" t="n">
        <v>0</v>
      </c>
      <c r="BF65" t="n">
        <v>0</v>
      </c>
      <c r="BG65" t="n">
        <v>0</v>
      </c>
      <c r="BH65" t="n">
        <v>0</v>
      </c>
      <c r="BJ65" t="inlineStr">
        <is>
          <t>Med2</t>
        </is>
      </c>
      <c r="BL65" t="n">
        <v>0.8</v>
      </c>
      <c r="BM65" t="n">
        <v>0.797560975609756</v>
      </c>
      <c r="BN65" t="n">
        <v>0.785365853658536</v>
      </c>
      <c r="BO65" t="n">
        <v>0.773170731707317</v>
      </c>
      <c r="BP65" t="n">
        <v>0.760975609756097</v>
      </c>
      <c r="BQ65" t="n">
        <v>0.748780487804878</v>
      </c>
      <c r="BR65" t="n">
        <v>0.736585365853658</v>
      </c>
      <c r="BS65" t="n">
        <v>0.724390243902439</v>
      </c>
      <c r="BT65" t="n">
        <v>0.71219512195122</v>
      </c>
      <c r="BU65" t="n">
        <v>0.699999999999999</v>
      </c>
      <c r="BV65" t="n">
        <v>0.687499999999999</v>
      </c>
      <c r="BW65" t="n">
        <v>0.675</v>
      </c>
      <c r="BX65" t="n">
        <v>0.6625</v>
      </c>
      <c r="BY65" t="n">
        <v>0.649999999999999</v>
      </c>
      <c r="BZ65" t="n">
        <v>0.637499999999999</v>
      </c>
      <c r="CA65" t="n">
        <v>0.625</v>
      </c>
      <c r="CB65" t="n">
        <v>0.6125</v>
      </c>
      <c r="CC65" t="n">
        <v>0.6</v>
      </c>
      <c r="CD65" t="e">
        <v>#VALUE!</v>
      </c>
      <c r="CE65" t="e">
        <v>#VALUE!</v>
      </c>
      <c r="CF65" t="e">
        <v>#VALUE!</v>
      </c>
      <c r="CG65" t="e">
        <v>#VALUE!</v>
      </c>
      <c r="CH65" t="e">
        <v>#VALUE!</v>
      </c>
      <c r="CI65" t="e">
        <v>#VALUE!</v>
      </c>
      <c r="CJ65" t="e">
        <v>#VALUE!</v>
      </c>
      <c r="CK65" t="e">
        <v>#VALUE!</v>
      </c>
    </row>
    <row r="66" ht="12.5" customHeight="1" s="213">
      <c r="A66" t="inlineStr">
        <is>
          <t>BeNeLux</t>
        </is>
      </c>
      <c r="B66" t="inlineStr">
        <is>
          <t>TTP</t>
        </is>
      </c>
      <c r="C66" t="inlineStr">
        <is>
          <t>TTP</t>
        </is>
      </c>
      <c r="E66" t="n">
        <v>12.3807603168204</v>
      </c>
      <c r="I66" t="n">
        <v>12.6644810306856</v>
      </c>
      <c r="J66" t="n">
        <v>12.7260322944271</v>
      </c>
      <c r="L66" t="n">
        <v>12.8232854254518</v>
      </c>
      <c r="V66" t="n">
        <v>12.828033432102</v>
      </c>
      <c r="W66" t="n">
        <v>3</v>
      </c>
      <c r="AG66" s="223" t="inlineStr">
        <is>
          <t>POP</t>
        </is>
      </c>
      <c r="AI66" t="n">
        <v>1</v>
      </c>
      <c r="AJ66" t="n">
        <v>1.00246027312928</v>
      </c>
      <c r="AK66" t="n">
        <v>1.01476163877566</v>
      </c>
      <c r="AL66" t="n">
        <v>1.02400419008678</v>
      </c>
      <c r="AM66" t="n">
        <v>1.03216863359442</v>
      </c>
      <c r="AN66" t="n">
        <v>1.03886818486006</v>
      </c>
      <c r="AO66" t="n">
        <v>1.04438293968798</v>
      </c>
      <c r="AP66" t="n">
        <v>1.04974249255609</v>
      </c>
      <c r="AQ66" t="n">
        <v>1.05309357340416</v>
      </c>
      <c r="AR66" t="n">
        <v>1.05565447354461</v>
      </c>
      <c r="AS66" t="n">
        <v>1.0579269041621</v>
      </c>
      <c r="AT66" t="n">
        <v>1.06086957129022</v>
      </c>
      <c r="AU66" t="n">
        <v>1.06410704755827</v>
      </c>
      <c r="AV66" t="n">
        <v>1.06605714085946</v>
      </c>
      <c r="AW66" t="n">
        <v>1.06529950577906</v>
      </c>
      <c r="AX66" t="n">
        <v>1.06166595600804</v>
      </c>
      <c r="AY66" t="n">
        <v>1.05584344159268</v>
      </c>
      <c r="AZ66" t="n">
        <v>1.04844283717563</v>
      </c>
      <c r="BA66" t="n">
        <v>0</v>
      </c>
      <c r="BB66" t="n">
        <v>0</v>
      </c>
      <c r="BC66" t="n">
        <v>0</v>
      </c>
      <c r="BD66" t="n">
        <v>0</v>
      </c>
      <c r="BE66" t="n">
        <v>0</v>
      </c>
      <c r="BF66" t="n">
        <v>0</v>
      </c>
      <c r="BG66" t="n">
        <v>0</v>
      </c>
      <c r="BH66" t="n">
        <v>0</v>
      </c>
      <c r="BJ66" t="inlineStr">
        <is>
          <t>Med2</t>
        </is>
      </c>
      <c r="BL66" t="n">
        <v>0.8</v>
      </c>
      <c r="BM66" t="n">
        <v>0.797560975609756</v>
      </c>
      <c r="BN66" t="n">
        <v>0.785365853658536</v>
      </c>
      <c r="BO66" t="n">
        <v>0.773170731707317</v>
      </c>
      <c r="BP66" t="n">
        <v>0.760975609756097</v>
      </c>
      <c r="BQ66" t="n">
        <v>0.748780487804878</v>
      </c>
      <c r="BR66" t="n">
        <v>0.736585365853658</v>
      </c>
      <c r="BS66" t="n">
        <v>0.724390243902439</v>
      </c>
      <c r="BT66" t="n">
        <v>0.71219512195122</v>
      </c>
      <c r="BU66" t="n">
        <v>0.699999999999999</v>
      </c>
      <c r="BV66" t="n">
        <v>0.687499999999999</v>
      </c>
      <c r="BW66" t="n">
        <v>0.675</v>
      </c>
      <c r="BX66" t="n">
        <v>0.6625</v>
      </c>
      <c r="BY66" t="n">
        <v>0.649999999999999</v>
      </c>
      <c r="BZ66" t="n">
        <v>0.637499999999999</v>
      </c>
      <c r="CA66" t="n">
        <v>0.625</v>
      </c>
      <c r="CB66" t="n">
        <v>0.6125</v>
      </c>
      <c r="CC66" t="n">
        <v>0.6</v>
      </c>
      <c r="CD66" t="e">
        <v>#VALUE!</v>
      </c>
      <c r="CE66" t="e">
        <v>#VALUE!</v>
      </c>
      <c r="CF66" t="e">
        <v>#VALUE!</v>
      </c>
      <c r="CG66" t="e">
        <v>#VALUE!</v>
      </c>
      <c r="CH66" t="e">
        <v>#VALUE!</v>
      </c>
      <c r="CI66" t="e">
        <v>#VALUE!</v>
      </c>
      <c r="CJ66" t="e">
        <v>#VALUE!</v>
      </c>
      <c r="CK66" t="e">
        <v>#VALUE!</v>
      </c>
    </row>
    <row r="67" ht="12.5" customHeight="1" s="213">
      <c r="A67" t="inlineStr">
        <is>
          <t>BeNeLux</t>
        </is>
      </c>
      <c r="B67" t="inlineStr">
        <is>
          <t>TWD</t>
        </is>
      </c>
      <c r="C67" t="inlineStr">
        <is>
          <t>TWD</t>
        </is>
      </c>
      <c r="E67" t="n">
        <v>18.0740611496268</v>
      </c>
      <c r="F67">
        <f>E67</f>
        <v/>
      </c>
      <c r="I67">
        <f>F67</f>
        <v/>
      </c>
      <c r="J67">
        <f>I67</f>
        <v/>
      </c>
      <c r="L67">
        <f>J67</f>
        <v/>
      </c>
      <c r="V67">
        <f>L67</f>
        <v/>
      </c>
      <c r="W67" t="n">
        <v>3</v>
      </c>
      <c r="AG67" s="223" t="inlineStr">
        <is>
          <t>GDP</t>
        </is>
      </c>
      <c r="AI67" t="n">
        <v>1</v>
      </c>
      <c r="AJ67" t="n">
        <v>1.00809088662721</v>
      </c>
      <c r="AK67" t="n">
        <v>1.14400338979557</v>
      </c>
      <c r="AL67" t="n">
        <v>1.25050759781859</v>
      </c>
      <c r="AM67" t="n">
        <v>1.33772956440188</v>
      </c>
      <c r="AN67" t="n">
        <v>1.41833893109734</v>
      </c>
      <c r="AO67" t="n">
        <v>1.49432278315945</v>
      </c>
      <c r="AP67" t="n">
        <v>1.56678818974415</v>
      </c>
      <c r="AQ67" t="n">
        <v>1.63621947674348</v>
      </c>
      <c r="AR67" t="n">
        <v>1.70585717561322</v>
      </c>
      <c r="AS67" t="n">
        <v>1.77645880442683</v>
      </c>
      <c r="AT67" t="n">
        <v>1.84470086225119</v>
      </c>
      <c r="AU67" t="n">
        <v>1.90940288904307</v>
      </c>
      <c r="AV67" t="n">
        <v>1.96812166978731</v>
      </c>
      <c r="AW67" t="n">
        <v>2.01904873969769</v>
      </c>
      <c r="AX67" t="n">
        <v>2.06183130985843</v>
      </c>
      <c r="AY67" t="n">
        <v>2.09672570873607</v>
      </c>
      <c r="AZ67" t="n">
        <v>2.12356532282736</v>
      </c>
      <c r="BA67" t="n">
        <v>0</v>
      </c>
      <c r="BB67" t="n">
        <v>0</v>
      </c>
      <c r="BC67" t="n">
        <v>0</v>
      </c>
      <c r="BD67" t="n">
        <v>0</v>
      </c>
      <c r="BE67" t="n">
        <v>0</v>
      </c>
      <c r="BF67" t="n">
        <v>0</v>
      </c>
      <c r="BG67" t="n">
        <v>0</v>
      </c>
      <c r="BH67" t="n">
        <v>0</v>
      </c>
      <c r="BJ67" t="inlineStr">
        <is>
          <t>Med2</t>
        </is>
      </c>
      <c r="BL67" t="n">
        <v>0.8</v>
      </c>
      <c r="BM67" t="n">
        <v>0.797560975609756</v>
      </c>
      <c r="BN67" t="n">
        <v>0.785365853658536</v>
      </c>
      <c r="BO67" t="n">
        <v>0.773170731707317</v>
      </c>
      <c r="BP67" t="n">
        <v>0.760975609756097</v>
      </c>
      <c r="BQ67" t="n">
        <v>0.748780487804878</v>
      </c>
      <c r="BR67" t="n">
        <v>0.736585365853658</v>
      </c>
      <c r="BS67" t="n">
        <v>0.724390243902439</v>
      </c>
      <c r="BT67" t="n">
        <v>0.71219512195122</v>
      </c>
      <c r="BU67" t="n">
        <v>0.699999999999999</v>
      </c>
      <c r="BV67" t="n">
        <v>0.687499999999999</v>
      </c>
      <c r="BW67" t="n">
        <v>0.675</v>
      </c>
      <c r="BX67" t="n">
        <v>0.6625</v>
      </c>
      <c r="BY67" t="n">
        <v>0.649999999999999</v>
      </c>
      <c r="BZ67" t="n">
        <v>0.637499999999999</v>
      </c>
      <c r="CA67" t="n">
        <v>0.625</v>
      </c>
      <c r="CB67" t="n">
        <v>0.6125</v>
      </c>
      <c r="CC67" t="n">
        <v>0.6</v>
      </c>
      <c r="CD67" t="e">
        <v>#VALUE!</v>
      </c>
      <c r="CE67" t="e">
        <v>#VALUE!</v>
      </c>
      <c r="CF67" t="e">
        <v>#VALUE!</v>
      </c>
      <c r="CG67" t="e">
        <v>#VALUE!</v>
      </c>
      <c r="CH67" t="e">
        <v>#VALUE!</v>
      </c>
      <c r="CI67" t="e">
        <v>#VALUE!</v>
      </c>
      <c r="CJ67" t="e">
        <v>#VALUE!</v>
      </c>
      <c r="CK67" t="e">
        <v>#VALUE!</v>
      </c>
    </row>
    <row r="68" ht="12.5" customHeight="1" s="213">
      <c r="A68" t="inlineStr">
        <is>
          <t>BeNeLux</t>
        </is>
      </c>
      <c r="B68" t="inlineStr">
        <is>
          <t>TWI</t>
        </is>
      </c>
      <c r="C68" t="inlineStr">
        <is>
          <t>TWI</t>
        </is>
      </c>
      <c r="E68" t="n">
        <v>816.2547727862431</v>
      </c>
      <c r="F68">
        <f>E68</f>
        <v/>
      </c>
      <c r="I68">
        <f>F68</f>
        <v/>
      </c>
      <c r="J68">
        <f>I68</f>
        <v/>
      </c>
      <c r="L68">
        <f>J68</f>
        <v/>
      </c>
      <c r="V68">
        <f>L68</f>
        <v/>
      </c>
      <c r="W68" t="n">
        <v>3</v>
      </c>
      <c r="AG68" s="223" t="inlineStr">
        <is>
          <t>GDP</t>
        </is>
      </c>
      <c r="AI68" t="n">
        <v>1</v>
      </c>
      <c r="AJ68" t="n">
        <v>1.00809088662721</v>
      </c>
      <c r="AK68" t="n">
        <v>1.14400338979557</v>
      </c>
      <c r="AL68" t="n">
        <v>1.25050759781859</v>
      </c>
      <c r="AM68" t="n">
        <v>1.33772956440188</v>
      </c>
      <c r="AN68" t="n">
        <v>1.41833893109734</v>
      </c>
      <c r="AO68" t="n">
        <v>1.49432278315945</v>
      </c>
      <c r="AP68" t="n">
        <v>1.56678818974415</v>
      </c>
      <c r="AQ68" t="n">
        <v>1.63621947674348</v>
      </c>
      <c r="AR68" t="n">
        <v>1.70585717561322</v>
      </c>
      <c r="AS68" t="n">
        <v>1.77645880442683</v>
      </c>
      <c r="AT68" t="n">
        <v>1.84470086225119</v>
      </c>
      <c r="AU68" t="n">
        <v>1.90940288904307</v>
      </c>
      <c r="AV68" t="n">
        <v>1.96812166978731</v>
      </c>
      <c r="AW68" t="n">
        <v>2.01904873969769</v>
      </c>
      <c r="AX68" t="n">
        <v>2.06183130985843</v>
      </c>
      <c r="AY68" t="n">
        <v>2.09672570873607</v>
      </c>
      <c r="AZ68" t="n">
        <v>2.12356532282736</v>
      </c>
      <c r="BA68" t="n">
        <v>0</v>
      </c>
      <c r="BB68" t="n">
        <v>0</v>
      </c>
      <c r="BC68" t="n">
        <v>0</v>
      </c>
      <c r="BD68" t="n">
        <v>0</v>
      </c>
      <c r="BE68" t="n">
        <v>0</v>
      </c>
      <c r="BF68" t="n">
        <v>0</v>
      </c>
      <c r="BG68" t="n">
        <v>0</v>
      </c>
      <c r="BH68" t="n">
        <v>0</v>
      </c>
      <c r="BJ68" t="inlineStr">
        <is>
          <t>Med2</t>
        </is>
      </c>
      <c r="BL68" t="n">
        <v>0.8</v>
      </c>
      <c r="BM68" t="n">
        <v>0.797560975609756</v>
      </c>
      <c r="BN68" t="n">
        <v>0.785365853658536</v>
      </c>
      <c r="BO68" t="n">
        <v>0.773170731707317</v>
      </c>
      <c r="BP68" t="n">
        <v>0.760975609756097</v>
      </c>
      <c r="BQ68" t="n">
        <v>0.748780487804878</v>
      </c>
      <c r="BR68" t="n">
        <v>0.736585365853658</v>
      </c>
      <c r="BS68" t="n">
        <v>0.724390243902439</v>
      </c>
      <c r="BT68" t="n">
        <v>0.71219512195122</v>
      </c>
      <c r="BU68" t="n">
        <v>0.699999999999999</v>
      </c>
      <c r="BV68" t="n">
        <v>0.687499999999999</v>
      </c>
      <c r="BW68" t="n">
        <v>0.675</v>
      </c>
      <c r="BX68" t="n">
        <v>0.6625</v>
      </c>
      <c r="BY68" t="n">
        <v>0.649999999999999</v>
      </c>
      <c r="BZ68" t="n">
        <v>0.637499999999999</v>
      </c>
      <c r="CA68" t="n">
        <v>0.625</v>
      </c>
      <c r="CB68" t="n">
        <v>0.6125</v>
      </c>
      <c r="CC68" t="n">
        <v>0.6</v>
      </c>
      <c r="CD68" t="e">
        <v>#VALUE!</v>
      </c>
      <c r="CE68" t="e">
        <v>#VALUE!</v>
      </c>
      <c r="CF68" t="e">
        <v>#VALUE!</v>
      </c>
      <c r="CG68" t="e">
        <v>#VALUE!</v>
      </c>
      <c r="CH68" t="e">
        <v>#VALUE!</v>
      </c>
      <c r="CI68" t="e">
        <v>#VALUE!</v>
      </c>
      <c r="CJ68" t="e">
        <v>#VALUE!</v>
      </c>
      <c r="CK68" t="e">
        <v>#VALUE!</v>
      </c>
    </row>
    <row r="69" ht="12.5" customHeight="1" s="213">
      <c r="A69" t="inlineStr">
        <is>
          <t>BeNeLux</t>
        </is>
      </c>
      <c r="B69" t="inlineStr">
        <is>
          <t>Trd_2w</t>
        </is>
      </c>
      <c r="C69" t="inlineStr">
        <is>
          <t>Trd_2w</t>
        </is>
      </c>
      <c r="D69" t="n">
        <v>1.288</v>
      </c>
      <c r="E69" t="n">
        <v>1.29052733657438</v>
      </c>
      <c r="G69" t="n">
        <v>1.30296461567403</v>
      </c>
      <c r="H69" t="n">
        <v>1.31214024490941</v>
      </c>
      <c r="I69" t="n">
        <v>1.32010139566493</v>
      </c>
      <c r="J69" t="n">
        <v>1.32651728503089</v>
      </c>
      <c r="K69" t="n">
        <v>1.33170411203091</v>
      </c>
      <c r="L69" t="n">
        <v>1.33665461270246</v>
      </c>
      <c r="M69" t="n">
        <v>1.33969354009986</v>
      </c>
      <c r="N69" t="n">
        <v>1.34197403541685</v>
      </c>
      <c r="O69" t="n">
        <v>1.34396006473482</v>
      </c>
      <c r="P69" t="n">
        <v>1.34648340380928</v>
      </c>
      <c r="Q69" t="n">
        <v>1.34920567563357</v>
      </c>
      <c r="R69" t="n">
        <v>1.35081284478202</v>
      </c>
      <c r="S69" t="n">
        <v>1.3502008397929</v>
      </c>
      <c r="T69" t="n">
        <v>1.34732252838514</v>
      </c>
      <c r="U69" t="n">
        <v>1.34279667640736</v>
      </c>
      <c r="V69" t="n">
        <v>1.33714952837964</v>
      </c>
      <c r="W69" t="n">
        <v>3</v>
      </c>
      <c r="AG69" s="223" t="inlineStr">
        <is>
          <t>POP</t>
        </is>
      </c>
      <c r="AI69" t="n">
        <v>1</v>
      </c>
      <c r="AJ69" t="n">
        <v>1.00246027312928</v>
      </c>
      <c r="AK69" t="n">
        <v>1.01476163877566</v>
      </c>
      <c r="AL69" t="n">
        <v>1.02400419008678</v>
      </c>
      <c r="AM69" t="n">
        <v>1.03216863359442</v>
      </c>
      <c r="AN69" t="n">
        <v>1.03886818486006</v>
      </c>
      <c r="AO69" t="n">
        <v>1.04438293968798</v>
      </c>
      <c r="AP69" t="n">
        <v>1.04974249255609</v>
      </c>
      <c r="AQ69" t="n">
        <v>1.05309357340416</v>
      </c>
      <c r="AR69" t="n">
        <v>1.05565447354461</v>
      </c>
      <c r="AS69" t="n">
        <v>1.0579269041621</v>
      </c>
      <c r="AT69" t="n">
        <v>1.06086957129022</v>
      </c>
      <c r="AU69" t="n">
        <v>1.06410704755827</v>
      </c>
      <c r="AV69" t="n">
        <v>1.06605714085946</v>
      </c>
      <c r="AW69" t="n">
        <v>1.06529950577906</v>
      </c>
      <c r="AX69" t="n">
        <v>1.06166595600804</v>
      </c>
      <c r="AY69" t="n">
        <v>1.05584344159268</v>
      </c>
      <c r="AZ69" t="n">
        <v>1.04844283717563</v>
      </c>
      <c r="BA69" t="n">
        <v>0</v>
      </c>
      <c r="BB69" t="n">
        <v>0</v>
      </c>
      <c r="BC69" t="n">
        <v>0</v>
      </c>
      <c r="BD69" t="n">
        <v>0</v>
      </c>
      <c r="BE69" t="n">
        <v>0</v>
      </c>
      <c r="BF69" t="n">
        <v>0</v>
      </c>
      <c r="BG69" t="n">
        <v>0</v>
      </c>
      <c r="BH69" t="n">
        <v>0</v>
      </c>
      <c r="BJ69" t="inlineStr">
        <is>
          <t>Med2</t>
        </is>
      </c>
      <c r="BL69" t="n">
        <v>0.8</v>
      </c>
      <c r="BM69" t="n">
        <v>0.797560975609756</v>
      </c>
      <c r="BN69" t="n">
        <v>0.785365853658536</v>
      </c>
      <c r="BO69" t="n">
        <v>0.773170731707317</v>
      </c>
      <c r="BP69" t="n">
        <v>0.760975609756097</v>
      </c>
      <c r="BQ69" t="n">
        <v>0.748780487804878</v>
      </c>
      <c r="BR69" t="n">
        <v>0.736585365853658</v>
      </c>
      <c r="BS69" t="n">
        <v>0.724390243902439</v>
      </c>
      <c r="BT69" t="n">
        <v>0.71219512195122</v>
      </c>
      <c r="BU69" t="n">
        <v>0.699999999999999</v>
      </c>
      <c r="BV69" t="n">
        <v>0.687499999999999</v>
      </c>
      <c r="BW69" t="n">
        <v>0.675</v>
      </c>
      <c r="BX69" t="n">
        <v>0.6625</v>
      </c>
      <c r="BY69" t="n">
        <v>0.649999999999999</v>
      </c>
      <c r="BZ69" t="n">
        <v>0.637499999999999</v>
      </c>
      <c r="CA69" t="n">
        <v>0.625</v>
      </c>
      <c r="CB69" t="n">
        <v>0.6125</v>
      </c>
      <c r="CC69" t="n">
        <v>0.6</v>
      </c>
      <c r="CD69" t="e">
        <v>#VALUE!</v>
      </c>
      <c r="CE69" t="e">
        <v>#VALUE!</v>
      </c>
      <c r="CF69" t="e">
        <v>#VALUE!</v>
      </c>
      <c r="CG69" t="e">
        <v>#VALUE!</v>
      </c>
      <c r="CH69" t="e">
        <v>#VALUE!</v>
      </c>
      <c r="CI69" t="e">
        <v>#VALUE!</v>
      </c>
      <c r="CJ69" t="e">
        <v>#VALUE!</v>
      </c>
      <c r="CK69" t="e">
        <v>#VALUE!</v>
      </c>
    </row>
    <row r="70" ht="12.5" customHeight="1" s="213">
      <c r="A70" t="inlineStr">
        <is>
          <t>BeNeLux</t>
        </is>
      </c>
      <c r="B70" t="inlineStr">
        <is>
          <t>Trd_3w</t>
        </is>
      </c>
      <c r="C70" t="inlineStr">
        <is>
          <t>Trd_3w</t>
        </is>
      </c>
      <c r="D70" t="n">
        <v>0.765</v>
      </c>
      <c r="E70" t="n">
        <v>0.7665010966455</v>
      </c>
      <c r="G70" t="n">
        <v>0.773888145179065</v>
      </c>
      <c r="H70" t="n">
        <v>0.779337956021502</v>
      </c>
      <c r="I70" t="n">
        <v>0.784066434537011</v>
      </c>
      <c r="J70" t="n">
        <v>0.787877114168189</v>
      </c>
      <c r="K70" t="n">
        <v>0.790957799459353</v>
      </c>
      <c r="L70" t="n">
        <v>0.793898120122189</v>
      </c>
      <c r="M70" t="n">
        <v>0.795703073118319</v>
      </c>
      <c r="N70" t="n">
        <v>0.797057559855507</v>
      </c>
      <c r="O70" t="n">
        <v>0.798237150250104</v>
      </c>
      <c r="P70" t="n">
        <v>0.7997358726041151</v>
      </c>
      <c r="Q70" t="n">
        <v>0.801352749891055</v>
      </c>
      <c r="R70" t="n">
        <v>0.802307318523482</v>
      </c>
      <c r="S70" t="n">
        <v>0.801943821771405</v>
      </c>
      <c r="T70" t="n">
        <v>0.800234265694592</v>
      </c>
      <c r="U70" t="n">
        <v>0.797546162617726</v>
      </c>
      <c r="V70" t="n">
        <v>0.794192072368342</v>
      </c>
      <c r="W70" t="n">
        <v>3</v>
      </c>
      <c r="AG70" s="223" t="inlineStr">
        <is>
          <t>POP</t>
        </is>
      </c>
      <c r="AI70" t="n">
        <v>1</v>
      </c>
      <c r="AJ70" t="n">
        <v>1.00246027312928</v>
      </c>
      <c r="AK70" t="n">
        <v>1.01476163877566</v>
      </c>
      <c r="AL70" t="n">
        <v>1.02400419008678</v>
      </c>
      <c r="AM70" t="n">
        <v>1.03216863359442</v>
      </c>
      <c r="AN70" t="n">
        <v>1.03886818486006</v>
      </c>
      <c r="AO70" t="n">
        <v>1.04438293968798</v>
      </c>
      <c r="AP70" t="n">
        <v>1.04974249255609</v>
      </c>
      <c r="AQ70" t="n">
        <v>1.05309357340416</v>
      </c>
      <c r="AR70" t="n">
        <v>1.05565447354461</v>
      </c>
      <c r="AS70" t="n">
        <v>1.0579269041621</v>
      </c>
      <c r="AT70" t="n">
        <v>1.06086957129022</v>
      </c>
      <c r="AU70" t="n">
        <v>1.06410704755827</v>
      </c>
      <c r="AV70" t="n">
        <v>1.06605714085946</v>
      </c>
      <c r="AW70" t="n">
        <v>1.06529950577906</v>
      </c>
      <c r="AX70" t="n">
        <v>1.06166595600804</v>
      </c>
      <c r="AY70" t="n">
        <v>1.05584344159268</v>
      </c>
      <c r="AZ70" t="n">
        <v>1.04844283717563</v>
      </c>
      <c r="BA70" t="n">
        <v>0</v>
      </c>
      <c r="BB70" t="n">
        <v>0</v>
      </c>
      <c r="BC70" t="n">
        <v>0</v>
      </c>
      <c r="BD70" t="n">
        <v>0</v>
      </c>
      <c r="BE70" t="n">
        <v>0</v>
      </c>
      <c r="BF70" t="n">
        <v>0</v>
      </c>
      <c r="BG70" t="n">
        <v>0</v>
      </c>
      <c r="BH70" t="n">
        <v>0</v>
      </c>
      <c r="BJ70" t="inlineStr">
        <is>
          <t>Med2</t>
        </is>
      </c>
      <c r="BL70" t="n">
        <v>0.8</v>
      </c>
      <c r="BM70" t="n">
        <v>0.797560975609756</v>
      </c>
      <c r="BN70" t="n">
        <v>0.785365853658536</v>
      </c>
      <c r="BO70" t="n">
        <v>0.773170731707317</v>
      </c>
      <c r="BP70" t="n">
        <v>0.760975609756097</v>
      </c>
      <c r="BQ70" t="n">
        <v>0.748780487804878</v>
      </c>
      <c r="BR70" t="n">
        <v>0.736585365853658</v>
      </c>
      <c r="BS70" t="n">
        <v>0.724390243902439</v>
      </c>
      <c r="BT70" t="n">
        <v>0.71219512195122</v>
      </c>
      <c r="BU70" t="n">
        <v>0.699999999999999</v>
      </c>
      <c r="BV70" t="n">
        <v>0.687499999999999</v>
      </c>
      <c r="BW70" t="n">
        <v>0.675</v>
      </c>
      <c r="BX70" t="n">
        <v>0.6625</v>
      </c>
      <c r="BY70" t="n">
        <v>0.649999999999999</v>
      </c>
      <c r="BZ70" t="n">
        <v>0.637499999999999</v>
      </c>
      <c r="CA70" t="n">
        <v>0.625</v>
      </c>
      <c r="CB70" t="n">
        <v>0.6125</v>
      </c>
      <c r="CC70" t="n">
        <v>0.6</v>
      </c>
      <c r="CD70" t="e">
        <v>#VALUE!</v>
      </c>
      <c r="CE70" t="e">
        <v>#VALUE!</v>
      </c>
      <c r="CF70" t="e">
        <v>#VALUE!</v>
      </c>
      <c r="CG70" t="e">
        <v>#VALUE!</v>
      </c>
      <c r="CH70" t="e">
        <v>#VALUE!</v>
      </c>
      <c r="CI70" t="e">
        <v>#VALUE!</v>
      </c>
      <c r="CJ70" t="e">
        <v>#VALUE!</v>
      </c>
      <c r="CK70" t="e">
        <v>#VALUE!</v>
      </c>
    </row>
    <row r="71" ht="12.5" customHeight="1" s="213">
      <c r="A71" t="inlineStr">
        <is>
          <t>BeNeLux</t>
        </is>
      </c>
      <c r="B71" t="inlineStr">
        <is>
          <t>Trd_bus</t>
        </is>
      </c>
      <c r="C71" t="inlineStr">
        <is>
          <t>Trd_bus</t>
        </is>
      </c>
      <c r="D71" t="n">
        <v>1.785</v>
      </c>
      <c r="E71" t="n">
        <v>1.7885025588395</v>
      </c>
      <c r="G71" t="n">
        <v>1.80573900541782</v>
      </c>
      <c r="H71" t="n">
        <v>1.81845523071684</v>
      </c>
      <c r="I71" t="n">
        <v>1.82948834725303</v>
      </c>
      <c r="J71" t="n">
        <v>1.83837993305911</v>
      </c>
      <c r="K71" t="n">
        <v>1.84556819873849</v>
      </c>
      <c r="L71" t="n">
        <v>1.85242894695178</v>
      </c>
      <c r="M71" t="n">
        <v>1.85664050394275</v>
      </c>
      <c r="N71" t="n">
        <v>1.85980097299618</v>
      </c>
      <c r="O71" t="n">
        <v>1.86255335058358</v>
      </c>
      <c r="P71" t="n">
        <v>1.8660503694096</v>
      </c>
      <c r="Q71" t="n">
        <v>1.86982308307913</v>
      </c>
      <c r="R71" t="n">
        <v>1.87205040988813</v>
      </c>
      <c r="S71" t="n">
        <v>1.87120225079995</v>
      </c>
      <c r="T71" t="n">
        <v>1.86721328662072</v>
      </c>
      <c r="U71" t="n">
        <v>1.86094104610803</v>
      </c>
      <c r="V71" t="n">
        <v>1.85311483552613</v>
      </c>
      <c r="W71" t="n">
        <v>3</v>
      </c>
      <c r="AG71" s="223" t="inlineStr">
        <is>
          <t>POP</t>
        </is>
      </c>
      <c r="AI71" t="n">
        <v>1</v>
      </c>
      <c r="AJ71" t="n">
        <v>1.00246027312928</v>
      </c>
      <c r="AK71" t="n">
        <v>1.01476163877566</v>
      </c>
      <c r="AL71" t="n">
        <v>1.02400419008678</v>
      </c>
      <c r="AM71" t="n">
        <v>1.03216863359442</v>
      </c>
      <c r="AN71" t="n">
        <v>1.03886818486006</v>
      </c>
      <c r="AO71" t="n">
        <v>1.04438293968798</v>
      </c>
      <c r="AP71" t="n">
        <v>1.04974249255609</v>
      </c>
      <c r="AQ71" t="n">
        <v>1.05309357340416</v>
      </c>
      <c r="AR71" t="n">
        <v>1.05565447354461</v>
      </c>
      <c r="AS71" t="n">
        <v>1.0579269041621</v>
      </c>
      <c r="AT71" t="n">
        <v>1.06086957129022</v>
      </c>
      <c r="AU71" t="n">
        <v>1.06410704755827</v>
      </c>
      <c r="AV71" t="n">
        <v>1.06605714085946</v>
      </c>
      <c r="AW71" t="n">
        <v>1.06529950577906</v>
      </c>
      <c r="AX71" t="n">
        <v>1.06166595600804</v>
      </c>
      <c r="AY71" t="n">
        <v>1.05584344159268</v>
      </c>
      <c r="AZ71" t="n">
        <v>1.04844283717563</v>
      </c>
      <c r="BA71" t="n">
        <v>0</v>
      </c>
      <c r="BB71" t="n">
        <v>0</v>
      </c>
      <c r="BC71" t="n">
        <v>0</v>
      </c>
      <c r="BD71" t="n">
        <v>0</v>
      </c>
      <c r="BE71" t="n">
        <v>0</v>
      </c>
      <c r="BF71" t="n">
        <v>0</v>
      </c>
      <c r="BG71" t="n">
        <v>0</v>
      </c>
      <c r="BH71" t="n">
        <v>0</v>
      </c>
      <c r="BJ71" t="inlineStr">
        <is>
          <t>Med2</t>
        </is>
      </c>
      <c r="BL71" t="n">
        <v>0.8</v>
      </c>
      <c r="BM71" t="n">
        <v>0.797560975609756</v>
      </c>
      <c r="BN71" t="n">
        <v>0.785365853658536</v>
      </c>
      <c r="BO71" t="n">
        <v>0.773170731707317</v>
      </c>
      <c r="BP71" t="n">
        <v>0.760975609756097</v>
      </c>
      <c r="BQ71" t="n">
        <v>0.748780487804878</v>
      </c>
      <c r="BR71" t="n">
        <v>0.736585365853658</v>
      </c>
      <c r="BS71" t="n">
        <v>0.724390243902439</v>
      </c>
      <c r="BT71" t="n">
        <v>0.71219512195122</v>
      </c>
      <c r="BU71" t="n">
        <v>0.699999999999999</v>
      </c>
      <c r="BV71" t="n">
        <v>0.687499999999999</v>
      </c>
      <c r="BW71" t="n">
        <v>0.675</v>
      </c>
      <c r="BX71" t="n">
        <v>0.6625</v>
      </c>
      <c r="BY71" t="n">
        <v>0.649999999999999</v>
      </c>
      <c r="BZ71" t="n">
        <v>0.637499999999999</v>
      </c>
      <c r="CA71" t="n">
        <v>0.625</v>
      </c>
      <c r="CB71" t="n">
        <v>0.6125</v>
      </c>
      <c r="CC71" t="n">
        <v>0.6</v>
      </c>
      <c r="CD71" t="e">
        <v>#VALUE!</v>
      </c>
      <c r="CE71" t="e">
        <v>#VALUE!</v>
      </c>
      <c r="CF71" t="e">
        <v>#VALUE!</v>
      </c>
      <c r="CG71" t="e">
        <v>#VALUE!</v>
      </c>
      <c r="CH71" t="e">
        <v>#VALUE!</v>
      </c>
      <c r="CI71" t="e">
        <v>#VALUE!</v>
      </c>
      <c r="CJ71" t="e">
        <v>#VALUE!</v>
      </c>
      <c r="CK71" t="e">
        <v>#VALUE!</v>
      </c>
    </row>
    <row r="72" ht="12.5" customHeight="1" s="213">
      <c r="A72" t="inlineStr">
        <is>
          <t>BeNeLux</t>
        </is>
      </c>
      <c r="B72" t="inlineStr">
        <is>
          <t>Trd_car</t>
        </is>
      </c>
      <c r="C72" t="inlineStr">
        <is>
          <t>Trd_car</t>
        </is>
      </c>
      <c r="D72" t="n">
        <v>188.412</v>
      </c>
      <c r="E72" t="n">
        <v>189.256036060692</v>
      </c>
      <c r="G72" t="n">
        <v>207.250544007891</v>
      </c>
      <c r="H72" t="n">
        <v>220.587584191758</v>
      </c>
      <c r="I72" t="n">
        <v>230.875419859672</v>
      </c>
      <c r="J72" t="n">
        <v>240.110549584008</v>
      </c>
      <c r="K72" t="n">
        <v>248.601538699814</v>
      </c>
      <c r="L72" t="n">
        <v>256.37049935059</v>
      </c>
      <c r="M72" t="n">
        <v>263.854922313545</v>
      </c>
      <c r="N72" t="n">
        <v>271.248583254919</v>
      </c>
      <c r="O72" t="n">
        <v>278.549570282268</v>
      </c>
      <c r="P72" t="n">
        <v>285.230759175177</v>
      </c>
      <c r="Q72" t="n">
        <v>291.263552420858</v>
      </c>
      <c r="R72" t="n">
        <v>296.72867535095</v>
      </c>
      <c r="S72" t="n">
        <v>301.761506209798</v>
      </c>
      <c r="T72" t="n">
        <v>306.417023848534</v>
      </c>
      <c r="U72" t="n">
        <v>310.645815593219</v>
      </c>
      <c r="V72" t="n">
        <v>314.364198685293</v>
      </c>
      <c r="W72" t="n">
        <v>3</v>
      </c>
      <c r="AG72" s="223" t="inlineStr">
        <is>
          <t>GDPPCAP</t>
        </is>
      </c>
      <c r="AI72" t="n">
        <v>1</v>
      </c>
      <c r="AJ72" t="n">
        <v>1.00561679464899</v>
      </c>
      <c r="AK72" t="n">
        <v>1.12736168384907</v>
      </c>
      <c r="AL72" t="n">
        <v>1.22119382901413</v>
      </c>
      <c r="AM72" t="n">
        <v>1.29603779931132</v>
      </c>
      <c r="AN72" t="n">
        <v>1.36527323847963</v>
      </c>
      <c r="AO72" t="n">
        <v>1.43081883701192</v>
      </c>
      <c r="AP72" t="n">
        <v>1.49254526786763</v>
      </c>
      <c r="AQ72" t="n">
        <v>1.55372658049212</v>
      </c>
      <c r="AR72" t="n">
        <v>1.61592378790894</v>
      </c>
      <c r="AS72" t="n">
        <v>1.67918860692349</v>
      </c>
      <c r="AT72" t="n">
        <v>1.73885736020092</v>
      </c>
      <c r="AU72" t="n">
        <v>1.79437105827317</v>
      </c>
      <c r="AV72" t="n">
        <v>1.84616902261036</v>
      </c>
      <c r="AW72" t="n">
        <v>1.89528740860642</v>
      </c>
      <c r="AX72" t="n">
        <v>1.94207160754322</v>
      </c>
      <c r="AY72" t="n">
        <v>1.98583012039482</v>
      </c>
      <c r="AZ72" t="n">
        <v>2.02544692712859</v>
      </c>
      <c r="BA72" t="n">
        <v>0</v>
      </c>
      <c r="BB72" t="n">
        <v>0</v>
      </c>
      <c r="BC72" t="n">
        <v>0</v>
      </c>
      <c r="BD72" t="n">
        <v>0</v>
      </c>
      <c r="BE72" t="n">
        <v>0</v>
      </c>
      <c r="BF72" t="n">
        <v>0</v>
      </c>
      <c r="BG72" t="n">
        <v>0</v>
      </c>
      <c r="BH72" t="n">
        <v>0</v>
      </c>
      <c r="BJ72" t="inlineStr">
        <is>
          <t>Med2</t>
        </is>
      </c>
      <c r="BL72" t="n">
        <v>0.8</v>
      </c>
      <c r="BM72" t="n">
        <v>0.797560975609756</v>
      </c>
      <c r="BN72" t="n">
        <v>0.785365853658536</v>
      </c>
      <c r="BO72" t="n">
        <v>0.773170731707317</v>
      </c>
      <c r="BP72" t="n">
        <v>0.760975609756097</v>
      </c>
      <c r="BQ72" t="n">
        <v>0.748780487804878</v>
      </c>
      <c r="BR72" t="n">
        <v>0.736585365853658</v>
      </c>
      <c r="BS72" t="n">
        <v>0.724390243902439</v>
      </c>
      <c r="BT72" t="n">
        <v>0.71219512195122</v>
      </c>
      <c r="BU72" t="n">
        <v>0.699999999999999</v>
      </c>
      <c r="BV72" t="n">
        <v>0.687499999999999</v>
      </c>
      <c r="BW72" t="n">
        <v>0.675</v>
      </c>
      <c r="BX72" t="n">
        <v>0.6625</v>
      </c>
      <c r="BY72" t="n">
        <v>0.649999999999999</v>
      </c>
      <c r="BZ72" t="n">
        <v>0.637499999999999</v>
      </c>
      <c r="CA72" t="n">
        <v>0.625</v>
      </c>
      <c r="CB72" t="n">
        <v>0.6125</v>
      </c>
      <c r="CC72" t="n">
        <v>0.6</v>
      </c>
      <c r="CD72" t="e">
        <v>#VALUE!</v>
      </c>
      <c r="CE72" t="e">
        <v>#VALUE!</v>
      </c>
      <c r="CF72" t="e">
        <v>#VALUE!</v>
      </c>
      <c r="CG72" t="e">
        <v>#VALUE!</v>
      </c>
      <c r="CH72" t="e">
        <v>#VALUE!</v>
      </c>
      <c r="CI72" t="e">
        <v>#VALUE!</v>
      </c>
      <c r="CJ72" t="e">
        <v>#VALUE!</v>
      </c>
      <c r="CK72" t="e">
        <v>#VALUE!</v>
      </c>
    </row>
    <row r="73" ht="12.5" customHeight="1" s="213">
      <c r="A73" t="inlineStr">
        <is>
          <t>BeNeLux</t>
        </is>
      </c>
      <c r="B73" t="inlineStr">
        <is>
          <t>Trd_hdt</t>
        </is>
      </c>
      <c r="C73" t="inlineStr">
        <is>
          <t>Trd_hdt</t>
        </is>
      </c>
      <c r="D73" t="n">
        <v>52.2</v>
      </c>
      <c r="E73" t="n">
        <v>52.5368453175476</v>
      </c>
      <c r="G73" t="n">
        <v>58.0996745557037</v>
      </c>
      <c r="H73" t="n">
        <v>62.2817182028071</v>
      </c>
      <c r="I73" t="n">
        <v>65.58747471521841</v>
      </c>
      <c r="J73" t="n">
        <v>68.5467993704095</v>
      </c>
      <c r="K73" t="n">
        <v>71.2517014664645</v>
      </c>
      <c r="L73" t="n">
        <v>73.7546628400662</v>
      </c>
      <c r="M73" t="n">
        <v>76.08239712373449</v>
      </c>
      <c r="N73" t="n">
        <v>78.3490503416236</v>
      </c>
      <c r="O73" t="n">
        <v>80.578401556557</v>
      </c>
      <c r="P73" t="n">
        <v>82.6677909919788</v>
      </c>
      <c r="Q73" t="n">
        <v>84.5887325390831</v>
      </c>
      <c r="R73" t="n">
        <v>86.27958349784809</v>
      </c>
      <c r="S73" t="n">
        <v>87.7028458960293</v>
      </c>
      <c r="T73" t="n">
        <v>88.8643313409043</v>
      </c>
      <c r="U73" t="n">
        <v>89.7854936532617</v>
      </c>
      <c r="V73" t="n">
        <v>90.47508542693311</v>
      </c>
      <c r="W73" t="n">
        <v>3</v>
      </c>
      <c r="AG73" s="223" t="inlineStr">
        <is>
          <t>GDP</t>
        </is>
      </c>
      <c r="AI73" t="n">
        <v>1</v>
      </c>
      <c r="AJ73" t="n">
        <v>1.00809088662721</v>
      </c>
      <c r="AK73" t="n">
        <v>1.14400338979557</v>
      </c>
      <c r="AL73" t="n">
        <v>1.25050759781859</v>
      </c>
      <c r="AM73" t="n">
        <v>1.33772956440188</v>
      </c>
      <c r="AN73" t="n">
        <v>1.41833893109734</v>
      </c>
      <c r="AO73" t="n">
        <v>1.49432278315945</v>
      </c>
      <c r="AP73" t="n">
        <v>1.56678818974415</v>
      </c>
      <c r="AQ73" t="n">
        <v>1.63621947674348</v>
      </c>
      <c r="AR73" t="n">
        <v>1.70585717561322</v>
      </c>
      <c r="AS73" t="n">
        <v>1.77645880442683</v>
      </c>
      <c r="AT73" t="n">
        <v>1.84470086225119</v>
      </c>
      <c r="AU73" t="n">
        <v>1.90940288904307</v>
      </c>
      <c r="AV73" t="n">
        <v>1.96812166978731</v>
      </c>
      <c r="AW73" t="n">
        <v>2.01904873969769</v>
      </c>
      <c r="AX73" t="n">
        <v>2.06183130985843</v>
      </c>
      <c r="AY73" t="n">
        <v>2.09672570873607</v>
      </c>
      <c r="AZ73" t="n">
        <v>2.12356532282736</v>
      </c>
      <c r="BA73" t="n">
        <v>0</v>
      </c>
      <c r="BB73" t="n">
        <v>0</v>
      </c>
      <c r="BC73" t="n">
        <v>0</v>
      </c>
      <c r="BD73" t="n">
        <v>0</v>
      </c>
      <c r="BE73" t="n">
        <v>0</v>
      </c>
      <c r="BF73" t="n">
        <v>0</v>
      </c>
      <c r="BG73" t="n">
        <v>0</v>
      </c>
      <c r="BH73" t="n">
        <v>0</v>
      </c>
      <c r="BJ73" t="inlineStr">
        <is>
          <t>Med2</t>
        </is>
      </c>
      <c r="BL73" t="n">
        <v>0.8</v>
      </c>
      <c r="BM73" t="n">
        <v>0.797560975609756</v>
      </c>
      <c r="BN73" t="n">
        <v>0.785365853658536</v>
      </c>
      <c r="BO73" t="n">
        <v>0.773170731707317</v>
      </c>
      <c r="BP73" t="n">
        <v>0.760975609756097</v>
      </c>
      <c r="BQ73" t="n">
        <v>0.748780487804878</v>
      </c>
      <c r="BR73" t="n">
        <v>0.736585365853658</v>
      </c>
      <c r="BS73" t="n">
        <v>0.724390243902439</v>
      </c>
      <c r="BT73" t="n">
        <v>0.71219512195122</v>
      </c>
      <c r="BU73" t="n">
        <v>0.699999999999999</v>
      </c>
      <c r="BV73" t="n">
        <v>0.687499999999999</v>
      </c>
      <c r="BW73" t="n">
        <v>0.675</v>
      </c>
      <c r="BX73" t="n">
        <v>0.6625</v>
      </c>
      <c r="BY73" t="n">
        <v>0.649999999999999</v>
      </c>
      <c r="BZ73" t="n">
        <v>0.637499999999999</v>
      </c>
      <c r="CA73" t="n">
        <v>0.625</v>
      </c>
      <c r="CB73" t="n">
        <v>0.6125</v>
      </c>
      <c r="CC73" t="n">
        <v>0.6</v>
      </c>
      <c r="CD73" t="e">
        <v>#VALUE!</v>
      </c>
      <c r="CE73" t="e">
        <v>#VALUE!</v>
      </c>
      <c r="CF73" t="e">
        <v>#VALUE!</v>
      </c>
      <c r="CG73" t="e">
        <v>#VALUE!</v>
      </c>
      <c r="CH73" t="e">
        <v>#VALUE!</v>
      </c>
      <c r="CI73" t="e">
        <v>#VALUE!</v>
      </c>
      <c r="CJ73" t="e">
        <v>#VALUE!</v>
      </c>
      <c r="CK73" t="e">
        <v>#VALUE!</v>
      </c>
    </row>
    <row r="74" ht="12.5" customHeight="1" s="213">
      <c r="A74" t="inlineStr">
        <is>
          <t>BeNeLux</t>
        </is>
      </c>
      <c r="B74" t="inlineStr">
        <is>
          <t>Trd_lcv</t>
        </is>
      </c>
      <c r="C74" t="inlineStr">
        <is>
          <t>Trd_lcv</t>
        </is>
      </c>
      <c r="D74" t="n">
        <v>30.4</v>
      </c>
      <c r="E74" t="n">
        <v>30.5961704531311</v>
      </c>
      <c r="G74" t="n">
        <v>33.8358257948926</v>
      </c>
      <c r="H74" t="n">
        <v>36.2713454667689</v>
      </c>
      <c r="I74" t="n">
        <v>38.1965369989011</v>
      </c>
      <c r="J74" t="n">
        <v>39.9199751122691</v>
      </c>
      <c r="K74" t="n">
        <v>41.4952437659104</v>
      </c>
      <c r="L74" t="n">
        <v>42.952907094598</v>
      </c>
      <c r="M74" t="n">
        <v>44.3085224628645</v>
      </c>
      <c r="N74" t="n">
        <v>45.6285657161946</v>
      </c>
      <c r="O74" t="n">
        <v>46.9268851976884</v>
      </c>
      <c r="P74" t="n">
        <v>48.1436943708076</v>
      </c>
      <c r="Q74" t="n">
        <v>49.2624036242936</v>
      </c>
      <c r="R74" t="n">
        <v>50.2471137611989</v>
      </c>
      <c r="S74" t="n">
        <v>51.0759868819787</v>
      </c>
      <c r="T74" t="n">
        <v>51.7524075242048</v>
      </c>
      <c r="U74" t="n">
        <v>52.2888698670337</v>
      </c>
      <c r="V74" t="n">
        <v>52.6904712064898</v>
      </c>
      <c r="W74" t="n">
        <v>3</v>
      </c>
      <c r="AG74" s="223" t="inlineStr">
        <is>
          <t>GDP</t>
        </is>
      </c>
      <c r="AI74" t="n">
        <v>1</v>
      </c>
      <c r="AJ74" t="n">
        <v>1.00809088662721</v>
      </c>
      <c r="AK74" t="n">
        <v>1.14400338979557</v>
      </c>
      <c r="AL74" t="n">
        <v>1.25050759781859</v>
      </c>
      <c r="AM74" t="n">
        <v>1.33772956440188</v>
      </c>
      <c r="AN74" t="n">
        <v>1.41833893109734</v>
      </c>
      <c r="AO74" t="n">
        <v>1.49432278315945</v>
      </c>
      <c r="AP74" t="n">
        <v>1.56678818974415</v>
      </c>
      <c r="AQ74" t="n">
        <v>1.63621947674348</v>
      </c>
      <c r="AR74" t="n">
        <v>1.70585717561322</v>
      </c>
      <c r="AS74" t="n">
        <v>1.77645880442683</v>
      </c>
      <c r="AT74" t="n">
        <v>1.84470086225119</v>
      </c>
      <c r="AU74" t="n">
        <v>1.90940288904307</v>
      </c>
      <c r="AV74" t="n">
        <v>1.96812166978731</v>
      </c>
      <c r="AW74" t="n">
        <v>2.01904873969769</v>
      </c>
      <c r="AX74" t="n">
        <v>2.06183130985843</v>
      </c>
      <c r="AY74" t="n">
        <v>2.09672570873607</v>
      </c>
      <c r="AZ74" t="n">
        <v>2.12356532282736</v>
      </c>
      <c r="BA74" t="n">
        <v>0</v>
      </c>
      <c r="BB74" t="n">
        <v>0</v>
      </c>
      <c r="BC74" t="n">
        <v>0</v>
      </c>
      <c r="BD74" t="n">
        <v>0</v>
      </c>
      <c r="BE74" t="n">
        <v>0</v>
      </c>
      <c r="BF74" t="n">
        <v>0</v>
      </c>
      <c r="BG74" t="n">
        <v>0</v>
      </c>
      <c r="BH74" t="n">
        <v>0</v>
      </c>
      <c r="BJ74" t="inlineStr">
        <is>
          <t>Med2</t>
        </is>
      </c>
      <c r="BL74" t="n">
        <v>0.8</v>
      </c>
      <c r="BM74" t="n">
        <v>0.797560975609756</v>
      </c>
      <c r="BN74" t="n">
        <v>0.785365853658536</v>
      </c>
      <c r="BO74" t="n">
        <v>0.773170731707317</v>
      </c>
      <c r="BP74" t="n">
        <v>0.760975609756097</v>
      </c>
      <c r="BQ74" t="n">
        <v>0.748780487804878</v>
      </c>
      <c r="BR74" t="n">
        <v>0.736585365853658</v>
      </c>
      <c r="BS74" t="n">
        <v>0.724390243902439</v>
      </c>
      <c r="BT74" t="n">
        <v>0.71219512195122</v>
      </c>
      <c r="BU74" t="n">
        <v>0.699999999999999</v>
      </c>
      <c r="BV74" t="n">
        <v>0.687499999999999</v>
      </c>
      <c r="BW74" t="n">
        <v>0.675</v>
      </c>
      <c r="BX74" t="n">
        <v>0.6625</v>
      </c>
      <c r="BY74" t="n">
        <v>0.649999999999999</v>
      </c>
      <c r="BZ74" t="n">
        <v>0.637499999999999</v>
      </c>
      <c r="CA74" t="n">
        <v>0.625</v>
      </c>
      <c r="CB74" t="n">
        <v>0.6125</v>
      </c>
      <c r="CC74" t="n">
        <v>0.6</v>
      </c>
      <c r="CD74" t="e">
        <v>#VALUE!</v>
      </c>
      <c r="CE74" t="e">
        <v>#VALUE!</v>
      </c>
      <c r="CF74" t="e">
        <v>#VALUE!</v>
      </c>
      <c r="CG74" t="e">
        <v>#VALUE!</v>
      </c>
      <c r="CH74" t="e">
        <v>#VALUE!</v>
      </c>
      <c r="CI74" t="e">
        <v>#VALUE!</v>
      </c>
      <c r="CJ74" t="e">
        <v>#VALUE!</v>
      </c>
      <c r="CK74" t="e">
        <v>#VALUE!</v>
      </c>
    </row>
    <row r="75" ht="12.5" customHeight="1" s="213">
      <c r="A75" t="inlineStr">
        <is>
          <t>Brazil</t>
        </is>
      </c>
      <c r="B75" t="inlineStr">
        <is>
          <t>TAD</t>
        </is>
      </c>
      <c r="C75" t="inlineStr">
        <is>
          <t>TAD</t>
        </is>
      </c>
      <c r="E75" t="n">
        <v>139.408253389821</v>
      </c>
      <c r="F75">
        <f>E75</f>
        <v/>
      </c>
      <c r="I75">
        <f>F75</f>
        <v/>
      </c>
      <c r="J75">
        <f>I75</f>
        <v/>
      </c>
      <c r="L75">
        <f>J75</f>
        <v/>
      </c>
      <c r="V75">
        <f>L75</f>
        <v/>
      </c>
      <c r="W75" t="n">
        <v>3</v>
      </c>
      <c r="AG75" s="223" t="inlineStr">
        <is>
          <t>GDP</t>
        </is>
      </c>
      <c r="AI75" t="n">
        <v>1</v>
      </c>
      <c r="AJ75" t="n">
        <v>0.994558051739161</v>
      </c>
      <c r="AK75" t="n">
        <v>1.15513685497127</v>
      </c>
      <c r="AL75" t="n">
        <v>1.25563538404626</v>
      </c>
      <c r="AM75" t="n">
        <v>1.42788808774329</v>
      </c>
      <c r="AN75" t="n">
        <v>1.65347960827729</v>
      </c>
      <c r="AO75" t="n">
        <v>1.9282871549153</v>
      </c>
      <c r="AP75" t="n">
        <v>2.24373315482587</v>
      </c>
      <c r="AQ75" t="n">
        <v>2.59289660433811</v>
      </c>
      <c r="AR75" t="n">
        <v>2.96644786854768</v>
      </c>
      <c r="AS75" t="n">
        <v>3.36388557273931</v>
      </c>
      <c r="AT75" t="n">
        <v>3.77165904893282</v>
      </c>
      <c r="AU75" t="n">
        <v>4.18763067925433</v>
      </c>
      <c r="AV75" t="n">
        <v>4.60092605264976</v>
      </c>
      <c r="AW75" t="n">
        <v>5.01164679912896</v>
      </c>
      <c r="AX75" t="n">
        <v>5.41925089197272</v>
      </c>
      <c r="AY75" t="n">
        <v>5.82370445451109</v>
      </c>
      <c r="AZ75" t="n">
        <v>6.22487198006426</v>
      </c>
      <c r="BA75" t="n">
        <v>0</v>
      </c>
      <c r="BB75" t="n">
        <v>0</v>
      </c>
      <c r="BC75" t="n">
        <v>0</v>
      </c>
      <c r="BD75" t="n">
        <v>0</v>
      </c>
      <c r="BE75" t="n">
        <v>0</v>
      </c>
      <c r="BF75" t="n">
        <v>0</v>
      </c>
      <c r="BG75" t="n">
        <v>0</v>
      </c>
      <c r="BH75" t="n">
        <v>0</v>
      </c>
      <c r="BJ75" t="inlineStr">
        <is>
          <t>High2</t>
        </is>
      </c>
      <c r="BL75" t="n">
        <v>1</v>
      </c>
      <c r="BM75" t="n">
        <v>0.997560975609757</v>
      </c>
      <c r="BN75" t="n">
        <v>0.985365853658537</v>
      </c>
      <c r="BO75" t="n">
        <v>0.973170731707317</v>
      </c>
      <c r="BP75" t="n">
        <v>0.960975609756098</v>
      </c>
      <c r="BQ75" t="n">
        <v>0.948780487804878</v>
      </c>
      <c r="BR75" t="n">
        <v>0.936585365853658</v>
      </c>
      <c r="BS75" t="n">
        <v>0.924390243902439</v>
      </c>
      <c r="BT75" t="n">
        <v>0.91219512195122</v>
      </c>
      <c r="BU75" t="n">
        <v>0.9</v>
      </c>
      <c r="BV75" t="n">
        <v>0.8875</v>
      </c>
      <c r="BW75" t="n">
        <v>0.875000000000001</v>
      </c>
      <c r="BX75" t="n">
        <v>0.862500000000001</v>
      </c>
      <c r="BY75" t="n">
        <v>0.850000000000001</v>
      </c>
      <c r="BZ75" t="n">
        <v>0.8375</v>
      </c>
      <c r="CA75" t="n">
        <v>0.825000000000001</v>
      </c>
      <c r="CB75" t="n">
        <v>0.812500000000001</v>
      </c>
      <c r="CC75" t="n">
        <v>0.800000000000001</v>
      </c>
      <c r="CD75" t="e">
        <v>#VALUE!</v>
      </c>
      <c r="CE75" t="e">
        <v>#VALUE!</v>
      </c>
      <c r="CF75" t="e">
        <v>#VALUE!</v>
      </c>
      <c r="CG75" t="e">
        <v>#VALUE!</v>
      </c>
      <c r="CH75" t="e">
        <v>#VALUE!</v>
      </c>
      <c r="CI75" t="e">
        <v>#VALUE!</v>
      </c>
      <c r="CJ75" t="e">
        <v>#VALUE!</v>
      </c>
      <c r="CK75" t="e">
        <v>#VALUE!</v>
      </c>
    </row>
    <row r="76" ht="12.5" customHeight="1" s="213">
      <c r="A76" t="inlineStr">
        <is>
          <t>Brazil</t>
        </is>
      </c>
      <c r="B76" t="inlineStr">
        <is>
          <t>TAI</t>
        </is>
      </c>
      <c r="C76" t="inlineStr">
        <is>
          <t>TAI</t>
        </is>
      </c>
      <c r="E76" t="n">
        <v>100.89549985663</v>
      </c>
      <c r="F76">
        <f>E76</f>
        <v/>
      </c>
      <c r="I76">
        <f>F76</f>
        <v/>
      </c>
      <c r="J76">
        <f>I76</f>
        <v/>
      </c>
      <c r="L76">
        <f>J76</f>
        <v/>
      </c>
      <c r="V76">
        <f>L76</f>
        <v/>
      </c>
      <c r="W76" t="n">
        <v>3</v>
      </c>
      <c r="AG76" s="223" t="inlineStr">
        <is>
          <t>GDP</t>
        </is>
      </c>
      <c r="AI76" t="n">
        <v>1</v>
      </c>
      <c r="AJ76" t="n">
        <v>0.994558051739161</v>
      </c>
      <c r="AK76" t="n">
        <v>1.15513685497127</v>
      </c>
      <c r="AL76" t="n">
        <v>1.25563538404626</v>
      </c>
      <c r="AM76" t="n">
        <v>1.42788808774329</v>
      </c>
      <c r="AN76" t="n">
        <v>1.65347960827729</v>
      </c>
      <c r="AO76" t="n">
        <v>1.9282871549153</v>
      </c>
      <c r="AP76" t="n">
        <v>2.24373315482587</v>
      </c>
      <c r="AQ76" t="n">
        <v>2.59289660433811</v>
      </c>
      <c r="AR76" t="n">
        <v>2.96644786854768</v>
      </c>
      <c r="AS76" t="n">
        <v>3.36388557273931</v>
      </c>
      <c r="AT76" t="n">
        <v>3.77165904893282</v>
      </c>
      <c r="AU76" t="n">
        <v>4.18763067925433</v>
      </c>
      <c r="AV76" t="n">
        <v>4.60092605264976</v>
      </c>
      <c r="AW76" t="n">
        <v>5.01164679912896</v>
      </c>
      <c r="AX76" t="n">
        <v>5.41925089197272</v>
      </c>
      <c r="AY76" t="n">
        <v>5.82370445451109</v>
      </c>
      <c r="AZ76" t="n">
        <v>6.22487198006426</v>
      </c>
      <c r="BA76" t="n">
        <v>0</v>
      </c>
      <c r="BB76" t="n">
        <v>0</v>
      </c>
      <c r="BC76" t="n">
        <v>0</v>
      </c>
      <c r="BD76" t="n">
        <v>0</v>
      </c>
      <c r="BE76" t="n">
        <v>0</v>
      </c>
      <c r="BF76" t="n">
        <v>0</v>
      </c>
      <c r="BG76" t="n">
        <v>0</v>
      </c>
      <c r="BH76" t="n">
        <v>0</v>
      </c>
      <c r="BJ76" t="inlineStr">
        <is>
          <t>High2</t>
        </is>
      </c>
      <c r="BL76" t="n">
        <v>1</v>
      </c>
      <c r="BM76" t="n">
        <v>0.997560975609757</v>
      </c>
      <c r="BN76" t="n">
        <v>0.985365853658537</v>
      </c>
      <c r="BO76" t="n">
        <v>0.973170731707317</v>
      </c>
      <c r="BP76" t="n">
        <v>0.960975609756098</v>
      </c>
      <c r="BQ76" t="n">
        <v>0.948780487804878</v>
      </c>
      <c r="BR76" t="n">
        <v>0.936585365853658</v>
      </c>
      <c r="BS76" t="n">
        <v>0.924390243902439</v>
      </c>
      <c r="BT76" t="n">
        <v>0.91219512195122</v>
      </c>
      <c r="BU76" t="n">
        <v>0.9</v>
      </c>
      <c r="BV76" t="n">
        <v>0.8875</v>
      </c>
      <c r="BW76" t="n">
        <v>0.875000000000001</v>
      </c>
      <c r="BX76" t="n">
        <v>0.862500000000001</v>
      </c>
      <c r="BY76" t="n">
        <v>0.850000000000001</v>
      </c>
      <c r="BZ76" t="n">
        <v>0.8375</v>
      </c>
      <c r="CA76" t="n">
        <v>0.825000000000001</v>
      </c>
      <c r="CB76" t="n">
        <v>0.812500000000001</v>
      </c>
      <c r="CC76" t="n">
        <v>0.800000000000001</v>
      </c>
      <c r="CD76" t="e">
        <v>#VALUE!</v>
      </c>
      <c r="CE76" t="e">
        <v>#VALUE!</v>
      </c>
      <c r="CF76" t="e">
        <v>#VALUE!</v>
      </c>
      <c r="CG76" t="e">
        <v>#VALUE!</v>
      </c>
      <c r="CH76" t="e">
        <v>#VALUE!</v>
      </c>
      <c r="CI76" t="e">
        <v>#VALUE!</v>
      </c>
      <c r="CJ76" t="e">
        <v>#VALUE!</v>
      </c>
      <c r="CK76" t="e">
        <v>#VALUE!</v>
      </c>
    </row>
    <row r="77" ht="12.5" customHeight="1" s="213">
      <c r="A77" t="inlineStr">
        <is>
          <t>Brazil</t>
        </is>
      </c>
      <c r="B77" t="inlineStr">
        <is>
          <t>TTF</t>
        </is>
      </c>
      <c r="C77" t="inlineStr">
        <is>
          <t>TTF</t>
        </is>
      </c>
      <c r="E77" t="n">
        <v>36.3491412681947</v>
      </c>
      <c r="I77" t="n">
        <v>51.7238503606635</v>
      </c>
      <c r="J77" t="n">
        <v>59.47712543275</v>
      </c>
      <c r="L77" t="n">
        <v>79.1294823604451</v>
      </c>
      <c r="V77" t="n">
        <v>192.459870143503</v>
      </c>
      <c r="W77" t="n">
        <v>3</v>
      </c>
      <c r="AG77" s="223" t="inlineStr">
        <is>
          <t>GDP</t>
        </is>
      </c>
      <c r="AI77" t="n">
        <v>1</v>
      </c>
      <c r="AJ77" t="n">
        <v>0.994558051739161</v>
      </c>
      <c r="AK77" t="n">
        <v>1.15513685497127</v>
      </c>
      <c r="AL77" t="n">
        <v>1.25563538404626</v>
      </c>
      <c r="AM77" t="n">
        <v>1.42788808774329</v>
      </c>
      <c r="AN77" t="n">
        <v>1.65347960827729</v>
      </c>
      <c r="AO77" t="n">
        <v>1.9282871549153</v>
      </c>
      <c r="AP77" t="n">
        <v>2.24373315482587</v>
      </c>
      <c r="AQ77" t="n">
        <v>2.59289660433811</v>
      </c>
      <c r="AR77" t="n">
        <v>2.96644786854768</v>
      </c>
      <c r="AS77" t="n">
        <v>3.36388557273931</v>
      </c>
      <c r="AT77" t="n">
        <v>3.77165904893282</v>
      </c>
      <c r="AU77" t="n">
        <v>4.18763067925433</v>
      </c>
      <c r="AV77" t="n">
        <v>4.60092605264976</v>
      </c>
      <c r="AW77" t="n">
        <v>5.01164679912896</v>
      </c>
      <c r="AX77" t="n">
        <v>5.41925089197272</v>
      </c>
      <c r="AY77" t="n">
        <v>5.82370445451109</v>
      </c>
      <c r="AZ77" t="n">
        <v>6.22487198006426</v>
      </c>
      <c r="BA77" t="n">
        <v>0</v>
      </c>
      <c r="BB77" t="n">
        <v>0</v>
      </c>
      <c r="BC77" t="n">
        <v>0</v>
      </c>
      <c r="BD77" t="n">
        <v>0</v>
      </c>
      <c r="BE77" t="n">
        <v>0</v>
      </c>
      <c r="BF77" t="n">
        <v>0</v>
      </c>
      <c r="BG77" t="n">
        <v>0</v>
      </c>
      <c r="BH77" t="n">
        <v>0</v>
      </c>
      <c r="BJ77" t="inlineStr">
        <is>
          <t>High2</t>
        </is>
      </c>
      <c r="BL77" t="n">
        <v>1</v>
      </c>
      <c r="BM77" t="n">
        <v>0.997560975609757</v>
      </c>
      <c r="BN77" t="n">
        <v>0.985365853658537</v>
      </c>
      <c r="BO77" t="n">
        <v>0.973170731707317</v>
      </c>
      <c r="BP77" t="n">
        <v>0.960975609756098</v>
      </c>
      <c r="BQ77" t="n">
        <v>0.948780487804878</v>
      </c>
      <c r="BR77" t="n">
        <v>0.936585365853658</v>
      </c>
      <c r="BS77" t="n">
        <v>0.924390243902439</v>
      </c>
      <c r="BT77" t="n">
        <v>0.91219512195122</v>
      </c>
      <c r="BU77" t="n">
        <v>0.9</v>
      </c>
      <c r="BV77" t="n">
        <v>0.8875</v>
      </c>
      <c r="BW77" t="n">
        <v>0.875000000000001</v>
      </c>
      <c r="BX77" t="n">
        <v>0.862500000000001</v>
      </c>
      <c r="BY77" t="n">
        <v>0.850000000000001</v>
      </c>
      <c r="BZ77" t="n">
        <v>0.8375</v>
      </c>
      <c r="CA77" t="n">
        <v>0.825000000000001</v>
      </c>
      <c r="CB77" t="n">
        <v>0.812500000000001</v>
      </c>
      <c r="CC77" t="n">
        <v>0.800000000000001</v>
      </c>
      <c r="CD77" t="e">
        <v>#VALUE!</v>
      </c>
      <c r="CE77" t="e">
        <v>#VALUE!</v>
      </c>
      <c r="CF77" t="e">
        <v>#VALUE!</v>
      </c>
      <c r="CG77" t="e">
        <v>#VALUE!</v>
      </c>
      <c r="CH77" t="e">
        <v>#VALUE!</v>
      </c>
      <c r="CI77" t="e">
        <v>#VALUE!</v>
      </c>
      <c r="CJ77" t="e">
        <v>#VALUE!</v>
      </c>
      <c r="CK77" t="e">
        <v>#VALUE!</v>
      </c>
    </row>
    <row r="78" ht="12.5" customHeight="1" s="213">
      <c r="A78" t="inlineStr">
        <is>
          <t>Brazil</t>
        </is>
      </c>
      <c r="B78" t="inlineStr">
        <is>
          <t>TTP</t>
        </is>
      </c>
      <c r="C78" t="inlineStr">
        <is>
          <t>TTP</t>
        </is>
      </c>
      <c r="E78" t="n">
        <v>16.8114020843873</v>
      </c>
      <c r="I78" t="n">
        <v>17.8160951323929</v>
      </c>
      <c r="J78" t="n">
        <v>17.9690096349578</v>
      </c>
      <c r="L78" t="n">
        <v>17.9821026520996</v>
      </c>
      <c r="V78" t="n">
        <v>14.8844598657544</v>
      </c>
      <c r="W78" t="n">
        <v>3</v>
      </c>
      <c r="AG78" s="223" t="inlineStr">
        <is>
          <t>POP</t>
        </is>
      </c>
      <c r="AI78" t="n">
        <v>1</v>
      </c>
      <c r="AJ78" t="n">
        <v>1.00472384407087</v>
      </c>
      <c r="AK78" t="n">
        <v>1.02834306442523</v>
      </c>
      <c r="AL78" t="n">
        <v>1.05036327197554</v>
      </c>
      <c r="AM78" t="n">
        <v>1.06635006298857</v>
      </c>
      <c r="AN78" t="n">
        <v>1.07599657273857</v>
      </c>
      <c r="AO78" t="n">
        <v>1.07948696165566</v>
      </c>
      <c r="AP78" t="n">
        <v>1.07679812106107</v>
      </c>
      <c r="AQ78" t="n">
        <v>1.0689551990234</v>
      </c>
      <c r="AR78" t="n">
        <v>1.05654016651334</v>
      </c>
      <c r="AS78" t="n">
        <v>1.03980456733692</v>
      </c>
      <c r="AT78" t="n">
        <v>1.01936448955287</v>
      </c>
      <c r="AU78" t="n">
        <v>0.9957698525976461</v>
      </c>
      <c r="AV78" t="n">
        <v>0.96951061340022</v>
      </c>
      <c r="AW78" t="n">
        <v>0.94207203750446</v>
      </c>
      <c r="AX78" t="n">
        <v>0.914265618141886</v>
      </c>
      <c r="AY78" t="n">
        <v>0.886844450563568</v>
      </c>
      <c r="AZ78" t="n">
        <v>0.860306366326999</v>
      </c>
      <c r="BA78" t="n">
        <v>0</v>
      </c>
      <c r="BB78" t="n">
        <v>0</v>
      </c>
      <c r="BC78" t="n">
        <v>0</v>
      </c>
      <c r="BD78" t="n">
        <v>0</v>
      </c>
      <c r="BE78" t="n">
        <v>0</v>
      </c>
      <c r="BF78" t="n">
        <v>0</v>
      </c>
      <c r="BG78" t="n">
        <v>0</v>
      </c>
      <c r="BH78" t="n">
        <v>0</v>
      </c>
      <c r="BJ78" t="inlineStr">
        <is>
          <t>High2</t>
        </is>
      </c>
      <c r="BL78" t="n">
        <v>1</v>
      </c>
      <c r="BM78" t="n">
        <v>0.997560975609757</v>
      </c>
      <c r="BN78" t="n">
        <v>0.985365853658537</v>
      </c>
      <c r="BO78" t="n">
        <v>0.973170731707317</v>
      </c>
      <c r="BP78" t="n">
        <v>0.960975609756098</v>
      </c>
      <c r="BQ78" t="n">
        <v>0.948780487804878</v>
      </c>
      <c r="BR78" t="n">
        <v>0.936585365853658</v>
      </c>
      <c r="BS78" t="n">
        <v>0.924390243902439</v>
      </c>
      <c r="BT78" t="n">
        <v>0.91219512195122</v>
      </c>
      <c r="BU78" t="n">
        <v>0.9</v>
      </c>
      <c r="BV78" t="n">
        <v>0.8875</v>
      </c>
      <c r="BW78" t="n">
        <v>0.875000000000001</v>
      </c>
      <c r="BX78" t="n">
        <v>0.862500000000001</v>
      </c>
      <c r="BY78" t="n">
        <v>0.850000000000001</v>
      </c>
      <c r="BZ78" t="n">
        <v>0.8375</v>
      </c>
      <c r="CA78" t="n">
        <v>0.825000000000001</v>
      </c>
      <c r="CB78" t="n">
        <v>0.812500000000001</v>
      </c>
      <c r="CC78" t="n">
        <v>0.800000000000001</v>
      </c>
      <c r="CD78" t="e">
        <v>#VALUE!</v>
      </c>
      <c r="CE78" t="e">
        <v>#VALUE!</v>
      </c>
      <c r="CF78" t="e">
        <v>#VALUE!</v>
      </c>
      <c r="CG78" t="e">
        <v>#VALUE!</v>
      </c>
      <c r="CH78" t="e">
        <v>#VALUE!</v>
      </c>
      <c r="CI78" t="e">
        <v>#VALUE!</v>
      </c>
      <c r="CJ78" t="e">
        <v>#VALUE!</v>
      </c>
      <c r="CK78" t="e">
        <v>#VALUE!</v>
      </c>
    </row>
    <row r="79" ht="12.5" customHeight="1" s="213">
      <c r="A79" t="inlineStr">
        <is>
          <t>Brazil</t>
        </is>
      </c>
      <c r="B79" t="inlineStr">
        <is>
          <t>TWD</t>
        </is>
      </c>
      <c r="C79" t="inlineStr">
        <is>
          <t>TWD</t>
        </is>
      </c>
      <c r="E79" t="n">
        <v>54.0166941738206</v>
      </c>
      <c r="F79">
        <f>E79</f>
        <v/>
      </c>
      <c r="I79">
        <f>F79</f>
        <v/>
      </c>
      <c r="J79">
        <f>I79</f>
        <v/>
      </c>
      <c r="L79">
        <f>J79</f>
        <v/>
      </c>
      <c r="V79">
        <f>L79</f>
        <v/>
      </c>
      <c r="W79" t="n">
        <v>3</v>
      </c>
      <c r="AG79" s="223" t="inlineStr">
        <is>
          <t>GDP</t>
        </is>
      </c>
      <c r="AI79" t="n">
        <v>1</v>
      </c>
      <c r="AJ79" t="n">
        <v>0.994558051739161</v>
      </c>
      <c r="AK79" t="n">
        <v>1.15513685497127</v>
      </c>
      <c r="AL79" t="n">
        <v>1.25563538404626</v>
      </c>
      <c r="AM79" t="n">
        <v>1.42788808774329</v>
      </c>
      <c r="AN79" t="n">
        <v>1.65347960827729</v>
      </c>
      <c r="AO79" t="n">
        <v>1.9282871549153</v>
      </c>
      <c r="AP79" t="n">
        <v>2.24373315482587</v>
      </c>
      <c r="AQ79" t="n">
        <v>2.59289660433811</v>
      </c>
      <c r="AR79" t="n">
        <v>2.96644786854768</v>
      </c>
      <c r="AS79" t="n">
        <v>3.36388557273931</v>
      </c>
      <c r="AT79" t="n">
        <v>3.77165904893282</v>
      </c>
      <c r="AU79" t="n">
        <v>4.18763067925433</v>
      </c>
      <c r="AV79" t="n">
        <v>4.60092605264976</v>
      </c>
      <c r="AW79" t="n">
        <v>5.01164679912896</v>
      </c>
      <c r="AX79" t="n">
        <v>5.41925089197272</v>
      </c>
      <c r="AY79" t="n">
        <v>5.82370445451109</v>
      </c>
      <c r="AZ79" t="n">
        <v>6.22487198006426</v>
      </c>
      <c r="BA79" t="n">
        <v>0</v>
      </c>
      <c r="BB79" t="n">
        <v>0</v>
      </c>
      <c r="BC79" t="n">
        <v>0</v>
      </c>
      <c r="BD79" t="n">
        <v>0</v>
      </c>
      <c r="BE79" t="n">
        <v>0</v>
      </c>
      <c r="BF79" t="n">
        <v>0</v>
      </c>
      <c r="BG79" t="n">
        <v>0</v>
      </c>
      <c r="BH79" t="n">
        <v>0</v>
      </c>
      <c r="BJ79" t="inlineStr">
        <is>
          <t>High2</t>
        </is>
      </c>
      <c r="BL79" t="n">
        <v>1</v>
      </c>
      <c r="BM79" t="n">
        <v>0.997560975609757</v>
      </c>
      <c r="BN79" t="n">
        <v>0.985365853658537</v>
      </c>
      <c r="BO79" t="n">
        <v>0.973170731707317</v>
      </c>
      <c r="BP79" t="n">
        <v>0.960975609756098</v>
      </c>
      <c r="BQ79" t="n">
        <v>0.948780487804878</v>
      </c>
      <c r="BR79" t="n">
        <v>0.936585365853658</v>
      </c>
      <c r="BS79" t="n">
        <v>0.924390243902439</v>
      </c>
      <c r="BT79" t="n">
        <v>0.91219512195122</v>
      </c>
      <c r="BU79" t="n">
        <v>0.9</v>
      </c>
      <c r="BV79" t="n">
        <v>0.8875</v>
      </c>
      <c r="BW79" t="n">
        <v>0.875000000000001</v>
      </c>
      <c r="BX79" t="n">
        <v>0.862500000000001</v>
      </c>
      <c r="BY79" t="n">
        <v>0.850000000000001</v>
      </c>
      <c r="BZ79" t="n">
        <v>0.8375</v>
      </c>
      <c r="CA79" t="n">
        <v>0.825000000000001</v>
      </c>
      <c r="CB79" t="n">
        <v>0.812500000000001</v>
      </c>
      <c r="CC79" t="n">
        <v>0.800000000000001</v>
      </c>
      <c r="CD79" t="e">
        <v>#VALUE!</v>
      </c>
      <c r="CE79" t="e">
        <v>#VALUE!</v>
      </c>
      <c r="CF79" t="e">
        <v>#VALUE!</v>
      </c>
      <c r="CG79" t="e">
        <v>#VALUE!</v>
      </c>
      <c r="CH79" t="e">
        <v>#VALUE!</v>
      </c>
      <c r="CI79" t="e">
        <v>#VALUE!</v>
      </c>
      <c r="CJ79" t="e">
        <v>#VALUE!</v>
      </c>
      <c r="CK79" t="e">
        <v>#VALUE!</v>
      </c>
    </row>
    <row r="80" ht="12.5" customHeight="1" s="213">
      <c r="A80" t="inlineStr">
        <is>
          <t>Brazil</t>
        </is>
      </c>
      <c r="B80" t="inlineStr">
        <is>
          <t>TWI</t>
        </is>
      </c>
      <c r="C80" t="inlineStr">
        <is>
          <t>TWI</t>
        </is>
      </c>
      <c r="E80" t="n">
        <v>138.398524415336</v>
      </c>
      <c r="F80">
        <f>E80</f>
        <v/>
      </c>
      <c r="I80">
        <f>F80</f>
        <v/>
      </c>
      <c r="J80">
        <f>I80</f>
        <v/>
      </c>
      <c r="L80">
        <f>J80</f>
        <v/>
      </c>
      <c r="V80">
        <f>L80</f>
        <v/>
      </c>
      <c r="W80" t="n">
        <v>3</v>
      </c>
      <c r="AG80" s="223" t="inlineStr">
        <is>
          <t>GDP</t>
        </is>
      </c>
      <c r="AI80" t="n">
        <v>1</v>
      </c>
      <c r="AJ80" t="n">
        <v>0.994558051739161</v>
      </c>
      <c r="AK80" t="n">
        <v>1.15513685497127</v>
      </c>
      <c r="AL80" t="n">
        <v>1.25563538404626</v>
      </c>
      <c r="AM80" t="n">
        <v>1.42788808774329</v>
      </c>
      <c r="AN80" t="n">
        <v>1.65347960827729</v>
      </c>
      <c r="AO80" t="n">
        <v>1.9282871549153</v>
      </c>
      <c r="AP80" t="n">
        <v>2.24373315482587</v>
      </c>
      <c r="AQ80" t="n">
        <v>2.59289660433811</v>
      </c>
      <c r="AR80" t="n">
        <v>2.96644786854768</v>
      </c>
      <c r="AS80" t="n">
        <v>3.36388557273931</v>
      </c>
      <c r="AT80" t="n">
        <v>3.77165904893282</v>
      </c>
      <c r="AU80" t="n">
        <v>4.18763067925433</v>
      </c>
      <c r="AV80" t="n">
        <v>4.60092605264976</v>
      </c>
      <c r="AW80" t="n">
        <v>5.01164679912896</v>
      </c>
      <c r="AX80" t="n">
        <v>5.41925089197272</v>
      </c>
      <c r="AY80" t="n">
        <v>5.82370445451109</v>
      </c>
      <c r="AZ80" t="n">
        <v>6.22487198006426</v>
      </c>
      <c r="BA80" t="n">
        <v>0</v>
      </c>
      <c r="BB80" t="n">
        <v>0</v>
      </c>
      <c r="BC80" t="n">
        <v>0</v>
      </c>
      <c r="BD80" t="n">
        <v>0</v>
      </c>
      <c r="BE80" t="n">
        <v>0</v>
      </c>
      <c r="BF80" t="n">
        <v>0</v>
      </c>
      <c r="BG80" t="n">
        <v>0</v>
      </c>
      <c r="BH80" t="n">
        <v>0</v>
      </c>
      <c r="BJ80" t="inlineStr">
        <is>
          <t>High2</t>
        </is>
      </c>
      <c r="BL80" t="n">
        <v>1</v>
      </c>
      <c r="BM80" t="n">
        <v>0.997560975609757</v>
      </c>
      <c r="BN80" t="n">
        <v>0.985365853658537</v>
      </c>
      <c r="BO80" t="n">
        <v>0.973170731707317</v>
      </c>
      <c r="BP80" t="n">
        <v>0.960975609756098</v>
      </c>
      <c r="BQ80" t="n">
        <v>0.948780487804878</v>
      </c>
      <c r="BR80" t="n">
        <v>0.936585365853658</v>
      </c>
      <c r="BS80" t="n">
        <v>0.924390243902439</v>
      </c>
      <c r="BT80" t="n">
        <v>0.91219512195122</v>
      </c>
      <c r="BU80" t="n">
        <v>0.9</v>
      </c>
      <c r="BV80" t="n">
        <v>0.8875</v>
      </c>
      <c r="BW80" t="n">
        <v>0.875000000000001</v>
      </c>
      <c r="BX80" t="n">
        <v>0.862500000000001</v>
      </c>
      <c r="BY80" t="n">
        <v>0.850000000000001</v>
      </c>
      <c r="BZ80" t="n">
        <v>0.8375</v>
      </c>
      <c r="CA80" t="n">
        <v>0.825000000000001</v>
      </c>
      <c r="CB80" t="n">
        <v>0.812500000000001</v>
      </c>
      <c r="CC80" t="n">
        <v>0.800000000000001</v>
      </c>
      <c r="CD80" t="e">
        <v>#VALUE!</v>
      </c>
      <c r="CE80" t="e">
        <v>#VALUE!</v>
      </c>
      <c r="CF80" t="e">
        <v>#VALUE!</v>
      </c>
      <c r="CG80" t="e">
        <v>#VALUE!</v>
      </c>
      <c r="CH80" t="e">
        <v>#VALUE!</v>
      </c>
      <c r="CI80" t="e">
        <v>#VALUE!</v>
      </c>
      <c r="CJ80" t="e">
        <v>#VALUE!</v>
      </c>
      <c r="CK80" t="e">
        <v>#VALUE!</v>
      </c>
    </row>
    <row r="81" ht="12.5" customHeight="1" s="213">
      <c r="A81" t="inlineStr">
        <is>
          <t>Brazil</t>
        </is>
      </c>
      <c r="B81" t="inlineStr">
        <is>
          <t>Trd_2w</t>
        </is>
      </c>
      <c r="C81" t="inlineStr">
        <is>
          <t>Trd_2w</t>
        </is>
      </c>
      <c r="D81" t="n">
        <v>12.005</v>
      </c>
      <c r="E81" t="n">
        <v>12.0615714316121</v>
      </c>
      <c r="G81" t="n">
        <v>12.3409674742218</v>
      </c>
      <c r="H81" t="n">
        <v>12.5981382597297</v>
      </c>
      <c r="I81" t="n">
        <v>12.7824022644323</v>
      </c>
      <c r="J81" t="n">
        <v>12.892112875502</v>
      </c>
      <c r="K81" t="n">
        <v>12.9312811464046</v>
      </c>
      <c r="L81" t="n">
        <v>12.901506640562</v>
      </c>
      <c r="M81" t="n">
        <v>12.8157886888742</v>
      </c>
      <c r="N81" t="n">
        <v>12.6818283601122</v>
      </c>
      <c r="O81" t="n">
        <v>12.5035471857187</v>
      </c>
      <c r="P81" t="n">
        <v>12.2884810093951</v>
      </c>
      <c r="Q81" t="n">
        <v>12.0431564060854</v>
      </c>
      <c r="R81" t="n">
        <v>11.7732069741516</v>
      </c>
      <c r="S81" t="n">
        <v>11.4941527544462</v>
      </c>
      <c r="T81" t="n">
        <v>11.2142598633916</v>
      </c>
      <c r="U81" t="n">
        <v>10.9409800577595</v>
      </c>
      <c r="V81" t="n">
        <v>10.6790602586615</v>
      </c>
      <c r="W81" t="n">
        <v>3</v>
      </c>
      <c r="AG81" s="223" t="inlineStr">
        <is>
          <t>POP</t>
        </is>
      </c>
      <c r="AI81" t="n">
        <v>1</v>
      </c>
      <c r="AJ81" t="n">
        <v>1.00472384407087</v>
      </c>
      <c r="AK81" t="n">
        <v>1.02834306442523</v>
      </c>
      <c r="AL81" t="n">
        <v>1.05036327197554</v>
      </c>
      <c r="AM81" t="n">
        <v>1.06635006298857</v>
      </c>
      <c r="AN81" t="n">
        <v>1.07599657273857</v>
      </c>
      <c r="AO81" t="n">
        <v>1.07948696165566</v>
      </c>
      <c r="AP81" t="n">
        <v>1.07679812106107</v>
      </c>
      <c r="AQ81" t="n">
        <v>1.0689551990234</v>
      </c>
      <c r="AR81" t="n">
        <v>1.05654016651334</v>
      </c>
      <c r="AS81" t="n">
        <v>1.03980456733692</v>
      </c>
      <c r="AT81" t="n">
        <v>1.01936448955287</v>
      </c>
      <c r="AU81" t="n">
        <v>0.9957698525976461</v>
      </c>
      <c r="AV81" t="n">
        <v>0.96951061340022</v>
      </c>
      <c r="AW81" t="n">
        <v>0.94207203750446</v>
      </c>
      <c r="AX81" t="n">
        <v>0.914265618141886</v>
      </c>
      <c r="AY81" t="n">
        <v>0.886844450563568</v>
      </c>
      <c r="AZ81" t="n">
        <v>0.860306366326999</v>
      </c>
      <c r="BA81" t="n">
        <v>0</v>
      </c>
      <c r="BB81" t="n">
        <v>0</v>
      </c>
      <c r="BC81" t="n">
        <v>0</v>
      </c>
      <c r="BD81" t="n">
        <v>0</v>
      </c>
      <c r="BE81" t="n">
        <v>0</v>
      </c>
      <c r="BF81" t="n">
        <v>0</v>
      </c>
      <c r="BG81" t="n">
        <v>0</v>
      </c>
      <c r="BH81" t="n">
        <v>0</v>
      </c>
      <c r="BJ81" t="inlineStr">
        <is>
          <t>High2</t>
        </is>
      </c>
      <c r="BL81" t="n">
        <v>1</v>
      </c>
      <c r="BM81" t="n">
        <v>0.997560975609757</v>
      </c>
      <c r="BN81" t="n">
        <v>0.985365853658537</v>
      </c>
      <c r="BO81" t="n">
        <v>0.973170731707317</v>
      </c>
      <c r="BP81" t="n">
        <v>0.960975609756098</v>
      </c>
      <c r="BQ81" t="n">
        <v>0.948780487804878</v>
      </c>
      <c r="BR81" t="n">
        <v>0.936585365853658</v>
      </c>
      <c r="BS81" t="n">
        <v>0.924390243902439</v>
      </c>
      <c r="BT81" t="n">
        <v>0.91219512195122</v>
      </c>
      <c r="BU81" t="n">
        <v>0.9</v>
      </c>
      <c r="BV81" t="n">
        <v>0.8875</v>
      </c>
      <c r="BW81" t="n">
        <v>0.875000000000001</v>
      </c>
      <c r="BX81" t="n">
        <v>0.862500000000001</v>
      </c>
      <c r="BY81" t="n">
        <v>0.850000000000001</v>
      </c>
      <c r="BZ81" t="n">
        <v>0.8375</v>
      </c>
      <c r="CA81" t="n">
        <v>0.825000000000001</v>
      </c>
      <c r="CB81" t="n">
        <v>0.812500000000001</v>
      </c>
      <c r="CC81" t="n">
        <v>0.800000000000001</v>
      </c>
      <c r="CD81" t="e">
        <v>#VALUE!</v>
      </c>
      <c r="CE81" t="e">
        <v>#VALUE!</v>
      </c>
      <c r="CF81" t="e">
        <v>#VALUE!</v>
      </c>
      <c r="CG81" t="e">
        <v>#VALUE!</v>
      </c>
      <c r="CH81" t="e">
        <v>#VALUE!</v>
      </c>
      <c r="CI81" t="e">
        <v>#VALUE!</v>
      </c>
      <c r="CJ81" t="e">
        <v>#VALUE!</v>
      </c>
      <c r="CK81" t="e">
        <v>#VALUE!</v>
      </c>
    </row>
    <row r="82" ht="12.5" customHeight="1" s="213">
      <c r="A82" t="inlineStr">
        <is>
          <t>Brazil</t>
        </is>
      </c>
      <c r="B82" t="inlineStr">
        <is>
          <t>Trd_3w</t>
        </is>
      </c>
      <c r="C82" t="inlineStr">
        <is>
          <t>Trd_3w</t>
        </is>
      </c>
      <c r="D82" t="n">
        <v>3.225</v>
      </c>
      <c r="E82" t="n">
        <v>3.24019724006239</v>
      </c>
      <c r="G82" t="n">
        <v>3.31525365300835</v>
      </c>
      <c r="H82" t="n">
        <v>3.38433951583743</v>
      </c>
      <c r="I82" t="n">
        <v>3.43383984196536</v>
      </c>
      <c r="J82" t="n">
        <v>3.46331228850428</v>
      </c>
      <c r="K82" t="n">
        <v>3.47383437710577</v>
      </c>
      <c r="L82" t="n">
        <v>3.46583581139629</v>
      </c>
      <c r="M82" t="n">
        <v>3.44280870650722</v>
      </c>
      <c r="N82" t="n">
        <v>3.40682186267071</v>
      </c>
      <c r="O82" t="n">
        <v>3.35892875251503</v>
      </c>
      <c r="P82" t="n">
        <v>3.30115379052887</v>
      </c>
      <c r="Q82" t="n">
        <v>3.23525026319245</v>
      </c>
      <c r="R82" t="n">
        <v>3.16273156948263</v>
      </c>
      <c r="S82" t="n">
        <v>3.08776698318109</v>
      </c>
      <c r="T82" t="n">
        <v>3.01257709782908</v>
      </c>
      <c r="U82" t="n">
        <v>2.93916373896497</v>
      </c>
      <c r="V82" t="n">
        <v>2.86880211030266</v>
      </c>
      <c r="W82" t="n">
        <v>3</v>
      </c>
      <c r="AG82" s="223" t="inlineStr">
        <is>
          <t>POP</t>
        </is>
      </c>
      <c r="AI82" t="n">
        <v>1</v>
      </c>
      <c r="AJ82" t="n">
        <v>1.00472384407087</v>
      </c>
      <c r="AK82" t="n">
        <v>1.02834306442523</v>
      </c>
      <c r="AL82" t="n">
        <v>1.05036327197554</v>
      </c>
      <c r="AM82" t="n">
        <v>1.06635006298857</v>
      </c>
      <c r="AN82" t="n">
        <v>1.07599657273857</v>
      </c>
      <c r="AO82" t="n">
        <v>1.07948696165566</v>
      </c>
      <c r="AP82" t="n">
        <v>1.07679812106107</v>
      </c>
      <c r="AQ82" t="n">
        <v>1.0689551990234</v>
      </c>
      <c r="AR82" t="n">
        <v>1.05654016651334</v>
      </c>
      <c r="AS82" t="n">
        <v>1.03980456733692</v>
      </c>
      <c r="AT82" t="n">
        <v>1.01936448955287</v>
      </c>
      <c r="AU82" t="n">
        <v>0.9957698525976461</v>
      </c>
      <c r="AV82" t="n">
        <v>0.96951061340022</v>
      </c>
      <c r="AW82" t="n">
        <v>0.94207203750446</v>
      </c>
      <c r="AX82" t="n">
        <v>0.914265618141886</v>
      </c>
      <c r="AY82" t="n">
        <v>0.886844450563568</v>
      </c>
      <c r="AZ82" t="n">
        <v>0.860306366326999</v>
      </c>
      <c r="BA82" t="n">
        <v>0</v>
      </c>
      <c r="BB82" t="n">
        <v>0</v>
      </c>
      <c r="BC82" t="n">
        <v>0</v>
      </c>
      <c r="BD82" t="n">
        <v>0</v>
      </c>
      <c r="BE82" t="n">
        <v>0</v>
      </c>
      <c r="BF82" t="n">
        <v>0</v>
      </c>
      <c r="BG82" t="n">
        <v>0</v>
      </c>
      <c r="BH82" t="n">
        <v>0</v>
      </c>
      <c r="BJ82" t="inlineStr">
        <is>
          <t>High2</t>
        </is>
      </c>
      <c r="BL82" t="n">
        <v>1</v>
      </c>
      <c r="BM82" t="n">
        <v>0.997560975609757</v>
      </c>
      <c r="BN82" t="n">
        <v>0.985365853658537</v>
      </c>
      <c r="BO82" t="n">
        <v>0.973170731707317</v>
      </c>
      <c r="BP82" t="n">
        <v>0.960975609756098</v>
      </c>
      <c r="BQ82" t="n">
        <v>0.948780487804878</v>
      </c>
      <c r="BR82" t="n">
        <v>0.936585365853658</v>
      </c>
      <c r="BS82" t="n">
        <v>0.924390243902439</v>
      </c>
      <c r="BT82" t="n">
        <v>0.91219512195122</v>
      </c>
      <c r="BU82" t="n">
        <v>0.9</v>
      </c>
      <c r="BV82" t="n">
        <v>0.8875</v>
      </c>
      <c r="BW82" t="n">
        <v>0.875000000000001</v>
      </c>
      <c r="BX82" t="n">
        <v>0.862500000000001</v>
      </c>
      <c r="BY82" t="n">
        <v>0.850000000000001</v>
      </c>
      <c r="BZ82" t="n">
        <v>0.8375</v>
      </c>
      <c r="CA82" t="n">
        <v>0.825000000000001</v>
      </c>
      <c r="CB82" t="n">
        <v>0.812500000000001</v>
      </c>
      <c r="CC82" t="n">
        <v>0.800000000000001</v>
      </c>
      <c r="CD82" t="e">
        <v>#VALUE!</v>
      </c>
      <c r="CE82" t="e">
        <v>#VALUE!</v>
      </c>
      <c r="CF82" t="e">
        <v>#VALUE!</v>
      </c>
      <c r="CG82" t="e">
        <v>#VALUE!</v>
      </c>
      <c r="CH82" t="e">
        <v>#VALUE!</v>
      </c>
      <c r="CI82" t="e">
        <v>#VALUE!</v>
      </c>
      <c r="CJ82" t="e">
        <v>#VALUE!</v>
      </c>
      <c r="CK82" t="e">
        <v>#VALUE!</v>
      </c>
    </row>
    <row r="83" ht="12.5" customHeight="1" s="213">
      <c r="A83" t="inlineStr">
        <is>
          <t>Brazil</t>
        </is>
      </c>
      <c r="B83" t="inlineStr">
        <is>
          <t>Trd_bus</t>
        </is>
      </c>
      <c r="C83" t="inlineStr">
        <is>
          <t>Trd_bus</t>
        </is>
      </c>
      <c r="D83" t="n">
        <v>16.415</v>
      </c>
      <c r="E83" t="n">
        <v>16.4923527738369</v>
      </c>
      <c r="G83" t="n">
        <v>16.8743840974053</v>
      </c>
      <c r="H83" t="n">
        <v>17.226025783712</v>
      </c>
      <c r="I83" t="n">
        <v>17.4779786064686</v>
      </c>
      <c r="J83" t="n">
        <v>17.6279910746659</v>
      </c>
      <c r="K83" t="n">
        <v>17.6815476899817</v>
      </c>
      <c r="L83" t="n">
        <v>17.6408356105644</v>
      </c>
      <c r="M83" t="n">
        <v>17.5236294317259</v>
      </c>
      <c r="N83" t="n">
        <v>17.3404591862759</v>
      </c>
      <c r="O83" t="n">
        <v>17.0966869682277</v>
      </c>
      <c r="P83" t="n">
        <v>16.8026168903973</v>
      </c>
      <c r="Q83" t="n">
        <v>16.4671730450555</v>
      </c>
      <c r="R83" t="n">
        <v>16.0980585156767</v>
      </c>
      <c r="S83" t="n">
        <v>15.7164945826101</v>
      </c>
      <c r="T83" t="n">
        <v>15.3337838948416</v>
      </c>
      <c r="U83" t="n">
        <v>14.9601155891814</v>
      </c>
      <c r="V83" t="n">
        <v>14.6019803536801</v>
      </c>
      <c r="W83" t="n">
        <v>3</v>
      </c>
      <c r="AG83" s="223" t="inlineStr">
        <is>
          <t>POP</t>
        </is>
      </c>
      <c r="AI83" t="n">
        <v>1</v>
      </c>
      <c r="AJ83" t="n">
        <v>1.00472384407087</v>
      </c>
      <c r="AK83" t="n">
        <v>1.02834306442523</v>
      </c>
      <c r="AL83" t="n">
        <v>1.05036327197554</v>
      </c>
      <c r="AM83" t="n">
        <v>1.06635006298857</v>
      </c>
      <c r="AN83" t="n">
        <v>1.07599657273857</v>
      </c>
      <c r="AO83" t="n">
        <v>1.07948696165566</v>
      </c>
      <c r="AP83" t="n">
        <v>1.07679812106107</v>
      </c>
      <c r="AQ83" t="n">
        <v>1.0689551990234</v>
      </c>
      <c r="AR83" t="n">
        <v>1.05654016651334</v>
      </c>
      <c r="AS83" t="n">
        <v>1.03980456733692</v>
      </c>
      <c r="AT83" t="n">
        <v>1.01936448955287</v>
      </c>
      <c r="AU83" t="n">
        <v>0.9957698525976461</v>
      </c>
      <c r="AV83" t="n">
        <v>0.96951061340022</v>
      </c>
      <c r="AW83" t="n">
        <v>0.94207203750446</v>
      </c>
      <c r="AX83" t="n">
        <v>0.914265618141886</v>
      </c>
      <c r="AY83" t="n">
        <v>0.886844450563568</v>
      </c>
      <c r="AZ83" t="n">
        <v>0.860306366326999</v>
      </c>
      <c r="BA83" t="n">
        <v>0</v>
      </c>
      <c r="BB83" t="n">
        <v>0</v>
      </c>
      <c r="BC83" t="n">
        <v>0</v>
      </c>
      <c r="BD83" t="n">
        <v>0</v>
      </c>
      <c r="BE83" t="n">
        <v>0</v>
      </c>
      <c r="BF83" t="n">
        <v>0</v>
      </c>
      <c r="BG83" t="n">
        <v>0</v>
      </c>
      <c r="BH83" t="n">
        <v>0</v>
      </c>
      <c r="BJ83" t="inlineStr">
        <is>
          <t>High2</t>
        </is>
      </c>
      <c r="BL83" t="n">
        <v>1</v>
      </c>
      <c r="BM83" t="n">
        <v>0.997560975609757</v>
      </c>
      <c r="BN83" t="n">
        <v>0.985365853658537</v>
      </c>
      <c r="BO83" t="n">
        <v>0.973170731707317</v>
      </c>
      <c r="BP83" t="n">
        <v>0.960975609756098</v>
      </c>
      <c r="BQ83" t="n">
        <v>0.948780487804878</v>
      </c>
      <c r="BR83" t="n">
        <v>0.936585365853658</v>
      </c>
      <c r="BS83" t="n">
        <v>0.924390243902439</v>
      </c>
      <c r="BT83" t="n">
        <v>0.91219512195122</v>
      </c>
      <c r="BU83" t="n">
        <v>0.9</v>
      </c>
      <c r="BV83" t="n">
        <v>0.8875</v>
      </c>
      <c r="BW83" t="n">
        <v>0.875000000000001</v>
      </c>
      <c r="BX83" t="n">
        <v>0.862500000000001</v>
      </c>
      <c r="BY83" t="n">
        <v>0.850000000000001</v>
      </c>
      <c r="BZ83" t="n">
        <v>0.8375</v>
      </c>
      <c r="CA83" t="n">
        <v>0.825000000000001</v>
      </c>
      <c r="CB83" t="n">
        <v>0.812500000000001</v>
      </c>
      <c r="CC83" t="n">
        <v>0.800000000000001</v>
      </c>
      <c r="CD83" t="e">
        <v>#VALUE!</v>
      </c>
      <c r="CE83" t="e">
        <v>#VALUE!</v>
      </c>
      <c r="CF83" t="e">
        <v>#VALUE!</v>
      </c>
      <c r="CG83" t="e">
        <v>#VALUE!</v>
      </c>
      <c r="CH83" t="e">
        <v>#VALUE!</v>
      </c>
      <c r="CI83" t="e">
        <v>#VALUE!</v>
      </c>
      <c r="CJ83" t="e">
        <v>#VALUE!</v>
      </c>
      <c r="CK83" t="e">
        <v>#VALUE!</v>
      </c>
    </row>
    <row r="84" ht="12.5" customHeight="1" s="213">
      <c r="A84" t="inlineStr">
        <is>
          <t>Brazil</t>
        </is>
      </c>
      <c r="B84" t="inlineStr">
        <is>
          <t>Trd_car</t>
        </is>
      </c>
      <c r="C84" t="inlineStr">
        <is>
          <t>Trd_car</t>
        </is>
      </c>
      <c r="D84" t="n">
        <v>463.596</v>
      </c>
      <c r="E84" t="n">
        <v>458.916777938121</v>
      </c>
      <c r="G84" t="n">
        <v>519.864790981081</v>
      </c>
      <c r="H84" t="n">
        <v>552.351303546928</v>
      </c>
      <c r="I84" t="n">
        <v>616.118477150593</v>
      </c>
      <c r="J84" t="n">
        <v>702.404410939197</v>
      </c>
      <c r="K84" t="n">
        <v>809.2600793099271</v>
      </c>
      <c r="L84" t="n">
        <v>933.8098000596</v>
      </c>
      <c r="M84" t="n">
        <v>1073.58947904128</v>
      </c>
      <c r="N84" t="n">
        <v>1225.78112349894</v>
      </c>
      <c r="O84" t="n">
        <v>1391.38807440142</v>
      </c>
      <c r="P84" t="n">
        <v>1566.34193666892</v>
      </c>
      <c r="Q84" t="n">
        <v>1750.88026123174</v>
      </c>
      <c r="R84" t="n">
        <v>1942.04947863317</v>
      </c>
      <c r="S84" t="n">
        <v>2138.84370882204</v>
      </c>
      <c r="T84" t="n">
        <v>2340.38824623336</v>
      </c>
      <c r="U84" t="n">
        <v>2545.4916888418</v>
      </c>
      <c r="V84" t="n">
        <v>2752.9135272842</v>
      </c>
      <c r="W84" t="n">
        <v>3</v>
      </c>
      <c r="AG84" s="223" t="inlineStr">
        <is>
          <t>GDPPCAP</t>
        </is>
      </c>
      <c r="AI84" t="n">
        <v>1</v>
      </c>
      <c r="AJ84" t="n">
        <v>0.9898820035060339</v>
      </c>
      <c r="AK84" t="n">
        <v>1.12329911576436</v>
      </c>
      <c r="AL84" t="n">
        <v>1.19542963615307</v>
      </c>
      <c r="AM84" t="n">
        <v>1.339042531438</v>
      </c>
      <c r="AN84" t="n">
        <v>1.53669598042394</v>
      </c>
      <c r="AO84" t="n">
        <v>1.78629962510875</v>
      </c>
      <c r="AP84" t="n">
        <v>2.08370827450451</v>
      </c>
      <c r="AQ84" t="n">
        <v>2.42563636596461</v>
      </c>
      <c r="AR84" t="n">
        <v>2.80770004072554</v>
      </c>
      <c r="AS84" t="n">
        <v>3.23511328802362</v>
      </c>
      <c r="AT84" t="n">
        <v>3.70001023930823</v>
      </c>
      <c r="AU84" t="n">
        <v>4.20542022670213</v>
      </c>
      <c r="AV84" t="n">
        <v>4.74561700414359</v>
      </c>
      <c r="AW84" t="n">
        <v>5.31981271029418</v>
      </c>
      <c r="AX84" t="n">
        <v>5.92743594906978</v>
      </c>
      <c r="AY84" t="n">
        <v>6.5667710395101</v>
      </c>
      <c r="AZ84" t="n">
        <v>7.23564560685608</v>
      </c>
      <c r="BA84" t="n">
        <v>0</v>
      </c>
      <c r="BB84" t="n">
        <v>0</v>
      </c>
      <c r="BC84" t="n">
        <v>0</v>
      </c>
      <c r="BD84" t="n">
        <v>0</v>
      </c>
      <c r="BE84" t="n">
        <v>0</v>
      </c>
      <c r="BF84" t="n">
        <v>0</v>
      </c>
      <c r="BG84" t="n">
        <v>0</v>
      </c>
      <c r="BH84" t="n">
        <v>0</v>
      </c>
      <c r="BJ84" t="inlineStr">
        <is>
          <t>High2</t>
        </is>
      </c>
      <c r="BL84" t="n">
        <v>1</v>
      </c>
      <c r="BM84" t="n">
        <v>0.997560975609757</v>
      </c>
      <c r="BN84" t="n">
        <v>0.985365853658537</v>
      </c>
      <c r="BO84" t="n">
        <v>0.973170731707317</v>
      </c>
      <c r="BP84" t="n">
        <v>0.960975609756098</v>
      </c>
      <c r="BQ84" t="n">
        <v>0.948780487804878</v>
      </c>
      <c r="BR84" t="n">
        <v>0.936585365853658</v>
      </c>
      <c r="BS84" t="n">
        <v>0.924390243902439</v>
      </c>
      <c r="BT84" t="n">
        <v>0.91219512195122</v>
      </c>
      <c r="BU84" t="n">
        <v>0.9</v>
      </c>
      <c r="BV84" t="n">
        <v>0.8875</v>
      </c>
      <c r="BW84" t="n">
        <v>0.875000000000001</v>
      </c>
      <c r="BX84" t="n">
        <v>0.862500000000001</v>
      </c>
      <c r="BY84" t="n">
        <v>0.850000000000001</v>
      </c>
      <c r="BZ84" t="n">
        <v>0.8375</v>
      </c>
      <c r="CA84" t="n">
        <v>0.825000000000001</v>
      </c>
      <c r="CB84" t="n">
        <v>0.812500000000001</v>
      </c>
      <c r="CC84" t="n">
        <v>0.800000000000001</v>
      </c>
      <c r="CD84" t="e">
        <v>#VALUE!</v>
      </c>
      <c r="CE84" t="e">
        <v>#VALUE!</v>
      </c>
      <c r="CF84" t="e">
        <v>#VALUE!</v>
      </c>
      <c r="CG84" t="e">
        <v>#VALUE!</v>
      </c>
      <c r="CH84" t="e">
        <v>#VALUE!</v>
      </c>
      <c r="CI84" t="e">
        <v>#VALUE!</v>
      </c>
      <c r="CJ84" t="e">
        <v>#VALUE!</v>
      </c>
      <c r="CK84" t="e">
        <v>#VALUE!</v>
      </c>
    </row>
    <row r="85" ht="12.5" customHeight="1" s="213">
      <c r="A85" t="inlineStr">
        <is>
          <t>Brazil</t>
        </is>
      </c>
      <c r="B85" t="inlineStr">
        <is>
          <t>Trd_hdt</t>
        </is>
      </c>
      <c r="C85" t="inlineStr">
        <is>
          <t>Trd_hdt</t>
        </is>
      </c>
      <c r="D85" t="n">
        <v>220.2</v>
      </c>
      <c r="E85" t="n">
        <v>219.004605717371</v>
      </c>
      <c r="G85" t="n">
        <v>253.847067776885</v>
      </c>
      <c r="H85" t="n">
        <v>275.339593496499</v>
      </c>
      <c r="I85" t="n">
        <v>311.637663482662</v>
      </c>
      <c r="J85" t="n">
        <v>358.351365400742</v>
      </c>
      <c r="K85" t="n">
        <v>414.132358613992</v>
      </c>
      <c r="L85" t="n">
        <v>476.757372536125</v>
      </c>
      <c r="M85" t="n">
        <v>544.434627193422</v>
      </c>
      <c r="N85" t="n">
        <v>615.026265376979</v>
      </c>
      <c r="O85" t="n">
        <v>688.156062701103</v>
      </c>
      <c r="P85" t="n">
        <v>761.147640687482</v>
      </c>
      <c r="Q85" t="n">
        <v>833.551096442647</v>
      </c>
      <c r="R85" t="n">
        <v>903.477843171256</v>
      </c>
      <c r="S85" t="n">
        <v>971.024476786969</v>
      </c>
      <c r="T85" t="n">
        <v>1036.17864519791</v>
      </c>
      <c r="U85" t="n">
        <v>1099.01159004118</v>
      </c>
      <c r="V85" t="n">
        <v>1159.57616897197</v>
      </c>
      <c r="W85" t="n">
        <v>3</v>
      </c>
      <c r="AG85" s="223" t="inlineStr">
        <is>
          <t>GDP</t>
        </is>
      </c>
      <c r="AI85" t="n">
        <v>1</v>
      </c>
      <c r="AJ85" t="n">
        <v>0.994558051739161</v>
      </c>
      <c r="AK85" t="n">
        <v>1.15513685497127</v>
      </c>
      <c r="AL85" t="n">
        <v>1.25563538404626</v>
      </c>
      <c r="AM85" t="n">
        <v>1.42788808774329</v>
      </c>
      <c r="AN85" t="n">
        <v>1.65347960827729</v>
      </c>
      <c r="AO85" t="n">
        <v>1.9282871549153</v>
      </c>
      <c r="AP85" t="n">
        <v>2.24373315482587</v>
      </c>
      <c r="AQ85" t="n">
        <v>2.59289660433811</v>
      </c>
      <c r="AR85" t="n">
        <v>2.96644786854768</v>
      </c>
      <c r="AS85" t="n">
        <v>3.36388557273931</v>
      </c>
      <c r="AT85" t="n">
        <v>3.77165904893282</v>
      </c>
      <c r="AU85" t="n">
        <v>4.18763067925433</v>
      </c>
      <c r="AV85" t="n">
        <v>4.60092605264976</v>
      </c>
      <c r="AW85" t="n">
        <v>5.01164679912896</v>
      </c>
      <c r="AX85" t="n">
        <v>5.41925089197272</v>
      </c>
      <c r="AY85" t="n">
        <v>5.82370445451109</v>
      </c>
      <c r="AZ85" t="n">
        <v>6.22487198006426</v>
      </c>
      <c r="BA85" t="n">
        <v>0</v>
      </c>
      <c r="BB85" t="n">
        <v>0</v>
      </c>
      <c r="BC85" t="n">
        <v>0</v>
      </c>
      <c r="BD85" t="n">
        <v>0</v>
      </c>
      <c r="BE85" t="n">
        <v>0</v>
      </c>
      <c r="BF85" t="n">
        <v>0</v>
      </c>
      <c r="BG85" t="n">
        <v>0</v>
      </c>
      <c r="BH85" t="n">
        <v>0</v>
      </c>
      <c r="BJ85" t="inlineStr">
        <is>
          <t>High2</t>
        </is>
      </c>
      <c r="BL85" t="n">
        <v>1</v>
      </c>
      <c r="BM85" t="n">
        <v>0.997560975609757</v>
      </c>
      <c r="BN85" t="n">
        <v>0.985365853658537</v>
      </c>
      <c r="BO85" t="n">
        <v>0.973170731707317</v>
      </c>
      <c r="BP85" t="n">
        <v>0.960975609756098</v>
      </c>
      <c r="BQ85" t="n">
        <v>0.948780487804878</v>
      </c>
      <c r="BR85" t="n">
        <v>0.936585365853658</v>
      </c>
      <c r="BS85" t="n">
        <v>0.924390243902439</v>
      </c>
      <c r="BT85" t="n">
        <v>0.91219512195122</v>
      </c>
      <c r="BU85" t="n">
        <v>0.9</v>
      </c>
      <c r="BV85" t="n">
        <v>0.8875</v>
      </c>
      <c r="BW85" t="n">
        <v>0.875000000000001</v>
      </c>
      <c r="BX85" t="n">
        <v>0.862500000000001</v>
      </c>
      <c r="BY85" t="n">
        <v>0.850000000000001</v>
      </c>
      <c r="BZ85" t="n">
        <v>0.8375</v>
      </c>
      <c r="CA85" t="n">
        <v>0.825000000000001</v>
      </c>
      <c r="CB85" t="n">
        <v>0.812500000000001</v>
      </c>
      <c r="CC85" t="n">
        <v>0.800000000000001</v>
      </c>
      <c r="CD85" t="e">
        <v>#VALUE!</v>
      </c>
      <c r="CE85" t="e">
        <v>#VALUE!</v>
      </c>
      <c r="CF85" t="e">
        <v>#VALUE!</v>
      </c>
      <c r="CG85" t="e">
        <v>#VALUE!</v>
      </c>
      <c r="CH85" t="e">
        <v>#VALUE!</v>
      </c>
      <c r="CI85" t="e">
        <v>#VALUE!</v>
      </c>
      <c r="CJ85" t="e">
        <v>#VALUE!</v>
      </c>
      <c r="CK85" t="e">
        <v>#VALUE!</v>
      </c>
    </row>
    <row r="86" ht="12.5" customHeight="1" s="213">
      <c r="A86" t="inlineStr">
        <is>
          <t>Brazil</t>
        </is>
      </c>
      <c r="B86" t="inlineStr">
        <is>
          <t>Trd_lcv</t>
        </is>
      </c>
      <c r="C86" t="inlineStr">
        <is>
          <t>Trd_lcv</t>
        </is>
      </c>
      <c r="D86" t="n">
        <v>98.64</v>
      </c>
      <c r="E86" t="n">
        <v>98.1045154766641</v>
      </c>
      <c r="G86" t="n">
        <v>113.712419461907</v>
      </c>
      <c r="H86" t="n">
        <v>123.340133980448</v>
      </c>
      <c r="I86" t="n">
        <v>139.600086857084</v>
      </c>
      <c r="J86" t="n">
        <v>160.525788751722</v>
      </c>
      <c r="K86" t="n">
        <v>185.513241842344</v>
      </c>
      <c r="L86" t="n">
        <v>213.566517833621</v>
      </c>
      <c r="M86" t="n">
        <v>243.882977413075</v>
      </c>
      <c r="N86" t="n">
        <v>275.504953754701</v>
      </c>
      <c r="O86" t="n">
        <v>308.263914735862</v>
      </c>
      <c r="P86" t="n">
        <v>340.960959479624</v>
      </c>
      <c r="Q86" t="n">
        <v>373.394551104009</v>
      </c>
      <c r="R86" t="n">
        <v>404.718685060911</v>
      </c>
      <c r="S86" t="n">
        <v>434.976632108386</v>
      </c>
      <c r="T86" t="n">
        <v>464.162859047785</v>
      </c>
      <c r="U86" t="n">
        <v>492.309279026621</v>
      </c>
      <c r="V86" t="n">
        <v>519.439569970007</v>
      </c>
      <c r="W86" t="n">
        <v>3</v>
      </c>
      <c r="AG86" s="223" t="inlineStr">
        <is>
          <t>GDP</t>
        </is>
      </c>
      <c r="AI86" t="n">
        <v>1</v>
      </c>
      <c r="AJ86" t="n">
        <v>0.994558051739161</v>
      </c>
      <c r="AK86" t="n">
        <v>1.15513685497127</v>
      </c>
      <c r="AL86" t="n">
        <v>1.25563538404626</v>
      </c>
      <c r="AM86" t="n">
        <v>1.42788808774329</v>
      </c>
      <c r="AN86" t="n">
        <v>1.65347960827729</v>
      </c>
      <c r="AO86" t="n">
        <v>1.9282871549153</v>
      </c>
      <c r="AP86" t="n">
        <v>2.24373315482587</v>
      </c>
      <c r="AQ86" t="n">
        <v>2.59289660433811</v>
      </c>
      <c r="AR86" t="n">
        <v>2.96644786854768</v>
      </c>
      <c r="AS86" t="n">
        <v>3.36388557273931</v>
      </c>
      <c r="AT86" t="n">
        <v>3.77165904893282</v>
      </c>
      <c r="AU86" t="n">
        <v>4.18763067925433</v>
      </c>
      <c r="AV86" t="n">
        <v>4.60092605264976</v>
      </c>
      <c r="AW86" t="n">
        <v>5.01164679912896</v>
      </c>
      <c r="AX86" t="n">
        <v>5.41925089197272</v>
      </c>
      <c r="AY86" t="n">
        <v>5.82370445451109</v>
      </c>
      <c r="AZ86" t="n">
        <v>6.22487198006426</v>
      </c>
      <c r="BA86" t="n">
        <v>0</v>
      </c>
      <c r="BB86" t="n">
        <v>0</v>
      </c>
      <c r="BC86" t="n">
        <v>0</v>
      </c>
      <c r="BD86" t="n">
        <v>0</v>
      </c>
      <c r="BE86" t="n">
        <v>0</v>
      </c>
      <c r="BF86" t="n">
        <v>0</v>
      </c>
      <c r="BG86" t="n">
        <v>0</v>
      </c>
      <c r="BH86" t="n">
        <v>0</v>
      </c>
      <c r="BJ86" t="inlineStr">
        <is>
          <t>High2</t>
        </is>
      </c>
      <c r="BL86" t="n">
        <v>1</v>
      </c>
      <c r="BM86" t="n">
        <v>0.997560975609757</v>
      </c>
      <c r="BN86" t="n">
        <v>0.985365853658537</v>
      </c>
      <c r="BO86" t="n">
        <v>0.973170731707317</v>
      </c>
      <c r="BP86" t="n">
        <v>0.960975609756098</v>
      </c>
      <c r="BQ86" t="n">
        <v>0.948780487804878</v>
      </c>
      <c r="BR86" t="n">
        <v>0.936585365853658</v>
      </c>
      <c r="BS86" t="n">
        <v>0.924390243902439</v>
      </c>
      <c r="BT86" t="n">
        <v>0.91219512195122</v>
      </c>
      <c r="BU86" t="n">
        <v>0.9</v>
      </c>
      <c r="BV86" t="n">
        <v>0.8875</v>
      </c>
      <c r="BW86" t="n">
        <v>0.875000000000001</v>
      </c>
      <c r="BX86" t="n">
        <v>0.862500000000001</v>
      </c>
      <c r="BY86" t="n">
        <v>0.850000000000001</v>
      </c>
      <c r="BZ86" t="n">
        <v>0.8375</v>
      </c>
      <c r="CA86" t="n">
        <v>0.825000000000001</v>
      </c>
      <c r="CB86" t="n">
        <v>0.812500000000001</v>
      </c>
      <c r="CC86" t="n">
        <v>0.800000000000001</v>
      </c>
      <c r="CD86" t="e">
        <v>#VALUE!</v>
      </c>
      <c r="CE86" t="e">
        <v>#VALUE!</v>
      </c>
      <c r="CF86" t="e">
        <v>#VALUE!</v>
      </c>
      <c r="CG86" t="e">
        <v>#VALUE!</v>
      </c>
      <c r="CH86" t="e">
        <v>#VALUE!</v>
      </c>
      <c r="CI86" t="e">
        <v>#VALUE!</v>
      </c>
      <c r="CJ86" t="e">
        <v>#VALUE!</v>
      </c>
      <c r="CK86" t="e">
        <v>#VALUE!</v>
      </c>
    </row>
    <row r="87" ht="12.5" customFormat="1" customHeight="1" s="30">
      <c r="A87" t="inlineStr">
        <is>
          <t>China</t>
        </is>
      </c>
      <c r="B87" t="inlineStr">
        <is>
          <t>TAD</t>
        </is>
      </c>
      <c r="C87" t="inlineStr">
        <is>
          <t>TAD</t>
        </is>
      </c>
      <c r="E87" t="n">
        <v>1188.16711411818</v>
      </c>
      <c r="F87">
        <f>E87</f>
        <v/>
      </c>
      <c r="I87">
        <f>F87</f>
        <v/>
      </c>
      <c r="J87">
        <f>I87</f>
        <v/>
      </c>
      <c r="L87">
        <f>J87</f>
        <v/>
      </c>
      <c r="V87">
        <f>L87</f>
        <v/>
      </c>
      <c r="W87" t="n">
        <v>3</v>
      </c>
      <c r="AG87" s="224" t="inlineStr">
        <is>
          <t>GDP</t>
        </is>
      </c>
      <c r="AI87" s="30" t="n">
        <v>1</v>
      </c>
      <c r="AJ87" s="30" t="n">
        <v>1.05112854144243</v>
      </c>
      <c r="AK87" s="30" t="n">
        <v>1.34748241570804</v>
      </c>
      <c r="AL87" s="30" t="n">
        <v>1.61939081647613</v>
      </c>
      <c r="AM87" s="30" t="n">
        <v>1.86637100263541</v>
      </c>
      <c r="AN87" s="30" t="n">
        <v>2.06432167722141</v>
      </c>
      <c r="AO87" s="30" t="n">
        <v>2.25382438235957</v>
      </c>
      <c r="AP87" s="30" t="n">
        <v>2.43076687895356</v>
      </c>
      <c r="AQ87" s="30" t="n">
        <v>2.58432772042495</v>
      </c>
      <c r="AR87" s="30" t="n">
        <v>2.73235938824186</v>
      </c>
      <c r="AS87" s="30" t="n">
        <v>2.8725062845741</v>
      </c>
      <c r="AT87" s="30" t="n">
        <v>2.98524868318952</v>
      </c>
      <c r="AU87" s="30" t="n">
        <v>3.06916517970485</v>
      </c>
      <c r="AV87" s="30" t="n">
        <v>3.130871115275</v>
      </c>
      <c r="AW87" s="30" t="n">
        <v>3.17630688746411</v>
      </c>
      <c r="AX87" s="30" t="n">
        <v>3.21307119895013</v>
      </c>
      <c r="AY87" s="30" t="n">
        <v>3.24296091942514</v>
      </c>
      <c r="AZ87" s="30" t="n">
        <v>3.25990155657189</v>
      </c>
      <c r="BA87" s="30" t="n">
        <v>0</v>
      </c>
      <c r="BB87" s="30" t="n">
        <v>0</v>
      </c>
      <c r="BC87" s="30" t="n">
        <v>0</v>
      </c>
      <c r="BD87" s="30" t="n">
        <v>0</v>
      </c>
      <c r="BE87" s="30" t="n">
        <v>0</v>
      </c>
      <c r="BF87" s="30" t="n">
        <v>0</v>
      </c>
      <c r="BG87" s="30" t="n">
        <v>0</v>
      </c>
      <c r="BH87" s="30" t="n">
        <v>0</v>
      </c>
      <c r="BJ87" s="30" t="inlineStr">
        <is>
          <t>Med1</t>
        </is>
      </c>
      <c r="BL87" s="30" t="n">
        <v>0.799999999999999</v>
      </c>
      <c r="BM87" s="30" t="n">
        <v>0.795121951219512</v>
      </c>
      <c r="BN87" s="30" t="n">
        <v>0.770731707317072</v>
      </c>
      <c r="BO87" s="30" t="n">
        <v>0.746341463414634</v>
      </c>
      <c r="BP87" s="30" t="n">
        <v>0.721951219512194</v>
      </c>
      <c r="BQ87" s="30" t="n">
        <v>0.6975609756097561</v>
      </c>
      <c r="BR87" s="30" t="n">
        <v>0.673170731707316</v>
      </c>
      <c r="BS87" s="30" t="n">
        <v>0.648780487804878</v>
      </c>
      <c r="BT87" s="30" t="n">
        <v>0.62439024390244</v>
      </c>
      <c r="BU87" s="30" t="n">
        <v>0.6</v>
      </c>
      <c r="BV87" s="30" t="n">
        <v>0.574999999999999</v>
      </c>
      <c r="BW87" s="30" t="n">
        <v>0.550000000000001</v>
      </c>
      <c r="BX87" s="30" t="n">
        <v>0.525</v>
      </c>
      <c r="BY87" s="30" t="n">
        <v>0.5</v>
      </c>
      <c r="BZ87" s="30" t="n">
        <v>0.475</v>
      </c>
      <c r="CA87" s="30" t="n">
        <v>0.449999999999999</v>
      </c>
      <c r="CB87" s="30" t="n">
        <v>0.425000000000001</v>
      </c>
      <c r="CC87" s="30" t="n">
        <v>0.4</v>
      </c>
      <c r="CD87" s="30" t="e">
        <v>#VALUE!</v>
      </c>
      <c r="CE87" s="30" t="e">
        <v>#VALUE!</v>
      </c>
      <c r="CF87" s="30" t="e">
        <v>#VALUE!</v>
      </c>
      <c r="CG87" s="30" t="e">
        <v>#VALUE!</v>
      </c>
      <c r="CH87" s="30" t="e">
        <v>#VALUE!</v>
      </c>
      <c r="CI87" s="30" t="e">
        <v>#VALUE!</v>
      </c>
      <c r="CJ87" s="30" t="e">
        <v>#VALUE!</v>
      </c>
      <c r="CK87" s="30" t="e">
        <v>#VALUE!</v>
      </c>
    </row>
    <row r="88" ht="12.5" customHeight="1" s="213">
      <c r="A88" t="inlineStr">
        <is>
          <t>China</t>
        </is>
      </c>
      <c r="B88" t="inlineStr">
        <is>
          <t>TAI</t>
        </is>
      </c>
      <c r="C88" t="inlineStr">
        <is>
          <t>TAI</t>
        </is>
      </c>
      <c r="E88" t="n">
        <v>467.444758409838</v>
      </c>
      <c r="F88">
        <f>E88</f>
        <v/>
      </c>
      <c r="I88">
        <f>F88</f>
        <v/>
      </c>
      <c r="J88">
        <f>I88</f>
        <v/>
      </c>
      <c r="L88">
        <f>J88</f>
        <v/>
      </c>
      <c r="V88">
        <f>L88</f>
        <v/>
      </c>
      <c r="W88" t="n">
        <v>3</v>
      </c>
      <c r="AG88" s="223" t="inlineStr">
        <is>
          <t>GDP</t>
        </is>
      </c>
      <c r="AI88" t="n">
        <v>1</v>
      </c>
      <c r="AJ88" t="n">
        <v>1.05112854144243</v>
      </c>
      <c r="AK88" t="n">
        <v>1.34748241570804</v>
      </c>
      <c r="AL88" t="n">
        <v>1.61939081647613</v>
      </c>
      <c r="AM88" t="n">
        <v>1.86637100263541</v>
      </c>
      <c r="AN88" t="n">
        <v>2.06432167722141</v>
      </c>
      <c r="AO88" t="n">
        <v>2.25382438235957</v>
      </c>
      <c r="AP88" t="n">
        <v>2.43076687895356</v>
      </c>
      <c r="AQ88" t="n">
        <v>2.58432772042495</v>
      </c>
      <c r="AR88" t="n">
        <v>2.73235938824186</v>
      </c>
      <c r="AS88" t="n">
        <v>2.8725062845741</v>
      </c>
      <c r="AT88" t="n">
        <v>2.98524868318952</v>
      </c>
      <c r="AU88" t="n">
        <v>3.06916517970485</v>
      </c>
      <c r="AV88" t="n">
        <v>3.130871115275</v>
      </c>
      <c r="AW88" t="n">
        <v>3.17630688746411</v>
      </c>
      <c r="AX88" t="n">
        <v>3.21307119895013</v>
      </c>
      <c r="AY88" t="n">
        <v>3.24296091942514</v>
      </c>
      <c r="AZ88" t="n">
        <v>3.25990155657189</v>
      </c>
      <c r="BA88" t="n">
        <v>0</v>
      </c>
      <c r="BB88" t="n">
        <v>0</v>
      </c>
      <c r="BC88" t="n">
        <v>0</v>
      </c>
      <c r="BD88" t="n">
        <v>0</v>
      </c>
      <c r="BE88" t="n">
        <v>0</v>
      </c>
      <c r="BF88" t="n">
        <v>0</v>
      </c>
      <c r="BG88" t="n">
        <v>0</v>
      </c>
      <c r="BH88" t="n">
        <v>0</v>
      </c>
      <c r="BJ88" t="inlineStr">
        <is>
          <t>Med1</t>
        </is>
      </c>
      <c r="BL88" t="n">
        <v>0.799999999999999</v>
      </c>
      <c r="BM88" t="n">
        <v>0.795121951219512</v>
      </c>
      <c r="BN88" t="n">
        <v>0.770731707317072</v>
      </c>
      <c r="BO88" t="n">
        <v>0.746341463414634</v>
      </c>
      <c r="BP88" t="n">
        <v>0.721951219512194</v>
      </c>
      <c r="BQ88" t="n">
        <v>0.6975609756097561</v>
      </c>
      <c r="BR88" t="n">
        <v>0.673170731707316</v>
      </c>
      <c r="BS88" t="n">
        <v>0.648780487804878</v>
      </c>
      <c r="BT88" t="n">
        <v>0.62439024390244</v>
      </c>
      <c r="BU88" t="n">
        <v>0.6</v>
      </c>
      <c r="BV88" t="n">
        <v>0.574999999999999</v>
      </c>
      <c r="BW88" t="n">
        <v>0.550000000000001</v>
      </c>
      <c r="BX88" t="n">
        <v>0.525</v>
      </c>
      <c r="BY88" t="n">
        <v>0.5</v>
      </c>
      <c r="BZ88" t="n">
        <v>0.475</v>
      </c>
      <c r="CA88" t="n">
        <v>0.449999999999999</v>
      </c>
      <c r="CB88" t="n">
        <v>0.425000000000001</v>
      </c>
      <c r="CC88" t="n">
        <v>0.4</v>
      </c>
      <c r="CD88" t="e">
        <v>#VALUE!</v>
      </c>
      <c r="CE88" t="e">
        <v>#VALUE!</v>
      </c>
      <c r="CF88" t="e">
        <v>#VALUE!</v>
      </c>
      <c r="CG88" t="e">
        <v>#VALUE!</v>
      </c>
      <c r="CH88" t="e">
        <v>#VALUE!</v>
      </c>
      <c r="CI88" t="e">
        <v>#VALUE!</v>
      </c>
      <c r="CJ88" t="e">
        <v>#VALUE!</v>
      </c>
      <c r="CK88" t="e">
        <v>#VALUE!</v>
      </c>
    </row>
    <row r="89" ht="12.5" customHeight="1" s="213">
      <c r="A89" t="inlineStr">
        <is>
          <t>China</t>
        </is>
      </c>
      <c r="B89" t="inlineStr">
        <is>
          <t>TTF</t>
        </is>
      </c>
      <c r="C89" t="inlineStr">
        <is>
          <t>TTF</t>
        </is>
      </c>
      <c r="E89" t="n">
        <v>144.327570907279</v>
      </c>
      <c r="I89" t="n">
        <v>224.407696622378</v>
      </c>
      <c r="J89" t="n">
        <v>241.010404715518</v>
      </c>
      <c r="L89" t="n">
        <v>268.938258912685</v>
      </c>
      <c r="V89" t="n">
        <v>317.390632286557</v>
      </c>
      <c r="W89" t="n">
        <v>3</v>
      </c>
      <c r="AG89" s="223" t="inlineStr">
        <is>
          <t>GDP</t>
        </is>
      </c>
      <c r="AI89" t="n">
        <v>1</v>
      </c>
      <c r="AJ89" t="n">
        <v>1.05112854144243</v>
      </c>
      <c r="AK89" t="n">
        <v>1.34748241570804</v>
      </c>
      <c r="AL89" t="n">
        <v>1.61939081647613</v>
      </c>
      <c r="AM89" t="n">
        <v>1.86637100263541</v>
      </c>
      <c r="AN89" t="n">
        <v>2.06432167722141</v>
      </c>
      <c r="AO89" t="n">
        <v>2.25382438235957</v>
      </c>
      <c r="AP89" t="n">
        <v>2.43076687895356</v>
      </c>
      <c r="AQ89" t="n">
        <v>2.58432772042495</v>
      </c>
      <c r="AR89" t="n">
        <v>2.73235938824186</v>
      </c>
      <c r="AS89" t="n">
        <v>2.8725062845741</v>
      </c>
      <c r="AT89" t="n">
        <v>2.98524868318952</v>
      </c>
      <c r="AU89" t="n">
        <v>3.06916517970485</v>
      </c>
      <c r="AV89" t="n">
        <v>3.130871115275</v>
      </c>
      <c r="AW89" t="n">
        <v>3.17630688746411</v>
      </c>
      <c r="AX89" t="n">
        <v>3.21307119895013</v>
      </c>
      <c r="AY89" t="n">
        <v>3.24296091942514</v>
      </c>
      <c r="AZ89" t="n">
        <v>3.25990155657189</v>
      </c>
      <c r="BA89" t="n">
        <v>0</v>
      </c>
      <c r="BB89" t="n">
        <v>0</v>
      </c>
      <c r="BC89" t="n">
        <v>0</v>
      </c>
      <c r="BD89" t="n">
        <v>0</v>
      </c>
      <c r="BE89" t="n">
        <v>0</v>
      </c>
      <c r="BF89" t="n">
        <v>0</v>
      </c>
      <c r="BG89" t="n">
        <v>0</v>
      </c>
      <c r="BH89" t="n">
        <v>0</v>
      </c>
      <c r="BJ89" t="inlineStr">
        <is>
          <t>Med1</t>
        </is>
      </c>
      <c r="BL89" t="n">
        <v>0.799999999999999</v>
      </c>
      <c r="BM89" t="n">
        <v>0.795121951219512</v>
      </c>
      <c r="BN89" t="n">
        <v>0.770731707317072</v>
      </c>
      <c r="BO89" t="n">
        <v>0.746341463414634</v>
      </c>
      <c r="BP89" t="n">
        <v>0.721951219512194</v>
      </c>
      <c r="BQ89" t="n">
        <v>0.6975609756097561</v>
      </c>
      <c r="BR89" t="n">
        <v>0.673170731707316</v>
      </c>
      <c r="BS89" t="n">
        <v>0.648780487804878</v>
      </c>
      <c r="BT89" t="n">
        <v>0.62439024390244</v>
      </c>
      <c r="BU89" t="n">
        <v>0.6</v>
      </c>
      <c r="BV89" t="n">
        <v>0.574999999999999</v>
      </c>
      <c r="BW89" t="n">
        <v>0.550000000000001</v>
      </c>
      <c r="BX89" t="n">
        <v>0.525</v>
      </c>
      <c r="BY89" t="n">
        <v>0.5</v>
      </c>
      <c r="BZ89" t="n">
        <v>0.475</v>
      </c>
      <c r="CA89" t="n">
        <v>0.449999999999999</v>
      </c>
      <c r="CB89" t="n">
        <v>0.425000000000001</v>
      </c>
      <c r="CC89" t="n">
        <v>0.4</v>
      </c>
      <c r="CD89" t="e">
        <v>#VALUE!</v>
      </c>
      <c r="CE89" t="e">
        <v>#VALUE!</v>
      </c>
      <c r="CF89" t="e">
        <v>#VALUE!</v>
      </c>
      <c r="CG89" t="e">
        <v>#VALUE!</v>
      </c>
      <c r="CH89" t="e">
        <v>#VALUE!</v>
      </c>
      <c r="CI89" t="e">
        <v>#VALUE!</v>
      </c>
      <c r="CJ89" t="e">
        <v>#VALUE!</v>
      </c>
      <c r="CK89" t="e">
        <v>#VALUE!</v>
      </c>
    </row>
    <row r="90" ht="12.5" customHeight="1" s="213">
      <c r="A90" t="inlineStr">
        <is>
          <t>China</t>
        </is>
      </c>
      <c r="B90" t="inlineStr">
        <is>
          <t>TTP</t>
        </is>
      </c>
      <c r="C90" t="inlineStr">
        <is>
          <t>TTP</t>
        </is>
      </c>
      <c r="E90" t="n">
        <v>326.607668327134</v>
      </c>
      <c r="I90" t="n">
        <v>322.411094673057</v>
      </c>
      <c r="J90" t="n">
        <v>318.688567557196</v>
      </c>
      <c r="L90" t="n">
        <v>308.001346625873</v>
      </c>
      <c r="V90" t="n">
        <v>240.985198947612</v>
      </c>
      <c r="W90" t="n">
        <v>3</v>
      </c>
      <c r="AG90" s="223" t="inlineStr">
        <is>
          <t>POP</t>
        </is>
      </c>
      <c r="AI90" t="n">
        <v>1</v>
      </c>
      <c r="AJ90" t="n">
        <v>1.00033331616148</v>
      </c>
      <c r="AK90" t="n">
        <v>1.0019998969689</v>
      </c>
      <c r="AL90" t="n">
        <v>0.994906430115937</v>
      </c>
      <c r="AM90" t="n">
        <v>0.98267151190847</v>
      </c>
      <c r="AN90" t="n">
        <v>0.966406511398471</v>
      </c>
      <c r="AO90" t="n">
        <v>0.945066520676171</v>
      </c>
      <c r="AP90" t="n">
        <v>0.917459642340542</v>
      </c>
      <c r="AQ90" t="n">
        <v>0.883436545527019</v>
      </c>
      <c r="AR90" t="n">
        <v>0.84523773973525</v>
      </c>
      <c r="AS90" t="n">
        <v>0.805571252552421</v>
      </c>
      <c r="AT90" t="n">
        <v>0.766871080268876</v>
      </c>
      <c r="AU90" t="n">
        <v>0.729674722955349</v>
      </c>
      <c r="AV90" t="n">
        <v>0.693102074332999</v>
      </c>
      <c r="AW90" t="n">
        <v>0.65724585573511</v>
      </c>
      <c r="AX90" t="n">
        <v>0.623388841880121</v>
      </c>
      <c r="AY90" t="n">
        <v>0.592040606359808</v>
      </c>
      <c r="AZ90" t="n">
        <v>0.562137393665917</v>
      </c>
      <c r="BA90" t="n">
        <v>0</v>
      </c>
      <c r="BB90" t="n">
        <v>0</v>
      </c>
      <c r="BC90" t="n">
        <v>0</v>
      </c>
      <c r="BD90" t="n">
        <v>0</v>
      </c>
      <c r="BE90" t="n">
        <v>0</v>
      </c>
      <c r="BF90" t="n">
        <v>0</v>
      </c>
      <c r="BG90" t="n">
        <v>0</v>
      </c>
      <c r="BH90" t="n">
        <v>0</v>
      </c>
      <c r="BJ90" t="inlineStr">
        <is>
          <t>Med1</t>
        </is>
      </c>
      <c r="BL90" t="n">
        <v>0.799999999999999</v>
      </c>
      <c r="BM90" t="n">
        <v>0.795121951219512</v>
      </c>
      <c r="BN90" t="n">
        <v>0.770731707317072</v>
      </c>
      <c r="BO90" t="n">
        <v>0.746341463414634</v>
      </c>
      <c r="BP90" t="n">
        <v>0.721951219512194</v>
      </c>
      <c r="BQ90" t="n">
        <v>0.6975609756097561</v>
      </c>
      <c r="BR90" t="n">
        <v>0.673170731707316</v>
      </c>
      <c r="BS90" t="n">
        <v>0.648780487804878</v>
      </c>
      <c r="BT90" t="n">
        <v>0.62439024390244</v>
      </c>
      <c r="BU90" t="n">
        <v>0.6</v>
      </c>
      <c r="BV90" t="n">
        <v>0.574999999999999</v>
      </c>
      <c r="BW90" t="n">
        <v>0.550000000000001</v>
      </c>
      <c r="BX90" t="n">
        <v>0.525</v>
      </c>
      <c r="BY90" t="n">
        <v>0.5</v>
      </c>
      <c r="BZ90" t="n">
        <v>0.475</v>
      </c>
      <c r="CA90" t="n">
        <v>0.449999999999999</v>
      </c>
      <c r="CB90" t="n">
        <v>0.425000000000001</v>
      </c>
      <c r="CC90" t="n">
        <v>0.4</v>
      </c>
      <c r="CD90" t="e">
        <v>#VALUE!</v>
      </c>
      <c r="CE90" t="e">
        <v>#VALUE!</v>
      </c>
      <c r="CF90" t="e">
        <v>#VALUE!</v>
      </c>
      <c r="CG90" t="e">
        <v>#VALUE!</v>
      </c>
      <c r="CH90" t="e">
        <v>#VALUE!</v>
      </c>
      <c r="CI90" t="e">
        <v>#VALUE!</v>
      </c>
      <c r="CJ90" t="e">
        <v>#VALUE!</v>
      </c>
      <c r="CK90" t="e">
        <v>#VALUE!</v>
      </c>
    </row>
    <row r="91" ht="12.5" customHeight="1" s="213">
      <c r="A91" t="inlineStr">
        <is>
          <t>China</t>
        </is>
      </c>
      <c r="B91" t="inlineStr">
        <is>
          <t>TWD</t>
        </is>
      </c>
      <c r="C91" t="inlineStr">
        <is>
          <t>TWD</t>
        </is>
      </c>
      <c r="E91" t="n">
        <v>1059.41231504256</v>
      </c>
      <c r="F91">
        <f>E91</f>
        <v/>
      </c>
      <c r="I91">
        <f>F91</f>
        <v/>
      </c>
      <c r="J91">
        <f>I91</f>
        <v/>
      </c>
      <c r="L91">
        <f>J91</f>
        <v/>
      </c>
      <c r="V91">
        <f>L91</f>
        <v/>
      </c>
      <c r="W91" t="n">
        <v>3</v>
      </c>
      <c r="AG91" s="223" t="inlineStr">
        <is>
          <t>GDP</t>
        </is>
      </c>
      <c r="AI91" t="n">
        <v>1</v>
      </c>
      <c r="AJ91" t="n">
        <v>1.05112854144243</v>
      </c>
      <c r="AK91" t="n">
        <v>1.34748241570804</v>
      </c>
      <c r="AL91" t="n">
        <v>1.61939081647613</v>
      </c>
      <c r="AM91" t="n">
        <v>1.86637100263541</v>
      </c>
      <c r="AN91" t="n">
        <v>2.06432167722141</v>
      </c>
      <c r="AO91" t="n">
        <v>2.25382438235957</v>
      </c>
      <c r="AP91" t="n">
        <v>2.43076687895356</v>
      </c>
      <c r="AQ91" t="n">
        <v>2.58432772042495</v>
      </c>
      <c r="AR91" t="n">
        <v>2.73235938824186</v>
      </c>
      <c r="AS91" t="n">
        <v>2.8725062845741</v>
      </c>
      <c r="AT91" t="n">
        <v>2.98524868318952</v>
      </c>
      <c r="AU91" t="n">
        <v>3.06916517970485</v>
      </c>
      <c r="AV91" t="n">
        <v>3.130871115275</v>
      </c>
      <c r="AW91" t="n">
        <v>3.17630688746411</v>
      </c>
      <c r="AX91" t="n">
        <v>3.21307119895013</v>
      </c>
      <c r="AY91" t="n">
        <v>3.24296091942514</v>
      </c>
      <c r="AZ91" t="n">
        <v>3.25990155657189</v>
      </c>
      <c r="BA91" t="n">
        <v>0</v>
      </c>
      <c r="BB91" t="n">
        <v>0</v>
      </c>
      <c r="BC91" t="n">
        <v>0</v>
      </c>
      <c r="BD91" t="n">
        <v>0</v>
      </c>
      <c r="BE91" t="n">
        <v>0</v>
      </c>
      <c r="BF91" t="n">
        <v>0</v>
      </c>
      <c r="BG91" t="n">
        <v>0</v>
      </c>
      <c r="BH91" t="n">
        <v>0</v>
      </c>
      <c r="BJ91" t="inlineStr">
        <is>
          <t>Med1</t>
        </is>
      </c>
      <c r="BL91" t="n">
        <v>0.799999999999999</v>
      </c>
      <c r="BM91" t="n">
        <v>0.795121951219512</v>
      </c>
      <c r="BN91" t="n">
        <v>0.770731707317072</v>
      </c>
      <c r="BO91" t="n">
        <v>0.746341463414634</v>
      </c>
      <c r="BP91" t="n">
        <v>0.721951219512194</v>
      </c>
      <c r="BQ91" t="n">
        <v>0.6975609756097561</v>
      </c>
      <c r="BR91" t="n">
        <v>0.673170731707316</v>
      </c>
      <c r="BS91" t="n">
        <v>0.648780487804878</v>
      </c>
      <c r="BT91" t="n">
        <v>0.62439024390244</v>
      </c>
      <c r="BU91" t="n">
        <v>0.6</v>
      </c>
      <c r="BV91" t="n">
        <v>0.574999999999999</v>
      </c>
      <c r="BW91" t="n">
        <v>0.550000000000001</v>
      </c>
      <c r="BX91" t="n">
        <v>0.525</v>
      </c>
      <c r="BY91" t="n">
        <v>0.5</v>
      </c>
      <c r="BZ91" t="n">
        <v>0.475</v>
      </c>
      <c r="CA91" t="n">
        <v>0.449999999999999</v>
      </c>
      <c r="CB91" t="n">
        <v>0.425000000000001</v>
      </c>
      <c r="CC91" t="n">
        <v>0.4</v>
      </c>
      <c r="CD91" t="e">
        <v>#VALUE!</v>
      </c>
      <c r="CE91" t="e">
        <v>#VALUE!</v>
      </c>
      <c r="CF91" t="e">
        <v>#VALUE!</v>
      </c>
      <c r="CG91" t="e">
        <v>#VALUE!</v>
      </c>
      <c r="CH91" t="e">
        <v>#VALUE!</v>
      </c>
      <c r="CI91" t="e">
        <v>#VALUE!</v>
      </c>
      <c r="CJ91" t="e">
        <v>#VALUE!</v>
      </c>
      <c r="CK91" t="e">
        <v>#VALUE!</v>
      </c>
    </row>
    <row r="92" ht="12.5" customHeight="1" s="213">
      <c r="A92" t="inlineStr">
        <is>
          <t>China</t>
        </is>
      </c>
      <c r="B92" t="inlineStr">
        <is>
          <t>TWI</t>
        </is>
      </c>
      <c r="C92" t="inlineStr">
        <is>
          <t>TWI</t>
        </is>
      </c>
      <c r="E92" t="n">
        <v>494.941546836131</v>
      </c>
      <c r="F92">
        <f>E92</f>
        <v/>
      </c>
      <c r="I92">
        <f>F92</f>
        <v/>
      </c>
      <c r="J92">
        <f>I92</f>
        <v/>
      </c>
      <c r="L92">
        <f>J92</f>
        <v/>
      </c>
      <c r="V92">
        <f>L92</f>
        <v/>
      </c>
      <c r="W92" t="n">
        <v>3</v>
      </c>
      <c r="AG92" s="223" t="inlineStr">
        <is>
          <t>GDP</t>
        </is>
      </c>
      <c r="AI92" t="n">
        <v>1</v>
      </c>
      <c r="AJ92" t="n">
        <v>1.05112854144243</v>
      </c>
      <c r="AK92" t="n">
        <v>1.34748241570804</v>
      </c>
      <c r="AL92" t="n">
        <v>1.61939081647613</v>
      </c>
      <c r="AM92" t="n">
        <v>1.86637100263541</v>
      </c>
      <c r="AN92" t="n">
        <v>2.06432167722141</v>
      </c>
      <c r="AO92" t="n">
        <v>2.25382438235957</v>
      </c>
      <c r="AP92" t="n">
        <v>2.43076687895356</v>
      </c>
      <c r="AQ92" t="n">
        <v>2.58432772042495</v>
      </c>
      <c r="AR92" t="n">
        <v>2.73235938824186</v>
      </c>
      <c r="AS92" t="n">
        <v>2.8725062845741</v>
      </c>
      <c r="AT92" t="n">
        <v>2.98524868318952</v>
      </c>
      <c r="AU92" t="n">
        <v>3.06916517970485</v>
      </c>
      <c r="AV92" t="n">
        <v>3.130871115275</v>
      </c>
      <c r="AW92" t="n">
        <v>3.17630688746411</v>
      </c>
      <c r="AX92" t="n">
        <v>3.21307119895013</v>
      </c>
      <c r="AY92" t="n">
        <v>3.24296091942514</v>
      </c>
      <c r="AZ92" t="n">
        <v>3.25990155657189</v>
      </c>
      <c r="BA92" t="n">
        <v>0</v>
      </c>
      <c r="BB92" t="n">
        <v>0</v>
      </c>
      <c r="BC92" t="n">
        <v>0</v>
      </c>
      <c r="BD92" t="n">
        <v>0</v>
      </c>
      <c r="BE92" t="n">
        <v>0</v>
      </c>
      <c r="BF92" t="n">
        <v>0</v>
      </c>
      <c r="BG92" t="n">
        <v>0</v>
      </c>
      <c r="BH92" t="n">
        <v>0</v>
      </c>
      <c r="BJ92" t="inlineStr">
        <is>
          <t>Med1</t>
        </is>
      </c>
      <c r="BL92" t="n">
        <v>0.799999999999999</v>
      </c>
      <c r="BM92" t="n">
        <v>0.795121951219512</v>
      </c>
      <c r="BN92" t="n">
        <v>0.770731707317072</v>
      </c>
      <c r="BO92" t="n">
        <v>0.746341463414634</v>
      </c>
      <c r="BP92" t="n">
        <v>0.721951219512194</v>
      </c>
      <c r="BQ92" t="n">
        <v>0.6975609756097561</v>
      </c>
      <c r="BR92" t="n">
        <v>0.673170731707316</v>
      </c>
      <c r="BS92" t="n">
        <v>0.648780487804878</v>
      </c>
      <c r="BT92" t="n">
        <v>0.62439024390244</v>
      </c>
      <c r="BU92" t="n">
        <v>0.6</v>
      </c>
      <c r="BV92" t="n">
        <v>0.574999999999999</v>
      </c>
      <c r="BW92" t="n">
        <v>0.550000000000001</v>
      </c>
      <c r="BX92" t="n">
        <v>0.525</v>
      </c>
      <c r="BY92" t="n">
        <v>0.5</v>
      </c>
      <c r="BZ92" t="n">
        <v>0.475</v>
      </c>
      <c r="CA92" t="n">
        <v>0.449999999999999</v>
      </c>
      <c r="CB92" t="n">
        <v>0.425000000000001</v>
      </c>
      <c r="CC92" t="n">
        <v>0.4</v>
      </c>
      <c r="CD92" t="e">
        <v>#VALUE!</v>
      </c>
      <c r="CE92" t="e">
        <v>#VALUE!</v>
      </c>
      <c r="CF92" t="e">
        <v>#VALUE!</v>
      </c>
      <c r="CG92" t="e">
        <v>#VALUE!</v>
      </c>
      <c r="CH92" t="e">
        <v>#VALUE!</v>
      </c>
      <c r="CI92" t="e">
        <v>#VALUE!</v>
      </c>
      <c r="CJ92" t="e">
        <v>#VALUE!</v>
      </c>
      <c r="CK92" t="e">
        <v>#VALUE!</v>
      </c>
    </row>
    <row r="93" ht="12.5" customHeight="1" s="213">
      <c r="A93" t="inlineStr">
        <is>
          <t>China</t>
        </is>
      </c>
      <c r="B93" t="inlineStr">
        <is>
          <t>Trd_2w</t>
        </is>
      </c>
      <c r="C93" t="inlineStr">
        <is>
          <t>Trd_2w</t>
        </is>
      </c>
      <c r="D93" t="n">
        <v>1604.309</v>
      </c>
      <c r="E93" t="n">
        <v>1604.73418519603</v>
      </c>
      <c r="G93" t="n">
        <v>1606.79475804532</v>
      </c>
      <c r="H93" t="n">
        <v>1598.30512648533</v>
      </c>
      <c r="I93" t="n">
        <v>1584.11499631451</v>
      </c>
      <c r="J93" t="n">
        <v>1565.82495876353</v>
      </c>
      <c r="K93" t="n">
        <v>1542.5492553052</v>
      </c>
      <c r="L93" t="n">
        <v>1513.31501966419</v>
      </c>
      <c r="M93" t="n">
        <v>1478.27435603251</v>
      </c>
      <c r="N93" t="n">
        <v>1439.9230005318</v>
      </c>
      <c r="O93" t="n">
        <v>1401.06754765522</v>
      </c>
      <c r="P93" t="n">
        <v>1364.0480345869</v>
      </c>
      <c r="Q93" t="n">
        <v>1329.3130573773</v>
      </c>
      <c r="R93" t="n">
        <v>1295.99924107868</v>
      </c>
      <c r="S93" t="n">
        <v>1264.15245247344</v>
      </c>
      <c r="T93" t="n">
        <v>1234.84805743446</v>
      </c>
      <c r="U93" t="n">
        <v>1208.45701594855</v>
      </c>
      <c r="V93" t="n">
        <v>1184.041969554</v>
      </c>
      <c r="W93" t="n">
        <v>3</v>
      </c>
      <c r="AG93" s="223" t="inlineStr">
        <is>
          <t>POP</t>
        </is>
      </c>
      <c r="AI93" t="n">
        <v>1</v>
      </c>
      <c r="AJ93" t="n">
        <v>1.00033331616148</v>
      </c>
      <c r="AK93" t="n">
        <v>1.0019998969689</v>
      </c>
      <c r="AL93" t="n">
        <v>0.994906430115937</v>
      </c>
      <c r="AM93" t="n">
        <v>0.98267151190847</v>
      </c>
      <c r="AN93" t="n">
        <v>0.966406511398471</v>
      </c>
      <c r="AO93" t="n">
        <v>0.945066520676171</v>
      </c>
      <c r="AP93" t="n">
        <v>0.917459642340542</v>
      </c>
      <c r="AQ93" t="n">
        <v>0.883436545527019</v>
      </c>
      <c r="AR93" t="n">
        <v>0.84523773973525</v>
      </c>
      <c r="AS93" t="n">
        <v>0.805571252552421</v>
      </c>
      <c r="AT93" t="n">
        <v>0.766871080268876</v>
      </c>
      <c r="AU93" t="n">
        <v>0.729674722955349</v>
      </c>
      <c r="AV93" t="n">
        <v>0.693102074332999</v>
      </c>
      <c r="AW93" t="n">
        <v>0.65724585573511</v>
      </c>
      <c r="AX93" t="n">
        <v>0.623388841880121</v>
      </c>
      <c r="AY93" t="n">
        <v>0.592040606359808</v>
      </c>
      <c r="AZ93" t="n">
        <v>0.562137393665917</v>
      </c>
      <c r="BA93" t="n">
        <v>0</v>
      </c>
      <c r="BB93" t="n">
        <v>0</v>
      </c>
      <c r="BC93" t="n">
        <v>0</v>
      </c>
      <c r="BD93" t="n">
        <v>0</v>
      </c>
      <c r="BE93" t="n">
        <v>0</v>
      </c>
      <c r="BF93" t="n">
        <v>0</v>
      </c>
      <c r="BG93" t="n">
        <v>0</v>
      </c>
      <c r="BH93" t="n">
        <v>0</v>
      </c>
      <c r="BJ93" t="inlineStr">
        <is>
          <t>Med1</t>
        </is>
      </c>
      <c r="BL93" t="n">
        <v>0.799999999999999</v>
      </c>
      <c r="BM93" t="n">
        <v>0.795121951219512</v>
      </c>
      <c r="BN93" t="n">
        <v>0.770731707317072</v>
      </c>
      <c r="BO93" t="n">
        <v>0.746341463414634</v>
      </c>
      <c r="BP93" t="n">
        <v>0.721951219512194</v>
      </c>
      <c r="BQ93" t="n">
        <v>0.6975609756097561</v>
      </c>
      <c r="BR93" t="n">
        <v>0.673170731707316</v>
      </c>
      <c r="BS93" t="n">
        <v>0.648780487804878</v>
      </c>
      <c r="BT93" t="n">
        <v>0.62439024390244</v>
      </c>
      <c r="BU93" t="n">
        <v>0.6</v>
      </c>
      <c r="BV93" t="n">
        <v>0.574999999999999</v>
      </c>
      <c r="BW93" t="n">
        <v>0.550000000000001</v>
      </c>
      <c r="BX93" t="n">
        <v>0.525</v>
      </c>
      <c r="BY93" t="n">
        <v>0.5</v>
      </c>
      <c r="BZ93" t="n">
        <v>0.475</v>
      </c>
      <c r="CA93" t="n">
        <v>0.449999999999999</v>
      </c>
      <c r="CB93" t="n">
        <v>0.425000000000001</v>
      </c>
      <c r="CC93" t="n">
        <v>0.4</v>
      </c>
      <c r="CD93" t="e">
        <v>#VALUE!</v>
      </c>
      <c r="CE93" t="e">
        <v>#VALUE!</v>
      </c>
      <c r="CF93" t="e">
        <v>#VALUE!</v>
      </c>
      <c r="CG93" t="e">
        <v>#VALUE!</v>
      </c>
      <c r="CH93" t="e">
        <v>#VALUE!</v>
      </c>
      <c r="CI93" t="e">
        <v>#VALUE!</v>
      </c>
      <c r="CJ93" t="e">
        <v>#VALUE!</v>
      </c>
      <c r="CK93" t="e">
        <v>#VALUE!</v>
      </c>
    </row>
    <row r="94" ht="12.5" customHeight="1" s="213">
      <c r="A94" t="inlineStr">
        <is>
          <t>China</t>
        </is>
      </c>
      <c r="B94" t="inlineStr">
        <is>
          <t>Trd_3w</t>
        </is>
      </c>
      <c r="C94" t="inlineStr">
        <is>
          <t>Trd_3w</t>
        </is>
      </c>
      <c r="D94" t="n">
        <v>138.03</v>
      </c>
      <c r="E94" t="n">
        <v>138.066581676353</v>
      </c>
      <c r="G94" t="n">
        <v>138.243867268086</v>
      </c>
      <c r="H94" t="n">
        <v>137.513444485302</v>
      </c>
      <c r="I94" t="n">
        <v>136.292567667009</v>
      </c>
      <c r="J94" t="n">
        <v>134.718946947334</v>
      </c>
      <c r="K94" t="n">
        <v>132.716374283119</v>
      </c>
      <c r="L94" t="n">
        <v>130.201147138268</v>
      </c>
      <c r="M94" t="n">
        <v>127.18635210746</v>
      </c>
      <c r="N94" t="n">
        <v>123.886714942947</v>
      </c>
      <c r="O94" t="n">
        <v>120.54370673159</v>
      </c>
      <c r="P94" t="n">
        <v>117.358657349694</v>
      </c>
      <c r="Q94" t="n">
        <v>114.370162674266</v>
      </c>
      <c r="R94" t="n">
        <v>111.503940479104</v>
      </c>
      <c r="S94" t="n">
        <v>108.763937006468</v>
      </c>
      <c r="T94" t="n">
        <v>106.242673554582</v>
      </c>
      <c r="U94" t="n">
        <v>103.972066423226</v>
      </c>
      <c r="V94" t="n">
        <v>101.871468063533</v>
      </c>
      <c r="W94" t="n">
        <v>3</v>
      </c>
      <c r="AG94" s="223" t="inlineStr">
        <is>
          <t>POP</t>
        </is>
      </c>
      <c r="AI94" t="n">
        <v>1</v>
      </c>
      <c r="AJ94" t="n">
        <v>1.00033331616148</v>
      </c>
      <c r="AK94" t="n">
        <v>1.0019998969689</v>
      </c>
      <c r="AL94" t="n">
        <v>0.994906430115937</v>
      </c>
      <c r="AM94" t="n">
        <v>0.98267151190847</v>
      </c>
      <c r="AN94" t="n">
        <v>0.966406511398471</v>
      </c>
      <c r="AO94" t="n">
        <v>0.945066520676171</v>
      </c>
      <c r="AP94" t="n">
        <v>0.917459642340542</v>
      </c>
      <c r="AQ94" t="n">
        <v>0.883436545527019</v>
      </c>
      <c r="AR94" t="n">
        <v>0.84523773973525</v>
      </c>
      <c r="AS94" t="n">
        <v>0.805571252552421</v>
      </c>
      <c r="AT94" t="n">
        <v>0.766871080268876</v>
      </c>
      <c r="AU94" t="n">
        <v>0.729674722955349</v>
      </c>
      <c r="AV94" t="n">
        <v>0.693102074332999</v>
      </c>
      <c r="AW94" t="n">
        <v>0.65724585573511</v>
      </c>
      <c r="AX94" t="n">
        <v>0.623388841880121</v>
      </c>
      <c r="AY94" t="n">
        <v>0.592040606359808</v>
      </c>
      <c r="AZ94" t="n">
        <v>0.562137393665917</v>
      </c>
      <c r="BA94" t="n">
        <v>0</v>
      </c>
      <c r="BB94" t="n">
        <v>0</v>
      </c>
      <c r="BC94" t="n">
        <v>0</v>
      </c>
      <c r="BD94" t="n">
        <v>0</v>
      </c>
      <c r="BE94" t="n">
        <v>0</v>
      </c>
      <c r="BF94" t="n">
        <v>0</v>
      </c>
      <c r="BG94" t="n">
        <v>0</v>
      </c>
      <c r="BH94" t="n">
        <v>0</v>
      </c>
      <c r="BJ94" t="inlineStr">
        <is>
          <t>Med1</t>
        </is>
      </c>
      <c r="BL94" t="n">
        <v>0.799999999999999</v>
      </c>
      <c r="BM94" t="n">
        <v>0.795121951219512</v>
      </c>
      <c r="BN94" t="n">
        <v>0.770731707317072</v>
      </c>
      <c r="BO94" t="n">
        <v>0.746341463414634</v>
      </c>
      <c r="BP94" t="n">
        <v>0.721951219512194</v>
      </c>
      <c r="BQ94" t="n">
        <v>0.6975609756097561</v>
      </c>
      <c r="BR94" t="n">
        <v>0.673170731707316</v>
      </c>
      <c r="BS94" t="n">
        <v>0.648780487804878</v>
      </c>
      <c r="BT94" t="n">
        <v>0.62439024390244</v>
      </c>
      <c r="BU94" t="n">
        <v>0.6</v>
      </c>
      <c r="BV94" t="n">
        <v>0.574999999999999</v>
      </c>
      <c r="BW94" t="n">
        <v>0.550000000000001</v>
      </c>
      <c r="BX94" t="n">
        <v>0.525</v>
      </c>
      <c r="BY94" t="n">
        <v>0.5</v>
      </c>
      <c r="BZ94" t="n">
        <v>0.475</v>
      </c>
      <c r="CA94" t="n">
        <v>0.449999999999999</v>
      </c>
      <c r="CB94" t="n">
        <v>0.425000000000001</v>
      </c>
      <c r="CC94" t="n">
        <v>0.4</v>
      </c>
      <c r="CD94" t="e">
        <v>#VALUE!</v>
      </c>
      <c r="CE94" t="e">
        <v>#VALUE!</v>
      </c>
      <c r="CF94" t="e">
        <v>#VALUE!</v>
      </c>
      <c r="CG94" t="e">
        <v>#VALUE!</v>
      </c>
      <c r="CH94" t="e">
        <v>#VALUE!</v>
      </c>
      <c r="CI94" t="e">
        <v>#VALUE!</v>
      </c>
      <c r="CJ94" t="e">
        <v>#VALUE!</v>
      </c>
      <c r="CK94" t="e">
        <v>#VALUE!</v>
      </c>
    </row>
    <row r="95" ht="12.5" customHeight="1" s="213">
      <c r="A95" t="inlineStr">
        <is>
          <t>China</t>
        </is>
      </c>
      <c r="B95" t="inlineStr">
        <is>
          <t>Trd_bus</t>
        </is>
      </c>
      <c r="C95" t="inlineStr">
        <is>
          <t>Trd_bus</t>
        </is>
      </c>
      <c r="D95" t="n">
        <v>134.54</v>
      </c>
      <c r="E95" t="n">
        <v>134.575656732135</v>
      </c>
      <c r="G95" t="n">
        <v>134.748459771414</v>
      </c>
      <c r="H95" t="n">
        <v>134.036505260107</v>
      </c>
      <c r="I95" t="n">
        <v>132.846497528939</v>
      </c>
      <c r="J95" t="n">
        <v>131.31266479964</v>
      </c>
      <c r="K95" t="n">
        <v>129.360725900535</v>
      </c>
      <c r="L95" t="n">
        <v>126.909094660455</v>
      </c>
      <c r="M95" t="n">
        <v>123.970526787928</v>
      </c>
      <c r="N95" t="n">
        <v>120.754318832312</v>
      </c>
      <c r="O95" t="n">
        <v>117.495836438948</v>
      </c>
      <c r="P95" t="n">
        <v>114.391318987378</v>
      </c>
      <c r="Q95" t="n">
        <v>111.478386482618</v>
      </c>
      <c r="R95" t="n">
        <v>108.684634876901</v>
      </c>
      <c r="S95" t="n">
        <v>106.013910634283</v>
      </c>
      <c r="T95" t="n">
        <v>103.55639571132</v>
      </c>
      <c r="U95" t="n">
        <v>101.343199424624</v>
      </c>
      <c r="V95" t="n">
        <v>99.2957133468648</v>
      </c>
      <c r="W95" t="n">
        <v>3</v>
      </c>
      <c r="AG95" s="223" t="inlineStr">
        <is>
          <t>POP</t>
        </is>
      </c>
      <c r="AI95" t="n">
        <v>1</v>
      </c>
      <c r="AJ95" t="n">
        <v>1.00033331616148</v>
      </c>
      <c r="AK95" t="n">
        <v>1.0019998969689</v>
      </c>
      <c r="AL95" t="n">
        <v>0.994906430115937</v>
      </c>
      <c r="AM95" t="n">
        <v>0.98267151190847</v>
      </c>
      <c r="AN95" t="n">
        <v>0.966406511398471</v>
      </c>
      <c r="AO95" t="n">
        <v>0.945066520676171</v>
      </c>
      <c r="AP95" t="n">
        <v>0.917459642340542</v>
      </c>
      <c r="AQ95" t="n">
        <v>0.883436545527019</v>
      </c>
      <c r="AR95" t="n">
        <v>0.84523773973525</v>
      </c>
      <c r="AS95" t="n">
        <v>0.805571252552421</v>
      </c>
      <c r="AT95" t="n">
        <v>0.766871080268876</v>
      </c>
      <c r="AU95" t="n">
        <v>0.729674722955349</v>
      </c>
      <c r="AV95" t="n">
        <v>0.693102074332999</v>
      </c>
      <c r="AW95" t="n">
        <v>0.65724585573511</v>
      </c>
      <c r="AX95" t="n">
        <v>0.623388841880121</v>
      </c>
      <c r="AY95" t="n">
        <v>0.592040606359808</v>
      </c>
      <c r="AZ95" t="n">
        <v>0.562137393665917</v>
      </c>
      <c r="BA95" t="n">
        <v>0</v>
      </c>
      <c r="BB95" t="n">
        <v>0</v>
      </c>
      <c r="BC95" t="n">
        <v>0</v>
      </c>
      <c r="BD95" t="n">
        <v>0</v>
      </c>
      <c r="BE95" t="n">
        <v>0</v>
      </c>
      <c r="BF95" t="n">
        <v>0</v>
      </c>
      <c r="BG95" t="n">
        <v>0</v>
      </c>
      <c r="BH95" t="n">
        <v>0</v>
      </c>
      <c r="BJ95" t="inlineStr">
        <is>
          <t>Med1</t>
        </is>
      </c>
      <c r="BL95" t="n">
        <v>0.799999999999999</v>
      </c>
      <c r="BM95" t="n">
        <v>0.795121951219512</v>
      </c>
      <c r="BN95" t="n">
        <v>0.770731707317072</v>
      </c>
      <c r="BO95" t="n">
        <v>0.746341463414634</v>
      </c>
      <c r="BP95" t="n">
        <v>0.721951219512194</v>
      </c>
      <c r="BQ95" t="n">
        <v>0.6975609756097561</v>
      </c>
      <c r="BR95" t="n">
        <v>0.673170731707316</v>
      </c>
      <c r="BS95" t="n">
        <v>0.648780487804878</v>
      </c>
      <c r="BT95" t="n">
        <v>0.62439024390244</v>
      </c>
      <c r="BU95" t="n">
        <v>0.6</v>
      </c>
      <c r="BV95" t="n">
        <v>0.574999999999999</v>
      </c>
      <c r="BW95" t="n">
        <v>0.550000000000001</v>
      </c>
      <c r="BX95" t="n">
        <v>0.525</v>
      </c>
      <c r="BY95" t="n">
        <v>0.5</v>
      </c>
      <c r="BZ95" t="n">
        <v>0.475</v>
      </c>
      <c r="CA95" t="n">
        <v>0.449999999999999</v>
      </c>
      <c r="CB95" t="n">
        <v>0.425000000000001</v>
      </c>
      <c r="CC95" t="n">
        <v>0.4</v>
      </c>
      <c r="CD95" t="e">
        <v>#VALUE!</v>
      </c>
      <c r="CE95" t="e">
        <v>#VALUE!</v>
      </c>
      <c r="CF95" t="e">
        <v>#VALUE!</v>
      </c>
      <c r="CG95" t="e">
        <v>#VALUE!</v>
      </c>
      <c r="CH95" t="e">
        <v>#VALUE!</v>
      </c>
      <c r="CI95" t="e">
        <v>#VALUE!</v>
      </c>
      <c r="CJ95" t="e">
        <v>#VALUE!</v>
      </c>
      <c r="CK95" t="e">
        <v>#VALUE!</v>
      </c>
    </row>
    <row r="96" ht="12.5" customHeight="1" s="213">
      <c r="A96" t="inlineStr">
        <is>
          <t>China</t>
        </is>
      </c>
      <c r="B96" t="inlineStr">
        <is>
          <t>Trd_car</t>
        </is>
      </c>
      <c r="C96" t="inlineStr">
        <is>
          <t>Trd_car</t>
        </is>
      </c>
      <c r="D96" t="n">
        <v>2265.18</v>
      </c>
      <c r="E96" t="n">
        <v>2356.63650889439</v>
      </c>
      <c r="G96" t="n">
        <v>2864.85882333747</v>
      </c>
      <c r="H96" t="n">
        <v>3314.63945189034</v>
      </c>
      <c r="I96" t="n">
        <v>3713.94593218176</v>
      </c>
      <c r="J96" t="n">
        <v>4036.94777009022</v>
      </c>
      <c r="K96" t="n">
        <v>4353.41328289509</v>
      </c>
      <c r="L96" t="n">
        <v>4666.81138811138</v>
      </c>
      <c r="M96" t="n">
        <v>4970.20494638726</v>
      </c>
      <c r="N96" t="n">
        <v>5283.513293256</v>
      </c>
      <c r="O96" t="n">
        <v>5596.60354725042</v>
      </c>
      <c r="P96" t="n">
        <v>5878.8513563106</v>
      </c>
      <c r="Q96" t="n">
        <v>6127.36800440491</v>
      </c>
      <c r="R96" t="n">
        <v>6353.87416532668</v>
      </c>
      <c r="S96" t="n">
        <v>6564.71540805506</v>
      </c>
      <c r="T96" t="n">
        <v>6761.20706420262</v>
      </c>
      <c r="U96" t="n">
        <v>6941.50440837993</v>
      </c>
      <c r="V96" t="n">
        <v>7104.483325142</v>
      </c>
      <c r="W96" t="n">
        <v>3</v>
      </c>
      <c r="AG96" s="223" t="inlineStr">
        <is>
          <t>GDPPCAP</t>
        </is>
      </c>
      <c r="AI96" t="n">
        <v>1</v>
      </c>
      <c r="AJ96" t="n">
        <v>1.05077830005289</v>
      </c>
      <c r="AK96" t="n">
        <v>1.34479296832689</v>
      </c>
      <c r="AL96" t="n">
        <v>1.62768152607821</v>
      </c>
      <c r="AM96" t="n">
        <v>1.89928270028984</v>
      </c>
      <c r="AN96" t="n">
        <v>2.13608005831229</v>
      </c>
      <c r="AO96" t="n">
        <v>2.38483147275921</v>
      </c>
      <c r="AP96" t="n">
        <v>2.6494537380984</v>
      </c>
      <c r="AQ96" t="n">
        <v>2.92531221796271</v>
      </c>
      <c r="AR96" t="n">
        <v>3.2326519034724</v>
      </c>
      <c r="AS96" t="n">
        <v>3.56580038757922</v>
      </c>
      <c r="AT96" t="n">
        <v>3.89276471625825</v>
      </c>
      <c r="AU96" t="n">
        <v>4.20621008670005</v>
      </c>
      <c r="AV96" t="n">
        <v>4.51718618543737</v>
      </c>
      <c r="AW96" t="n">
        <v>4.83275300977214</v>
      </c>
      <c r="AX96" t="n">
        <v>5.15420068998928</v>
      </c>
      <c r="AY96" t="n">
        <v>5.47759880756265</v>
      </c>
      <c r="AZ96" t="n">
        <v>5.79911885119902</v>
      </c>
      <c r="BA96" t="n">
        <v>0</v>
      </c>
      <c r="BB96" t="n">
        <v>0</v>
      </c>
      <c r="BC96" t="n">
        <v>0</v>
      </c>
      <c r="BD96" t="n">
        <v>0</v>
      </c>
      <c r="BE96" t="n">
        <v>0</v>
      </c>
      <c r="BF96" t="n">
        <v>0</v>
      </c>
      <c r="BG96" t="n">
        <v>0</v>
      </c>
      <c r="BH96" t="n">
        <v>0</v>
      </c>
      <c r="BJ96" t="inlineStr">
        <is>
          <t>Med1</t>
        </is>
      </c>
      <c r="BL96" t="n">
        <v>0.799999999999999</v>
      </c>
      <c r="BM96" t="n">
        <v>0.795121951219512</v>
      </c>
      <c r="BN96" t="n">
        <v>0.770731707317072</v>
      </c>
      <c r="BO96" t="n">
        <v>0.746341463414634</v>
      </c>
      <c r="BP96" t="n">
        <v>0.721951219512194</v>
      </c>
      <c r="BQ96" t="n">
        <v>0.6975609756097561</v>
      </c>
      <c r="BR96" t="n">
        <v>0.673170731707316</v>
      </c>
      <c r="BS96" t="n">
        <v>0.648780487804878</v>
      </c>
      <c r="BT96" t="n">
        <v>0.62439024390244</v>
      </c>
      <c r="BU96" t="n">
        <v>0.6</v>
      </c>
      <c r="BV96" t="n">
        <v>0.574999999999999</v>
      </c>
      <c r="BW96" t="n">
        <v>0.550000000000001</v>
      </c>
      <c r="BX96" t="n">
        <v>0.525</v>
      </c>
      <c r="BY96" t="n">
        <v>0.5</v>
      </c>
      <c r="BZ96" t="n">
        <v>0.475</v>
      </c>
      <c r="CA96" t="n">
        <v>0.449999999999999</v>
      </c>
      <c r="CB96" t="n">
        <v>0.425000000000001</v>
      </c>
      <c r="CC96" t="n">
        <v>0.4</v>
      </c>
      <c r="CD96" t="e">
        <v>#VALUE!</v>
      </c>
      <c r="CE96" t="e">
        <v>#VALUE!</v>
      </c>
      <c r="CF96" t="e">
        <v>#VALUE!</v>
      </c>
      <c r="CG96" t="e">
        <v>#VALUE!</v>
      </c>
      <c r="CH96" t="e">
        <v>#VALUE!</v>
      </c>
      <c r="CI96" t="e">
        <v>#VALUE!</v>
      </c>
      <c r="CJ96" t="e">
        <v>#VALUE!</v>
      </c>
      <c r="CK96" t="e">
        <v>#VALUE!</v>
      </c>
    </row>
    <row r="97" ht="12.5" customHeight="1" s="213">
      <c r="A97" t="inlineStr">
        <is>
          <t>China</t>
        </is>
      </c>
      <c r="B97" t="inlineStr">
        <is>
          <t>Trd_hdt</t>
        </is>
      </c>
      <c r="C97" t="inlineStr">
        <is>
          <t>Trd_hdt</t>
        </is>
      </c>
      <c r="D97" t="n">
        <v>278.8</v>
      </c>
      <c r="E97" t="n">
        <v>290.134175066958</v>
      </c>
      <c r="G97" t="n">
        <v>353.180081627416</v>
      </c>
      <c r="H97" t="n">
        <v>406.370485935307</v>
      </c>
      <c r="I97" t="n">
        <v>451.115067820531</v>
      </c>
      <c r="J97" t="n">
        <v>484.490624453264</v>
      </c>
      <c r="K97" t="n">
        <v>514.430407117449</v>
      </c>
      <c r="L97" t="n">
        <v>540.632530590456</v>
      </c>
      <c r="M97" t="n">
        <v>561.9578456416911</v>
      </c>
      <c r="N97" t="n">
        <v>581.271392404899</v>
      </c>
      <c r="O97" t="n">
        <v>598.414614707802</v>
      </c>
      <c r="P97" t="n">
        <v>611.332492264778</v>
      </c>
      <c r="Q97" t="n">
        <v>620.354508639497</v>
      </c>
      <c r="R97" t="n">
        <v>626.590659693518</v>
      </c>
      <c r="S97" t="n">
        <v>630.909928668568</v>
      </c>
      <c r="T97" t="n">
        <v>634.196051981442</v>
      </c>
      <c r="U97" t="n">
        <v>636.703396250273</v>
      </c>
      <c r="V97" t="n">
        <v>638.033805277575</v>
      </c>
      <c r="W97" t="n">
        <v>3</v>
      </c>
      <c r="AG97" s="223" t="inlineStr">
        <is>
          <t>GDP</t>
        </is>
      </c>
      <c r="AI97" t="n">
        <v>1</v>
      </c>
      <c r="AJ97" t="n">
        <v>1.05112854144243</v>
      </c>
      <c r="AK97" t="n">
        <v>1.34748241570804</v>
      </c>
      <c r="AL97" t="n">
        <v>1.61939081647613</v>
      </c>
      <c r="AM97" t="n">
        <v>1.86637100263541</v>
      </c>
      <c r="AN97" t="n">
        <v>2.06432167722141</v>
      </c>
      <c r="AO97" t="n">
        <v>2.25382438235957</v>
      </c>
      <c r="AP97" t="n">
        <v>2.43076687895356</v>
      </c>
      <c r="AQ97" t="n">
        <v>2.58432772042495</v>
      </c>
      <c r="AR97" t="n">
        <v>2.73235938824186</v>
      </c>
      <c r="AS97" t="n">
        <v>2.8725062845741</v>
      </c>
      <c r="AT97" t="n">
        <v>2.98524868318952</v>
      </c>
      <c r="AU97" t="n">
        <v>3.06916517970485</v>
      </c>
      <c r="AV97" t="n">
        <v>3.130871115275</v>
      </c>
      <c r="AW97" t="n">
        <v>3.17630688746411</v>
      </c>
      <c r="AX97" t="n">
        <v>3.21307119895013</v>
      </c>
      <c r="AY97" t="n">
        <v>3.24296091942514</v>
      </c>
      <c r="AZ97" t="n">
        <v>3.25990155657189</v>
      </c>
      <c r="BA97" t="n">
        <v>0</v>
      </c>
      <c r="BB97" t="n">
        <v>0</v>
      </c>
      <c r="BC97" t="n">
        <v>0</v>
      </c>
      <c r="BD97" t="n">
        <v>0</v>
      </c>
      <c r="BE97" t="n">
        <v>0</v>
      </c>
      <c r="BF97" t="n">
        <v>0</v>
      </c>
      <c r="BG97" t="n">
        <v>0</v>
      </c>
      <c r="BH97" t="n">
        <v>0</v>
      </c>
      <c r="BJ97" t="inlineStr">
        <is>
          <t>Med1</t>
        </is>
      </c>
      <c r="BL97" t="n">
        <v>0.799999999999999</v>
      </c>
      <c r="BM97" t="n">
        <v>0.795121951219512</v>
      </c>
      <c r="BN97" t="n">
        <v>0.770731707317072</v>
      </c>
      <c r="BO97" t="n">
        <v>0.746341463414634</v>
      </c>
      <c r="BP97" t="n">
        <v>0.721951219512194</v>
      </c>
      <c r="BQ97" t="n">
        <v>0.6975609756097561</v>
      </c>
      <c r="BR97" t="n">
        <v>0.673170731707316</v>
      </c>
      <c r="BS97" t="n">
        <v>0.648780487804878</v>
      </c>
      <c r="BT97" t="n">
        <v>0.62439024390244</v>
      </c>
      <c r="BU97" t="n">
        <v>0.6</v>
      </c>
      <c r="BV97" t="n">
        <v>0.574999999999999</v>
      </c>
      <c r="BW97" t="n">
        <v>0.550000000000001</v>
      </c>
      <c r="BX97" t="n">
        <v>0.525</v>
      </c>
      <c r="BY97" t="n">
        <v>0.5</v>
      </c>
      <c r="BZ97" t="n">
        <v>0.475</v>
      </c>
      <c r="CA97" t="n">
        <v>0.449999999999999</v>
      </c>
      <c r="CB97" t="n">
        <v>0.425000000000001</v>
      </c>
      <c r="CC97" t="n">
        <v>0.4</v>
      </c>
      <c r="CD97" t="e">
        <v>#VALUE!</v>
      </c>
      <c r="CE97" t="e">
        <v>#VALUE!</v>
      </c>
      <c r="CF97" t="e">
        <v>#VALUE!</v>
      </c>
      <c r="CG97" t="e">
        <v>#VALUE!</v>
      </c>
      <c r="CH97" t="e">
        <v>#VALUE!</v>
      </c>
      <c r="CI97" t="e">
        <v>#VALUE!</v>
      </c>
      <c r="CJ97" t="e">
        <v>#VALUE!</v>
      </c>
      <c r="CK97" t="e">
        <v>#VALUE!</v>
      </c>
    </row>
    <row r="98" ht="12.5" customHeight="1" s="213">
      <c r="A98" t="inlineStr">
        <is>
          <t>China</t>
        </is>
      </c>
      <c r="B98" t="inlineStr">
        <is>
          <t>Trd_lcv</t>
        </is>
      </c>
      <c r="C98" t="inlineStr">
        <is>
          <t>Trd_lcv</t>
        </is>
      </c>
      <c r="D98" t="n">
        <v>375.92</v>
      </c>
      <c r="E98" t="n">
        <v>391.202435764601</v>
      </c>
      <c r="G98" t="n">
        <v>476.210388398057</v>
      </c>
      <c r="H98" t="n">
        <v>547.92967386227</v>
      </c>
      <c r="I98" t="n">
        <v>608.2610340570091</v>
      </c>
      <c r="J98" t="n">
        <v>653.262968236984</v>
      </c>
      <c r="K98" t="n">
        <v>693.632276339998</v>
      </c>
      <c r="L98" t="n">
        <v>728.9619114044619</v>
      </c>
      <c r="M98" t="n">
        <v>757.715901483588</v>
      </c>
      <c r="N98" t="n">
        <v>783.7573236472369</v>
      </c>
      <c r="O98" t="n">
        <v>806.872388669142</v>
      </c>
      <c r="P98" t="n">
        <v>824.290209799768</v>
      </c>
      <c r="Q98" t="n">
        <v>836.455046225824</v>
      </c>
      <c r="R98" t="n">
        <v>844.8635609468701</v>
      </c>
      <c r="S98" t="n">
        <v>850.687447579226</v>
      </c>
      <c r="T98" t="n">
        <v>855.118292183872</v>
      </c>
      <c r="U98" t="n">
        <v>858.499070008618</v>
      </c>
      <c r="V98" t="n">
        <v>860.292927116019</v>
      </c>
      <c r="W98" t="n">
        <v>3</v>
      </c>
      <c r="AG98" s="223" t="inlineStr">
        <is>
          <t>GDP</t>
        </is>
      </c>
      <c r="AI98" t="n">
        <v>1</v>
      </c>
      <c r="AJ98" t="n">
        <v>1.05112854144243</v>
      </c>
      <c r="AK98" t="n">
        <v>1.34748241570804</v>
      </c>
      <c r="AL98" t="n">
        <v>1.61939081647613</v>
      </c>
      <c r="AM98" t="n">
        <v>1.86637100263541</v>
      </c>
      <c r="AN98" t="n">
        <v>2.06432167722141</v>
      </c>
      <c r="AO98" t="n">
        <v>2.25382438235957</v>
      </c>
      <c r="AP98" t="n">
        <v>2.43076687895356</v>
      </c>
      <c r="AQ98" t="n">
        <v>2.58432772042495</v>
      </c>
      <c r="AR98" t="n">
        <v>2.73235938824186</v>
      </c>
      <c r="AS98" t="n">
        <v>2.8725062845741</v>
      </c>
      <c r="AT98" t="n">
        <v>2.98524868318952</v>
      </c>
      <c r="AU98" t="n">
        <v>3.06916517970485</v>
      </c>
      <c r="AV98" t="n">
        <v>3.130871115275</v>
      </c>
      <c r="AW98" t="n">
        <v>3.17630688746411</v>
      </c>
      <c r="AX98" t="n">
        <v>3.21307119895013</v>
      </c>
      <c r="AY98" t="n">
        <v>3.24296091942514</v>
      </c>
      <c r="AZ98" t="n">
        <v>3.25990155657189</v>
      </c>
      <c r="BA98" t="n">
        <v>0</v>
      </c>
      <c r="BB98" t="n">
        <v>0</v>
      </c>
      <c r="BC98" t="n">
        <v>0</v>
      </c>
      <c r="BD98" t="n">
        <v>0</v>
      </c>
      <c r="BE98" t="n">
        <v>0</v>
      </c>
      <c r="BF98" t="n">
        <v>0</v>
      </c>
      <c r="BG98" t="n">
        <v>0</v>
      </c>
      <c r="BH98" t="n">
        <v>0</v>
      </c>
      <c r="BJ98" t="inlineStr">
        <is>
          <t>Med1</t>
        </is>
      </c>
      <c r="BL98" t="n">
        <v>0.799999999999999</v>
      </c>
      <c r="BM98" t="n">
        <v>0.795121951219512</v>
      </c>
      <c r="BN98" t="n">
        <v>0.770731707317072</v>
      </c>
      <c r="BO98" t="n">
        <v>0.746341463414634</v>
      </c>
      <c r="BP98" t="n">
        <v>0.721951219512194</v>
      </c>
      <c r="BQ98" t="n">
        <v>0.6975609756097561</v>
      </c>
      <c r="BR98" t="n">
        <v>0.673170731707316</v>
      </c>
      <c r="BS98" t="n">
        <v>0.648780487804878</v>
      </c>
      <c r="BT98" t="n">
        <v>0.62439024390244</v>
      </c>
      <c r="BU98" t="n">
        <v>0.6</v>
      </c>
      <c r="BV98" t="n">
        <v>0.574999999999999</v>
      </c>
      <c r="BW98" t="n">
        <v>0.550000000000001</v>
      </c>
      <c r="BX98" t="n">
        <v>0.525</v>
      </c>
      <c r="BY98" t="n">
        <v>0.5</v>
      </c>
      <c r="BZ98" t="n">
        <v>0.475</v>
      </c>
      <c r="CA98" t="n">
        <v>0.449999999999999</v>
      </c>
      <c r="CB98" t="n">
        <v>0.425000000000001</v>
      </c>
      <c r="CC98" t="n">
        <v>0.4</v>
      </c>
      <c r="CD98" t="e">
        <v>#VALUE!</v>
      </c>
      <c r="CE98" t="e">
        <v>#VALUE!</v>
      </c>
      <c r="CF98" t="e">
        <v>#VALUE!</v>
      </c>
      <c r="CG98" t="e">
        <v>#VALUE!</v>
      </c>
      <c r="CH98" t="e">
        <v>#VALUE!</v>
      </c>
      <c r="CI98" t="e">
        <v>#VALUE!</v>
      </c>
      <c r="CJ98" t="e">
        <v>#VALUE!</v>
      </c>
      <c r="CK98" t="e">
        <v>#VALUE!</v>
      </c>
    </row>
    <row r="99" ht="12.5" customHeight="1" s="213">
      <c r="A99" t="inlineStr">
        <is>
          <t>CroSloven</t>
        </is>
      </c>
      <c r="B99" t="inlineStr">
        <is>
          <t>TAD</t>
        </is>
      </c>
      <c r="C99" t="inlineStr">
        <is>
          <t>TAD</t>
        </is>
      </c>
      <c r="E99" t="n">
        <v>0.474749727627687</v>
      </c>
      <c r="F99">
        <f>E99</f>
        <v/>
      </c>
      <c r="I99">
        <f>F99</f>
        <v/>
      </c>
      <c r="J99">
        <f>I99</f>
        <v/>
      </c>
      <c r="L99">
        <f>J99</f>
        <v/>
      </c>
      <c r="V99">
        <f>L99</f>
        <v/>
      </c>
      <c r="W99" t="n">
        <v>3</v>
      </c>
      <c r="AG99" s="223" t="inlineStr">
        <is>
          <t>GDP</t>
        </is>
      </c>
      <c r="AI99" t="n">
        <v>1</v>
      </c>
      <c r="AJ99" t="n">
        <v>1.01354665343015</v>
      </c>
      <c r="AK99" t="n">
        <v>1.26651860911973</v>
      </c>
      <c r="AL99" t="n">
        <v>1.43442777575904</v>
      </c>
      <c r="AM99" t="n">
        <v>1.55582290744437</v>
      </c>
      <c r="AN99" t="n">
        <v>1.64075103127405</v>
      </c>
      <c r="AO99" t="n">
        <v>1.70006493979853</v>
      </c>
      <c r="AP99" t="n">
        <v>1.74856667792587</v>
      </c>
      <c r="AQ99" t="n">
        <v>1.79128115037486</v>
      </c>
      <c r="AR99" t="n">
        <v>1.83354488386238</v>
      </c>
      <c r="AS99" t="n">
        <v>1.87489601006984</v>
      </c>
      <c r="AT99" t="n">
        <v>1.91374859561425</v>
      </c>
      <c r="AU99" t="n">
        <v>1.949028657538</v>
      </c>
      <c r="AV99" t="n">
        <v>1.98059151419911</v>
      </c>
      <c r="AW99" t="n">
        <v>2.01060739022698</v>
      </c>
      <c r="AX99" t="n">
        <v>2.04092932357437</v>
      </c>
      <c r="AY99" t="n">
        <v>2.07188563027497</v>
      </c>
      <c r="AZ99" t="n">
        <v>2.10205175262333</v>
      </c>
      <c r="BA99" t="n">
        <v>0</v>
      </c>
      <c r="BB99" t="n">
        <v>0</v>
      </c>
      <c r="BC99" t="n">
        <v>0</v>
      </c>
      <c r="BD99" t="n">
        <v>0</v>
      </c>
      <c r="BE99" t="n">
        <v>0</v>
      </c>
      <c r="BF99" t="n">
        <v>0</v>
      </c>
      <c r="BG99" t="n">
        <v>0</v>
      </c>
      <c r="BH99" t="n">
        <v>0</v>
      </c>
      <c r="BJ99" t="inlineStr">
        <is>
          <t>Med2</t>
        </is>
      </c>
      <c r="BL99" t="n">
        <v>0.8</v>
      </c>
      <c r="BM99" t="n">
        <v>0.797560975609756</v>
      </c>
      <c r="BN99" t="n">
        <v>0.785365853658536</v>
      </c>
      <c r="BO99" t="n">
        <v>0.773170731707317</v>
      </c>
      <c r="BP99" t="n">
        <v>0.760975609756097</v>
      </c>
      <c r="BQ99" t="n">
        <v>0.748780487804878</v>
      </c>
      <c r="BR99" t="n">
        <v>0.736585365853658</v>
      </c>
      <c r="BS99" t="n">
        <v>0.724390243902439</v>
      </c>
      <c r="BT99" t="n">
        <v>0.71219512195122</v>
      </c>
      <c r="BU99" t="n">
        <v>0.699999999999999</v>
      </c>
      <c r="BV99" t="n">
        <v>0.687499999999999</v>
      </c>
      <c r="BW99" t="n">
        <v>0.675</v>
      </c>
      <c r="BX99" t="n">
        <v>0.6625</v>
      </c>
      <c r="BY99" t="n">
        <v>0.649999999999999</v>
      </c>
      <c r="BZ99" t="n">
        <v>0.637499999999999</v>
      </c>
      <c r="CA99" t="n">
        <v>0.625</v>
      </c>
      <c r="CB99" t="n">
        <v>0.6125</v>
      </c>
      <c r="CC99" t="n">
        <v>0.6</v>
      </c>
      <c r="CD99" t="e">
        <v>#VALUE!</v>
      </c>
      <c r="CE99" t="e">
        <v>#VALUE!</v>
      </c>
      <c r="CF99" t="e">
        <v>#VALUE!</v>
      </c>
      <c r="CG99" t="e">
        <v>#VALUE!</v>
      </c>
      <c r="CH99" t="e">
        <v>#VALUE!</v>
      </c>
      <c r="CI99" t="e">
        <v>#VALUE!</v>
      </c>
      <c r="CJ99" t="e">
        <v>#VALUE!</v>
      </c>
      <c r="CK99" t="e">
        <v>#VALUE!</v>
      </c>
    </row>
    <row r="100" ht="12.5" customHeight="1" s="213">
      <c r="A100" t="inlineStr">
        <is>
          <t>CroSloven</t>
        </is>
      </c>
      <c r="B100" t="inlineStr">
        <is>
          <t>TAI</t>
        </is>
      </c>
      <c r="C100" t="inlineStr">
        <is>
          <t>TAI</t>
        </is>
      </c>
      <c r="E100" t="n">
        <v>9.59652531307715</v>
      </c>
      <c r="F100">
        <f>E100</f>
        <v/>
      </c>
      <c r="I100">
        <f>F100</f>
        <v/>
      </c>
      <c r="J100">
        <f>I100</f>
        <v/>
      </c>
      <c r="L100">
        <f>J100</f>
        <v/>
      </c>
      <c r="V100">
        <f>L100</f>
        <v/>
      </c>
      <c r="W100" t="n">
        <v>3</v>
      </c>
      <c r="AG100" s="223" t="inlineStr">
        <is>
          <t>GDP</t>
        </is>
      </c>
      <c r="AI100" t="n">
        <v>1</v>
      </c>
      <c r="AJ100" t="n">
        <v>1.01354665343015</v>
      </c>
      <c r="AK100" t="n">
        <v>1.26651860911973</v>
      </c>
      <c r="AL100" t="n">
        <v>1.43442777575904</v>
      </c>
      <c r="AM100" t="n">
        <v>1.55582290744437</v>
      </c>
      <c r="AN100" t="n">
        <v>1.64075103127405</v>
      </c>
      <c r="AO100" t="n">
        <v>1.70006493979853</v>
      </c>
      <c r="AP100" t="n">
        <v>1.74856667792587</v>
      </c>
      <c r="AQ100" t="n">
        <v>1.79128115037486</v>
      </c>
      <c r="AR100" t="n">
        <v>1.83354488386238</v>
      </c>
      <c r="AS100" t="n">
        <v>1.87489601006984</v>
      </c>
      <c r="AT100" t="n">
        <v>1.91374859561425</v>
      </c>
      <c r="AU100" t="n">
        <v>1.949028657538</v>
      </c>
      <c r="AV100" t="n">
        <v>1.98059151419911</v>
      </c>
      <c r="AW100" t="n">
        <v>2.01060739022698</v>
      </c>
      <c r="AX100" t="n">
        <v>2.04092932357437</v>
      </c>
      <c r="AY100" t="n">
        <v>2.07188563027497</v>
      </c>
      <c r="AZ100" t="n">
        <v>2.10205175262333</v>
      </c>
      <c r="BA100" t="n">
        <v>0</v>
      </c>
      <c r="BB100" t="n">
        <v>0</v>
      </c>
      <c r="BC100" t="n">
        <v>0</v>
      </c>
      <c r="BD100" t="n">
        <v>0</v>
      </c>
      <c r="BE100" t="n">
        <v>0</v>
      </c>
      <c r="BF100" t="n">
        <v>0</v>
      </c>
      <c r="BG100" t="n">
        <v>0</v>
      </c>
      <c r="BH100" t="n">
        <v>0</v>
      </c>
      <c r="BJ100" t="inlineStr">
        <is>
          <t>Med2</t>
        </is>
      </c>
      <c r="BL100" t="n">
        <v>0.8</v>
      </c>
      <c r="BM100" t="n">
        <v>0.797560975609756</v>
      </c>
      <c r="BN100" t="n">
        <v>0.785365853658536</v>
      </c>
      <c r="BO100" t="n">
        <v>0.773170731707317</v>
      </c>
      <c r="BP100" t="n">
        <v>0.760975609756097</v>
      </c>
      <c r="BQ100" t="n">
        <v>0.748780487804878</v>
      </c>
      <c r="BR100" t="n">
        <v>0.736585365853658</v>
      </c>
      <c r="BS100" t="n">
        <v>0.724390243902439</v>
      </c>
      <c r="BT100" t="n">
        <v>0.71219512195122</v>
      </c>
      <c r="BU100" t="n">
        <v>0.699999999999999</v>
      </c>
      <c r="BV100" t="n">
        <v>0.687499999999999</v>
      </c>
      <c r="BW100" t="n">
        <v>0.675</v>
      </c>
      <c r="BX100" t="n">
        <v>0.6625</v>
      </c>
      <c r="BY100" t="n">
        <v>0.649999999999999</v>
      </c>
      <c r="BZ100" t="n">
        <v>0.637499999999999</v>
      </c>
      <c r="CA100" t="n">
        <v>0.625</v>
      </c>
      <c r="CB100" t="n">
        <v>0.6125</v>
      </c>
      <c r="CC100" t="n">
        <v>0.6</v>
      </c>
      <c r="CD100" t="e">
        <v>#VALUE!</v>
      </c>
      <c r="CE100" t="e">
        <v>#VALUE!</v>
      </c>
      <c r="CF100" t="e">
        <v>#VALUE!</v>
      </c>
      <c r="CG100" t="e">
        <v>#VALUE!</v>
      </c>
      <c r="CH100" t="e">
        <v>#VALUE!</v>
      </c>
      <c r="CI100" t="e">
        <v>#VALUE!</v>
      </c>
      <c r="CJ100" t="e">
        <v>#VALUE!</v>
      </c>
      <c r="CK100" t="e">
        <v>#VALUE!</v>
      </c>
    </row>
    <row r="101" ht="12.5" customHeight="1" s="213">
      <c r="A101" t="inlineStr">
        <is>
          <t>CroSloven</t>
        </is>
      </c>
      <c r="B101" t="inlineStr">
        <is>
          <t>TTF</t>
        </is>
      </c>
      <c r="C101" t="inlineStr">
        <is>
          <t>TTF</t>
        </is>
      </c>
      <c r="E101" t="n">
        <v>1.00929896141801</v>
      </c>
      <c r="I101" t="n">
        <v>1.41658801405982</v>
      </c>
      <c r="J101" t="n">
        <v>1.47448946544171</v>
      </c>
      <c r="L101" t="n">
        <v>1.54503579850711</v>
      </c>
      <c r="V101" t="n">
        <v>1.74630995498665</v>
      </c>
      <c r="W101" t="n">
        <v>3</v>
      </c>
      <c r="AG101" s="223" t="inlineStr">
        <is>
          <t>GDP</t>
        </is>
      </c>
      <c r="AI101" t="n">
        <v>1</v>
      </c>
      <c r="AJ101" t="n">
        <v>1.01354665343015</v>
      </c>
      <c r="AK101" t="n">
        <v>1.26651860911973</v>
      </c>
      <c r="AL101" t="n">
        <v>1.43442777575904</v>
      </c>
      <c r="AM101" t="n">
        <v>1.55582290744437</v>
      </c>
      <c r="AN101" t="n">
        <v>1.64075103127405</v>
      </c>
      <c r="AO101" t="n">
        <v>1.70006493979853</v>
      </c>
      <c r="AP101" t="n">
        <v>1.74856667792587</v>
      </c>
      <c r="AQ101" t="n">
        <v>1.79128115037486</v>
      </c>
      <c r="AR101" t="n">
        <v>1.83354488386238</v>
      </c>
      <c r="AS101" t="n">
        <v>1.87489601006984</v>
      </c>
      <c r="AT101" t="n">
        <v>1.91374859561425</v>
      </c>
      <c r="AU101" t="n">
        <v>1.949028657538</v>
      </c>
      <c r="AV101" t="n">
        <v>1.98059151419911</v>
      </c>
      <c r="AW101" t="n">
        <v>2.01060739022698</v>
      </c>
      <c r="AX101" t="n">
        <v>2.04092932357437</v>
      </c>
      <c r="AY101" t="n">
        <v>2.07188563027497</v>
      </c>
      <c r="AZ101" t="n">
        <v>2.10205175262333</v>
      </c>
      <c r="BA101" t="n">
        <v>0</v>
      </c>
      <c r="BB101" t="n">
        <v>0</v>
      </c>
      <c r="BC101" t="n">
        <v>0</v>
      </c>
      <c r="BD101" t="n">
        <v>0</v>
      </c>
      <c r="BE101" t="n">
        <v>0</v>
      </c>
      <c r="BF101" t="n">
        <v>0</v>
      </c>
      <c r="BG101" t="n">
        <v>0</v>
      </c>
      <c r="BH101" t="n">
        <v>0</v>
      </c>
      <c r="BJ101" t="inlineStr">
        <is>
          <t>Med2</t>
        </is>
      </c>
      <c r="BL101" t="n">
        <v>0.8</v>
      </c>
      <c r="BM101" t="n">
        <v>0.797560975609756</v>
      </c>
      <c r="BN101" t="n">
        <v>0.785365853658536</v>
      </c>
      <c r="BO101" t="n">
        <v>0.773170731707317</v>
      </c>
      <c r="BP101" t="n">
        <v>0.760975609756097</v>
      </c>
      <c r="BQ101" t="n">
        <v>0.748780487804878</v>
      </c>
      <c r="BR101" t="n">
        <v>0.736585365853658</v>
      </c>
      <c r="BS101" t="n">
        <v>0.724390243902439</v>
      </c>
      <c r="BT101" t="n">
        <v>0.71219512195122</v>
      </c>
      <c r="BU101" t="n">
        <v>0.699999999999999</v>
      </c>
      <c r="BV101" t="n">
        <v>0.687499999999999</v>
      </c>
      <c r="BW101" t="n">
        <v>0.675</v>
      </c>
      <c r="BX101" t="n">
        <v>0.6625</v>
      </c>
      <c r="BY101" t="n">
        <v>0.649999999999999</v>
      </c>
      <c r="BZ101" t="n">
        <v>0.637499999999999</v>
      </c>
      <c r="CA101" t="n">
        <v>0.625</v>
      </c>
      <c r="CB101" t="n">
        <v>0.6125</v>
      </c>
      <c r="CC101" t="n">
        <v>0.6</v>
      </c>
      <c r="CD101" t="e">
        <v>#VALUE!</v>
      </c>
      <c r="CE101" t="e">
        <v>#VALUE!</v>
      </c>
      <c r="CF101" t="e">
        <v>#VALUE!</v>
      </c>
      <c r="CG101" t="e">
        <v>#VALUE!</v>
      </c>
      <c r="CH101" t="e">
        <v>#VALUE!</v>
      </c>
      <c r="CI101" t="e">
        <v>#VALUE!</v>
      </c>
      <c r="CJ101" t="e">
        <v>#VALUE!</v>
      </c>
      <c r="CK101" t="e">
        <v>#VALUE!</v>
      </c>
    </row>
    <row r="102" ht="12.5" customHeight="1" s="213">
      <c r="A102" t="inlineStr">
        <is>
          <t>CroSloven</t>
        </is>
      </c>
      <c r="B102" t="inlineStr">
        <is>
          <t>TTP</t>
        </is>
      </c>
      <c r="C102" t="inlineStr">
        <is>
          <t>TTP</t>
        </is>
      </c>
      <c r="E102" t="n">
        <v>1.58463004706926</v>
      </c>
      <c r="I102" t="n">
        <v>1.50167208679505</v>
      </c>
      <c r="J102" t="n">
        <v>1.47566951737528</v>
      </c>
      <c r="L102" t="n">
        <v>1.42900847026344</v>
      </c>
      <c r="V102" t="n">
        <v>1.25848141112579</v>
      </c>
      <c r="W102" t="n">
        <v>3</v>
      </c>
      <c r="AG102" s="223" t="inlineStr">
        <is>
          <t>POP</t>
        </is>
      </c>
      <c r="AI102" t="n">
        <v>1</v>
      </c>
      <c r="AJ102" t="n">
        <v>0.99565414200688</v>
      </c>
      <c r="AK102" t="n">
        <v>0.973924852041279</v>
      </c>
      <c r="AL102" t="n">
        <v>0.950941027310412</v>
      </c>
      <c r="AM102" t="n">
        <v>0.928564735527901</v>
      </c>
      <c r="AN102" t="n">
        <v>0.907091433932438</v>
      </c>
      <c r="AO102" t="n">
        <v>0.886901270047469</v>
      </c>
      <c r="AP102" t="n">
        <v>0.867949661628756</v>
      </c>
      <c r="AQ102" t="n">
        <v>0.849906636151745</v>
      </c>
      <c r="AR102" t="n">
        <v>0.8329067393141</v>
      </c>
      <c r="AS102" t="n">
        <v>0.816590277095107</v>
      </c>
      <c r="AT102" t="n">
        <v>0.800877512792707</v>
      </c>
      <c r="AU102" t="n">
        <v>0.785529076507733</v>
      </c>
      <c r="AV102" t="n">
        <v>0.770612241089016</v>
      </c>
      <c r="AW102" t="n">
        <v>0.756245093556239</v>
      </c>
      <c r="AX102" t="n">
        <v>0.7424405771416001</v>
      </c>
      <c r="AY102" t="n">
        <v>0.72884395140708</v>
      </c>
      <c r="AZ102" t="n">
        <v>0.714934291204956</v>
      </c>
      <c r="BA102" t="n">
        <v>0</v>
      </c>
      <c r="BB102" t="n">
        <v>0</v>
      </c>
      <c r="BC102" t="n">
        <v>0</v>
      </c>
      <c r="BD102" t="n">
        <v>0</v>
      </c>
      <c r="BE102" t="n">
        <v>0</v>
      </c>
      <c r="BF102" t="n">
        <v>0</v>
      </c>
      <c r="BG102" t="n">
        <v>0</v>
      </c>
      <c r="BH102" t="n">
        <v>0</v>
      </c>
      <c r="BJ102" t="inlineStr">
        <is>
          <t>Med2</t>
        </is>
      </c>
      <c r="BL102" t="n">
        <v>0.8</v>
      </c>
      <c r="BM102" t="n">
        <v>0.797560975609756</v>
      </c>
      <c r="BN102" t="n">
        <v>0.785365853658536</v>
      </c>
      <c r="BO102" t="n">
        <v>0.773170731707317</v>
      </c>
      <c r="BP102" t="n">
        <v>0.760975609756097</v>
      </c>
      <c r="BQ102" t="n">
        <v>0.748780487804878</v>
      </c>
      <c r="BR102" t="n">
        <v>0.736585365853658</v>
      </c>
      <c r="BS102" t="n">
        <v>0.724390243902439</v>
      </c>
      <c r="BT102" t="n">
        <v>0.71219512195122</v>
      </c>
      <c r="BU102" t="n">
        <v>0.699999999999999</v>
      </c>
      <c r="BV102" t="n">
        <v>0.687499999999999</v>
      </c>
      <c r="BW102" t="n">
        <v>0.675</v>
      </c>
      <c r="BX102" t="n">
        <v>0.6625</v>
      </c>
      <c r="BY102" t="n">
        <v>0.649999999999999</v>
      </c>
      <c r="BZ102" t="n">
        <v>0.637499999999999</v>
      </c>
      <c r="CA102" t="n">
        <v>0.625</v>
      </c>
      <c r="CB102" t="n">
        <v>0.6125</v>
      </c>
      <c r="CC102" t="n">
        <v>0.6</v>
      </c>
      <c r="CD102" t="e">
        <v>#VALUE!</v>
      </c>
      <c r="CE102" t="e">
        <v>#VALUE!</v>
      </c>
      <c r="CF102" t="e">
        <v>#VALUE!</v>
      </c>
      <c r="CG102" t="e">
        <v>#VALUE!</v>
      </c>
      <c r="CH102" t="e">
        <v>#VALUE!</v>
      </c>
      <c r="CI102" t="e">
        <v>#VALUE!</v>
      </c>
      <c r="CJ102" t="e">
        <v>#VALUE!</v>
      </c>
      <c r="CK102" t="e">
        <v>#VALUE!</v>
      </c>
    </row>
    <row r="103" ht="12.5" customHeight="1" s="213">
      <c r="A103" t="inlineStr">
        <is>
          <t>CroSloven</t>
        </is>
      </c>
      <c r="B103" t="inlineStr">
        <is>
          <t>TWD</t>
        </is>
      </c>
      <c r="C103" t="inlineStr">
        <is>
          <t>TWD</t>
        </is>
      </c>
      <c r="E103" t="n">
        <v>2.11971648311455</v>
      </c>
      <c r="F103">
        <f>E103</f>
        <v/>
      </c>
      <c r="I103">
        <f>F103</f>
        <v/>
      </c>
      <c r="J103">
        <f>I103</f>
        <v/>
      </c>
      <c r="L103">
        <f>J103</f>
        <v/>
      </c>
      <c r="V103">
        <f>L103</f>
        <v/>
      </c>
      <c r="W103" t="n">
        <v>3</v>
      </c>
      <c r="AG103" s="223" t="inlineStr">
        <is>
          <t>GDP</t>
        </is>
      </c>
      <c r="AI103" t="n">
        <v>1</v>
      </c>
      <c r="AJ103" t="n">
        <v>1.01354665343015</v>
      </c>
      <c r="AK103" t="n">
        <v>1.26651860911973</v>
      </c>
      <c r="AL103" t="n">
        <v>1.43442777575904</v>
      </c>
      <c r="AM103" t="n">
        <v>1.55582290744437</v>
      </c>
      <c r="AN103" t="n">
        <v>1.64075103127405</v>
      </c>
      <c r="AO103" t="n">
        <v>1.70006493979853</v>
      </c>
      <c r="AP103" t="n">
        <v>1.74856667792587</v>
      </c>
      <c r="AQ103" t="n">
        <v>1.79128115037486</v>
      </c>
      <c r="AR103" t="n">
        <v>1.83354488386238</v>
      </c>
      <c r="AS103" t="n">
        <v>1.87489601006984</v>
      </c>
      <c r="AT103" t="n">
        <v>1.91374859561425</v>
      </c>
      <c r="AU103" t="n">
        <v>1.949028657538</v>
      </c>
      <c r="AV103" t="n">
        <v>1.98059151419911</v>
      </c>
      <c r="AW103" t="n">
        <v>2.01060739022698</v>
      </c>
      <c r="AX103" t="n">
        <v>2.04092932357437</v>
      </c>
      <c r="AY103" t="n">
        <v>2.07188563027497</v>
      </c>
      <c r="AZ103" t="n">
        <v>2.10205175262333</v>
      </c>
      <c r="BA103" t="n">
        <v>0</v>
      </c>
      <c r="BB103" t="n">
        <v>0</v>
      </c>
      <c r="BC103" t="n">
        <v>0</v>
      </c>
      <c r="BD103" t="n">
        <v>0</v>
      </c>
      <c r="BE103" t="n">
        <v>0</v>
      </c>
      <c r="BF103" t="n">
        <v>0</v>
      </c>
      <c r="BG103" t="n">
        <v>0</v>
      </c>
      <c r="BH103" t="n">
        <v>0</v>
      </c>
      <c r="BJ103" t="inlineStr">
        <is>
          <t>Med2</t>
        </is>
      </c>
      <c r="BL103" t="n">
        <v>0.8</v>
      </c>
      <c r="BM103" t="n">
        <v>0.797560975609756</v>
      </c>
      <c r="BN103" t="n">
        <v>0.785365853658536</v>
      </c>
      <c r="BO103" t="n">
        <v>0.773170731707317</v>
      </c>
      <c r="BP103" t="n">
        <v>0.760975609756097</v>
      </c>
      <c r="BQ103" t="n">
        <v>0.748780487804878</v>
      </c>
      <c r="BR103" t="n">
        <v>0.736585365853658</v>
      </c>
      <c r="BS103" t="n">
        <v>0.724390243902439</v>
      </c>
      <c r="BT103" t="n">
        <v>0.71219512195122</v>
      </c>
      <c r="BU103" t="n">
        <v>0.699999999999999</v>
      </c>
      <c r="BV103" t="n">
        <v>0.687499999999999</v>
      </c>
      <c r="BW103" t="n">
        <v>0.675</v>
      </c>
      <c r="BX103" t="n">
        <v>0.6625</v>
      </c>
      <c r="BY103" t="n">
        <v>0.649999999999999</v>
      </c>
      <c r="BZ103" t="n">
        <v>0.637499999999999</v>
      </c>
      <c r="CA103" t="n">
        <v>0.625</v>
      </c>
      <c r="CB103" t="n">
        <v>0.6125</v>
      </c>
      <c r="CC103" t="n">
        <v>0.6</v>
      </c>
      <c r="CD103" t="e">
        <v>#VALUE!</v>
      </c>
      <c r="CE103" t="e">
        <v>#VALUE!</v>
      </c>
      <c r="CF103" t="e">
        <v>#VALUE!</v>
      </c>
      <c r="CG103" t="e">
        <v>#VALUE!</v>
      </c>
      <c r="CH103" t="e">
        <v>#VALUE!</v>
      </c>
      <c r="CI103" t="e">
        <v>#VALUE!</v>
      </c>
      <c r="CJ103" t="e">
        <v>#VALUE!</v>
      </c>
      <c r="CK103" t="e">
        <v>#VALUE!</v>
      </c>
    </row>
    <row r="104" ht="12.5" customHeight="1" s="213">
      <c r="A104" t="inlineStr">
        <is>
          <t>CroSloven</t>
        </is>
      </c>
      <c r="B104" t="inlineStr">
        <is>
          <t>TWI</t>
        </is>
      </c>
      <c r="C104" t="inlineStr">
        <is>
          <t>TWI</t>
        </is>
      </c>
      <c r="E104" t="n">
        <v>8.940492118408461</v>
      </c>
      <c r="F104">
        <f>E104</f>
        <v/>
      </c>
      <c r="I104">
        <f>F104</f>
        <v/>
      </c>
      <c r="J104">
        <f>I104</f>
        <v/>
      </c>
      <c r="L104">
        <f>J104</f>
        <v/>
      </c>
      <c r="V104">
        <f>L104</f>
        <v/>
      </c>
      <c r="W104" t="n">
        <v>3</v>
      </c>
      <c r="AG104" s="223" t="inlineStr">
        <is>
          <t>GDP</t>
        </is>
      </c>
      <c r="AI104" t="n">
        <v>1</v>
      </c>
      <c r="AJ104" t="n">
        <v>1.01354665343015</v>
      </c>
      <c r="AK104" t="n">
        <v>1.26651860911973</v>
      </c>
      <c r="AL104" t="n">
        <v>1.43442777575904</v>
      </c>
      <c r="AM104" t="n">
        <v>1.55582290744437</v>
      </c>
      <c r="AN104" t="n">
        <v>1.64075103127405</v>
      </c>
      <c r="AO104" t="n">
        <v>1.70006493979853</v>
      </c>
      <c r="AP104" t="n">
        <v>1.74856667792587</v>
      </c>
      <c r="AQ104" t="n">
        <v>1.79128115037486</v>
      </c>
      <c r="AR104" t="n">
        <v>1.83354488386238</v>
      </c>
      <c r="AS104" t="n">
        <v>1.87489601006984</v>
      </c>
      <c r="AT104" t="n">
        <v>1.91374859561425</v>
      </c>
      <c r="AU104" t="n">
        <v>1.949028657538</v>
      </c>
      <c r="AV104" t="n">
        <v>1.98059151419911</v>
      </c>
      <c r="AW104" t="n">
        <v>2.01060739022698</v>
      </c>
      <c r="AX104" t="n">
        <v>2.04092932357437</v>
      </c>
      <c r="AY104" t="n">
        <v>2.07188563027497</v>
      </c>
      <c r="AZ104" t="n">
        <v>2.10205175262333</v>
      </c>
      <c r="BA104" t="n">
        <v>0</v>
      </c>
      <c r="BB104" t="n">
        <v>0</v>
      </c>
      <c r="BC104" t="n">
        <v>0</v>
      </c>
      <c r="BD104" t="n">
        <v>0</v>
      </c>
      <c r="BE104" t="n">
        <v>0</v>
      </c>
      <c r="BF104" t="n">
        <v>0</v>
      </c>
      <c r="BG104" t="n">
        <v>0</v>
      </c>
      <c r="BH104" t="n">
        <v>0</v>
      </c>
      <c r="BJ104" t="inlineStr">
        <is>
          <t>Med2</t>
        </is>
      </c>
      <c r="BL104" t="n">
        <v>0.8</v>
      </c>
      <c r="BM104" t="n">
        <v>0.797560975609756</v>
      </c>
      <c r="BN104" t="n">
        <v>0.785365853658536</v>
      </c>
      <c r="BO104" t="n">
        <v>0.773170731707317</v>
      </c>
      <c r="BP104" t="n">
        <v>0.760975609756097</v>
      </c>
      <c r="BQ104" t="n">
        <v>0.748780487804878</v>
      </c>
      <c r="BR104" t="n">
        <v>0.736585365853658</v>
      </c>
      <c r="BS104" t="n">
        <v>0.724390243902439</v>
      </c>
      <c r="BT104" t="n">
        <v>0.71219512195122</v>
      </c>
      <c r="BU104" t="n">
        <v>0.699999999999999</v>
      </c>
      <c r="BV104" t="n">
        <v>0.687499999999999</v>
      </c>
      <c r="BW104" t="n">
        <v>0.675</v>
      </c>
      <c r="BX104" t="n">
        <v>0.6625</v>
      </c>
      <c r="BY104" t="n">
        <v>0.649999999999999</v>
      </c>
      <c r="BZ104" t="n">
        <v>0.637499999999999</v>
      </c>
      <c r="CA104" t="n">
        <v>0.625</v>
      </c>
      <c r="CB104" t="n">
        <v>0.6125</v>
      </c>
      <c r="CC104" t="n">
        <v>0.6</v>
      </c>
      <c r="CD104" t="e">
        <v>#VALUE!</v>
      </c>
      <c r="CE104" t="e">
        <v>#VALUE!</v>
      </c>
      <c r="CF104" t="e">
        <v>#VALUE!</v>
      </c>
      <c r="CG104" t="e">
        <v>#VALUE!</v>
      </c>
      <c r="CH104" t="e">
        <v>#VALUE!</v>
      </c>
      <c r="CI104" t="e">
        <v>#VALUE!</v>
      </c>
      <c r="CJ104" t="e">
        <v>#VALUE!</v>
      </c>
      <c r="CK104" t="e">
        <v>#VALUE!</v>
      </c>
    </row>
    <row r="105" ht="12.5" customHeight="1" s="213">
      <c r="A105" t="inlineStr">
        <is>
          <t>CroSloven</t>
        </is>
      </c>
      <c r="B105" t="inlineStr">
        <is>
          <t>Trd_2w</t>
        </is>
      </c>
      <c r="C105" t="inlineStr">
        <is>
          <t>Trd_2w</t>
        </is>
      </c>
      <c r="D105" t="n">
        <v>0.504</v>
      </c>
      <c r="E105" t="n">
        <v>0.5022530922826099</v>
      </c>
      <c r="G105" t="n">
        <v>0.493644509405803</v>
      </c>
      <c r="H105" t="n">
        <v>0.484637376532017</v>
      </c>
      <c r="I105" t="n">
        <v>0.475959326015691</v>
      </c>
      <c r="J105" t="n">
        <v>0.467717736174244</v>
      </c>
      <c r="K105" t="n">
        <v>0.460049496056039</v>
      </c>
      <c r="L105" t="n">
        <v>0.452928381873909</v>
      </c>
      <c r="M105" t="n">
        <v>0.446222693691771</v>
      </c>
      <c r="N105" t="n">
        <v>0.439974927636424</v>
      </c>
      <c r="O105" t="n">
        <v>0.434049355975938</v>
      </c>
      <c r="P105" t="n">
        <v>0.428411794634936</v>
      </c>
      <c r="Q105" t="n">
        <v>0.422972465515959</v>
      </c>
      <c r="R105" t="n">
        <v>0.417751631496905</v>
      </c>
      <c r="S105" t="n">
        <v>0.412786474426179</v>
      </c>
      <c r="T105" t="n">
        <v>0.408077090432723</v>
      </c>
      <c r="U105" t="n">
        <v>0.403499702181505</v>
      </c>
      <c r="V105" t="n">
        <v>0.398879335581905</v>
      </c>
      <c r="W105" t="n">
        <v>3</v>
      </c>
      <c r="AG105" s="223" t="inlineStr">
        <is>
          <t>POP</t>
        </is>
      </c>
      <c r="AI105" t="n">
        <v>1</v>
      </c>
      <c r="AJ105" t="n">
        <v>0.99565414200688</v>
      </c>
      <c r="AK105" t="n">
        <v>0.973924852041279</v>
      </c>
      <c r="AL105" t="n">
        <v>0.950941027310412</v>
      </c>
      <c r="AM105" t="n">
        <v>0.928564735527901</v>
      </c>
      <c r="AN105" t="n">
        <v>0.907091433932438</v>
      </c>
      <c r="AO105" t="n">
        <v>0.886901270047469</v>
      </c>
      <c r="AP105" t="n">
        <v>0.867949661628756</v>
      </c>
      <c r="AQ105" t="n">
        <v>0.849906636151745</v>
      </c>
      <c r="AR105" t="n">
        <v>0.8329067393141</v>
      </c>
      <c r="AS105" t="n">
        <v>0.816590277095107</v>
      </c>
      <c r="AT105" t="n">
        <v>0.800877512792707</v>
      </c>
      <c r="AU105" t="n">
        <v>0.785529076507733</v>
      </c>
      <c r="AV105" t="n">
        <v>0.770612241089016</v>
      </c>
      <c r="AW105" t="n">
        <v>0.756245093556239</v>
      </c>
      <c r="AX105" t="n">
        <v>0.7424405771416001</v>
      </c>
      <c r="AY105" t="n">
        <v>0.72884395140708</v>
      </c>
      <c r="AZ105" t="n">
        <v>0.714934291204956</v>
      </c>
      <c r="BA105" t="n">
        <v>0</v>
      </c>
      <c r="BB105" t="n">
        <v>0</v>
      </c>
      <c r="BC105" t="n">
        <v>0</v>
      </c>
      <c r="BD105" t="n">
        <v>0</v>
      </c>
      <c r="BE105" t="n">
        <v>0</v>
      </c>
      <c r="BF105" t="n">
        <v>0</v>
      </c>
      <c r="BG105" t="n">
        <v>0</v>
      </c>
      <c r="BH105" t="n">
        <v>0</v>
      </c>
      <c r="BJ105" t="inlineStr">
        <is>
          <t>Med2</t>
        </is>
      </c>
      <c r="BL105" t="n">
        <v>0.8</v>
      </c>
      <c r="BM105" t="n">
        <v>0.797560975609756</v>
      </c>
      <c r="BN105" t="n">
        <v>0.785365853658536</v>
      </c>
      <c r="BO105" t="n">
        <v>0.773170731707317</v>
      </c>
      <c r="BP105" t="n">
        <v>0.760975609756097</v>
      </c>
      <c r="BQ105" t="n">
        <v>0.748780487804878</v>
      </c>
      <c r="BR105" t="n">
        <v>0.736585365853658</v>
      </c>
      <c r="BS105" t="n">
        <v>0.724390243902439</v>
      </c>
      <c r="BT105" t="n">
        <v>0.71219512195122</v>
      </c>
      <c r="BU105" t="n">
        <v>0.699999999999999</v>
      </c>
      <c r="BV105" t="n">
        <v>0.687499999999999</v>
      </c>
      <c r="BW105" t="n">
        <v>0.675</v>
      </c>
      <c r="BX105" t="n">
        <v>0.6625</v>
      </c>
      <c r="BY105" t="n">
        <v>0.649999999999999</v>
      </c>
      <c r="BZ105" t="n">
        <v>0.637499999999999</v>
      </c>
      <c r="CA105" t="n">
        <v>0.625</v>
      </c>
      <c r="CB105" t="n">
        <v>0.6125</v>
      </c>
      <c r="CC105" t="n">
        <v>0.6</v>
      </c>
      <c r="CD105" t="e">
        <v>#VALUE!</v>
      </c>
      <c r="CE105" t="e">
        <v>#VALUE!</v>
      </c>
      <c r="CF105" t="e">
        <v>#VALUE!</v>
      </c>
      <c r="CG105" t="e">
        <v>#VALUE!</v>
      </c>
      <c r="CH105" t="e">
        <v>#VALUE!</v>
      </c>
      <c r="CI105" t="e">
        <v>#VALUE!</v>
      </c>
      <c r="CJ105" t="e">
        <v>#VALUE!</v>
      </c>
      <c r="CK105" t="e">
        <v>#VALUE!</v>
      </c>
    </row>
    <row r="106" ht="12.5" customHeight="1" s="213">
      <c r="A106" t="inlineStr">
        <is>
          <t>CroSloven</t>
        </is>
      </c>
      <c r="B106" t="inlineStr">
        <is>
          <t>Trd_3w</t>
        </is>
      </c>
      <c r="C106" t="inlineStr">
        <is>
          <t>Trd_3w</t>
        </is>
      </c>
      <c r="D106" t="n">
        <v>0.105</v>
      </c>
      <c r="E106" t="n">
        <v>0.10463606089221</v>
      </c>
      <c r="G106" t="n">
        <v>0.102842606126209</v>
      </c>
      <c r="H106" t="n">
        <v>0.100966120110837</v>
      </c>
      <c r="I106" t="n">
        <v>0.09915819291993561</v>
      </c>
      <c r="J106" t="n">
        <v>0.0974411950363009</v>
      </c>
      <c r="K106" t="n">
        <v>0.09584364501167481</v>
      </c>
      <c r="L106" t="n">
        <v>0.0943600795570643</v>
      </c>
      <c r="M106" t="n">
        <v>0.09296306118578571</v>
      </c>
      <c r="N106" t="n">
        <v>0.09166144325758829</v>
      </c>
      <c r="O106" t="n">
        <v>0.0904269491616537</v>
      </c>
      <c r="P106" t="n">
        <v>0.08925245721561161</v>
      </c>
      <c r="Q106" t="n">
        <v>0.0881192636491582</v>
      </c>
      <c r="R106" t="n">
        <v>0.0870315898951886</v>
      </c>
      <c r="S106" t="n">
        <v>0.0859971821721206</v>
      </c>
      <c r="T106" t="n">
        <v>0.0850160605068174</v>
      </c>
      <c r="U106" t="n">
        <v>0.0840624379544803</v>
      </c>
      <c r="V106" t="n">
        <v>0.0830998615795636</v>
      </c>
      <c r="W106" t="n">
        <v>3</v>
      </c>
      <c r="AG106" s="223" t="inlineStr">
        <is>
          <t>POP</t>
        </is>
      </c>
      <c r="AI106" t="n">
        <v>1</v>
      </c>
      <c r="AJ106" t="n">
        <v>0.99565414200688</v>
      </c>
      <c r="AK106" t="n">
        <v>0.973924852041279</v>
      </c>
      <c r="AL106" t="n">
        <v>0.950941027310412</v>
      </c>
      <c r="AM106" t="n">
        <v>0.928564735527901</v>
      </c>
      <c r="AN106" t="n">
        <v>0.907091433932438</v>
      </c>
      <c r="AO106" t="n">
        <v>0.886901270047469</v>
      </c>
      <c r="AP106" t="n">
        <v>0.867949661628756</v>
      </c>
      <c r="AQ106" t="n">
        <v>0.849906636151745</v>
      </c>
      <c r="AR106" t="n">
        <v>0.8329067393141</v>
      </c>
      <c r="AS106" t="n">
        <v>0.816590277095107</v>
      </c>
      <c r="AT106" t="n">
        <v>0.800877512792707</v>
      </c>
      <c r="AU106" t="n">
        <v>0.785529076507733</v>
      </c>
      <c r="AV106" t="n">
        <v>0.770612241089016</v>
      </c>
      <c r="AW106" t="n">
        <v>0.756245093556239</v>
      </c>
      <c r="AX106" t="n">
        <v>0.7424405771416001</v>
      </c>
      <c r="AY106" t="n">
        <v>0.72884395140708</v>
      </c>
      <c r="AZ106" t="n">
        <v>0.714934291204956</v>
      </c>
      <c r="BA106" t="n">
        <v>0</v>
      </c>
      <c r="BB106" t="n">
        <v>0</v>
      </c>
      <c r="BC106" t="n">
        <v>0</v>
      </c>
      <c r="BD106" t="n">
        <v>0</v>
      </c>
      <c r="BE106" t="n">
        <v>0</v>
      </c>
      <c r="BF106" t="n">
        <v>0</v>
      </c>
      <c r="BG106" t="n">
        <v>0</v>
      </c>
      <c r="BH106" t="n">
        <v>0</v>
      </c>
      <c r="BJ106" t="inlineStr">
        <is>
          <t>Med2</t>
        </is>
      </c>
      <c r="BL106" t="n">
        <v>0.8</v>
      </c>
      <c r="BM106" t="n">
        <v>0.797560975609756</v>
      </c>
      <c r="BN106" t="n">
        <v>0.785365853658536</v>
      </c>
      <c r="BO106" t="n">
        <v>0.773170731707317</v>
      </c>
      <c r="BP106" t="n">
        <v>0.760975609756097</v>
      </c>
      <c r="BQ106" t="n">
        <v>0.748780487804878</v>
      </c>
      <c r="BR106" t="n">
        <v>0.736585365853658</v>
      </c>
      <c r="BS106" t="n">
        <v>0.724390243902439</v>
      </c>
      <c r="BT106" t="n">
        <v>0.71219512195122</v>
      </c>
      <c r="BU106" t="n">
        <v>0.699999999999999</v>
      </c>
      <c r="BV106" t="n">
        <v>0.687499999999999</v>
      </c>
      <c r="BW106" t="n">
        <v>0.675</v>
      </c>
      <c r="BX106" t="n">
        <v>0.6625</v>
      </c>
      <c r="BY106" t="n">
        <v>0.649999999999999</v>
      </c>
      <c r="BZ106" t="n">
        <v>0.637499999999999</v>
      </c>
      <c r="CA106" t="n">
        <v>0.625</v>
      </c>
      <c r="CB106" t="n">
        <v>0.6125</v>
      </c>
      <c r="CC106" t="n">
        <v>0.6</v>
      </c>
      <c r="CD106" t="e">
        <v>#VALUE!</v>
      </c>
      <c r="CE106" t="e">
        <v>#VALUE!</v>
      </c>
      <c r="CF106" t="e">
        <v>#VALUE!</v>
      </c>
      <c r="CG106" t="e">
        <v>#VALUE!</v>
      </c>
      <c r="CH106" t="e">
        <v>#VALUE!</v>
      </c>
      <c r="CI106" t="e">
        <v>#VALUE!</v>
      </c>
      <c r="CJ106" t="e">
        <v>#VALUE!</v>
      </c>
      <c r="CK106" t="e">
        <v>#VALUE!</v>
      </c>
    </row>
    <row r="107" ht="12.5" customHeight="1" s="213">
      <c r="A107" t="inlineStr">
        <is>
          <t>CroSloven</t>
        </is>
      </c>
      <c r="B107" t="inlineStr">
        <is>
          <t>Trd_bus</t>
        </is>
      </c>
      <c r="C107" t="inlineStr">
        <is>
          <t>Trd_bus</t>
        </is>
      </c>
      <c r="D107" t="n">
        <v>0.805</v>
      </c>
      <c r="E107" t="n">
        <v>0.802209800173612</v>
      </c>
      <c r="G107" t="n">
        <v>0.788459980300935</v>
      </c>
      <c r="H107" t="n">
        <v>0.774073587516416</v>
      </c>
      <c r="I107" t="n">
        <v>0.760212812386173</v>
      </c>
      <c r="J107" t="n">
        <v>0.747049161944973</v>
      </c>
      <c r="K107" t="n">
        <v>0.73480127842284</v>
      </c>
      <c r="L107" t="n">
        <v>0.72342727660416</v>
      </c>
      <c r="M107" t="n">
        <v>0.712716802424357</v>
      </c>
      <c r="N107" t="n">
        <v>0.702737731641511</v>
      </c>
      <c r="O107" t="n">
        <v>0.693273276906012</v>
      </c>
      <c r="P107" t="n">
        <v>0.684268838653022</v>
      </c>
      <c r="Q107" t="n">
        <v>0.675581021310213</v>
      </c>
      <c r="R107" t="n">
        <v>0.667242189196446</v>
      </c>
      <c r="S107" t="n">
        <v>0.659311729986258</v>
      </c>
      <c r="T107" t="n">
        <v>0.651789797218933</v>
      </c>
      <c r="U107" t="n">
        <v>0.644478690984349</v>
      </c>
      <c r="V107" t="n">
        <v>0.637098938776654</v>
      </c>
      <c r="W107" t="n">
        <v>3</v>
      </c>
      <c r="AG107" s="223" t="inlineStr">
        <is>
          <t>POP</t>
        </is>
      </c>
      <c r="AI107" t="n">
        <v>1</v>
      </c>
      <c r="AJ107" t="n">
        <v>0.99565414200688</v>
      </c>
      <c r="AK107" t="n">
        <v>0.973924852041279</v>
      </c>
      <c r="AL107" t="n">
        <v>0.950941027310412</v>
      </c>
      <c r="AM107" t="n">
        <v>0.928564735527901</v>
      </c>
      <c r="AN107" t="n">
        <v>0.907091433932438</v>
      </c>
      <c r="AO107" t="n">
        <v>0.886901270047469</v>
      </c>
      <c r="AP107" t="n">
        <v>0.867949661628756</v>
      </c>
      <c r="AQ107" t="n">
        <v>0.849906636151745</v>
      </c>
      <c r="AR107" t="n">
        <v>0.8329067393141</v>
      </c>
      <c r="AS107" t="n">
        <v>0.816590277095107</v>
      </c>
      <c r="AT107" t="n">
        <v>0.800877512792707</v>
      </c>
      <c r="AU107" t="n">
        <v>0.785529076507733</v>
      </c>
      <c r="AV107" t="n">
        <v>0.770612241089016</v>
      </c>
      <c r="AW107" t="n">
        <v>0.756245093556239</v>
      </c>
      <c r="AX107" t="n">
        <v>0.7424405771416001</v>
      </c>
      <c r="AY107" t="n">
        <v>0.72884395140708</v>
      </c>
      <c r="AZ107" t="n">
        <v>0.714934291204956</v>
      </c>
      <c r="BA107" t="n">
        <v>0</v>
      </c>
      <c r="BB107" t="n">
        <v>0</v>
      </c>
      <c r="BC107" t="n">
        <v>0</v>
      </c>
      <c r="BD107" t="n">
        <v>0</v>
      </c>
      <c r="BE107" t="n">
        <v>0</v>
      </c>
      <c r="BF107" t="n">
        <v>0</v>
      </c>
      <c r="BG107" t="n">
        <v>0</v>
      </c>
      <c r="BH107" t="n">
        <v>0</v>
      </c>
      <c r="BJ107" t="inlineStr">
        <is>
          <t>Med2</t>
        </is>
      </c>
      <c r="BL107" t="n">
        <v>0.8</v>
      </c>
      <c r="BM107" t="n">
        <v>0.797560975609756</v>
      </c>
      <c r="BN107" t="n">
        <v>0.785365853658536</v>
      </c>
      <c r="BO107" t="n">
        <v>0.773170731707317</v>
      </c>
      <c r="BP107" t="n">
        <v>0.760975609756097</v>
      </c>
      <c r="BQ107" t="n">
        <v>0.748780487804878</v>
      </c>
      <c r="BR107" t="n">
        <v>0.736585365853658</v>
      </c>
      <c r="BS107" t="n">
        <v>0.724390243902439</v>
      </c>
      <c r="BT107" t="n">
        <v>0.71219512195122</v>
      </c>
      <c r="BU107" t="n">
        <v>0.699999999999999</v>
      </c>
      <c r="BV107" t="n">
        <v>0.687499999999999</v>
      </c>
      <c r="BW107" t="n">
        <v>0.675</v>
      </c>
      <c r="BX107" t="n">
        <v>0.6625</v>
      </c>
      <c r="BY107" t="n">
        <v>0.649999999999999</v>
      </c>
      <c r="BZ107" t="n">
        <v>0.637499999999999</v>
      </c>
      <c r="CA107" t="n">
        <v>0.625</v>
      </c>
      <c r="CB107" t="n">
        <v>0.6125</v>
      </c>
      <c r="CC107" t="n">
        <v>0.6</v>
      </c>
      <c r="CD107" t="e">
        <v>#VALUE!</v>
      </c>
      <c r="CE107" t="e">
        <v>#VALUE!</v>
      </c>
      <c r="CF107" t="e">
        <v>#VALUE!</v>
      </c>
      <c r="CG107" t="e">
        <v>#VALUE!</v>
      </c>
      <c r="CH107" t="e">
        <v>#VALUE!</v>
      </c>
      <c r="CI107" t="e">
        <v>#VALUE!</v>
      </c>
      <c r="CJ107" t="e">
        <v>#VALUE!</v>
      </c>
      <c r="CK107" t="e">
        <v>#VALUE!</v>
      </c>
    </row>
    <row r="108" ht="12.5" customHeight="1" s="213">
      <c r="A108" t="inlineStr">
        <is>
          <t>CroSloven</t>
        </is>
      </c>
      <c r="B108" t="inlineStr">
        <is>
          <t>Trd_car</t>
        </is>
      </c>
      <c r="C108" t="inlineStr">
        <is>
          <t>Trd_car</t>
        </is>
      </c>
      <c r="D108" t="n">
        <v>29.832</v>
      </c>
      <c r="E108" t="n">
        <v>30.2595718104059</v>
      </c>
      <c r="G108" t="n">
        <v>36.8536128709613</v>
      </c>
      <c r="H108" t="n">
        <v>41.4112272628376</v>
      </c>
      <c r="I108" t="n">
        <v>44.9018127908655</v>
      </c>
      <c r="J108" t="n">
        <v>47.5764849769605</v>
      </c>
      <c r="K108" t="n">
        <v>49.669961079823</v>
      </c>
      <c r="L108" t="n">
        <v>51.504502610094</v>
      </c>
      <c r="M108" t="n">
        <v>53.1983071427684</v>
      </c>
      <c r="N108" t="n">
        <v>54.8549140297763</v>
      </c>
      <c r="O108" t="n">
        <v>56.4759739288029</v>
      </c>
      <c r="P108" t="n">
        <v>58.0293600549186</v>
      </c>
      <c r="Q108" t="n">
        <v>59.5030987542138</v>
      </c>
      <c r="R108" t="n">
        <v>60.8902398682705</v>
      </c>
      <c r="S108" t="n">
        <v>62.2271514370812</v>
      </c>
      <c r="T108" t="n">
        <v>63.5477211982189</v>
      </c>
      <c r="U108" t="n">
        <v>64.87521910720019</v>
      </c>
      <c r="V108" t="n">
        <v>66.21030726852371</v>
      </c>
      <c r="W108" t="n">
        <v>3</v>
      </c>
      <c r="AG108" s="223" t="inlineStr">
        <is>
          <t>GDPPCAP</t>
        </is>
      </c>
      <c r="AI108" t="n">
        <v>1</v>
      </c>
      <c r="AJ108" t="n">
        <v>1.01797060913864</v>
      </c>
      <c r="AK108" t="n">
        <v>1.30042744721546</v>
      </c>
      <c r="AL108" t="n">
        <v>1.50842979171494</v>
      </c>
      <c r="AM108" t="n">
        <v>1.6755136695557</v>
      </c>
      <c r="AN108" t="n">
        <v>1.80880445994407</v>
      </c>
      <c r="AO108" t="n">
        <v>1.91685929112215</v>
      </c>
      <c r="AP108" t="n">
        <v>2.01459457296704</v>
      </c>
      <c r="AQ108" t="n">
        <v>2.10762108940051</v>
      </c>
      <c r="AR108" t="n">
        <v>2.20138077568241</v>
      </c>
      <c r="AS108" t="n">
        <v>2.29600579710488</v>
      </c>
      <c r="AT108" t="n">
        <v>2.38956465257828</v>
      </c>
      <c r="AU108" t="n">
        <v>2.4811667904171</v>
      </c>
      <c r="AV108" t="n">
        <v>2.57015319585396</v>
      </c>
      <c r="AW108" t="n">
        <v>2.65867164938831</v>
      </c>
      <c r="AX108" t="n">
        <v>2.7489463620536</v>
      </c>
      <c r="AY108" t="n">
        <v>2.8427012754583</v>
      </c>
      <c r="AZ108" t="n">
        <v>2.9402027269954</v>
      </c>
      <c r="BA108" t="n">
        <v>0</v>
      </c>
      <c r="BB108" t="n">
        <v>0</v>
      </c>
      <c r="BC108" t="n">
        <v>0</v>
      </c>
      <c r="BD108" t="n">
        <v>0</v>
      </c>
      <c r="BE108" t="n">
        <v>0</v>
      </c>
      <c r="BF108" t="n">
        <v>0</v>
      </c>
      <c r="BG108" t="n">
        <v>0</v>
      </c>
      <c r="BH108" t="n">
        <v>0</v>
      </c>
      <c r="BJ108" t="inlineStr">
        <is>
          <t>Med2</t>
        </is>
      </c>
      <c r="BL108" t="n">
        <v>0.8</v>
      </c>
      <c r="BM108" t="n">
        <v>0.797560975609756</v>
      </c>
      <c r="BN108" t="n">
        <v>0.785365853658536</v>
      </c>
      <c r="BO108" t="n">
        <v>0.773170731707317</v>
      </c>
      <c r="BP108" t="n">
        <v>0.760975609756097</v>
      </c>
      <c r="BQ108" t="n">
        <v>0.748780487804878</v>
      </c>
      <c r="BR108" t="n">
        <v>0.736585365853658</v>
      </c>
      <c r="BS108" t="n">
        <v>0.724390243902439</v>
      </c>
      <c r="BT108" t="n">
        <v>0.71219512195122</v>
      </c>
      <c r="BU108" t="n">
        <v>0.699999999999999</v>
      </c>
      <c r="BV108" t="n">
        <v>0.687499999999999</v>
      </c>
      <c r="BW108" t="n">
        <v>0.675</v>
      </c>
      <c r="BX108" t="n">
        <v>0.6625</v>
      </c>
      <c r="BY108" t="n">
        <v>0.649999999999999</v>
      </c>
      <c r="BZ108" t="n">
        <v>0.637499999999999</v>
      </c>
      <c r="CA108" t="n">
        <v>0.625</v>
      </c>
      <c r="CB108" t="n">
        <v>0.6125</v>
      </c>
      <c r="CC108" t="n">
        <v>0.6</v>
      </c>
      <c r="CD108" t="e">
        <v>#VALUE!</v>
      </c>
      <c r="CE108" t="e">
        <v>#VALUE!</v>
      </c>
      <c r="CF108" t="e">
        <v>#VALUE!</v>
      </c>
      <c r="CG108" t="e">
        <v>#VALUE!</v>
      </c>
      <c r="CH108" t="e">
        <v>#VALUE!</v>
      </c>
      <c r="CI108" t="e">
        <v>#VALUE!</v>
      </c>
      <c r="CJ108" t="e">
        <v>#VALUE!</v>
      </c>
      <c r="CK108" t="e">
        <v>#VALUE!</v>
      </c>
    </row>
    <row r="109" ht="12.5" customHeight="1" s="213">
      <c r="A109" t="inlineStr">
        <is>
          <t>CroSloven</t>
        </is>
      </c>
      <c r="B109" t="inlineStr">
        <is>
          <t>Trd_hdt</t>
        </is>
      </c>
      <c r="C109" t="inlineStr">
        <is>
          <t>Trd_hdt</t>
        </is>
      </c>
      <c r="D109" t="n">
        <v>10.8</v>
      </c>
      <c r="E109" t="n">
        <v>10.9166862469608</v>
      </c>
      <c r="G109" t="n">
        <v>13.0565763875619</v>
      </c>
      <c r="H109" t="n">
        <v>14.3949197527713</v>
      </c>
      <c r="I109" t="n">
        <v>15.3219684967966</v>
      </c>
      <c r="J109" t="n">
        <v>15.9482368297112</v>
      </c>
      <c r="K109" t="n">
        <v>16.3729049107048</v>
      </c>
      <c r="L109" t="n">
        <v>16.7112735645025</v>
      </c>
      <c r="M109" t="n">
        <v>17.002011292632</v>
      </c>
      <c r="N109" t="n">
        <v>17.2828147453514</v>
      </c>
      <c r="O109" t="n">
        <v>17.5507827693584</v>
      </c>
      <c r="P109" t="n">
        <v>17.7962779688508</v>
      </c>
      <c r="Q109" t="n">
        <v>18.013627904993</v>
      </c>
      <c r="R109" t="n">
        <v>18.2032428753288</v>
      </c>
      <c r="S109" t="n">
        <v>18.3791101614037</v>
      </c>
      <c r="T109" t="n">
        <v>18.5523445519189</v>
      </c>
      <c r="U109" t="n">
        <v>18.7247004182221</v>
      </c>
      <c r="V109" t="n">
        <v>18.8882765139772</v>
      </c>
      <c r="W109" t="n">
        <v>3</v>
      </c>
      <c r="AG109" s="223" t="inlineStr">
        <is>
          <t>GDP</t>
        </is>
      </c>
      <c r="AI109" t="n">
        <v>1</v>
      </c>
      <c r="AJ109" t="n">
        <v>1.01354665343015</v>
      </c>
      <c r="AK109" t="n">
        <v>1.26651860911973</v>
      </c>
      <c r="AL109" t="n">
        <v>1.43442777575904</v>
      </c>
      <c r="AM109" t="n">
        <v>1.55582290744437</v>
      </c>
      <c r="AN109" t="n">
        <v>1.64075103127405</v>
      </c>
      <c r="AO109" t="n">
        <v>1.70006493979853</v>
      </c>
      <c r="AP109" t="n">
        <v>1.74856667792587</v>
      </c>
      <c r="AQ109" t="n">
        <v>1.79128115037486</v>
      </c>
      <c r="AR109" t="n">
        <v>1.83354488386238</v>
      </c>
      <c r="AS109" t="n">
        <v>1.87489601006984</v>
      </c>
      <c r="AT109" t="n">
        <v>1.91374859561425</v>
      </c>
      <c r="AU109" t="n">
        <v>1.949028657538</v>
      </c>
      <c r="AV109" t="n">
        <v>1.98059151419911</v>
      </c>
      <c r="AW109" t="n">
        <v>2.01060739022698</v>
      </c>
      <c r="AX109" t="n">
        <v>2.04092932357437</v>
      </c>
      <c r="AY109" t="n">
        <v>2.07188563027497</v>
      </c>
      <c r="AZ109" t="n">
        <v>2.10205175262333</v>
      </c>
      <c r="BA109" t="n">
        <v>0</v>
      </c>
      <c r="BB109" t="n">
        <v>0</v>
      </c>
      <c r="BC109" t="n">
        <v>0</v>
      </c>
      <c r="BD109" t="n">
        <v>0</v>
      </c>
      <c r="BE109" t="n">
        <v>0</v>
      </c>
      <c r="BF109" t="n">
        <v>0</v>
      </c>
      <c r="BG109" t="n">
        <v>0</v>
      </c>
      <c r="BH109" t="n">
        <v>0</v>
      </c>
      <c r="BJ109" t="inlineStr">
        <is>
          <t>Med2</t>
        </is>
      </c>
      <c r="BL109" t="n">
        <v>0.8</v>
      </c>
      <c r="BM109" t="n">
        <v>0.797560975609756</v>
      </c>
      <c r="BN109" t="n">
        <v>0.785365853658536</v>
      </c>
      <c r="BO109" t="n">
        <v>0.773170731707317</v>
      </c>
      <c r="BP109" t="n">
        <v>0.760975609756097</v>
      </c>
      <c r="BQ109" t="n">
        <v>0.748780487804878</v>
      </c>
      <c r="BR109" t="n">
        <v>0.736585365853658</v>
      </c>
      <c r="BS109" t="n">
        <v>0.724390243902439</v>
      </c>
      <c r="BT109" t="n">
        <v>0.71219512195122</v>
      </c>
      <c r="BU109" t="n">
        <v>0.699999999999999</v>
      </c>
      <c r="BV109" t="n">
        <v>0.687499999999999</v>
      </c>
      <c r="BW109" t="n">
        <v>0.675</v>
      </c>
      <c r="BX109" t="n">
        <v>0.6625</v>
      </c>
      <c r="BY109" t="n">
        <v>0.649999999999999</v>
      </c>
      <c r="BZ109" t="n">
        <v>0.637499999999999</v>
      </c>
      <c r="CA109" t="n">
        <v>0.625</v>
      </c>
      <c r="CB109" t="n">
        <v>0.6125</v>
      </c>
      <c r="CC109" t="n">
        <v>0.6</v>
      </c>
      <c r="CD109" t="e">
        <v>#VALUE!</v>
      </c>
      <c r="CE109" t="e">
        <v>#VALUE!</v>
      </c>
      <c r="CF109" t="e">
        <v>#VALUE!</v>
      </c>
      <c r="CG109" t="e">
        <v>#VALUE!</v>
      </c>
      <c r="CH109" t="e">
        <v>#VALUE!</v>
      </c>
      <c r="CI109" t="e">
        <v>#VALUE!</v>
      </c>
      <c r="CJ109" t="e">
        <v>#VALUE!</v>
      </c>
      <c r="CK109" t="e">
        <v>#VALUE!</v>
      </c>
    </row>
    <row r="110" ht="12.5" customHeight="1" s="213">
      <c r="A110" t="inlineStr">
        <is>
          <t>CroSloven</t>
        </is>
      </c>
      <c r="B110" t="inlineStr">
        <is>
          <t>Trd_lcv</t>
        </is>
      </c>
      <c r="C110" t="inlineStr">
        <is>
          <t>Trd_lcv</t>
        </is>
      </c>
      <c r="D110" t="n">
        <v>7.16</v>
      </c>
      <c r="E110" t="n">
        <v>7.23735866002214</v>
      </c>
      <c r="G110" t="n">
        <v>8.656026568050279</v>
      </c>
      <c r="H110" t="n">
        <v>9.54329865091136</v>
      </c>
      <c r="I110" t="n">
        <v>10.1578976330614</v>
      </c>
      <c r="J110" t="n">
        <v>10.5730903426604</v>
      </c>
      <c r="K110" t="n">
        <v>10.8546295519117</v>
      </c>
      <c r="L110" t="n">
        <v>11.0789554372072</v>
      </c>
      <c r="M110" t="n">
        <v>11.271703782893</v>
      </c>
      <c r="N110" t="n">
        <v>11.4578660719182</v>
      </c>
      <c r="O110" t="n">
        <v>11.6355189470931</v>
      </c>
      <c r="P110" t="n">
        <v>11.7982731719418</v>
      </c>
      <c r="Q110" t="n">
        <v>11.9423681296065</v>
      </c>
      <c r="R110" t="n">
        <v>12.0680758321624</v>
      </c>
      <c r="S110" t="n">
        <v>12.1846693292269</v>
      </c>
      <c r="T110" t="n">
        <v>12.29951731405</v>
      </c>
      <c r="U110" t="n">
        <v>12.4137828698584</v>
      </c>
      <c r="V110" t="n">
        <v>12.5222277629701</v>
      </c>
      <c r="W110" t="n">
        <v>3</v>
      </c>
      <c r="AG110" s="223" t="inlineStr">
        <is>
          <t>GDP</t>
        </is>
      </c>
      <c r="AI110" t="n">
        <v>1</v>
      </c>
      <c r="AJ110" t="n">
        <v>1.01354665343015</v>
      </c>
      <c r="AK110" t="n">
        <v>1.26651860911973</v>
      </c>
      <c r="AL110" t="n">
        <v>1.43442777575904</v>
      </c>
      <c r="AM110" t="n">
        <v>1.55582290744437</v>
      </c>
      <c r="AN110" t="n">
        <v>1.64075103127405</v>
      </c>
      <c r="AO110" t="n">
        <v>1.70006493979853</v>
      </c>
      <c r="AP110" t="n">
        <v>1.74856667792587</v>
      </c>
      <c r="AQ110" t="n">
        <v>1.79128115037486</v>
      </c>
      <c r="AR110" t="n">
        <v>1.83354488386238</v>
      </c>
      <c r="AS110" t="n">
        <v>1.87489601006984</v>
      </c>
      <c r="AT110" t="n">
        <v>1.91374859561425</v>
      </c>
      <c r="AU110" t="n">
        <v>1.949028657538</v>
      </c>
      <c r="AV110" t="n">
        <v>1.98059151419911</v>
      </c>
      <c r="AW110" t="n">
        <v>2.01060739022698</v>
      </c>
      <c r="AX110" t="n">
        <v>2.04092932357437</v>
      </c>
      <c r="AY110" t="n">
        <v>2.07188563027497</v>
      </c>
      <c r="AZ110" t="n">
        <v>2.10205175262333</v>
      </c>
      <c r="BA110" t="n">
        <v>0</v>
      </c>
      <c r="BB110" t="n">
        <v>0</v>
      </c>
      <c r="BC110" t="n">
        <v>0</v>
      </c>
      <c r="BD110" t="n">
        <v>0</v>
      </c>
      <c r="BE110" t="n">
        <v>0</v>
      </c>
      <c r="BF110" t="n">
        <v>0</v>
      </c>
      <c r="BG110" t="n">
        <v>0</v>
      </c>
      <c r="BH110" t="n">
        <v>0</v>
      </c>
      <c r="BJ110" t="inlineStr">
        <is>
          <t>Med2</t>
        </is>
      </c>
      <c r="BL110" t="n">
        <v>0.8</v>
      </c>
      <c r="BM110" t="n">
        <v>0.797560975609756</v>
      </c>
      <c r="BN110" t="n">
        <v>0.785365853658536</v>
      </c>
      <c r="BO110" t="n">
        <v>0.773170731707317</v>
      </c>
      <c r="BP110" t="n">
        <v>0.760975609756097</v>
      </c>
      <c r="BQ110" t="n">
        <v>0.748780487804878</v>
      </c>
      <c r="BR110" t="n">
        <v>0.736585365853658</v>
      </c>
      <c r="BS110" t="n">
        <v>0.724390243902439</v>
      </c>
      <c r="BT110" t="n">
        <v>0.71219512195122</v>
      </c>
      <c r="BU110" t="n">
        <v>0.699999999999999</v>
      </c>
      <c r="BV110" t="n">
        <v>0.687499999999999</v>
      </c>
      <c r="BW110" t="n">
        <v>0.675</v>
      </c>
      <c r="BX110" t="n">
        <v>0.6625</v>
      </c>
      <c r="BY110" t="n">
        <v>0.649999999999999</v>
      </c>
      <c r="BZ110" t="n">
        <v>0.637499999999999</v>
      </c>
      <c r="CA110" t="n">
        <v>0.625</v>
      </c>
      <c r="CB110" t="n">
        <v>0.6125</v>
      </c>
      <c r="CC110" t="n">
        <v>0.6</v>
      </c>
      <c r="CD110" t="e">
        <v>#VALUE!</v>
      </c>
      <c r="CE110" t="e">
        <v>#VALUE!</v>
      </c>
      <c r="CF110" t="e">
        <v>#VALUE!</v>
      </c>
      <c r="CG110" t="e">
        <v>#VALUE!</v>
      </c>
      <c r="CH110" t="e">
        <v>#VALUE!</v>
      </c>
      <c r="CI110" t="e">
        <v>#VALUE!</v>
      </c>
      <c r="CJ110" t="e">
        <v>#VALUE!</v>
      </c>
      <c r="CK110" t="e">
        <v>#VALUE!</v>
      </c>
    </row>
    <row r="111" ht="12.5" customHeight="1" s="213">
      <c r="A111" t="inlineStr">
        <is>
          <t>CzechSlovak</t>
        </is>
      </c>
      <c r="B111" t="inlineStr">
        <is>
          <t>TAD</t>
        </is>
      </c>
      <c r="C111" t="inlineStr">
        <is>
          <t>TAD</t>
        </is>
      </c>
      <c r="E111" t="n">
        <v>2.00560851222116</v>
      </c>
      <c r="F111">
        <f>E111</f>
        <v/>
      </c>
      <c r="I111">
        <f>F111</f>
        <v/>
      </c>
      <c r="J111">
        <f>I111</f>
        <v/>
      </c>
      <c r="L111">
        <f>J111</f>
        <v/>
      </c>
      <c r="V111">
        <f>L111</f>
        <v/>
      </c>
      <c r="W111" t="n">
        <v>3</v>
      </c>
      <c r="AG111" s="223" t="inlineStr">
        <is>
          <t>GDP</t>
        </is>
      </c>
      <c r="AI111" t="n">
        <v>1</v>
      </c>
      <c r="AJ111" t="n">
        <v>1.01557457237373</v>
      </c>
      <c r="AK111" t="n">
        <v>1.1213267076235</v>
      </c>
      <c r="AL111" t="n">
        <v>1.22487803718389</v>
      </c>
      <c r="AM111" t="n">
        <v>1.32470492634685</v>
      </c>
      <c r="AN111" t="n">
        <v>1.42191318091703</v>
      </c>
      <c r="AO111" t="n">
        <v>1.51143122248092</v>
      </c>
      <c r="AP111" t="n">
        <v>1.59657286647917</v>
      </c>
      <c r="AQ111" t="n">
        <v>1.68239348244542</v>
      </c>
      <c r="AR111" t="n">
        <v>1.76604390949538</v>
      </c>
      <c r="AS111" t="n">
        <v>1.84866957514004</v>
      </c>
      <c r="AT111" t="n">
        <v>1.92596972325319</v>
      </c>
      <c r="AU111" t="n">
        <v>1.99499974065792</v>
      </c>
      <c r="AV111" t="n">
        <v>2.05665111574725</v>
      </c>
      <c r="AW111" t="n">
        <v>2.1131498680237</v>
      </c>
      <c r="AX111" t="n">
        <v>2.16633120288619</v>
      </c>
      <c r="AY111" t="n">
        <v>2.21680385382328</v>
      </c>
      <c r="AZ111" t="n">
        <v>2.26184833098965</v>
      </c>
      <c r="BA111" t="n">
        <v>0</v>
      </c>
      <c r="BB111" t="n">
        <v>0</v>
      </c>
      <c r="BC111" t="n">
        <v>0</v>
      </c>
      <c r="BD111" t="n">
        <v>0</v>
      </c>
      <c r="BE111" t="n">
        <v>0</v>
      </c>
      <c r="BF111" t="n">
        <v>0</v>
      </c>
      <c r="BG111" t="n">
        <v>0</v>
      </c>
      <c r="BH111" t="n">
        <v>0</v>
      </c>
      <c r="BJ111" t="inlineStr">
        <is>
          <t>Med2</t>
        </is>
      </c>
      <c r="BL111" t="n">
        <v>0.8</v>
      </c>
      <c r="BM111" t="n">
        <v>0.797560975609756</v>
      </c>
      <c r="BN111" t="n">
        <v>0.785365853658536</v>
      </c>
      <c r="BO111" t="n">
        <v>0.773170731707317</v>
      </c>
      <c r="BP111" t="n">
        <v>0.760975609756097</v>
      </c>
      <c r="BQ111" t="n">
        <v>0.748780487804878</v>
      </c>
      <c r="BR111" t="n">
        <v>0.736585365853658</v>
      </c>
      <c r="BS111" t="n">
        <v>0.724390243902439</v>
      </c>
      <c r="BT111" t="n">
        <v>0.71219512195122</v>
      </c>
      <c r="BU111" t="n">
        <v>0.699999999999999</v>
      </c>
      <c r="BV111" t="n">
        <v>0.687499999999999</v>
      </c>
      <c r="BW111" t="n">
        <v>0.675</v>
      </c>
      <c r="BX111" t="n">
        <v>0.6625</v>
      </c>
      <c r="BY111" t="n">
        <v>0.649999999999999</v>
      </c>
      <c r="BZ111" t="n">
        <v>0.637499999999999</v>
      </c>
      <c r="CA111" t="n">
        <v>0.625</v>
      </c>
      <c r="CB111" t="n">
        <v>0.6125</v>
      </c>
      <c r="CC111" t="n">
        <v>0.6</v>
      </c>
      <c r="CD111" t="e">
        <v>#VALUE!</v>
      </c>
      <c r="CE111" t="e">
        <v>#VALUE!</v>
      </c>
      <c r="CF111" t="e">
        <v>#VALUE!</v>
      </c>
      <c r="CG111" t="e">
        <v>#VALUE!</v>
      </c>
      <c r="CH111" t="e">
        <v>#VALUE!</v>
      </c>
      <c r="CI111" t="e">
        <v>#VALUE!</v>
      </c>
      <c r="CJ111" t="e">
        <v>#VALUE!</v>
      </c>
      <c r="CK111" t="e">
        <v>#VALUE!</v>
      </c>
    </row>
    <row r="112" ht="12.5" customHeight="1" s="213">
      <c r="A112" t="inlineStr">
        <is>
          <t>CzechSlovak</t>
        </is>
      </c>
      <c r="B112" t="inlineStr">
        <is>
          <t>TAI</t>
        </is>
      </c>
      <c r="C112" t="inlineStr">
        <is>
          <t>TAI</t>
        </is>
      </c>
      <c r="E112" t="n">
        <v>19.5468221264771</v>
      </c>
      <c r="F112">
        <f>E112</f>
        <v/>
      </c>
      <c r="I112">
        <f>F112</f>
        <v/>
      </c>
      <c r="J112">
        <f>I112</f>
        <v/>
      </c>
      <c r="L112">
        <f>J112</f>
        <v/>
      </c>
      <c r="V112">
        <f>L112</f>
        <v/>
      </c>
      <c r="W112" t="n">
        <v>3</v>
      </c>
      <c r="AG112" s="223" t="inlineStr">
        <is>
          <t>GDP</t>
        </is>
      </c>
      <c r="AI112" t="n">
        <v>1</v>
      </c>
      <c r="AJ112" t="n">
        <v>1.01557457237373</v>
      </c>
      <c r="AK112" t="n">
        <v>1.1213267076235</v>
      </c>
      <c r="AL112" t="n">
        <v>1.22487803718389</v>
      </c>
      <c r="AM112" t="n">
        <v>1.32470492634685</v>
      </c>
      <c r="AN112" t="n">
        <v>1.42191318091703</v>
      </c>
      <c r="AO112" t="n">
        <v>1.51143122248092</v>
      </c>
      <c r="AP112" t="n">
        <v>1.59657286647917</v>
      </c>
      <c r="AQ112" t="n">
        <v>1.68239348244542</v>
      </c>
      <c r="AR112" t="n">
        <v>1.76604390949538</v>
      </c>
      <c r="AS112" t="n">
        <v>1.84866957514004</v>
      </c>
      <c r="AT112" t="n">
        <v>1.92596972325319</v>
      </c>
      <c r="AU112" t="n">
        <v>1.99499974065792</v>
      </c>
      <c r="AV112" t="n">
        <v>2.05665111574725</v>
      </c>
      <c r="AW112" t="n">
        <v>2.1131498680237</v>
      </c>
      <c r="AX112" t="n">
        <v>2.16633120288619</v>
      </c>
      <c r="AY112" t="n">
        <v>2.21680385382328</v>
      </c>
      <c r="AZ112" t="n">
        <v>2.26184833098965</v>
      </c>
      <c r="BA112" t="n">
        <v>0</v>
      </c>
      <c r="BB112" t="n">
        <v>0</v>
      </c>
      <c r="BC112" t="n">
        <v>0</v>
      </c>
      <c r="BD112" t="n">
        <v>0</v>
      </c>
      <c r="BE112" t="n">
        <v>0</v>
      </c>
      <c r="BF112" t="n">
        <v>0</v>
      </c>
      <c r="BG112" t="n">
        <v>0</v>
      </c>
      <c r="BH112" t="n">
        <v>0</v>
      </c>
      <c r="BJ112" t="inlineStr">
        <is>
          <t>Med2</t>
        </is>
      </c>
      <c r="BL112" t="n">
        <v>0.8</v>
      </c>
      <c r="BM112" t="n">
        <v>0.797560975609756</v>
      </c>
      <c r="BN112" t="n">
        <v>0.785365853658536</v>
      </c>
      <c r="BO112" t="n">
        <v>0.773170731707317</v>
      </c>
      <c r="BP112" t="n">
        <v>0.760975609756097</v>
      </c>
      <c r="BQ112" t="n">
        <v>0.748780487804878</v>
      </c>
      <c r="BR112" t="n">
        <v>0.736585365853658</v>
      </c>
      <c r="BS112" t="n">
        <v>0.724390243902439</v>
      </c>
      <c r="BT112" t="n">
        <v>0.71219512195122</v>
      </c>
      <c r="BU112" t="n">
        <v>0.699999999999999</v>
      </c>
      <c r="BV112" t="n">
        <v>0.687499999999999</v>
      </c>
      <c r="BW112" t="n">
        <v>0.675</v>
      </c>
      <c r="BX112" t="n">
        <v>0.6625</v>
      </c>
      <c r="BY112" t="n">
        <v>0.649999999999999</v>
      </c>
      <c r="BZ112" t="n">
        <v>0.637499999999999</v>
      </c>
      <c r="CA112" t="n">
        <v>0.625</v>
      </c>
      <c r="CB112" t="n">
        <v>0.6125</v>
      </c>
      <c r="CC112" t="n">
        <v>0.6</v>
      </c>
      <c r="CD112" t="e">
        <v>#VALUE!</v>
      </c>
      <c r="CE112" t="e">
        <v>#VALUE!</v>
      </c>
      <c r="CF112" t="e">
        <v>#VALUE!</v>
      </c>
      <c r="CG112" t="e">
        <v>#VALUE!</v>
      </c>
      <c r="CH112" t="e">
        <v>#VALUE!</v>
      </c>
      <c r="CI112" t="e">
        <v>#VALUE!</v>
      </c>
      <c r="CJ112" t="e">
        <v>#VALUE!</v>
      </c>
      <c r="CK112" t="e">
        <v>#VALUE!</v>
      </c>
    </row>
    <row r="113" ht="12.5" customHeight="1" s="213">
      <c r="A113" t="inlineStr">
        <is>
          <t>CzechSlovak</t>
        </is>
      </c>
      <c r="B113" t="inlineStr">
        <is>
          <t>TTF</t>
        </is>
      </c>
      <c r="C113" t="inlineStr">
        <is>
          <t>TTF</t>
        </is>
      </c>
      <c r="E113" t="n">
        <v>3.92497340838634</v>
      </c>
      <c r="I113" t="n">
        <v>4.83125377216984</v>
      </c>
      <c r="J113" t="n">
        <v>5.09671332771343</v>
      </c>
      <c r="L113" t="n">
        <v>5.5506826861402</v>
      </c>
      <c r="V113" t="n">
        <v>7.01327729505485</v>
      </c>
      <c r="W113" t="n">
        <v>3</v>
      </c>
      <c r="AG113" s="223" t="inlineStr">
        <is>
          <t>GDP</t>
        </is>
      </c>
      <c r="AI113" t="n">
        <v>1</v>
      </c>
      <c r="AJ113" t="n">
        <v>1.01557457237373</v>
      </c>
      <c r="AK113" t="n">
        <v>1.1213267076235</v>
      </c>
      <c r="AL113" t="n">
        <v>1.22487803718389</v>
      </c>
      <c r="AM113" t="n">
        <v>1.32470492634685</v>
      </c>
      <c r="AN113" t="n">
        <v>1.42191318091703</v>
      </c>
      <c r="AO113" t="n">
        <v>1.51143122248092</v>
      </c>
      <c r="AP113" t="n">
        <v>1.59657286647917</v>
      </c>
      <c r="AQ113" t="n">
        <v>1.68239348244542</v>
      </c>
      <c r="AR113" t="n">
        <v>1.76604390949538</v>
      </c>
      <c r="AS113" t="n">
        <v>1.84866957514004</v>
      </c>
      <c r="AT113" t="n">
        <v>1.92596972325319</v>
      </c>
      <c r="AU113" t="n">
        <v>1.99499974065792</v>
      </c>
      <c r="AV113" t="n">
        <v>2.05665111574725</v>
      </c>
      <c r="AW113" t="n">
        <v>2.1131498680237</v>
      </c>
      <c r="AX113" t="n">
        <v>2.16633120288619</v>
      </c>
      <c r="AY113" t="n">
        <v>2.21680385382328</v>
      </c>
      <c r="AZ113" t="n">
        <v>2.26184833098965</v>
      </c>
      <c r="BA113" t="n">
        <v>0</v>
      </c>
      <c r="BB113" t="n">
        <v>0</v>
      </c>
      <c r="BC113" t="n">
        <v>0</v>
      </c>
      <c r="BD113" t="n">
        <v>0</v>
      </c>
      <c r="BE113" t="n">
        <v>0</v>
      </c>
      <c r="BF113" t="n">
        <v>0</v>
      </c>
      <c r="BG113" t="n">
        <v>0</v>
      </c>
      <c r="BH113" t="n">
        <v>0</v>
      </c>
      <c r="BJ113" t="inlineStr">
        <is>
          <t>Med2</t>
        </is>
      </c>
      <c r="BL113" t="n">
        <v>0.8</v>
      </c>
      <c r="BM113" t="n">
        <v>0.797560975609756</v>
      </c>
      <c r="BN113" t="n">
        <v>0.785365853658536</v>
      </c>
      <c r="BO113" t="n">
        <v>0.773170731707317</v>
      </c>
      <c r="BP113" t="n">
        <v>0.760975609756097</v>
      </c>
      <c r="BQ113" t="n">
        <v>0.748780487804878</v>
      </c>
      <c r="BR113" t="n">
        <v>0.736585365853658</v>
      </c>
      <c r="BS113" t="n">
        <v>0.724390243902439</v>
      </c>
      <c r="BT113" t="n">
        <v>0.71219512195122</v>
      </c>
      <c r="BU113" t="n">
        <v>0.699999999999999</v>
      </c>
      <c r="BV113" t="n">
        <v>0.687499999999999</v>
      </c>
      <c r="BW113" t="n">
        <v>0.675</v>
      </c>
      <c r="BX113" t="n">
        <v>0.6625</v>
      </c>
      <c r="BY113" t="n">
        <v>0.649999999999999</v>
      </c>
      <c r="BZ113" t="n">
        <v>0.637499999999999</v>
      </c>
      <c r="CA113" t="n">
        <v>0.625</v>
      </c>
      <c r="CB113" t="n">
        <v>0.6125</v>
      </c>
      <c r="CC113" t="n">
        <v>0.6</v>
      </c>
      <c r="CD113" t="e">
        <v>#VALUE!</v>
      </c>
      <c r="CE113" t="e">
        <v>#VALUE!</v>
      </c>
      <c r="CF113" t="e">
        <v>#VALUE!</v>
      </c>
      <c r="CG113" t="e">
        <v>#VALUE!</v>
      </c>
      <c r="CH113" t="e">
        <v>#VALUE!</v>
      </c>
      <c r="CI113" t="e">
        <v>#VALUE!</v>
      </c>
      <c r="CJ113" t="e">
        <v>#VALUE!</v>
      </c>
      <c r="CK113" t="e">
        <v>#VALUE!</v>
      </c>
    </row>
    <row r="114" ht="12.5" customHeight="1" s="213">
      <c r="A114" t="inlineStr">
        <is>
          <t>CzechSlovak</t>
        </is>
      </c>
      <c r="B114" t="inlineStr">
        <is>
          <t>TTP</t>
        </is>
      </c>
      <c r="C114" t="inlineStr">
        <is>
          <t>TTP</t>
        </is>
      </c>
      <c r="E114" t="n">
        <v>7.10295902802551</v>
      </c>
      <c r="I114" t="n">
        <v>7.09434671357223</v>
      </c>
      <c r="J114" t="n">
        <v>7.02400495859201</v>
      </c>
      <c r="L114" t="n">
        <v>6.91840009341947</v>
      </c>
      <c r="V114" t="n">
        <v>6.28230153212521</v>
      </c>
      <c r="W114" t="n">
        <v>3</v>
      </c>
      <c r="AG114" s="223" t="inlineStr">
        <is>
          <t>POP</t>
        </is>
      </c>
      <c r="AI114" t="n">
        <v>1</v>
      </c>
      <c r="AJ114" t="n">
        <v>1.00448613053112</v>
      </c>
      <c r="AK114" t="n">
        <v>1.02691678318671</v>
      </c>
      <c r="AL114" t="n">
        <v>1.01584972350688</v>
      </c>
      <c r="AM114" t="n">
        <v>1.00226106324155</v>
      </c>
      <c r="AN114" t="n">
        <v>0.988989345700601</v>
      </c>
      <c r="AO114" t="n">
        <v>0.977884104689994</v>
      </c>
      <c r="AP114" t="n">
        <v>0.968677191718912</v>
      </c>
      <c r="AQ114" t="n">
        <v>0.959605608958064</v>
      </c>
      <c r="AR114" t="n">
        <v>0.948653909647699</v>
      </c>
      <c r="AS114" t="n">
        <v>0.93423317268371</v>
      </c>
      <c r="AT114" t="n">
        <v>0.917044289238451</v>
      </c>
      <c r="AU114" t="n">
        <v>0.899321369548259</v>
      </c>
      <c r="AV114" t="n">
        <v>0.88318944330414</v>
      </c>
      <c r="AW114" t="n">
        <v>0.869375086159187</v>
      </c>
      <c r="AX114" t="n">
        <v>0.857400529092767</v>
      </c>
      <c r="AY114" t="n">
        <v>0.846582778431326</v>
      </c>
      <c r="AZ114" t="n">
        <v>0.835770240023922</v>
      </c>
      <c r="BA114" t="n">
        <v>0</v>
      </c>
      <c r="BB114" t="n">
        <v>0</v>
      </c>
      <c r="BC114" t="n">
        <v>0</v>
      </c>
      <c r="BD114" t="n">
        <v>0</v>
      </c>
      <c r="BE114" t="n">
        <v>0</v>
      </c>
      <c r="BF114" t="n">
        <v>0</v>
      </c>
      <c r="BG114" t="n">
        <v>0</v>
      </c>
      <c r="BH114" t="n">
        <v>0</v>
      </c>
      <c r="BJ114" t="inlineStr">
        <is>
          <t>Med2</t>
        </is>
      </c>
      <c r="BL114" t="n">
        <v>0.8</v>
      </c>
      <c r="BM114" t="n">
        <v>0.797560975609756</v>
      </c>
      <c r="BN114" t="n">
        <v>0.785365853658536</v>
      </c>
      <c r="BO114" t="n">
        <v>0.773170731707317</v>
      </c>
      <c r="BP114" t="n">
        <v>0.760975609756097</v>
      </c>
      <c r="BQ114" t="n">
        <v>0.748780487804878</v>
      </c>
      <c r="BR114" t="n">
        <v>0.736585365853658</v>
      </c>
      <c r="BS114" t="n">
        <v>0.724390243902439</v>
      </c>
      <c r="BT114" t="n">
        <v>0.71219512195122</v>
      </c>
      <c r="BU114" t="n">
        <v>0.699999999999999</v>
      </c>
      <c r="BV114" t="n">
        <v>0.687499999999999</v>
      </c>
      <c r="BW114" t="n">
        <v>0.675</v>
      </c>
      <c r="BX114" t="n">
        <v>0.6625</v>
      </c>
      <c r="BY114" t="n">
        <v>0.649999999999999</v>
      </c>
      <c r="BZ114" t="n">
        <v>0.637499999999999</v>
      </c>
      <c r="CA114" t="n">
        <v>0.625</v>
      </c>
      <c r="CB114" t="n">
        <v>0.6125</v>
      </c>
      <c r="CC114" t="n">
        <v>0.6</v>
      </c>
      <c r="CD114" t="e">
        <v>#VALUE!</v>
      </c>
      <c r="CE114" t="e">
        <v>#VALUE!</v>
      </c>
      <c r="CF114" t="e">
        <v>#VALUE!</v>
      </c>
      <c r="CG114" t="e">
        <v>#VALUE!</v>
      </c>
      <c r="CH114" t="e">
        <v>#VALUE!</v>
      </c>
      <c r="CI114" t="e">
        <v>#VALUE!</v>
      </c>
      <c r="CJ114" t="e">
        <v>#VALUE!</v>
      </c>
      <c r="CK114" t="e">
        <v>#VALUE!</v>
      </c>
    </row>
    <row r="115" ht="12.5" customHeight="1" s="213">
      <c r="A115" t="inlineStr">
        <is>
          <t>CzechSlovak</t>
        </is>
      </c>
      <c r="B115" t="inlineStr">
        <is>
          <t>TWD</t>
        </is>
      </c>
      <c r="C115" t="inlineStr">
        <is>
          <t>TWD</t>
        </is>
      </c>
      <c r="E115" t="n">
        <v>0.215645069999914</v>
      </c>
      <c r="F115">
        <f>E115</f>
        <v/>
      </c>
      <c r="I115">
        <f>F115</f>
        <v/>
      </c>
      <c r="J115">
        <f>I115</f>
        <v/>
      </c>
      <c r="L115">
        <f>J115</f>
        <v/>
      </c>
      <c r="V115">
        <f>L115</f>
        <v/>
      </c>
      <c r="W115" t="n">
        <v>3</v>
      </c>
      <c r="AG115" s="223" t="inlineStr">
        <is>
          <t>GDP</t>
        </is>
      </c>
      <c r="AI115" t="n">
        <v>1</v>
      </c>
      <c r="AJ115" t="n">
        <v>1.01557457237373</v>
      </c>
      <c r="AK115" t="n">
        <v>1.1213267076235</v>
      </c>
      <c r="AL115" t="n">
        <v>1.22487803718389</v>
      </c>
      <c r="AM115" t="n">
        <v>1.32470492634685</v>
      </c>
      <c r="AN115" t="n">
        <v>1.42191318091703</v>
      </c>
      <c r="AO115" t="n">
        <v>1.51143122248092</v>
      </c>
      <c r="AP115" t="n">
        <v>1.59657286647917</v>
      </c>
      <c r="AQ115" t="n">
        <v>1.68239348244542</v>
      </c>
      <c r="AR115" t="n">
        <v>1.76604390949538</v>
      </c>
      <c r="AS115" t="n">
        <v>1.84866957514004</v>
      </c>
      <c r="AT115" t="n">
        <v>1.92596972325319</v>
      </c>
      <c r="AU115" t="n">
        <v>1.99499974065792</v>
      </c>
      <c r="AV115" t="n">
        <v>2.05665111574725</v>
      </c>
      <c r="AW115" t="n">
        <v>2.1131498680237</v>
      </c>
      <c r="AX115" t="n">
        <v>2.16633120288619</v>
      </c>
      <c r="AY115" t="n">
        <v>2.21680385382328</v>
      </c>
      <c r="AZ115" t="n">
        <v>2.26184833098965</v>
      </c>
      <c r="BA115" t="n">
        <v>0</v>
      </c>
      <c r="BB115" t="n">
        <v>0</v>
      </c>
      <c r="BC115" t="n">
        <v>0</v>
      </c>
      <c r="BD115" t="n">
        <v>0</v>
      </c>
      <c r="BE115" t="n">
        <v>0</v>
      </c>
      <c r="BF115" t="n">
        <v>0</v>
      </c>
      <c r="BG115" t="n">
        <v>0</v>
      </c>
      <c r="BH115" t="n">
        <v>0</v>
      </c>
      <c r="BJ115" t="inlineStr">
        <is>
          <t>Med2</t>
        </is>
      </c>
      <c r="BL115" t="n">
        <v>0.8</v>
      </c>
      <c r="BM115" t="n">
        <v>0.797560975609756</v>
      </c>
      <c r="BN115" t="n">
        <v>0.785365853658536</v>
      </c>
      <c r="BO115" t="n">
        <v>0.773170731707317</v>
      </c>
      <c r="BP115" t="n">
        <v>0.760975609756097</v>
      </c>
      <c r="BQ115" t="n">
        <v>0.748780487804878</v>
      </c>
      <c r="BR115" t="n">
        <v>0.736585365853658</v>
      </c>
      <c r="BS115" t="n">
        <v>0.724390243902439</v>
      </c>
      <c r="BT115" t="n">
        <v>0.71219512195122</v>
      </c>
      <c r="BU115" t="n">
        <v>0.699999999999999</v>
      </c>
      <c r="BV115" t="n">
        <v>0.687499999999999</v>
      </c>
      <c r="BW115" t="n">
        <v>0.675</v>
      </c>
      <c r="BX115" t="n">
        <v>0.6625</v>
      </c>
      <c r="BY115" t="n">
        <v>0.649999999999999</v>
      </c>
      <c r="BZ115" t="n">
        <v>0.637499999999999</v>
      </c>
      <c r="CA115" t="n">
        <v>0.625</v>
      </c>
      <c r="CB115" t="n">
        <v>0.6125</v>
      </c>
      <c r="CC115" t="n">
        <v>0.6</v>
      </c>
      <c r="CD115" t="e">
        <v>#VALUE!</v>
      </c>
      <c r="CE115" t="e">
        <v>#VALUE!</v>
      </c>
      <c r="CF115" t="e">
        <v>#VALUE!</v>
      </c>
      <c r="CG115" t="e">
        <v>#VALUE!</v>
      </c>
      <c r="CH115" t="e">
        <v>#VALUE!</v>
      </c>
      <c r="CI115" t="e">
        <v>#VALUE!</v>
      </c>
      <c r="CJ115" t="e">
        <v>#VALUE!</v>
      </c>
      <c r="CK115" t="e">
        <v>#VALUE!</v>
      </c>
    </row>
    <row r="116" ht="12.5" customHeight="1" s="213">
      <c r="A116" t="inlineStr">
        <is>
          <t>CzechSlovak</t>
        </is>
      </c>
      <c r="B116" t="inlineStr">
        <is>
          <t>TWI</t>
        </is>
      </c>
      <c r="C116" t="inlineStr">
        <is>
          <t>TWI</t>
        </is>
      </c>
      <c r="E116" t="n">
        <v>0</v>
      </c>
      <c r="F116">
        <f>E116</f>
        <v/>
      </c>
      <c r="I116">
        <f>F116</f>
        <v/>
      </c>
      <c r="J116">
        <f>I116</f>
        <v/>
      </c>
      <c r="L116">
        <f>J116</f>
        <v/>
      </c>
      <c r="V116">
        <f>L116</f>
        <v/>
      </c>
      <c r="W116" t="n">
        <v>3</v>
      </c>
      <c r="AG116" s="223" t="inlineStr">
        <is>
          <t>GDP</t>
        </is>
      </c>
      <c r="AI116" t="n">
        <v>1</v>
      </c>
      <c r="AJ116" t="n">
        <v>1.01557457237373</v>
      </c>
      <c r="AK116" t="n">
        <v>1.1213267076235</v>
      </c>
      <c r="AL116" t="n">
        <v>1.22487803718389</v>
      </c>
      <c r="AM116" t="n">
        <v>1.32470492634685</v>
      </c>
      <c r="AN116" t="n">
        <v>1.42191318091703</v>
      </c>
      <c r="AO116" t="n">
        <v>1.51143122248092</v>
      </c>
      <c r="AP116" t="n">
        <v>1.59657286647917</v>
      </c>
      <c r="AQ116" t="n">
        <v>1.68239348244542</v>
      </c>
      <c r="AR116" t="n">
        <v>1.76604390949538</v>
      </c>
      <c r="AS116" t="n">
        <v>1.84866957514004</v>
      </c>
      <c r="AT116" t="n">
        <v>1.92596972325319</v>
      </c>
      <c r="AU116" t="n">
        <v>1.99499974065792</v>
      </c>
      <c r="AV116" t="n">
        <v>2.05665111574725</v>
      </c>
      <c r="AW116" t="n">
        <v>2.1131498680237</v>
      </c>
      <c r="AX116" t="n">
        <v>2.16633120288619</v>
      </c>
      <c r="AY116" t="n">
        <v>2.21680385382328</v>
      </c>
      <c r="AZ116" t="n">
        <v>2.26184833098965</v>
      </c>
      <c r="BA116" t="n">
        <v>0</v>
      </c>
      <c r="BB116" t="n">
        <v>0</v>
      </c>
      <c r="BC116" t="n">
        <v>0</v>
      </c>
      <c r="BD116" t="n">
        <v>0</v>
      </c>
      <c r="BE116" t="n">
        <v>0</v>
      </c>
      <c r="BF116" t="n">
        <v>0</v>
      </c>
      <c r="BG116" t="n">
        <v>0</v>
      </c>
      <c r="BH116" t="n">
        <v>0</v>
      </c>
      <c r="BJ116" t="inlineStr">
        <is>
          <t>Med2</t>
        </is>
      </c>
      <c r="BL116" t="n">
        <v>0.8</v>
      </c>
      <c r="BM116" t="n">
        <v>0.797560975609756</v>
      </c>
      <c r="BN116" t="n">
        <v>0.785365853658536</v>
      </c>
      <c r="BO116" t="n">
        <v>0.773170731707317</v>
      </c>
      <c r="BP116" t="n">
        <v>0.760975609756097</v>
      </c>
      <c r="BQ116" t="n">
        <v>0.748780487804878</v>
      </c>
      <c r="BR116" t="n">
        <v>0.736585365853658</v>
      </c>
      <c r="BS116" t="n">
        <v>0.724390243902439</v>
      </c>
      <c r="BT116" t="n">
        <v>0.71219512195122</v>
      </c>
      <c r="BU116" t="n">
        <v>0.699999999999999</v>
      </c>
      <c r="BV116" t="n">
        <v>0.687499999999999</v>
      </c>
      <c r="BW116" t="n">
        <v>0.675</v>
      </c>
      <c r="BX116" t="n">
        <v>0.6625</v>
      </c>
      <c r="BY116" t="n">
        <v>0.649999999999999</v>
      </c>
      <c r="BZ116" t="n">
        <v>0.637499999999999</v>
      </c>
      <c r="CA116" t="n">
        <v>0.625</v>
      </c>
      <c r="CB116" t="n">
        <v>0.6125</v>
      </c>
      <c r="CC116" t="n">
        <v>0.6</v>
      </c>
      <c r="CD116" t="e">
        <v>#VALUE!</v>
      </c>
      <c r="CE116" t="e">
        <v>#VALUE!</v>
      </c>
      <c r="CF116" t="e">
        <v>#VALUE!</v>
      </c>
      <c r="CG116" t="e">
        <v>#VALUE!</v>
      </c>
      <c r="CH116" t="e">
        <v>#VALUE!</v>
      </c>
      <c r="CI116" t="e">
        <v>#VALUE!</v>
      </c>
      <c r="CJ116" t="e">
        <v>#VALUE!</v>
      </c>
      <c r="CK116" t="e">
        <v>#VALUE!</v>
      </c>
    </row>
    <row r="117" ht="12.5" customHeight="1" s="213">
      <c r="A117" t="inlineStr">
        <is>
          <t>CzechSlovak</t>
        </is>
      </c>
      <c r="B117" t="inlineStr">
        <is>
          <t>Trd_2w</t>
        </is>
      </c>
      <c r="C117" t="inlineStr">
        <is>
          <t>Trd_2w</t>
        </is>
      </c>
      <c r="D117" t="n">
        <v>1.19</v>
      </c>
      <c r="E117" t="n">
        <v>1.1942577755453</v>
      </c>
      <c r="G117" t="n">
        <v>1.21520218204028</v>
      </c>
      <c r="H117" t="n">
        <v>1.20507657786012</v>
      </c>
      <c r="I117" t="n">
        <v>1.19280974192147</v>
      </c>
      <c r="J117" t="n">
        <v>1.18098281352457</v>
      </c>
      <c r="K117" t="n">
        <v>1.17121487227188</v>
      </c>
      <c r="L117" t="n">
        <v>1.16322691336097</v>
      </c>
      <c r="M117" t="n">
        <v>1.15546859798829</v>
      </c>
      <c r="N117" t="n">
        <v>1.14623767939974</v>
      </c>
      <c r="O117" t="n">
        <v>1.13425850086634</v>
      </c>
      <c r="P117" t="n">
        <v>1.12017183548844</v>
      </c>
      <c r="Q117" t="n">
        <v>1.10582964486629</v>
      </c>
      <c r="R117" t="n">
        <v>1.09293608326769</v>
      </c>
      <c r="S117" t="n">
        <v>1.08203795879434</v>
      </c>
      <c r="T117" t="n">
        <v>1.0727231320499</v>
      </c>
      <c r="U117" t="n">
        <v>1.06443327658127</v>
      </c>
      <c r="V117" t="n">
        <v>1.05627632419926</v>
      </c>
      <c r="W117" t="n">
        <v>3</v>
      </c>
      <c r="AG117" s="223" t="inlineStr">
        <is>
          <t>POP</t>
        </is>
      </c>
      <c r="AI117" t="n">
        <v>1</v>
      </c>
      <c r="AJ117" t="n">
        <v>1.00448613053112</v>
      </c>
      <c r="AK117" t="n">
        <v>1.02691678318671</v>
      </c>
      <c r="AL117" t="n">
        <v>1.01584972350688</v>
      </c>
      <c r="AM117" t="n">
        <v>1.00226106324155</v>
      </c>
      <c r="AN117" t="n">
        <v>0.988989345700601</v>
      </c>
      <c r="AO117" t="n">
        <v>0.977884104689994</v>
      </c>
      <c r="AP117" t="n">
        <v>0.968677191718912</v>
      </c>
      <c r="AQ117" t="n">
        <v>0.959605608958064</v>
      </c>
      <c r="AR117" t="n">
        <v>0.948653909647699</v>
      </c>
      <c r="AS117" t="n">
        <v>0.93423317268371</v>
      </c>
      <c r="AT117" t="n">
        <v>0.917044289238451</v>
      </c>
      <c r="AU117" t="n">
        <v>0.899321369548259</v>
      </c>
      <c r="AV117" t="n">
        <v>0.88318944330414</v>
      </c>
      <c r="AW117" t="n">
        <v>0.869375086159187</v>
      </c>
      <c r="AX117" t="n">
        <v>0.857400529092767</v>
      </c>
      <c r="AY117" t="n">
        <v>0.846582778431326</v>
      </c>
      <c r="AZ117" t="n">
        <v>0.835770240023922</v>
      </c>
      <c r="BA117" t="n">
        <v>0</v>
      </c>
      <c r="BB117" t="n">
        <v>0</v>
      </c>
      <c r="BC117" t="n">
        <v>0</v>
      </c>
      <c r="BD117" t="n">
        <v>0</v>
      </c>
      <c r="BE117" t="n">
        <v>0</v>
      </c>
      <c r="BF117" t="n">
        <v>0</v>
      </c>
      <c r="BG117" t="n">
        <v>0</v>
      </c>
      <c r="BH117" t="n">
        <v>0</v>
      </c>
      <c r="BJ117" t="inlineStr">
        <is>
          <t>Med2</t>
        </is>
      </c>
      <c r="BL117" t="n">
        <v>0.8</v>
      </c>
      <c r="BM117" t="n">
        <v>0.797560975609756</v>
      </c>
      <c r="BN117" t="n">
        <v>0.785365853658536</v>
      </c>
      <c r="BO117" t="n">
        <v>0.773170731707317</v>
      </c>
      <c r="BP117" t="n">
        <v>0.760975609756097</v>
      </c>
      <c r="BQ117" t="n">
        <v>0.748780487804878</v>
      </c>
      <c r="BR117" t="n">
        <v>0.736585365853658</v>
      </c>
      <c r="BS117" t="n">
        <v>0.724390243902439</v>
      </c>
      <c r="BT117" t="n">
        <v>0.71219512195122</v>
      </c>
      <c r="BU117" t="n">
        <v>0.699999999999999</v>
      </c>
      <c r="BV117" t="n">
        <v>0.687499999999999</v>
      </c>
      <c r="BW117" t="n">
        <v>0.675</v>
      </c>
      <c r="BX117" t="n">
        <v>0.6625</v>
      </c>
      <c r="BY117" t="n">
        <v>0.649999999999999</v>
      </c>
      <c r="BZ117" t="n">
        <v>0.637499999999999</v>
      </c>
      <c r="CA117" t="n">
        <v>0.625</v>
      </c>
      <c r="CB117" t="n">
        <v>0.6125</v>
      </c>
      <c r="CC117" t="n">
        <v>0.6</v>
      </c>
      <c r="CD117" t="e">
        <v>#VALUE!</v>
      </c>
      <c r="CE117" t="e">
        <v>#VALUE!</v>
      </c>
      <c r="CF117" t="e">
        <v>#VALUE!</v>
      </c>
      <c r="CG117" t="e">
        <v>#VALUE!</v>
      </c>
      <c r="CH117" t="e">
        <v>#VALUE!</v>
      </c>
      <c r="CI117" t="e">
        <v>#VALUE!</v>
      </c>
      <c r="CJ117" t="e">
        <v>#VALUE!</v>
      </c>
      <c r="CK117" t="e">
        <v>#VALUE!</v>
      </c>
    </row>
    <row r="118" ht="12.5" customHeight="1" s="213">
      <c r="A118" t="inlineStr">
        <is>
          <t>CzechSlovak</t>
        </is>
      </c>
      <c r="B118" t="inlineStr">
        <is>
          <t>Trd_3w</t>
        </is>
      </c>
      <c r="C118" t="inlineStr">
        <is>
          <t>Trd_3w</t>
        </is>
      </c>
      <c r="D118" t="n">
        <v>0.24</v>
      </c>
      <c r="E118" t="n">
        <v>0.240858711034347</v>
      </c>
      <c r="G118" t="n">
        <v>0.245082793016527</v>
      </c>
      <c r="H118" t="n">
        <v>0.243040654358344</v>
      </c>
      <c r="I118" t="n">
        <v>0.240566670639625</v>
      </c>
      <c r="J118" t="n">
        <v>0.23818140776966</v>
      </c>
      <c r="K118" t="n">
        <v>0.236211402811135</v>
      </c>
      <c r="L118" t="n">
        <v>0.234600385887927</v>
      </c>
      <c r="M118" t="n">
        <v>0.233035683627891</v>
      </c>
      <c r="N118" t="n">
        <v>0.231173985761291</v>
      </c>
      <c r="O118" t="n">
        <v>0.228758016981447</v>
      </c>
      <c r="P118" t="n">
        <v>0.225917008838005</v>
      </c>
      <c r="Q118" t="n">
        <v>0.22302446619152</v>
      </c>
      <c r="R118" t="n">
        <v>0.220424084020375</v>
      </c>
      <c r="S118" t="n">
        <v>0.218226142950119</v>
      </c>
      <c r="T118" t="n">
        <v>0.216347522430231</v>
      </c>
      <c r="U118" t="n">
        <v>0.214675618806306</v>
      </c>
      <c r="V118" t="n">
        <v>0.213030519166237</v>
      </c>
      <c r="W118" t="n">
        <v>3</v>
      </c>
      <c r="AG118" s="223" t="inlineStr">
        <is>
          <t>POP</t>
        </is>
      </c>
      <c r="AI118" t="n">
        <v>1</v>
      </c>
      <c r="AJ118" t="n">
        <v>1.00448613053112</v>
      </c>
      <c r="AK118" t="n">
        <v>1.02691678318671</v>
      </c>
      <c r="AL118" t="n">
        <v>1.01584972350688</v>
      </c>
      <c r="AM118" t="n">
        <v>1.00226106324155</v>
      </c>
      <c r="AN118" t="n">
        <v>0.988989345700601</v>
      </c>
      <c r="AO118" t="n">
        <v>0.977884104689994</v>
      </c>
      <c r="AP118" t="n">
        <v>0.968677191718912</v>
      </c>
      <c r="AQ118" t="n">
        <v>0.959605608958064</v>
      </c>
      <c r="AR118" t="n">
        <v>0.948653909647699</v>
      </c>
      <c r="AS118" t="n">
        <v>0.93423317268371</v>
      </c>
      <c r="AT118" t="n">
        <v>0.917044289238451</v>
      </c>
      <c r="AU118" t="n">
        <v>0.899321369548259</v>
      </c>
      <c r="AV118" t="n">
        <v>0.88318944330414</v>
      </c>
      <c r="AW118" t="n">
        <v>0.869375086159187</v>
      </c>
      <c r="AX118" t="n">
        <v>0.857400529092767</v>
      </c>
      <c r="AY118" t="n">
        <v>0.846582778431326</v>
      </c>
      <c r="AZ118" t="n">
        <v>0.835770240023922</v>
      </c>
      <c r="BA118" t="n">
        <v>0</v>
      </c>
      <c r="BB118" t="n">
        <v>0</v>
      </c>
      <c r="BC118" t="n">
        <v>0</v>
      </c>
      <c r="BD118" t="n">
        <v>0</v>
      </c>
      <c r="BE118" t="n">
        <v>0</v>
      </c>
      <c r="BF118" t="n">
        <v>0</v>
      </c>
      <c r="BG118" t="n">
        <v>0</v>
      </c>
      <c r="BH118" t="n">
        <v>0</v>
      </c>
      <c r="BJ118" t="inlineStr">
        <is>
          <t>Med2</t>
        </is>
      </c>
      <c r="BL118" t="n">
        <v>0.8</v>
      </c>
      <c r="BM118" t="n">
        <v>0.797560975609756</v>
      </c>
      <c r="BN118" t="n">
        <v>0.785365853658536</v>
      </c>
      <c r="BO118" t="n">
        <v>0.773170731707317</v>
      </c>
      <c r="BP118" t="n">
        <v>0.760975609756097</v>
      </c>
      <c r="BQ118" t="n">
        <v>0.748780487804878</v>
      </c>
      <c r="BR118" t="n">
        <v>0.736585365853658</v>
      </c>
      <c r="BS118" t="n">
        <v>0.724390243902439</v>
      </c>
      <c r="BT118" t="n">
        <v>0.71219512195122</v>
      </c>
      <c r="BU118" t="n">
        <v>0.699999999999999</v>
      </c>
      <c r="BV118" t="n">
        <v>0.687499999999999</v>
      </c>
      <c r="BW118" t="n">
        <v>0.675</v>
      </c>
      <c r="BX118" t="n">
        <v>0.6625</v>
      </c>
      <c r="BY118" t="n">
        <v>0.649999999999999</v>
      </c>
      <c r="BZ118" t="n">
        <v>0.637499999999999</v>
      </c>
      <c r="CA118" t="n">
        <v>0.625</v>
      </c>
      <c r="CB118" t="n">
        <v>0.6125</v>
      </c>
      <c r="CC118" t="n">
        <v>0.6</v>
      </c>
      <c r="CD118" t="e">
        <v>#VALUE!</v>
      </c>
      <c r="CE118" t="e">
        <v>#VALUE!</v>
      </c>
      <c r="CF118" t="e">
        <v>#VALUE!</v>
      </c>
      <c r="CG118" t="e">
        <v>#VALUE!</v>
      </c>
      <c r="CH118" t="e">
        <v>#VALUE!</v>
      </c>
      <c r="CI118" t="e">
        <v>#VALUE!</v>
      </c>
      <c r="CJ118" t="e">
        <v>#VALUE!</v>
      </c>
      <c r="CK118" t="e">
        <v>#VALUE!</v>
      </c>
    </row>
    <row r="119" ht="12.5" customHeight="1" s="213">
      <c r="A119" t="inlineStr">
        <is>
          <t>CzechSlovak</t>
        </is>
      </c>
      <c r="B119" t="inlineStr">
        <is>
          <t>Trd_bus</t>
        </is>
      </c>
      <c r="C119" t="inlineStr">
        <is>
          <t>Trd_bus</t>
        </is>
      </c>
      <c r="D119" t="n">
        <v>1.995</v>
      </c>
      <c r="E119" t="n">
        <v>2.00213803547301</v>
      </c>
      <c r="G119" t="n">
        <v>2.03725071694988</v>
      </c>
      <c r="H119" t="n">
        <v>2.02027543935373</v>
      </c>
      <c r="I119" t="n">
        <v>1.99971044969188</v>
      </c>
      <c r="J119" t="n">
        <v>1.9798829520853</v>
      </c>
      <c r="K119" t="n">
        <v>1.96350728586756</v>
      </c>
      <c r="L119" t="n">
        <v>1.95011570769339</v>
      </c>
      <c r="M119" t="n">
        <v>1.93710912015685</v>
      </c>
      <c r="N119" t="n">
        <v>1.92163375664073</v>
      </c>
      <c r="O119" t="n">
        <v>1.90155101615827</v>
      </c>
      <c r="P119" t="n">
        <v>1.87793513596592</v>
      </c>
      <c r="Q119" t="n">
        <v>1.85389087521701</v>
      </c>
      <c r="R119" t="n">
        <v>1.83227519841936</v>
      </c>
      <c r="S119" t="n">
        <v>1.81400481327287</v>
      </c>
      <c r="T119" t="n">
        <v>1.7983887802013</v>
      </c>
      <c r="U119" t="n">
        <v>1.78449108132742</v>
      </c>
      <c r="V119" t="n">
        <v>1.77081619056934</v>
      </c>
      <c r="W119" t="n">
        <v>3</v>
      </c>
      <c r="AG119" s="223" t="inlineStr">
        <is>
          <t>POP</t>
        </is>
      </c>
      <c r="AI119" t="n">
        <v>1</v>
      </c>
      <c r="AJ119" t="n">
        <v>1.00448613053112</v>
      </c>
      <c r="AK119" t="n">
        <v>1.02691678318671</v>
      </c>
      <c r="AL119" t="n">
        <v>1.01584972350688</v>
      </c>
      <c r="AM119" t="n">
        <v>1.00226106324155</v>
      </c>
      <c r="AN119" t="n">
        <v>0.988989345700601</v>
      </c>
      <c r="AO119" t="n">
        <v>0.977884104689994</v>
      </c>
      <c r="AP119" t="n">
        <v>0.968677191718912</v>
      </c>
      <c r="AQ119" t="n">
        <v>0.959605608958064</v>
      </c>
      <c r="AR119" t="n">
        <v>0.948653909647699</v>
      </c>
      <c r="AS119" t="n">
        <v>0.93423317268371</v>
      </c>
      <c r="AT119" t="n">
        <v>0.917044289238451</v>
      </c>
      <c r="AU119" t="n">
        <v>0.899321369548259</v>
      </c>
      <c r="AV119" t="n">
        <v>0.88318944330414</v>
      </c>
      <c r="AW119" t="n">
        <v>0.869375086159187</v>
      </c>
      <c r="AX119" t="n">
        <v>0.857400529092767</v>
      </c>
      <c r="AY119" t="n">
        <v>0.846582778431326</v>
      </c>
      <c r="AZ119" t="n">
        <v>0.835770240023922</v>
      </c>
      <c r="BA119" t="n">
        <v>0</v>
      </c>
      <c r="BB119" t="n">
        <v>0</v>
      </c>
      <c r="BC119" t="n">
        <v>0</v>
      </c>
      <c r="BD119" t="n">
        <v>0</v>
      </c>
      <c r="BE119" t="n">
        <v>0</v>
      </c>
      <c r="BF119" t="n">
        <v>0</v>
      </c>
      <c r="BG119" t="n">
        <v>0</v>
      </c>
      <c r="BH119" t="n">
        <v>0</v>
      </c>
      <c r="BJ119" t="inlineStr">
        <is>
          <t>Med2</t>
        </is>
      </c>
      <c r="BL119" t="n">
        <v>0.8</v>
      </c>
      <c r="BM119" t="n">
        <v>0.797560975609756</v>
      </c>
      <c r="BN119" t="n">
        <v>0.785365853658536</v>
      </c>
      <c r="BO119" t="n">
        <v>0.773170731707317</v>
      </c>
      <c r="BP119" t="n">
        <v>0.760975609756097</v>
      </c>
      <c r="BQ119" t="n">
        <v>0.748780487804878</v>
      </c>
      <c r="BR119" t="n">
        <v>0.736585365853658</v>
      </c>
      <c r="BS119" t="n">
        <v>0.724390243902439</v>
      </c>
      <c r="BT119" t="n">
        <v>0.71219512195122</v>
      </c>
      <c r="BU119" t="n">
        <v>0.699999999999999</v>
      </c>
      <c r="BV119" t="n">
        <v>0.687499999999999</v>
      </c>
      <c r="BW119" t="n">
        <v>0.675</v>
      </c>
      <c r="BX119" t="n">
        <v>0.6625</v>
      </c>
      <c r="BY119" t="n">
        <v>0.649999999999999</v>
      </c>
      <c r="BZ119" t="n">
        <v>0.637499999999999</v>
      </c>
      <c r="CA119" t="n">
        <v>0.625</v>
      </c>
      <c r="CB119" t="n">
        <v>0.6125</v>
      </c>
      <c r="CC119" t="n">
        <v>0.6</v>
      </c>
      <c r="CD119" t="e">
        <v>#VALUE!</v>
      </c>
      <c r="CE119" t="e">
        <v>#VALUE!</v>
      </c>
      <c r="CF119" t="e">
        <v>#VALUE!</v>
      </c>
      <c r="CG119" t="e">
        <v>#VALUE!</v>
      </c>
      <c r="CH119" t="e">
        <v>#VALUE!</v>
      </c>
      <c r="CI119" t="e">
        <v>#VALUE!</v>
      </c>
      <c r="CJ119" t="e">
        <v>#VALUE!</v>
      </c>
      <c r="CK119" t="e">
        <v>#VALUE!</v>
      </c>
    </row>
    <row r="120" ht="12.5" customHeight="1" s="213">
      <c r="A120" t="inlineStr">
        <is>
          <t>CzechSlovak</t>
        </is>
      </c>
      <c r="B120" t="inlineStr">
        <is>
          <t>Trd_car</t>
        </is>
      </c>
      <c r="C120" t="inlineStr">
        <is>
          <t>Trd_car</t>
        </is>
      </c>
      <c r="D120" t="n">
        <v>66.732</v>
      </c>
      <c r="E120" t="n">
        <v>67.319522651914</v>
      </c>
      <c r="G120" t="n">
        <v>71.54985387042851</v>
      </c>
      <c r="H120" t="n">
        <v>77.3168577806685</v>
      </c>
      <c r="I120" t="n">
        <v>82.97469370370381</v>
      </c>
      <c r="J120" t="n">
        <v>88.42877788656391</v>
      </c>
      <c r="K120" t="n">
        <v>93.3157136922764</v>
      </c>
      <c r="L120" t="n">
        <v>97.8022503943406</v>
      </c>
      <c r="M120" t="n">
        <v>102.240246892509</v>
      </c>
      <c r="N120" t="n">
        <v>106.66599043192</v>
      </c>
      <c r="O120" t="n">
        <v>111.281841655096</v>
      </c>
      <c r="P120" t="n">
        <v>115.88952134692</v>
      </c>
      <c r="Q120" t="n">
        <v>120.208602110223</v>
      </c>
      <c r="R120" t="n">
        <v>124.094514876352</v>
      </c>
      <c r="S120" t="n">
        <v>127.559365229034</v>
      </c>
      <c r="T120" t="n">
        <v>130.707247794221</v>
      </c>
      <c r="U120" t="n">
        <v>133.619326609121</v>
      </c>
      <c r="V120" t="n">
        <v>136.306650577676</v>
      </c>
      <c r="W120" t="n">
        <v>3</v>
      </c>
      <c r="AG120" s="223" t="inlineStr">
        <is>
          <t>GDPPCAP</t>
        </is>
      </c>
      <c r="AI120" t="n">
        <v>1</v>
      </c>
      <c r="AJ120" t="n">
        <v>1.01103891980743</v>
      </c>
      <c r="AK120" t="n">
        <v>1.09193532132548</v>
      </c>
      <c r="AL120" t="n">
        <v>1.20576696418779</v>
      </c>
      <c r="AM120" t="n">
        <v>1.32171644188436</v>
      </c>
      <c r="AN120" t="n">
        <v>1.43774367954364</v>
      </c>
      <c r="AO120" t="n">
        <v>1.54561385672597</v>
      </c>
      <c r="AP120" t="n">
        <v>1.6481990906032</v>
      </c>
      <c r="AQ120" t="n">
        <v>1.75321347305604</v>
      </c>
      <c r="AR120" t="n">
        <v>1.86163140375528</v>
      </c>
      <c r="AS120" t="n">
        <v>1.97880960470446</v>
      </c>
      <c r="AT120" t="n">
        <v>2.10019270154617</v>
      </c>
      <c r="AU120" t="n">
        <v>2.21833908123415</v>
      </c>
      <c r="AV120" t="n">
        <v>2.32866360817564</v>
      </c>
      <c r="AW120" t="n">
        <v>2.4306538129122</v>
      </c>
      <c r="AX120" t="n">
        <v>2.52662685568719</v>
      </c>
      <c r="AY120" t="n">
        <v>2.61853171397002</v>
      </c>
      <c r="AZ120" t="n">
        <v>2.70630398484266</v>
      </c>
      <c r="BA120" t="n">
        <v>0</v>
      </c>
      <c r="BB120" t="n">
        <v>0</v>
      </c>
      <c r="BC120" t="n">
        <v>0</v>
      </c>
      <c r="BD120" t="n">
        <v>0</v>
      </c>
      <c r="BE120" t="n">
        <v>0</v>
      </c>
      <c r="BF120" t="n">
        <v>0</v>
      </c>
      <c r="BG120" t="n">
        <v>0</v>
      </c>
      <c r="BH120" t="n">
        <v>0</v>
      </c>
      <c r="BJ120" t="inlineStr">
        <is>
          <t>Med2</t>
        </is>
      </c>
      <c r="BL120" t="n">
        <v>0.8</v>
      </c>
      <c r="BM120" t="n">
        <v>0.797560975609756</v>
      </c>
      <c r="BN120" t="n">
        <v>0.785365853658536</v>
      </c>
      <c r="BO120" t="n">
        <v>0.773170731707317</v>
      </c>
      <c r="BP120" t="n">
        <v>0.760975609756097</v>
      </c>
      <c r="BQ120" t="n">
        <v>0.748780487804878</v>
      </c>
      <c r="BR120" t="n">
        <v>0.736585365853658</v>
      </c>
      <c r="BS120" t="n">
        <v>0.724390243902439</v>
      </c>
      <c r="BT120" t="n">
        <v>0.71219512195122</v>
      </c>
      <c r="BU120" t="n">
        <v>0.699999999999999</v>
      </c>
      <c r="BV120" t="n">
        <v>0.687499999999999</v>
      </c>
      <c r="BW120" t="n">
        <v>0.675</v>
      </c>
      <c r="BX120" t="n">
        <v>0.6625</v>
      </c>
      <c r="BY120" t="n">
        <v>0.649999999999999</v>
      </c>
      <c r="BZ120" t="n">
        <v>0.637499999999999</v>
      </c>
      <c r="CA120" t="n">
        <v>0.625</v>
      </c>
      <c r="CB120" t="n">
        <v>0.6125</v>
      </c>
      <c r="CC120" t="n">
        <v>0.6</v>
      </c>
      <c r="CD120" t="e">
        <v>#VALUE!</v>
      </c>
      <c r="CE120" t="e">
        <v>#VALUE!</v>
      </c>
      <c r="CF120" t="e">
        <v>#VALUE!</v>
      </c>
      <c r="CG120" t="e">
        <v>#VALUE!</v>
      </c>
      <c r="CH120" t="e">
        <v>#VALUE!</v>
      </c>
      <c r="CI120" t="e">
        <v>#VALUE!</v>
      </c>
      <c r="CJ120" t="e">
        <v>#VALUE!</v>
      </c>
      <c r="CK120" t="e">
        <v>#VALUE!</v>
      </c>
    </row>
    <row r="121" ht="12.5" customHeight="1" s="213">
      <c r="A121" t="inlineStr">
        <is>
          <t>CzechSlovak</t>
        </is>
      </c>
      <c r="B121" t="inlineStr">
        <is>
          <t>Trd_hdt</t>
        </is>
      </c>
      <c r="C121" t="inlineStr">
        <is>
          <t>Trd_hdt</t>
        </is>
      </c>
      <c r="D121" t="n">
        <v>23.5</v>
      </c>
      <c r="E121" t="n">
        <v>23.7919092717218</v>
      </c>
      <c r="G121" t="n">
        <v>25.7376216258041</v>
      </c>
      <c r="H121" t="n">
        <v>27.5752908011259</v>
      </c>
      <c r="I121" t="n">
        <v>29.2854853922145</v>
      </c>
      <c r="J121" t="n">
        <v>30.8946146788766</v>
      </c>
      <c r="K121" t="n">
        <v>32.3272754243379</v>
      </c>
      <c r="L121" t="n">
        <v>33.6464289369692</v>
      </c>
      <c r="M121" t="n">
        <v>34.9345030584611</v>
      </c>
      <c r="N121" t="n">
        <v>36.1503900023166</v>
      </c>
      <c r="O121" t="n">
        <v>37.3131743133816</v>
      </c>
      <c r="P121" t="n">
        <v>38.3663164807832</v>
      </c>
      <c r="Q121" t="n">
        <v>39.2773293559452</v>
      </c>
      <c r="R121" t="n">
        <v>40.0662898028728</v>
      </c>
      <c r="S121" t="n">
        <v>40.7679672994149</v>
      </c>
      <c r="T121" t="n">
        <v>41.4092182328618</v>
      </c>
      <c r="U121" t="n">
        <v>42.0001459827273</v>
      </c>
      <c r="V121" t="n">
        <v>42.5122006546209</v>
      </c>
      <c r="W121" t="n">
        <v>3</v>
      </c>
      <c r="AG121" s="223" t="inlineStr">
        <is>
          <t>GDP</t>
        </is>
      </c>
      <c r="AI121" t="n">
        <v>1</v>
      </c>
      <c r="AJ121" t="n">
        <v>1.01557457237373</v>
      </c>
      <c r="AK121" t="n">
        <v>1.1213267076235</v>
      </c>
      <c r="AL121" t="n">
        <v>1.22487803718389</v>
      </c>
      <c r="AM121" t="n">
        <v>1.32470492634685</v>
      </c>
      <c r="AN121" t="n">
        <v>1.42191318091703</v>
      </c>
      <c r="AO121" t="n">
        <v>1.51143122248092</v>
      </c>
      <c r="AP121" t="n">
        <v>1.59657286647917</v>
      </c>
      <c r="AQ121" t="n">
        <v>1.68239348244542</v>
      </c>
      <c r="AR121" t="n">
        <v>1.76604390949538</v>
      </c>
      <c r="AS121" t="n">
        <v>1.84866957514004</v>
      </c>
      <c r="AT121" t="n">
        <v>1.92596972325319</v>
      </c>
      <c r="AU121" t="n">
        <v>1.99499974065792</v>
      </c>
      <c r="AV121" t="n">
        <v>2.05665111574725</v>
      </c>
      <c r="AW121" t="n">
        <v>2.1131498680237</v>
      </c>
      <c r="AX121" t="n">
        <v>2.16633120288619</v>
      </c>
      <c r="AY121" t="n">
        <v>2.21680385382328</v>
      </c>
      <c r="AZ121" t="n">
        <v>2.26184833098965</v>
      </c>
      <c r="BA121" t="n">
        <v>0</v>
      </c>
      <c r="BB121" t="n">
        <v>0</v>
      </c>
      <c r="BC121" t="n">
        <v>0</v>
      </c>
      <c r="BD121" t="n">
        <v>0</v>
      </c>
      <c r="BE121" t="n">
        <v>0</v>
      </c>
      <c r="BF121" t="n">
        <v>0</v>
      </c>
      <c r="BG121" t="n">
        <v>0</v>
      </c>
      <c r="BH121" t="n">
        <v>0</v>
      </c>
      <c r="BJ121" t="inlineStr">
        <is>
          <t>Med2</t>
        </is>
      </c>
      <c r="BL121" t="n">
        <v>0.8</v>
      </c>
      <c r="BM121" t="n">
        <v>0.797560975609756</v>
      </c>
      <c r="BN121" t="n">
        <v>0.785365853658536</v>
      </c>
      <c r="BO121" t="n">
        <v>0.773170731707317</v>
      </c>
      <c r="BP121" t="n">
        <v>0.760975609756097</v>
      </c>
      <c r="BQ121" t="n">
        <v>0.748780487804878</v>
      </c>
      <c r="BR121" t="n">
        <v>0.736585365853658</v>
      </c>
      <c r="BS121" t="n">
        <v>0.724390243902439</v>
      </c>
      <c r="BT121" t="n">
        <v>0.71219512195122</v>
      </c>
      <c r="BU121" t="n">
        <v>0.699999999999999</v>
      </c>
      <c r="BV121" t="n">
        <v>0.687499999999999</v>
      </c>
      <c r="BW121" t="n">
        <v>0.675</v>
      </c>
      <c r="BX121" t="n">
        <v>0.6625</v>
      </c>
      <c r="BY121" t="n">
        <v>0.649999999999999</v>
      </c>
      <c r="BZ121" t="n">
        <v>0.637499999999999</v>
      </c>
      <c r="CA121" t="n">
        <v>0.625</v>
      </c>
      <c r="CB121" t="n">
        <v>0.6125</v>
      </c>
      <c r="CC121" t="n">
        <v>0.6</v>
      </c>
      <c r="CD121" t="e">
        <v>#VALUE!</v>
      </c>
      <c r="CE121" t="e">
        <v>#VALUE!</v>
      </c>
      <c r="CF121" t="e">
        <v>#VALUE!</v>
      </c>
      <c r="CG121" t="e">
        <v>#VALUE!</v>
      </c>
      <c r="CH121" t="e">
        <v>#VALUE!</v>
      </c>
      <c r="CI121" t="e">
        <v>#VALUE!</v>
      </c>
      <c r="CJ121" t="e">
        <v>#VALUE!</v>
      </c>
      <c r="CK121" t="e">
        <v>#VALUE!</v>
      </c>
    </row>
    <row r="122" ht="12.5" customHeight="1" s="213">
      <c r="A122" t="inlineStr">
        <is>
          <t>CzechSlovak</t>
        </is>
      </c>
      <c r="B122" t="inlineStr">
        <is>
          <t>Trd_lcv</t>
        </is>
      </c>
      <c r="C122" t="inlineStr">
        <is>
          <t>Trd_lcv</t>
        </is>
      </c>
      <c r="D122" t="n">
        <v>14.96</v>
      </c>
      <c r="E122" t="n">
        <v>15.145828200211</v>
      </c>
      <c r="G122" t="n">
        <v>16.3844604051928</v>
      </c>
      <c r="H122" t="n">
        <v>17.5543127823338</v>
      </c>
      <c r="I122" t="n">
        <v>18.643015381597</v>
      </c>
      <c r="J122" t="n">
        <v>19.6673802381274</v>
      </c>
      <c r="K122" t="n">
        <v>20.5794059722594</v>
      </c>
      <c r="L122" t="n">
        <v>21.4191734849812</v>
      </c>
      <c r="M122" t="n">
        <v>22.2391559895565</v>
      </c>
      <c r="N122" t="n">
        <v>23.0131844440279</v>
      </c>
      <c r="O122" t="n">
        <v>23.7534079884336</v>
      </c>
      <c r="P122" t="n">
        <v>24.4238338107454</v>
      </c>
      <c r="Q122" t="n">
        <v>25.003780730423</v>
      </c>
      <c r="R122" t="n">
        <v>25.5060295936586</v>
      </c>
      <c r="S122" t="n">
        <v>25.9527145020956</v>
      </c>
      <c r="T122" t="n">
        <v>26.3609321176005</v>
      </c>
      <c r="U122" t="n">
        <v>26.7371142085788</v>
      </c>
      <c r="V122" t="n">
        <v>27.0630860337502</v>
      </c>
      <c r="W122" t="n">
        <v>3</v>
      </c>
      <c r="AG122" s="223" t="inlineStr">
        <is>
          <t>GDP</t>
        </is>
      </c>
      <c r="AI122" t="n">
        <v>1</v>
      </c>
      <c r="AJ122" t="n">
        <v>1.01557457237373</v>
      </c>
      <c r="AK122" t="n">
        <v>1.1213267076235</v>
      </c>
      <c r="AL122" t="n">
        <v>1.22487803718389</v>
      </c>
      <c r="AM122" t="n">
        <v>1.32470492634685</v>
      </c>
      <c r="AN122" t="n">
        <v>1.42191318091703</v>
      </c>
      <c r="AO122" t="n">
        <v>1.51143122248092</v>
      </c>
      <c r="AP122" t="n">
        <v>1.59657286647917</v>
      </c>
      <c r="AQ122" t="n">
        <v>1.68239348244542</v>
      </c>
      <c r="AR122" t="n">
        <v>1.76604390949538</v>
      </c>
      <c r="AS122" t="n">
        <v>1.84866957514004</v>
      </c>
      <c r="AT122" t="n">
        <v>1.92596972325319</v>
      </c>
      <c r="AU122" t="n">
        <v>1.99499974065792</v>
      </c>
      <c r="AV122" t="n">
        <v>2.05665111574725</v>
      </c>
      <c r="AW122" t="n">
        <v>2.1131498680237</v>
      </c>
      <c r="AX122" t="n">
        <v>2.16633120288619</v>
      </c>
      <c r="AY122" t="n">
        <v>2.21680385382328</v>
      </c>
      <c r="AZ122" t="n">
        <v>2.26184833098965</v>
      </c>
      <c r="BA122" t="n">
        <v>0</v>
      </c>
      <c r="BB122" t="n">
        <v>0</v>
      </c>
      <c r="BC122" t="n">
        <v>0</v>
      </c>
      <c r="BD122" t="n">
        <v>0</v>
      </c>
      <c r="BE122" t="n">
        <v>0</v>
      </c>
      <c r="BF122" t="n">
        <v>0</v>
      </c>
      <c r="BG122" t="n">
        <v>0</v>
      </c>
      <c r="BH122" t="n">
        <v>0</v>
      </c>
      <c r="BJ122" t="inlineStr">
        <is>
          <t>Med2</t>
        </is>
      </c>
      <c r="BL122" t="n">
        <v>0.8</v>
      </c>
      <c r="BM122" t="n">
        <v>0.797560975609756</v>
      </c>
      <c r="BN122" t="n">
        <v>0.785365853658536</v>
      </c>
      <c r="BO122" t="n">
        <v>0.773170731707317</v>
      </c>
      <c r="BP122" t="n">
        <v>0.760975609756097</v>
      </c>
      <c r="BQ122" t="n">
        <v>0.748780487804878</v>
      </c>
      <c r="BR122" t="n">
        <v>0.736585365853658</v>
      </c>
      <c r="BS122" t="n">
        <v>0.724390243902439</v>
      </c>
      <c r="BT122" t="n">
        <v>0.71219512195122</v>
      </c>
      <c r="BU122" t="n">
        <v>0.699999999999999</v>
      </c>
      <c r="BV122" t="n">
        <v>0.687499999999999</v>
      </c>
      <c r="BW122" t="n">
        <v>0.675</v>
      </c>
      <c r="BX122" t="n">
        <v>0.6625</v>
      </c>
      <c r="BY122" t="n">
        <v>0.649999999999999</v>
      </c>
      <c r="BZ122" t="n">
        <v>0.637499999999999</v>
      </c>
      <c r="CA122" t="n">
        <v>0.625</v>
      </c>
      <c r="CB122" t="n">
        <v>0.6125</v>
      </c>
      <c r="CC122" t="n">
        <v>0.6</v>
      </c>
      <c r="CD122" t="e">
        <v>#VALUE!</v>
      </c>
      <c r="CE122" t="e">
        <v>#VALUE!</v>
      </c>
      <c r="CF122" t="e">
        <v>#VALUE!</v>
      </c>
      <c r="CG122" t="e">
        <v>#VALUE!</v>
      </c>
      <c r="CH122" t="e">
        <v>#VALUE!</v>
      </c>
      <c r="CI122" t="e">
        <v>#VALUE!</v>
      </c>
      <c r="CJ122" t="e">
        <v>#VALUE!</v>
      </c>
      <c r="CK122" t="e">
        <v>#VALUE!</v>
      </c>
    </row>
    <row r="123" ht="12.5" customHeight="1" s="213">
      <c r="A123" t="inlineStr">
        <is>
          <t>France</t>
        </is>
      </c>
      <c r="B123" t="inlineStr">
        <is>
          <t>TAD</t>
        </is>
      </c>
      <c r="C123" t="inlineStr">
        <is>
          <t>TAD</t>
        </is>
      </c>
      <c r="E123" t="n">
        <v>67.7006244221446</v>
      </c>
      <c r="F123">
        <f>E123</f>
        <v/>
      </c>
      <c r="I123">
        <f>F123</f>
        <v/>
      </c>
      <c r="J123">
        <f>I123</f>
        <v/>
      </c>
      <c r="L123">
        <f>J123</f>
        <v/>
      </c>
      <c r="V123">
        <f>L123</f>
        <v/>
      </c>
      <c r="W123" t="n">
        <v>3</v>
      </c>
      <c r="AG123" s="223" t="inlineStr">
        <is>
          <t>GDP</t>
        </is>
      </c>
      <c r="AI123" t="n">
        <v>1</v>
      </c>
      <c r="AJ123" t="n">
        <v>0.998176461090183</v>
      </c>
      <c r="AK123" t="n">
        <v>1.11944327994063</v>
      </c>
      <c r="AL123" t="n">
        <v>1.20942774060418</v>
      </c>
      <c r="AM123" t="n">
        <v>1.29112776475015</v>
      </c>
      <c r="AN123" t="n">
        <v>1.37440542410241</v>
      </c>
      <c r="AO123" t="n">
        <v>1.45940515005311</v>
      </c>
      <c r="AP123" t="n">
        <v>1.5476119935828</v>
      </c>
      <c r="AQ123" t="n">
        <v>1.64020732941171</v>
      </c>
      <c r="AR123" t="n">
        <v>1.73809848295191</v>
      </c>
      <c r="AS123" t="n">
        <v>1.83991891103174</v>
      </c>
      <c r="AT123" t="n">
        <v>1.94201338841971</v>
      </c>
      <c r="AU123" t="n">
        <v>2.04517813945703</v>
      </c>
      <c r="AV123" t="n">
        <v>2.15073897025602</v>
      </c>
      <c r="AW123" t="n">
        <v>2.25902177729124</v>
      </c>
      <c r="AX123" t="n">
        <v>2.36949327542252</v>
      </c>
      <c r="AY123" t="n">
        <v>2.4799647735538</v>
      </c>
      <c r="AZ123" t="n">
        <v>2.58602926254072</v>
      </c>
      <c r="BA123" t="n">
        <v>0</v>
      </c>
      <c r="BB123" t="n">
        <v>0</v>
      </c>
      <c r="BC123" t="n">
        <v>0</v>
      </c>
      <c r="BD123" t="n">
        <v>0</v>
      </c>
      <c r="BE123" t="n">
        <v>0</v>
      </c>
      <c r="BF123" t="n">
        <v>0</v>
      </c>
      <c r="BG123" t="n">
        <v>0</v>
      </c>
      <c r="BH123" t="n">
        <v>0</v>
      </c>
      <c r="BJ123" t="inlineStr">
        <is>
          <t>Med2</t>
        </is>
      </c>
      <c r="BL123" t="n">
        <v>0.8</v>
      </c>
      <c r="BM123" t="n">
        <v>0.797560975609756</v>
      </c>
      <c r="BN123" t="n">
        <v>0.785365853658536</v>
      </c>
      <c r="BO123" t="n">
        <v>0.773170731707317</v>
      </c>
      <c r="BP123" t="n">
        <v>0.760975609756097</v>
      </c>
      <c r="BQ123" t="n">
        <v>0.748780487804878</v>
      </c>
      <c r="BR123" t="n">
        <v>0.736585365853658</v>
      </c>
      <c r="BS123" t="n">
        <v>0.724390243902439</v>
      </c>
      <c r="BT123" t="n">
        <v>0.71219512195122</v>
      </c>
      <c r="BU123" t="n">
        <v>0.699999999999999</v>
      </c>
      <c r="BV123" t="n">
        <v>0.687499999999999</v>
      </c>
      <c r="BW123" t="n">
        <v>0.675</v>
      </c>
      <c r="BX123" t="n">
        <v>0.6625</v>
      </c>
      <c r="BY123" t="n">
        <v>0.649999999999999</v>
      </c>
      <c r="BZ123" t="n">
        <v>0.637499999999999</v>
      </c>
      <c r="CA123" t="n">
        <v>0.625</v>
      </c>
      <c r="CB123" t="n">
        <v>0.6125</v>
      </c>
      <c r="CC123" t="n">
        <v>0.6</v>
      </c>
      <c r="CD123" t="e">
        <v>#VALUE!</v>
      </c>
      <c r="CE123" t="e">
        <v>#VALUE!</v>
      </c>
      <c r="CF123" t="e">
        <v>#VALUE!</v>
      </c>
      <c r="CG123" t="e">
        <v>#VALUE!</v>
      </c>
      <c r="CH123" t="e">
        <v>#VALUE!</v>
      </c>
      <c r="CI123" t="e">
        <v>#VALUE!</v>
      </c>
      <c r="CJ123" t="e">
        <v>#VALUE!</v>
      </c>
      <c r="CK123" t="e">
        <v>#VALUE!</v>
      </c>
    </row>
    <row r="124" ht="12.5" customHeight="1" s="213">
      <c r="A124" t="inlineStr">
        <is>
          <t>France</t>
        </is>
      </c>
      <c r="B124" t="inlineStr">
        <is>
          <t>TAI</t>
        </is>
      </c>
      <c r="C124" t="inlineStr">
        <is>
          <t>TAI</t>
        </is>
      </c>
      <c r="E124" t="n">
        <v>259.667818336121</v>
      </c>
      <c r="F124">
        <f>E124</f>
        <v/>
      </c>
      <c r="I124">
        <f>F124</f>
        <v/>
      </c>
      <c r="J124">
        <f>I124</f>
        <v/>
      </c>
      <c r="L124">
        <f>J124</f>
        <v/>
      </c>
      <c r="V124">
        <f>L124</f>
        <v/>
      </c>
      <c r="W124" t="n">
        <v>3</v>
      </c>
      <c r="AG124" s="223" t="inlineStr">
        <is>
          <t>GDP</t>
        </is>
      </c>
      <c r="AI124" t="n">
        <v>1</v>
      </c>
      <c r="AJ124" t="n">
        <v>0.998176461090183</v>
      </c>
      <c r="AK124" t="n">
        <v>1.11944327994063</v>
      </c>
      <c r="AL124" t="n">
        <v>1.20942774060418</v>
      </c>
      <c r="AM124" t="n">
        <v>1.29112776475015</v>
      </c>
      <c r="AN124" t="n">
        <v>1.37440542410241</v>
      </c>
      <c r="AO124" t="n">
        <v>1.45940515005311</v>
      </c>
      <c r="AP124" t="n">
        <v>1.5476119935828</v>
      </c>
      <c r="AQ124" t="n">
        <v>1.64020732941171</v>
      </c>
      <c r="AR124" t="n">
        <v>1.73809848295191</v>
      </c>
      <c r="AS124" t="n">
        <v>1.83991891103174</v>
      </c>
      <c r="AT124" t="n">
        <v>1.94201338841971</v>
      </c>
      <c r="AU124" t="n">
        <v>2.04517813945703</v>
      </c>
      <c r="AV124" t="n">
        <v>2.15073897025602</v>
      </c>
      <c r="AW124" t="n">
        <v>2.25902177729124</v>
      </c>
      <c r="AX124" t="n">
        <v>2.36949327542252</v>
      </c>
      <c r="AY124" t="n">
        <v>2.4799647735538</v>
      </c>
      <c r="AZ124" t="n">
        <v>2.58602926254072</v>
      </c>
      <c r="BA124" t="n">
        <v>0</v>
      </c>
      <c r="BB124" t="n">
        <v>0</v>
      </c>
      <c r="BC124" t="n">
        <v>0</v>
      </c>
      <c r="BD124" t="n">
        <v>0</v>
      </c>
      <c r="BE124" t="n">
        <v>0</v>
      </c>
      <c r="BF124" t="n">
        <v>0</v>
      </c>
      <c r="BG124" t="n">
        <v>0</v>
      </c>
      <c r="BH124" t="n">
        <v>0</v>
      </c>
      <c r="BJ124" t="inlineStr">
        <is>
          <t>Med2</t>
        </is>
      </c>
      <c r="BL124" t="n">
        <v>0.8</v>
      </c>
      <c r="BM124" t="n">
        <v>0.797560975609756</v>
      </c>
      <c r="BN124" t="n">
        <v>0.785365853658536</v>
      </c>
      <c r="BO124" t="n">
        <v>0.773170731707317</v>
      </c>
      <c r="BP124" t="n">
        <v>0.760975609756097</v>
      </c>
      <c r="BQ124" t="n">
        <v>0.748780487804878</v>
      </c>
      <c r="BR124" t="n">
        <v>0.736585365853658</v>
      </c>
      <c r="BS124" t="n">
        <v>0.724390243902439</v>
      </c>
      <c r="BT124" t="n">
        <v>0.71219512195122</v>
      </c>
      <c r="BU124" t="n">
        <v>0.699999999999999</v>
      </c>
      <c r="BV124" t="n">
        <v>0.687499999999999</v>
      </c>
      <c r="BW124" t="n">
        <v>0.675</v>
      </c>
      <c r="BX124" t="n">
        <v>0.6625</v>
      </c>
      <c r="BY124" t="n">
        <v>0.649999999999999</v>
      </c>
      <c r="BZ124" t="n">
        <v>0.637499999999999</v>
      </c>
      <c r="CA124" t="n">
        <v>0.625</v>
      </c>
      <c r="CB124" t="n">
        <v>0.6125</v>
      </c>
      <c r="CC124" t="n">
        <v>0.6</v>
      </c>
      <c r="CD124" t="e">
        <v>#VALUE!</v>
      </c>
      <c r="CE124" t="e">
        <v>#VALUE!</v>
      </c>
      <c r="CF124" t="e">
        <v>#VALUE!</v>
      </c>
      <c r="CG124" t="e">
        <v>#VALUE!</v>
      </c>
      <c r="CH124" t="e">
        <v>#VALUE!</v>
      </c>
      <c r="CI124" t="e">
        <v>#VALUE!</v>
      </c>
      <c r="CJ124" t="e">
        <v>#VALUE!</v>
      </c>
      <c r="CK124" t="e">
        <v>#VALUE!</v>
      </c>
    </row>
    <row r="125" ht="12.5" customHeight="1" s="213">
      <c r="A125" t="inlineStr">
        <is>
          <t>France</t>
        </is>
      </c>
      <c r="B125" t="inlineStr">
        <is>
          <t>TTF</t>
        </is>
      </c>
      <c r="C125" t="inlineStr">
        <is>
          <t>TTF</t>
        </is>
      </c>
      <c r="E125" t="n">
        <v>4.72257563891638</v>
      </c>
      <c r="I125" t="n">
        <v>5.77714122000144</v>
      </c>
      <c r="J125" t="n">
        <v>6.05615573207307</v>
      </c>
      <c r="L125" t="n">
        <v>6.60926879552228</v>
      </c>
      <c r="V125" t="n">
        <v>9.301393549069751</v>
      </c>
      <c r="W125" t="n">
        <v>3</v>
      </c>
      <c r="AG125" s="223" t="inlineStr">
        <is>
          <t>GDP</t>
        </is>
      </c>
      <c r="AI125" t="n">
        <v>1</v>
      </c>
      <c r="AJ125" t="n">
        <v>0.998176461090183</v>
      </c>
      <c r="AK125" t="n">
        <v>1.11944327994063</v>
      </c>
      <c r="AL125" t="n">
        <v>1.20942774060418</v>
      </c>
      <c r="AM125" t="n">
        <v>1.29112776475015</v>
      </c>
      <c r="AN125" t="n">
        <v>1.37440542410241</v>
      </c>
      <c r="AO125" t="n">
        <v>1.45940515005311</v>
      </c>
      <c r="AP125" t="n">
        <v>1.5476119935828</v>
      </c>
      <c r="AQ125" t="n">
        <v>1.64020732941171</v>
      </c>
      <c r="AR125" t="n">
        <v>1.73809848295191</v>
      </c>
      <c r="AS125" t="n">
        <v>1.83991891103174</v>
      </c>
      <c r="AT125" t="n">
        <v>1.94201338841971</v>
      </c>
      <c r="AU125" t="n">
        <v>2.04517813945703</v>
      </c>
      <c r="AV125" t="n">
        <v>2.15073897025602</v>
      </c>
      <c r="AW125" t="n">
        <v>2.25902177729124</v>
      </c>
      <c r="AX125" t="n">
        <v>2.36949327542252</v>
      </c>
      <c r="AY125" t="n">
        <v>2.4799647735538</v>
      </c>
      <c r="AZ125" t="n">
        <v>2.58602926254072</v>
      </c>
      <c r="BA125" t="n">
        <v>0</v>
      </c>
      <c r="BB125" t="n">
        <v>0</v>
      </c>
      <c r="BC125" t="n">
        <v>0</v>
      </c>
      <c r="BD125" t="n">
        <v>0</v>
      </c>
      <c r="BE125" t="n">
        <v>0</v>
      </c>
      <c r="BF125" t="n">
        <v>0</v>
      </c>
      <c r="BG125" t="n">
        <v>0</v>
      </c>
      <c r="BH125" t="n">
        <v>0</v>
      </c>
      <c r="BJ125" t="inlineStr">
        <is>
          <t>Med2</t>
        </is>
      </c>
      <c r="BL125" t="n">
        <v>0.8</v>
      </c>
      <c r="BM125" t="n">
        <v>0.797560975609756</v>
      </c>
      <c r="BN125" t="n">
        <v>0.785365853658536</v>
      </c>
      <c r="BO125" t="n">
        <v>0.773170731707317</v>
      </c>
      <c r="BP125" t="n">
        <v>0.760975609756097</v>
      </c>
      <c r="BQ125" t="n">
        <v>0.748780487804878</v>
      </c>
      <c r="BR125" t="n">
        <v>0.736585365853658</v>
      </c>
      <c r="BS125" t="n">
        <v>0.724390243902439</v>
      </c>
      <c r="BT125" t="n">
        <v>0.71219512195122</v>
      </c>
      <c r="BU125" t="n">
        <v>0.699999999999999</v>
      </c>
      <c r="BV125" t="n">
        <v>0.687499999999999</v>
      </c>
      <c r="BW125" t="n">
        <v>0.675</v>
      </c>
      <c r="BX125" t="n">
        <v>0.6625</v>
      </c>
      <c r="BY125" t="n">
        <v>0.649999999999999</v>
      </c>
      <c r="BZ125" t="n">
        <v>0.637499999999999</v>
      </c>
      <c r="CA125" t="n">
        <v>0.625</v>
      </c>
      <c r="CB125" t="n">
        <v>0.6125</v>
      </c>
      <c r="CC125" t="n">
        <v>0.6</v>
      </c>
      <c r="CD125" t="e">
        <v>#VALUE!</v>
      </c>
      <c r="CE125" t="e">
        <v>#VALUE!</v>
      </c>
      <c r="CF125" t="e">
        <v>#VALUE!</v>
      </c>
      <c r="CG125" t="e">
        <v>#VALUE!</v>
      </c>
      <c r="CH125" t="e">
        <v>#VALUE!</v>
      </c>
      <c r="CI125" t="e">
        <v>#VALUE!</v>
      </c>
      <c r="CJ125" t="e">
        <v>#VALUE!</v>
      </c>
      <c r="CK125" t="e">
        <v>#VALUE!</v>
      </c>
    </row>
    <row r="126" ht="12.5" customHeight="1" s="213">
      <c r="A126" t="inlineStr">
        <is>
          <t>France</t>
        </is>
      </c>
      <c r="B126" t="inlineStr">
        <is>
          <t>TTP</t>
        </is>
      </c>
      <c r="C126" t="inlineStr">
        <is>
          <t>TTP</t>
        </is>
      </c>
      <c r="E126" t="n">
        <v>31.0685582966778</v>
      </c>
      <c r="I126" t="n">
        <v>31.8370089157593</v>
      </c>
      <c r="J126" t="n">
        <v>32.1180186747229</v>
      </c>
      <c r="L126" t="n">
        <v>32.5692744879249</v>
      </c>
      <c r="V126" t="n">
        <v>33.9075290194786</v>
      </c>
      <c r="W126" t="n">
        <v>3</v>
      </c>
      <c r="AG126" s="223" t="inlineStr">
        <is>
          <t>POP</t>
        </is>
      </c>
      <c r="AI126" t="n">
        <v>1</v>
      </c>
      <c r="AJ126" t="n">
        <v>1.00202736815179</v>
      </c>
      <c r="AK126" t="n">
        <v>1.01216420891075</v>
      </c>
      <c r="AL126" t="n">
        <v>1.02252167125991</v>
      </c>
      <c r="AM126" t="n">
        <v>1.03417984027998</v>
      </c>
      <c r="AN126" t="n">
        <v>1.04637059777809</v>
      </c>
      <c r="AO126" t="n">
        <v>1.05726032214999</v>
      </c>
      <c r="AP126" t="n">
        <v>1.06650726134955</v>
      </c>
      <c r="AQ126" t="n">
        <v>1.07398212353871</v>
      </c>
      <c r="AR126" t="n">
        <v>1.08106946775996</v>
      </c>
      <c r="AS126" t="n">
        <v>1.0881444222259</v>
      </c>
      <c r="AT126" t="n">
        <v>1.09547632809153</v>
      </c>
      <c r="AU126" t="n">
        <v>1.10335114464037</v>
      </c>
      <c r="AV126" t="n">
        <v>1.11132114622281</v>
      </c>
      <c r="AW126" t="n">
        <v>1.11851014240138</v>
      </c>
      <c r="AX126" t="n">
        <v>1.12475745499428</v>
      </c>
      <c r="AY126" t="n">
        <v>1.13000258095548</v>
      </c>
      <c r="AZ126" t="n">
        <v>1.13332968884872</v>
      </c>
      <c r="BA126" t="n">
        <v>0</v>
      </c>
      <c r="BB126" t="n">
        <v>0</v>
      </c>
      <c r="BC126" t="n">
        <v>0</v>
      </c>
      <c r="BD126" t="n">
        <v>0</v>
      </c>
      <c r="BE126" t="n">
        <v>0</v>
      </c>
      <c r="BF126" t="n">
        <v>0</v>
      </c>
      <c r="BG126" t="n">
        <v>0</v>
      </c>
      <c r="BH126" t="n">
        <v>0</v>
      </c>
      <c r="BJ126" t="inlineStr">
        <is>
          <t>Med2</t>
        </is>
      </c>
      <c r="BL126" t="n">
        <v>0.8</v>
      </c>
      <c r="BM126" t="n">
        <v>0.797560975609756</v>
      </c>
      <c r="BN126" t="n">
        <v>0.785365853658536</v>
      </c>
      <c r="BO126" t="n">
        <v>0.773170731707317</v>
      </c>
      <c r="BP126" t="n">
        <v>0.760975609756097</v>
      </c>
      <c r="BQ126" t="n">
        <v>0.748780487804878</v>
      </c>
      <c r="BR126" t="n">
        <v>0.736585365853658</v>
      </c>
      <c r="BS126" t="n">
        <v>0.724390243902439</v>
      </c>
      <c r="BT126" t="n">
        <v>0.71219512195122</v>
      </c>
      <c r="BU126" t="n">
        <v>0.699999999999999</v>
      </c>
      <c r="BV126" t="n">
        <v>0.687499999999999</v>
      </c>
      <c r="BW126" t="n">
        <v>0.675</v>
      </c>
      <c r="BX126" t="n">
        <v>0.6625</v>
      </c>
      <c r="BY126" t="n">
        <v>0.649999999999999</v>
      </c>
      <c r="BZ126" t="n">
        <v>0.637499999999999</v>
      </c>
      <c r="CA126" t="n">
        <v>0.625</v>
      </c>
      <c r="CB126" t="n">
        <v>0.6125</v>
      </c>
      <c r="CC126" t="n">
        <v>0.6</v>
      </c>
      <c r="CD126" t="e">
        <v>#VALUE!</v>
      </c>
      <c r="CE126" t="e">
        <v>#VALUE!</v>
      </c>
      <c r="CF126" t="e">
        <v>#VALUE!</v>
      </c>
      <c r="CG126" t="e">
        <v>#VALUE!</v>
      </c>
      <c r="CH126" t="e">
        <v>#VALUE!</v>
      </c>
      <c r="CI126" t="e">
        <v>#VALUE!</v>
      </c>
      <c r="CJ126" t="e">
        <v>#VALUE!</v>
      </c>
      <c r="CK126" t="e">
        <v>#VALUE!</v>
      </c>
    </row>
    <row r="127" ht="12.5" customHeight="1" s="213">
      <c r="A127" t="inlineStr">
        <is>
          <t>France</t>
        </is>
      </c>
      <c r="B127" t="inlineStr">
        <is>
          <t>TWD</t>
        </is>
      </c>
      <c r="C127" t="inlineStr">
        <is>
          <t>TWD</t>
        </is>
      </c>
      <c r="E127" t="n">
        <v>21.0626926925154</v>
      </c>
      <c r="F127">
        <f>E127</f>
        <v/>
      </c>
      <c r="I127">
        <f>F127</f>
        <v/>
      </c>
      <c r="J127">
        <f>I127</f>
        <v/>
      </c>
      <c r="L127">
        <f>J127</f>
        <v/>
      </c>
      <c r="V127">
        <f>L127</f>
        <v/>
      </c>
      <c r="W127" t="n">
        <v>3</v>
      </c>
      <c r="AG127" s="223" t="inlineStr">
        <is>
          <t>GDP</t>
        </is>
      </c>
      <c r="AI127" t="n">
        <v>1</v>
      </c>
      <c r="AJ127" t="n">
        <v>0.998176461090183</v>
      </c>
      <c r="AK127" t="n">
        <v>1.11944327994063</v>
      </c>
      <c r="AL127" t="n">
        <v>1.20942774060418</v>
      </c>
      <c r="AM127" t="n">
        <v>1.29112776475015</v>
      </c>
      <c r="AN127" t="n">
        <v>1.37440542410241</v>
      </c>
      <c r="AO127" t="n">
        <v>1.45940515005311</v>
      </c>
      <c r="AP127" t="n">
        <v>1.5476119935828</v>
      </c>
      <c r="AQ127" t="n">
        <v>1.64020732941171</v>
      </c>
      <c r="AR127" t="n">
        <v>1.73809848295191</v>
      </c>
      <c r="AS127" t="n">
        <v>1.83991891103174</v>
      </c>
      <c r="AT127" t="n">
        <v>1.94201338841971</v>
      </c>
      <c r="AU127" t="n">
        <v>2.04517813945703</v>
      </c>
      <c r="AV127" t="n">
        <v>2.15073897025602</v>
      </c>
      <c r="AW127" t="n">
        <v>2.25902177729124</v>
      </c>
      <c r="AX127" t="n">
        <v>2.36949327542252</v>
      </c>
      <c r="AY127" t="n">
        <v>2.4799647735538</v>
      </c>
      <c r="AZ127" t="n">
        <v>2.58602926254072</v>
      </c>
      <c r="BA127" t="n">
        <v>0</v>
      </c>
      <c r="BB127" t="n">
        <v>0</v>
      </c>
      <c r="BC127" t="n">
        <v>0</v>
      </c>
      <c r="BD127" t="n">
        <v>0</v>
      </c>
      <c r="BE127" t="n">
        <v>0</v>
      </c>
      <c r="BF127" t="n">
        <v>0</v>
      </c>
      <c r="BG127" t="n">
        <v>0</v>
      </c>
      <c r="BH127" t="n">
        <v>0</v>
      </c>
      <c r="BJ127" t="inlineStr">
        <is>
          <t>Med2</t>
        </is>
      </c>
      <c r="BL127" t="n">
        <v>0.8</v>
      </c>
      <c r="BM127" t="n">
        <v>0.797560975609756</v>
      </c>
      <c r="BN127" t="n">
        <v>0.785365853658536</v>
      </c>
      <c r="BO127" t="n">
        <v>0.773170731707317</v>
      </c>
      <c r="BP127" t="n">
        <v>0.760975609756097</v>
      </c>
      <c r="BQ127" t="n">
        <v>0.748780487804878</v>
      </c>
      <c r="BR127" t="n">
        <v>0.736585365853658</v>
      </c>
      <c r="BS127" t="n">
        <v>0.724390243902439</v>
      </c>
      <c r="BT127" t="n">
        <v>0.71219512195122</v>
      </c>
      <c r="BU127" t="n">
        <v>0.699999999999999</v>
      </c>
      <c r="BV127" t="n">
        <v>0.687499999999999</v>
      </c>
      <c r="BW127" t="n">
        <v>0.675</v>
      </c>
      <c r="BX127" t="n">
        <v>0.6625</v>
      </c>
      <c r="BY127" t="n">
        <v>0.649999999999999</v>
      </c>
      <c r="BZ127" t="n">
        <v>0.637499999999999</v>
      </c>
      <c r="CA127" t="n">
        <v>0.625</v>
      </c>
      <c r="CB127" t="n">
        <v>0.6125</v>
      </c>
      <c r="CC127" t="n">
        <v>0.6</v>
      </c>
      <c r="CD127" t="e">
        <v>#VALUE!</v>
      </c>
      <c r="CE127" t="e">
        <v>#VALUE!</v>
      </c>
      <c r="CF127" t="e">
        <v>#VALUE!</v>
      </c>
      <c r="CG127" t="e">
        <v>#VALUE!</v>
      </c>
      <c r="CH127" t="e">
        <v>#VALUE!</v>
      </c>
      <c r="CI127" t="e">
        <v>#VALUE!</v>
      </c>
      <c r="CJ127" t="e">
        <v>#VALUE!</v>
      </c>
      <c r="CK127" t="e">
        <v>#VALUE!</v>
      </c>
    </row>
    <row r="128" ht="12.5" customHeight="1" s="213">
      <c r="A128" t="inlineStr">
        <is>
          <t>France</t>
        </is>
      </c>
      <c r="B128" t="inlineStr">
        <is>
          <t>TWI</t>
        </is>
      </c>
      <c r="C128" t="inlineStr">
        <is>
          <t>TWI</t>
        </is>
      </c>
      <c r="E128" t="n">
        <v>70.98472743185179</v>
      </c>
      <c r="F128">
        <f>E128</f>
        <v/>
      </c>
      <c r="I128">
        <f>F128</f>
        <v/>
      </c>
      <c r="J128">
        <f>I128</f>
        <v/>
      </c>
      <c r="L128">
        <f>J128</f>
        <v/>
      </c>
      <c r="V128">
        <f>L128</f>
        <v/>
      </c>
      <c r="W128" t="n">
        <v>3</v>
      </c>
      <c r="AG128" s="223" t="inlineStr">
        <is>
          <t>GDP</t>
        </is>
      </c>
      <c r="AI128" t="n">
        <v>1</v>
      </c>
      <c r="AJ128" t="n">
        <v>0.998176461090183</v>
      </c>
      <c r="AK128" t="n">
        <v>1.11944327994063</v>
      </c>
      <c r="AL128" t="n">
        <v>1.20942774060418</v>
      </c>
      <c r="AM128" t="n">
        <v>1.29112776475015</v>
      </c>
      <c r="AN128" t="n">
        <v>1.37440542410241</v>
      </c>
      <c r="AO128" t="n">
        <v>1.45940515005311</v>
      </c>
      <c r="AP128" t="n">
        <v>1.5476119935828</v>
      </c>
      <c r="AQ128" t="n">
        <v>1.64020732941171</v>
      </c>
      <c r="AR128" t="n">
        <v>1.73809848295191</v>
      </c>
      <c r="AS128" t="n">
        <v>1.83991891103174</v>
      </c>
      <c r="AT128" t="n">
        <v>1.94201338841971</v>
      </c>
      <c r="AU128" t="n">
        <v>2.04517813945703</v>
      </c>
      <c r="AV128" t="n">
        <v>2.15073897025602</v>
      </c>
      <c r="AW128" t="n">
        <v>2.25902177729124</v>
      </c>
      <c r="AX128" t="n">
        <v>2.36949327542252</v>
      </c>
      <c r="AY128" t="n">
        <v>2.4799647735538</v>
      </c>
      <c r="AZ128" t="n">
        <v>2.58602926254072</v>
      </c>
      <c r="BA128" t="n">
        <v>0</v>
      </c>
      <c r="BB128" t="n">
        <v>0</v>
      </c>
      <c r="BC128" t="n">
        <v>0</v>
      </c>
      <c r="BD128" t="n">
        <v>0</v>
      </c>
      <c r="BE128" t="n">
        <v>0</v>
      </c>
      <c r="BF128" t="n">
        <v>0</v>
      </c>
      <c r="BG128" t="n">
        <v>0</v>
      </c>
      <c r="BH128" t="n">
        <v>0</v>
      </c>
      <c r="BJ128" t="inlineStr">
        <is>
          <t>Med2</t>
        </is>
      </c>
      <c r="BL128" t="n">
        <v>0.8</v>
      </c>
      <c r="BM128" t="n">
        <v>0.797560975609756</v>
      </c>
      <c r="BN128" t="n">
        <v>0.785365853658536</v>
      </c>
      <c r="BO128" t="n">
        <v>0.773170731707317</v>
      </c>
      <c r="BP128" t="n">
        <v>0.760975609756097</v>
      </c>
      <c r="BQ128" t="n">
        <v>0.748780487804878</v>
      </c>
      <c r="BR128" t="n">
        <v>0.736585365853658</v>
      </c>
      <c r="BS128" t="n">
        <v>0.724390243902439</v>
      </c>
      <c r="BT128" t="n">
        <v>0.71219512195122</v>
      </c>
      <c r="BU128" t="n">
        <v>0.699999999999999</v>
      </c>
      <c r="BV128" t="n">
        <v>0.687499999999999</v>
      </c>
      <c r="BW128" t="n">
        <v>0.675</v>
      </c>
      <c r="BX128" t="n">
        <v>0.6625</v>
      </c>
      <c r="BY128" t="n">
        <v>0.649999999999999</v>
      </c>
      <c r="BZ128" t="n">
        <v>0.637499999999999</v>
      </c>
      <c r="CA128" t="n">
        <v>0.625</v>
      </c>
      <c r="CB128" t="n">
        <v>0.6125</v>
      </c>
      <c r="CC128" t="n">
        <v>0.6</v>
      </c>
      <c r="CD128" t="e">
        <v>#VALUE!</v>
      </c>
      <c r="CE128" t="e">
        <v>#VALUE!</v>
      </c>
      <c r="CF128" t="e">
        <v>#VALUE!</v>
      </c>
      <c r="CG128" t="e">
        <v>#VALUE!</v>
      </c>
      <c r="CH128" t="e">
        <v>#VALUE!</v>
      </c>
      <c r="CI128" t="e">
        <v>#VALUE!</v>
      </c>
      <c r="CJ128" t="e">
        <v>#VALUE!</v>
      </c>
      <c r="CK128" t="e">
        <v>#VALUE!</v>
      </c>
    </row>
    <row r="129" ht="12.5" customHeight="1" s="213">
      <c r="A129" t="inlineStr">
        <is>
          <t>France</t>
        </is>
      </c>
      <c r="B129" t="inlineStr">
        <is>
          <t>Trd_2w</t>
        </is>
      </c>
      <c r="C129" t="inlineStr">
        <is>
          <t>Trd_2w</t>
        </is>
      </c>
      <c r="D129" t="n">
        <v>1.582</v>
      </c>
      <c r="E129" t="n">
        <v>1.58455801445872</v>
      </c>
      <c r="G129" t="n">
        <v>1.59714736133883</v>
      </c>
      <c r="H129" t="n">
        <v>1.6097837443472</v>
      </c>
      <c r="I129" t="n">
        <v>1.62375051819687</v>
      </c>
      <c r="J129" t="n">
        <v>1.63808257253473</v>
      </c>
      <c r="K129" t="n">
        <v>1.65063969806722</v>
      </c>
      <c r="L129" t="n">
        <v>1.66109751286611</v>
      </c>
      <c r="M129" t="n">
        <v>1.66938902033277</v>
      </c>
      <c r="N129" t="n">
        <v>1.67710057721707</v>
      </c>
      <c r="O129" t="n">
        <v>1.68464631758674</v>
      </c>
      <c r="P129" t="n">
        <v>1.69230832997817</v>
      </c>
      <c r="Q129" t="n">
        <v>1.70036773205</v>
      </c>
      <c r="R129" t="n">
        <v>1.70835137064742</v>
      </c>
      <c r="S129" t="n">
        <v>1.71539645283818</v>
      </c>
      <c r="T129" t="n">
        <v>1.72138467405282</v>
      </c>
      <c r="U129" t="n">
        <v>1.72630145734182</v>
      </c>
      <c r="V129" t="n">
        <v>1.72935114482128</v>
      </c>
      <c r="W129" t="n">
        <v>3</v>
      </c>
      <c r="AG129" s="223" t="inlineStr">
        <is>
          <t>POP</t>
        </is>
      </c>
      <c r="AI129" t="n">
        <v>1</v>
      </c>
      <c r="AJ129" t="n">
        <v>1.00202736815179</v>
      </c>
      <c r="AK129" t="n">
        <v>1.01216420891075</v>
      </c>
      <c r="AL129" t="n">
        <v>1.02252167125991</v>
      </c>
      <c r="AM129" t="n">
        <v>1.03417984027998</v>
      </c>
      <c r="AN129" t="n">
        <v>1.04637059777809</v>
      </c>
      <c r="AO129" t="n">
        <v>1.05726032214999</v>
      </c>
      <c r="AP129" t="n">
        <v>1.06650726134955</v>
      </c>
      <c r="AQ129" t="n">
        <v>1.07398212353871</v>
      </c>
      <c r="AR129" t="n">
        <v>1.08106946775996</v>
      </c>
      <c r="AS129" t="n">
        <v>1.0881444222259</v>
      </c>
      <c r="AT129" t="n">
        <v>1.09547632809153</v>
      </c>
      <c r="AU129" t="n">
        <v>1.10335114464037</v>
      </c>
      <c r="AV129" t="n">
        <v>1.11132114622281</v>
      </c>
      <c r="AW129" t="n">
        <v>1.11851014240138</v>
      </c>
      <c r="AX129" t="n">
        <v>1.12475745499428</v>
      </c>
      <c r="AY129" t="n">
        <v>1.13000258095548</v>
      </c>
      <c r="AZ129" t="n">
        <v>1.13332968884872</v>
      </c>
      <c r="BA129" t="n">
        <v>0</v>
      </c>
      <c r="BB129" t="n">
        <v>0</v>
      </c>
      <c r="BC129" t="n">
        <v>0</v>
      </c>
      <c r="BD129" t="n">
        <v>0</v>
      </c>
      <c r="BE129" t="n">
        <v>0</v>
      </c>
      <c r="BF129" t="n">
        <v>0</v>
      </c>
      <c r="BG129" t="n">
        <v>0</v>
      </c>
      <c r="BH129" t="n">
        <v>0</v>
      </c>
      <c r="BJ129" t="inlineStr">
        <is>
          <t>Med2</t>
        </is>
      </c>
      <c r="BL129" t="n">
        <v>0.8</v>
      </c>
      <c r="BM129" t="n">
        <v>0.797560975609756</v>
      </c>
      <c r="BN129" t="n">
        <v>0.785365853658536</v>
      </c>
      <c r="BO129" t="n">
        <v>0.773170731707317</v>
      </c>
      <c r="BP129" t="n">
        <v>0.760975609756097</v>
      </c>
      <c r="BQ129" t="n">
        <v>0.748780487804878</v>
      </c>
      <c r="BR129" t="n">
        <v>0.736585365853658</v>
      </c>
      <c r="BS129" t="n">
        <v>0.724390243902439</v>
      </c>
      <c r="BT129" t="n">
        <v>0.71219512195122</v>
      </c>
      <c r="BU129" t="n">
        <v>0.699999999999999</v>
      </c>
      <c r="BV129" t="n">
        <v>0.687499999999999</v>
      </c>
      <c r="BW129" t="n">
        <v>0.675</v>
      </c>
      <c r="BX129" t="n">
        <v>0.6625</v>
      </c>
      <c r="BY129" t="n">
        <v>0.649999999999999</v>
      </c>
      <c r="BZ129" t="n">
        <v>0.637499999999999</v>
      </c>
      <c r="CA129" t="n">
        <v>0.625</v>
      </c>
      <c r="CB129" t="n">
        <v>0.6125</v>
      </c>
      <c r="CC129" t="n">
        <v>0.6</v>
      </c>
      <c r="CD129" t="e">
        <v>#VALUE!</v>
      </c>
      <c r="CE129" t="e">
        <v>#VALUE!</v>
      </c>
      <c r="CF129" t="e">
        <v>#VALUE!</v>
      </c>
      <c r="CG129" t="e">
        <v>#VALUE!</v>
      </c>
      <c r="CH129" t="e">
        <v>#VALUE!</v>
      </c>
      <c r="CI129" t="e">
        <v>#VALUE!</v>
      </c>
      <c r="CJ129" t="e">
        <v>#VALUE!</v>
      </c>
      <c r="CK129" t="e">
        <v>#VALUE!</v>
      </c>
    </row>
    <row r="130" ht="12.5" customHeight="1" s="213">
      <c r="A130" t="inlineStr">
        <is>
          <t>France</t>
        </is>
      </c>
      <c r="B130" t="inlineStr">
        <is>
          <t>Trd_3w</t>
        </is>
      </c>
      <c r="C130" t="inlineStr">
        <is>
          <t>Trd_3w</t>
        </is>
      </c>
      <c r="D130" t="n">
        <v>0.93</v>
      </c>
      <c r="E130" t="n">
        <v>0.931503763240587</v>
      </c>
      <c r="G130" t="n">
        <v>0.938904580306644</v>
      </c>
      <c r="H130" t="n">
        <v>0.946333048193994</v>
      </c>
      <c r="I130" t="n">
        <v>0.9545436042497391</v>
      </c>
      <c r="J130" t="n">
        <v>0.962968895358594</v>
      </c>
      <c r="K130" t="n">
        <v>0.970350770671626</v>
      </c>
      <c r="L130" t="n">
        <v>0.976498537904856</v>
      </c>
      <c r="M130" t="n">
        <v>0.981372812205736</v>
      </c>
      <c r="N130" t="n">
        <v>0.985906154748341</v>
      </c>
      <c r="O130" t="n">
        <v>0.990342019820272</v>
      </c>
      <c r="P130" t="n">
        <v>0.994846236965678</v>
      </c>
      <c r="Q130" t="n">
        <v>0.999584064985146</v>
      </c>
      <c r="R130" t="n">
        <v>1.00427735442611</v>
      </c>
      <c r="S130" t="n">
        <v>1.00841890084672</v>
      </c>
      <c r="T130" t="n">
        <v>1.01193915731297</v>
      </c>
      <c r="U130" t="n">
        <v>1.01482955456883</v>
      </c>
      <c r="V130" t="n">
        <v>1.01662235441453</v>
      </c>
      <c r="W130" t="n">
        <v>3</v>
      </c>
      <c r="AG130" s="223" t="inlineStr">
        <is>
          <t>POP</t>
        </is>
      </c>
      <c r="AI130" t="n">
        <v>1</v>
      </c>
      <c r="AJ130" t="n">
        <v>1.00202736815179</v>
      </c>
      <c r="AK130" t="n">
        <v>1.01216420891075</v>
      </c>
      <c r="AL130" t="n">
        <v>1.02252167125991</v>
      </c>
      <c r="AM130" t="n">
        <v>1.03417984027998</v>
      </c>
      <c r="AN130" t="n">
        <v>1.04637059777809</v>
      </c>
      <c r="AO130" t="n">
        <v>1.05726032214999</v>
      </c>
      <c r="AP130" t="n">
        <v>1.06650726134955</v>
      </c>
      <c r="AQ130" t="n">
        <v>1.07398212353871</v>
      </c>
      <c r="AR130" t="n">
        <v>1.08106946775996</v>
      </c>
      <c r="AS130" t="n">
        <v>1.0881444222259</v>
      </c>
      <c r="AT130" t="n">
        <v>1.09547632809153</v>
      </c>
      <c r="AU130" t="n">
        <v>1.10335114464037</v>
      </c>
      <c r="AV130" t="n">
        <v>1.11132114622281</v>
      </c>
      <c r="AW130" t="n">
        <v>1.11851014240138</v>
      </c>
      <c r="AX130" t="n">
        <v>1.12475745499428</v>
      </c>
      <c r="AY130" t="n">
        <v>1.13000258095548</v>
      </c>
      <c r="AZ130" t="n">
        <v>1.13332968884872</v>
      </c>
      <c r="BA130" t="n">
        <v>0</v>
      </c>
      <c r="BB130" t="n">
        <v>0</v>
      </c>
      <c r="BC130" t="n">
        <v>0</v>
      </c>
      <c r="BD130" t="n">
        <v>0</v>
      </c>
      <c r="BE130" t="n">
        <v>0</v>
      </c>
      <c r="BF130" t="n">
        <v>0</v>
      </c>
      <c r="BG130" t="n">
        <v>0</v>
      </c>
      <c r="BH130" t="n">
        <v>0</v>
      </c>
      <c r="BJ130" t="inlineStr">
        <is>
          <t>Med2</t>
        </is>
      </c>
      <c r="BL130" t="n">
        <v>0.8</v>
      </c>
      <c r="BM130" t="n">
        <v>0.797560975609756</v>
      </c>
      <c r="BN130" t="n">
        <v>0.785365853658536</v>
      </c>
      <c r="BO130" t="n">
        <v>0.773170731707317</v>
      </c>
      <c r="BP130" t="n">
        <v>0.760975609756097</v>
      </c>
      <c r="BQ130" t="n">
        <v>0.748780487804878</v>
      </c>
      <c r="BR130" t="n">
        <v>0.736585365853658</v>
      </c>
      <c r="BS130" t="n">
        <v>0.724390243902439</v>
      </c>
      <c r="BT130" t="n">
        <v>0.71219512195122</v>
      </c>
      <c r="BU130" t="n">
        <v>0.699999999999999</v>
      </c>
      <c r="BV130" t="n">
        <v>0.687499999999999</v>
      </c>
      <c r="BW130" t="n">
        <v>0.675</v>
      </c>
      <c r="BX130" t="n">
        <v>0.6625</v>
      </c>
      <c r="BY130" t="n">
        <v>0.649999999999999</v>
      </c>
      <c r="BZ130" t="n">
        <v>0.637499999999999</v>
      </c>
      <c r="CA130" t="n">
        <v>0.625</v>
      </c>
      <c r="CB130" t="n">
        <v>0.6125</v>
      </c>
      <c r="CC130" t="n">
        <v>0.6</v>
      </c>
      <c r="CD130" t="e">
        <v>#VALUE!</v>
      </c>
      <c r="CE130" t="e">
        <v>#VALUE!</v>
      </c>
      <c r="CF130" t="e">
        <v>#VALUE!</v>
      </c>
      <c r="CG130" t="e">
        <v>#VALUE!</v>
      </c>
      <c r="CH130" t="e">
        <v>#VALUE!</v>
      </c>
      <c r="CI130" t="e">
        <v>#VALUE!</v>
      </c>
      <c r="CJ130" t="e">
        <v>#VALUE!</v>
      </c>
      <c r="CK130" t="e">
        <v>#VALUE!</v>
      </c>
    </row>
    <row r="131" ht="12.5" customHeight="1" s="213">
      <c r="A131" t="inlineStr">
        <is>
          <t>France</t>
        </is>
      </c>
      <c r="B131" t="inlineStr">
        <is>
          <t>Trd_bus</t>
        </is>
      </c>
      <c r="C131" t="inlineStr">
        <is>
          <t>Trd_bus</t>
        </is>
      </c>
      <c r="D131" t="n">
        <v>4.2</v>
      </c>
      <c r="E131" t="n">
        <v>4.20679118882846</v>
      </c>
      <c r="G131" t="n">
        <v>4.24021423364291</v>
      </c>
      <c r="H131" t="n">
        <v>4.27376215313417</v>
      </c>
      <c r="I131" t="n">
        <v>4.3108420837085</v>
      </c>
      <c r="J131" t="n">
        <v>4.34889178549042</v>
      </c>
      <c r="K131" t="n">
        <v>4.38222928690412</v>
      </c>
      <c r="L131" t="n">
        <v>4.40999339698967</v>
      </c>
      <c r="M131" t="n">
        <v>4.43200624867107</v>
      </c>
      <c r="N131" t="n">
        <v>4.4524794085409</v>
      </c>
      <c r="O131" t="n">
        <v>4.47251234757542</v>
      </c>
      <c r="P131" t="n">
        <v>4.49285397339339</v>
      </c>
      <c r="Q131" t="n">
        <v>4.51425061606195</v>
      </c>
      <c r="R131" t="n">
        <v>4.53544611676307</v>
      </c>
      <c r="S131" t="n">
        <v>4.55414987479162</v>
      </c>
      <c r="T131" t="n">
        <v>4.57004780721988</v>
      </c>
      <c r="U131" t="n">
        <v>4.58310121418181</v>
      </c>
      <c r="V131" t="n">
        <v>4.59119772961402</v>
      </c>
      <c r="W131" t="n">
        <v>3</v>
      </c>
      <c r="AG131" s="223" t="inlineStr">
        <is>
          <t>POP</t>
        </is>
      </c>
      <c r="AI131" t="n">
        <v>1</v>
      </c>
      <c r="AJ131" t="n">
        <v>1.00202736815179</v>
      </c>
      <c r="AK131" t="n">
        <v>1.01216420891075</v>
      </c>
      <c r="AL131" t="n">
        <v>1.02252167125991</v>
      </c>
      <c r="AM131" t="n">
        <v>1.03417984027998</v>
      </c>
      <c r="AN131" t="n">
        <v>1.04637059777809</v>
      </c>
      <c r="AO131" t="n">
        <v>1.05726032214999</v>
      </c>
      <c r="AP131" t="n">
        <v>1.06650726134955</v>
      </c>
      <c r="AQ131" t="n">
        <v>1.07398212353871</v>
      </c>
      <c r="AR131" t="n">
        <v>1.08106946775996</v>
      </c>
      <c r="AS131" t="n">
        <v>1.0881444222259</v>
      </c>
      <c r="AT131" t="n">
        <v>1.09547632809153</v>
      </c>
      <c r="AU131" t="n">
        <v>1.10335114464037</v>
      </c>
      <c r="AV131" t="n">
        <v>1.11132114622281</v>
      </c>
      <c r="AW131" t="n">
        <v>1.11851014240138</v>
      </c>
      <c r="AX131" t="n">
        <v>1.12475745499428</v>
      </c>
      <c r="AY131" t="n">
        <v>1.13000258095548</v>
      </c>
      <c r="AZ131" t="n">
        <v>1.13332968884872</v>
      </c>
      <c r="BA131" t="n">
        <v>0</v>
      </c>
      <c r="BB131" t="n">
        <v>0</v>
      </c>
      <c r="BC131" t="n">
        <v>0</v>
      </c>
      <c r="BD131" t="n">
        <v>0</v>
      </c>
      <c r="BE131" t="n">
        <v>0</v>
      </c>
      <c r="BF131" t="n">
        <v>0</v>
      </c>
      <c r="BG131" t="n">
        <v>0</v>
      </c>
      <c r="BH131" t="n">
        <v>0</v>
      </c>
      <c r="BJ131" t="inlineStr">
        <is>
          <t>Med2</t>
        </is>
      </c>
      <c r="BL131" t="n">
        <v>0.8</v>
      </c>
      <c r="BM131" t="n">
        <v>0.797560975609756</v>
      </c>
      <c r="BN131" t="n">
        <v>0.785365853658536</v>
      </c>
      <c r="BO131" t="n">
        <v>0.773170731707317</v>
      </c>
      <c r="BP131" t="n">
        <v>0.760975609756097</v>
      </c>
      <c r="BQ131" t="n">
        <v>0.748780487804878</v>
      </c>
      <c r="BR131" t="n">
        <v>0.736585365853658</v>
      </c>
      <c r="BS131" t="n">
        <v>0.724390243902439</v>
      </c>
      <c r="BT131" t="n">
        <v>0.71219512195122</v>
      </c>
      <c r="BU131" t="n">
        <v>0.699999999999999</v>
      </c>
      <c r="BV131" t="n">
        <v>0.687499999999999</v>
      </c>
      <c r="BW131" t="n">
        <v>0.675</v>
      </c>
      <c r="BX131" t="n">
        <v>0.6625</v>
      </c>
      <c r="BY131" t="n">
        <v>0.649999999999999</v>
      </c>
      <c r="BZ131" t="n">
        <v>0.637499999999999</v>
      </c>
      <c r="CA131" t="n">
        <v>0.625</v>
      </c>
      <c r="CB131" t="n">
        <v>0.6125</v>
      </c>
      <c r="CC131" t="n">
        <v>0.6</v>
      </c>
      <c r="CD131" t="e">
        <v>#VALUE!</v>
      </c>
      <c r="CE131" t="e">
        <v>#VALUE!</v>
      </c>
      <c r="CF131" t="e">
        <v>#VALUE!</v>
      </c>
      <c r="CG131" t="e">
        <v>#VALUE!</v>
      </c>
      <c r="CH131" t="e">
        <v>#VALUE!</v>
      </c>
      <c r="CI131" t="e">
        <v>#VALUE!</v>
      </c>
      <c r="CJ131" t="e">
        <v>#VALUE!</v>
      </c>
      <c r="CK131" t="e">
        <v>#VALUE!</v>
      </c>
    </row>
    <row r="132" ht="12.5" customHeight="1" s="213">
      <c r="A132" t="inlineStr">
        <is>
          <t>France</t>
        </is>
      </c>
      <c r="B132" t="inlineStr">
        <is>
          <t>Trd_car</t>
        </is>
      </c>
      <c r="C132" t="inlineStr">
        <is>
          <t>Trd_car</t>
        </is>
      </c>
      <c r="D132" t="n">
        <v>298.44</v>
      </c>
      <c r="E132" t="n">
        <v>297.525245865269</v>
      </c>
      <c r="G132" t="n">
        <v>323.288491045269</v>
      </c>
      <c r="H132" t="n">
        <v>340.645434814256</v>
      </c>
      <c r="I132" t="n">
        <v>355.037035714167</v>
      </c>
      <c r="J132" t="n">
        <v>368.887008582106</v>
      </c>
      <c r="K132" t="n">
        <v>382.719506746578</v>
      </c>
      <c r="L132" t="n">
        <v>396.926841447533</v>
      </c>
      <c r="M132" t="n">
        <v>411.755236442612</v>
      </c>
      <c r="N132" t="n">
        <v>426.954989711792</v>
      </c>
      <c r="O132" t="n">
        <v>442.130208920396</v>
      </c>
      <c r="P132" t="n">
        <v>456.58185557105</v>
      </c>
      <c r="Q132" t="n">
        <v>470.377083478719</v>
      </c>
      <c r="R132" t="n">
        <v>483.852091280731</v>
      </c>
      <c r="S132" t="n">
        <v>497.299495990273</v>
      </c>
      <c r="T132" t="n">
        <v>510.688158251854</v>
      </c>
      <c r="U132" t="n">
        <v>523.751889350563</v>
      </c>
      <c r="V132" t="n">
        <v>536.229952887879</v>
      </c>
      <c r="W132" t="n">
        <v>3</v>
      </c>
      <c r="AG132" s="223" t="inlineStr">
        <is>
          <t>GDPPCAP</t>
        </is>
      </c>
      <c r="AI132" t="n">
        <v>1</v>
      </c>
      <c r="AJ132" t="n">
        <v>0.996156884348667</v>
      </c>
      <c r="AK132" t="n">
        <v>1.10598978909294</v>
      </c>
      <c r="AL132" t="n">
        <v>1.18278934774456</v>
      </c>
      <c r="AM132" t="n">
        <v>1.24845574673029</v>
      </c>
      <c r="AN132" t="n">
        <v>1.31349774833209</v>
      </c>
      <c r="AO132" t="n">
        <v>1.38036500517236</v>
      </c>
      <c r="AP132" t="n">
        <v>1.4511031004369</v>
      </c>
      <c r="AQ132" t="n">
        <v>1.52722032654261</v>
      </c>
      <c r="AR132" t="n">
        <v>1.60775836778866</v>
      </c>
      <c r="AS132" t="n">
        <v>1.69087749148962</v>
      </c>
      <c r="AT132" t="n">
        <v>1.77275705427882</v>
      </c>
      <c r="AU132" t="n">
        <v>1.85360585285262</v>
      </c>
      <c r="AV132" t="n">
        <v>1.93529924051749</v>
      </c>
      <c r="AW132" t="n">
        <v>2.01967035581925</v>
      </c>
      <c r="AX132" t="n">
        <v>2.10667043361324</v>
      </c>
      <c r="AY132" t="n">
        <v>2.19465407898171</v>
      </c>
      <c r="AZ132" t="n">
        <v>2.28179786339816</v>
      </c>
      <c r="BA132" t="n">
        <v>0</v>
      </c>
      <c r="BB132" t="n">
        <v>0</v>
      </c>
      <c r="BC132" t="n">
        <v>0</v>
      </c>
      <c r="BD132" t="n">
        <v>0</v>
      </c>
      <c r="BE132" t="n">
        <v>0</v>
      </c>
      <c r="BF132" t="n">
        <v>0</v>
      </c>
      <c r="BG132" t="n">
        <v>0</v>
      </c>
      <c r="BH132" t="n">
        <v>0</v>
      </c>
      <c r="BJ132" t="inlineStr">
        <is>
          <t>Med2</t>
        </is>
      </c>
      <c r="BL132" t="n">
        <v>0.8</v>
      </c>
      <c r="BM132" t="n">
        <v>0.797560975609756</v>
      </c>
      <c r="BN132" t="n">
        <v>0.785365853658536</v>
      </c>
      <c r="BO132" t="n">
        <v>0.773170731707317</v>
      </c>
      <c r="BP132" t="n">
        <v>0.760975609756097</v>
      </c>
      <c r="BQ132" t="n">
        <v>0.748780487804878</v>
      </c>
      <c r="BR132" t="n">
        <v>0.736585365853658</v>
      </c>
      <c r="BS132" t="n">
        <v>0.724390243902439</v>
      </c>
      <c r="BT132" t="n">
        <v>0.71219512195122</v>
      </c>
      <c r="BU132" t="n">
        <v>0.699999999999999</v>
      </c>
      <c r="BV132" t="n">
        <v>0.687499999999999</v>
      </c>
      <c r="BW132" t="n">
        <v>0.675</v>
      </c>
      <c r="BX132" t="n">
        <v>0.6625</v>
      </c>
      <c r="BY132" t="n">
        <v>0.649999999999999</v>
      </c>
      <c r="BZ132" t="n">
        <v>0.637499999999999</v>
      </c>
      <c r="CA132" t="n">
        <v>0.625</v>
      </c>
      <c r="CB132" t="n">
        <v>0.6125</v>
      </c>
      <c r="CC132" t="n">
        <v>0.6</v>
      </c>
      <c r="CD132" t="e">
        <v>#VALUE!</v>
      </c>
      <c r="CE132" t="e">
        <v>#VALUE!</v>
      </c>
      <c r="CF132" t="e">
        <v>#VALUE!</v>
      </c>
      <c r="CG132" t="e">
        <v>#VALUE!</v>
      </c>
      <c r="CH132" t="e">
        <v>#VALUE!</v>
      </c>
      <c r="CI132" t="e">
        <v>#VALUE!</v>
      </c>
      <c r="CJ132" t="e">
        <v>#VALUE!</v>
      </c>
      <c r="CK132" t="e">
        <v>#VALUE!</v>
      </c>
    </row>
    <row r="133" ht="12.5" customHeight="1" s="213">
      <c r="A133" t="inlineStr">
        <is>
          <t>France</t>
        </is>
      </c>
      <c r="B133" t="inlineStr">
        <is>
          <t>Trd_hdt</t>
        </is>
      </c>
      <c r="C133" t="inlineStr">
        <is>
          <t>Trd_hdt</t>
        </is>
      </c>
      <c r="D133" t="n">
        <v>124.1</v>
      </c>
      <c r="E133" t="n">
        <v>123.919511011128</v>
      </c>
      <c r="G133" t="n">
        <v>135.743019482317</v>
      </c>
      <c r="H133" t="n">
        <v>144.179442255418</v>
      </c>
      <c r="I133" t="n">
        <v>151.591116746851</v>
      </c>
      <c r="J133" t="n">
        <v>158.912405921345</v>
      </c>
      <c r="K133" t="n">
        <v>166.15148888985</v>
      </c>
      <c r="L133" t="n">
        <v>173.425990371253</v>
      </c>
      <c r="M133" t="n">
        <v>180.815918291755</v>
      </c>
      <c r="N133" t="n">
        <v>188.36996036426</v>
      </c>
      <c r="O133" t="n">
        <v>195.956520191269</v>
      </c>
      <c r="P133" t="n">
        <v>203.296030057614</v>
      </c>
      <c r="Q133" t="n">
        <v>210.450770699466</v>
      </c>
      <c r="R133" t="n">
        <v>217.511271958341</v>
      </c>
      <c r="S133" t="n">
        <v>224.492531087029</v>
      </c>
      <c r="T133" t="n">
        <v>231.353915314753</v>
      </c>
      <c r="U133" t="n">
        <v>237.960510702332</v>
      </c>
      <c r="V133" t="n">
        <v>244.066845817054</v>
      </c>
      <c r="W133" t="n">
        <v>3</v>
      </c>
      <c r="AG133" s="223" t="inlineStr">
        <is>
          <t>GDP</t>
        </is>
      </c>
      <c r="AI133" t="n">
        <v>1</v>
      </c>
      <c r="AJ133" t="n">
        <v>0.998176461090183</v>
      </c>
      <c r="AK133" t="n">
        <v>1.11944327994063</v>
      </c>
      <c r="AL133" t="n">
        <v>1.20942774060418</v>
      </c>
      <c r="AM133" t="n">
        <v>1.29112776475015</v>
      </c>
      <c r="AN133" t="n">
        <v>1.37440542410241</v>
      </c>
      <c r="AO133" t="n">
        <v>1.45940515005311</v>
      </c>
      <c r="AP133" t="n">
        <v>1.5476119935828</v>
      </c>
      <c r="AQ133" t="n">
        <v>1.64020732941171</v>
      </c>
      <c r="AR133" t="n">
        <v>1.73809848295191</v>
      </c>
      <c r="AS133" t="n">
        <v>1.83991891103174</v>
      </c>
      <c r="AT133" t="n">
        <v>1.94201338841971</v>
      </c>
      <c r="AU133" t="n">
        <v>2.04517813945703</v>
      </c>
      <c r="AV133" t="n">
        <v>2.15073897025602</v>
      </c>
      <c r="AW133" t="n">
        <v>2.25902177729124</v>
      </c>
      <c r="AX133" t="n">
        <v>2.36949327542252</v>
      </c>
      <c r="AY133" t="n">
        <v>2.4799647735538</v>
      </c>
      <c r="AZ133" t="n">
        <v>2.58602926254072</v>
      </c>
      <c r="BA133" t="n">
        <v>0</v>
      </c>
      <c r="BB133" t="n">
        <v>0</v>
      </c>
      <c r="BC133" t="n">
        <v>0</v>
      </c>
      <c r="BD133" t="n">
        <v>0</v>
      </c>
      <c r="BE133" t="n">
        <v>0</v>
      </c>
      <c r="BF133" t="n">
        <v>0</v>
      </c>
      <c r="BG133" t="n">
        <v>0</v>
      </c>
      <c r="BH133" t="n">
        <v>0</v>
      </c>
      <c r="BJ133" t="inlineStr">
        <is>
          <t>Med2</t>
        </is>
      </c>
      <c r="BL133" t="n">
        <v>0.8</v>
      </c>
      <c r="BM133" t="n">
        <v>0.797560975609756</v>
      </c>
      <c r="BN133" t="n">
        <v>0.785365853658536</v>
      </c>
      <c r="BO133" t="n">
        <v>0.773170731707317</v>
      </c>
      <c r="BP133" t="n">
        <v>0.760975609756097</v>
      </c>
      <c r="BQ133" t="n">
        <v>0.748780487804878</v>
      </c>
      <c r="BR133" t="n">
        <v>0.736585365853658</v>
      </c>
      <c r="BS133" t="n">
        <v>0.724390243902439</v>
      </c>
      <c r="BT133" t="n">
        <v>0.71219512195122</v>
      </c>
      <c r="BU133" t="n">
        <v>0.699999999999999</v>
      </c>
      <c r="BV133" t="n">
        <v>0.687499999999999</v>
      </c>
      <c r="BW133" t="n">
        <v>0.675</v>
      </c>
      <c r="BX133" t="n">
        <v>0.6625</v>
      </c>
      <c r="BY133" t="n">
        <v>0.649999999999999</v>
      </c>
      <c r="BZ133" t="n">
        <v>0.637499999999999</v>
      </c>
      <c r="CA133" t="n">
        <v>0.625</v>
      </c>
      <c r="CB133" t="n">
        <v>0.6125</v>
      </c>
      <c r="CC133" t="n">
        <v>0.6</v>
      </c>
      <c r="CD133" t="e">
        <v>#VALUE!</v>
      </c>
      <c r="CE133" t="e">
        <v>#VALUE!</v>
      </c>
      <c r="CF133" t="e">
        <v>#VALUE!</v>
      </c>
      <c r="CG133" t="e">
        <v>#VALUE!</v>
      </c>
      <c r="CH133" t="e">
        <v>#VALUE!</v>
      </c>
      <c r="CI133" t="e">
        <v>#VALUE!</v>
      </c>
      <c r="CJ133" t="e">
        <v>#VALUE!</v>
      </c>
      <c r="CK133" t="e">
        <v>#VALUE!</v>
      </c>
    </row>
    <row r="134" ht="12.5" customHeight="1" s="213">
      <c r="A134" t="inlineStr">
        <is>
          <t>France</t>
        </is>
      </c>
      <c r="B134" t="inlineStr">
        <is>
          <t>Trd_lcv</t>
        </is>
      </c>
      <c r="C134" t="inlineStr">
        <is>
          <t>Trd_lcv</t>
        </is>
      </c>
      <c r="D134" t="n">
        <v>67.16</v>
      </c>
      <c r="E134" t="n">
        <v>67.0623236060221</v>
      </c>
      <c r="G134" t="n">
        <v>73.4609281904301</v>
      </c>
      <c r="H134" t="n">
        <v>78.0265216911676</v>
      </c>
      <c r="I134" t="n">
        <v>82.03754553359001</v>
      </c>
      <c r="J134" t="n">
        <v>85.9996549691982</v>
      </c>
      <c r="K134" t="n">
        <v>89.91727634038961</v>
      </c>
      <c r="L134" t="n">
        <v>93.854065377384</v>
      </c>
      <c r="M134" t="n">
        <v>97.8533204873026</v>
      </c>
      <c r="N134" t="n">
        <v>101.941390314776</v>
      </c>
      <c r="O134" t="n">
        <v>106.047057985863</v>
      </c>
      <c r="P134" t="n">
        <v>110.019028031179</v>
      </c>
      <c r="Q134" t="n">
        <v>113.891005319711</v>
      </c>
      <c r="R134" t="n">
        <v>117.711982471573</v>
      </c>
      <c r="S134" t="n">
        <v>121.490075647098</v>
      </c>
      <c r="T134" t="n">
        <v>125.203295346807</v>
      </c>
      <c r="U134" t="n">
        <v>128.778629321262</v>
      </c>
      <c r="V134" t="n">
        <v>132.083234206877</v>
      </c>
      <c r="W134" t="n">
        <v>3</v>
      </c>
      <c r="AG134" s="223" t="inlineStr">
        <is>
          <t>GDP</t>
        </is>
      </c>
      <c r="AI134" t="n">
        <v>1</v>
      </c>
      <c r="AJ134" t="n">
        <v>0.998176461090183</v>
      </c>
      <c r="AK134" t="n">
        <v>1.11944327994063</v>
      </c>
      <c r="AL134" t="n">
        <v>1.20942774060418</v>
      </c>
      <c r="AM134" t="n">
        <v>1.29112776475015</v>
      </c>
      <c r="AN134" t="n">
        <v>1.37440542410241</v>
      </c>
      <c r="AO134" t="n">
        <v>1.45940515005311</v>
      </c>
      <c r="AP134" t="n">
        <v>1.5476119935828</v>
      </c>
      <c r="AQ134" t="n">
        <v>1.64020732941171</v>
      </c>
      <c r="AR134" t="n">
        <v>1.73809848295191</v>
      </c>
      <c r="AS134" t="n">
        <v>1.83991891103174</v>
      </c>
      <c r="AT134" t="n">
        <v>1.94201338841971</v>
      </c>
      <c r="AU134" t="n">
        <v>2.04517813945703</v>
      </c>
      <c r="AV134" t="n">
        <v>2.15073897025602</v>
      </c>
      <c r="AW134" t="n">
        <v>2.25902177729124</v>
      </c>
      <c r="AX134" t="n">
        <v>2.36949327542252</v>
      </c>
      <c r="AY134" t="n">
        <v>2.4799647735538</v>
      </c>
      <c r="AZ134" t="n">
        <v>2.58602926254072</v>
      </c>
      <c r="BA134" t="n">
        <v>0</v>
      </c>
      <c r="BB134" t="n">
        <v>0</v>
      </c>
      <c r="BC134" t="n">
        <v>0</v>
      </c>
      <c r="BD134" t="n">
        <v>0</v>
      </c>
      <c r="BE134" t="n">
        <v>0</v>
      </c>
      <c r="BF134" t="n">
        <v>0</v>
      </c>
      <c r="BG134" t="n">
        <v>0</v>
      </c>
      <c r="BH134" t="n">
        <v>0</v>
      </c>
      <c r="BJ134" t="inlineStr">
        <is>
          <t>Med2</t>
        </is>
      </c>
      <c r="BL134" t="n">
        <v>0.8</v>
      </c>
      <c r="BM134" t="n">
        <v>0.797560975609756</v>
      </c>
      <c r="BN134" t="n">
        <v>0.785365853658536</v>
      </c>
      <c r="BO134" t="n">
        <v>0.773170731707317</v>
      </c>
      <c r="BP134" t="n">
        <v>0.760975609756097</v>
      </c>
      <c r="BQ134" t="n">
        <v>0.748780487804878</v>
      </c>
      <c r="BR134" t="n">
        <v>0.736585365853658</v>
      </c>
      <c r="BS134" t="n">
        <v>0.724390243902439</v>
      </c>
      <c r="BT134" t="n">
        <v>0.71219512195122</v>
      </c>
      <c r="BU134" t="n">
        <v>0.699999999999999</v>
      </c>
      <c r="BV134" t="n">
        <v>0.687499999999999</v>
      </c>
      <c r="BW134" t="n">
        <v>0.675</v>
      </c>
      <c r="BX134" t="n">
        <v>0.6625</v>
      </c>
      <c r="BY134" t="n">
        <v>0.649999999999999</v>
      </c>
      <c r="BZ134" t="n">
        <v>0.637499999999999</v>
      </c>
      <c r="CA134" t="n">
        <v>0.625</v>
      </c>
      <c r="CB134" t="n">
        <v>0.6125</v>
      </c>
      <c r="CC134" t="n">
        <v>0.6</v>
      </c>
      <c r="CD134" t="e">
        <v>#VALUE!</v>
      </c>
      <c r="CE134" t="e">
        <v>#VALUE!</v>
      </c>
      <c r="CF134" t="e">
        <v>#VALUE!</v>
      </c>
      <c r="CG134" t="e">
        <v>#VALUE!</v>
      </c>
      <c r="CH134" t="e">
        <v>#VALUE!</v>
      </c>
      <c r="CI134" t="e">
        <v>#VALUE!</v>
      </c>
      <c r="CJ134" t="e">
        <v>#VALUE!</v>
      </c>
      <c r="CK134" t="e">
        <v>#VALUE!</v>
      </c>
    </row>
    <row r="135" ht="12.5" customHeight="1" s="213">
      <c r="A135" t="inlineStr">
        <is>
          <t>Germany</t>
        </is>
      </c>
      <c r="B135" t="inlineStr">
        <is>
          <t>TAD</t>
        </is>
      </c>
      <c r="C135" t="inlineStr">
        <is>
          <t>TAD</t>
        </is>
      </c>
      <c r="E135" t="n">
        <v>30.8925002060472</v>
      </c>
      <c r="F135">
        <f>E135</f>
        <v/>
      </c>
      <c r="I135">
        <f>F135</f>
        <v/>
      </c>
      <c r="J135">
        <f>I135</f>
        <v/>
      </c>
      <c r="L135">
        <f>J135</f>
        <v/>
      </c>
      <c r="V135">
        <f>L135</f>
        <v/>
      </c>
      <c r="W135" t="n">
        <v>3</v>
      </c>
      <c r="AG135" s="223" t="inlineStr">
        <is>
          <t>GDP</t>
        </is>
      </c>
      <c r="AI135" t="n">
        <v>1</v>
      </c>
      <c r="AJ135" t="n">
        <v>1.0056875027351</v>
      </c>
      <c r="AK135" t="n">
        <v>1.07548227075571</v>
      </c>
      <c r="AL135" t="n">
        <v>1.13218376061282</v>
      </c>
      <c r="AM135" t="n">
        <v>1.19257480849257</v>
      </c>
      <c r="AN135" t="n">
        <v>1.26334038046461</v>
      </c>
      <c r="AO135" t="n">
        <v>1.33842175445903</v>
      </c>
      <c r="AP135" t="n">
        <v>1.41064604739435</v>
      </c>
      <c r="AQ135" t="n">
        <v>1.47946498139125</v>
      </c>
      <c r="AR135" t="n">
        <v>1.54708424314766</v>
      </c>
      <c r="AS135" t="n">
        <v>1.61544795560257</v>
      </c>
      <c r="AT135" t="n">
        <v>1.68343692767209</v>
      </c>
      <c r="AU135" t="n">
        <v>1.74911458152565</v>
      </c>
      <c r="AV135" t="n">
        <v>1.80784570555063</v>
      </c>
      <c r="AW135" t="n">
        <v>1.85660974133859</v>
      </c>
      <c r="AX135" t="n">
        <v>1.89568334286532</v>
      </c>
      <c r="AY135" t="n">
        <v>1.92675158434702</v>
      </c>
      <c r="AZ135" t="n">
        <v>1.95063688260264</v>
      </c>
      <c r="BA135" t="n">
        <v>0</v>
      </c>
      <c r="BB135" t="n">
        <v>0</v>
      </c>
      <c r="BC135" t="n">
        <v>0</v>
      </c>
      <c r="BD135" t="n">
        <v>0</v>
      </c>
      <c r="BE135" t="n">
        <v>0</v>
      </c>
      <c r="BF135" t="n">
        <v>0</v>
      </c>
      <c r="BG135" t="n">
        <v>0</v>
      </c>
      <c r="BH135" t="n">
        <v>0</v>
      </c>
      <c r="BJ135" t="inlineStr">
        <is>
          <t>Med2</t>
        </is>
      </c>
      <c r="BL135" t="n">
        <v>0.8</v>
      </c>
      <c r="BM135" t="n">
        <v>0.797560975609756</v>
      </c>
      <c r="BN135" t="n">
        <v>0.785365853658536</v>
      </c>
      <c r="BO135" t="n">
        <v>0.773170731707317</v>
      </c>
      <c r="BP135" t="n">
        <v>0.760975609756097</v>
      </c>
      <c r="BQ135" t="n">
        <v>0.748780487804878</v>
      </c>
      <c r="BR135" t="n">
        <v>0.736585365853658</v>
      </c>
      <c r="BS135" t="n">
        <v>0.724390243902439</v>
      </c>
      <c r="BT135" t="n">
        <v>0.71219512195122</v>
      </c>
      <c r="BU135" t="n">
        <v>0.699999999999999</v>
      </c>
      <c r="BV135" t="n">
        <v>0.687499999999999</v>
      </c>
      <c r="BW135" t="n">
        <v>0.675</v>
      </c>
      <c r="BX135" t="n">
        <v>0.6625</v>
      </c>
      <c r="BY135" t="n">
        <v>0.649999999999999</v>
      </c>
      <c r="BZ135" t="n">
        <v>0.637499999999999</v>
      </c>
      <c r="CA135" t="n">
        <v>0.625</v>
      </c>
      <c r="CB135" t="n">
        <v>0.6125</v>
      </c>
      <c r="CC135" t="n">
        <v>0.6</v>
      </c>
      <c r="CD135" t="e">
        <v>#VALUE!</v>
      </c>
      <c r="CE135" t="e">
        <v>#VALUE!</v>
      </c>
      <c r="CF135" t="e">
        <v>#VALUE!</v>
      </c>
      <c r="CG135" t="e">
        <v>#VALUE!</v>
      </c>
      <c r="CH135" t="e">
        <v>#VALUE!</v>
      </c>
      <c r="CI135" t="e">
        <v>#VALUE!</v>
      </c>
      <c r="CJ135" t="e">
        <v>#VALUE!</v>
      </c>
      <c r="CK135" t="e">
        <v>#VALUE!</v>
      </c>
    </row>
    <row r="136" ht="12.5" customHeight="1" s="213">
      <c r="A136" t="inlineStr">
        <is>
          <t>Germany</t>
        </is>
      </c>
      <c r="B136" t="inlineStr">
        <is>
          <t>TAI</t>
        </is>
      </c>
      <c r="C136" t="inlineStr">
        <is>
          <t>TAI</t>
        </is>
      </c>
      <c r="E136" t="n">
        <v>411.735252066231</v>
      </c>
      <c r="F136">
        <f>E136</f>
        <v/>
      </c>
      <c r="I136">
        <f>F136</f>
        <v/>
      </c>
      <c r="J136">
        <f>I136</f>
        <v/>
      </c>
      <c r="L136">
        <f>J136</f>
        <v/>
      </c>
      <c r="V136">
        <f>L136</f>
        <v/>
      </c>
      <c r="W136" t="n">
        <v>3</v>
      </c>
      <c r="AG136" s="223" t="inlineStr">
        <is>
          <t>GDP</t>
        </is>
      </c>
      <c r="AI136" t="n">
        <v>1</v>
      </c>
      <c r="AJ136" t="n">
        <v>1.0056875027351</v>
      </c>
      <c r="AK136" t="n">
        <v>1.07548227075571</v>
      </c>
      <c r="AL136" t="n">
        <v>1.13218376061282</v>
      </c>
      <c r="AM136" t="n">
        <v>1.19257480849257</v>
      </c>
      <c r="AN136" t="n">
        <v>1.26334038046461</v>
      </c>
      <c r="AO136" t="n">
        <v>1.33842175445903</v>
      </c>
      <c r="AP136" t="n">
        <v>1.41064604739435</v>
      </c>
      <c r="AQ136" t="n">
        <v>1.47946498139125</v>
      </c>
      <c r="AR136" t="n">
        <v>1.54708424314766</v>
      </c>
      <c r="AS136" t="n">
        <v>1.61544795560257</v>
      </c>
      <c r="AT136" t="n">
        <v>1.68343692767209</v>
      </c>
      <c r="AU136" t="n">
        <v>1.74911458152565</v>
      </c>
      <c r="AV136" t="n">
        <v>1.80784570555063</v>
      </c>
      <c r="AW136" t="n">
        <v>1.85660974133859</v>
      </c>
      <c r="AX136" t="n">
        <v>1.89568334286532</v>
      </c>
      <c r="AY136" t="n">
        <v>1.92675158434702</v>
      </c>
      <c r="AZ136" t="n">
        <v>1.95063688260264</v>
      </c>
      <c r="BA136" t="n">
        <v>0</v>
      </c>
      <c r="BB136" t="n">
        <v>0</v>
      </c>
      <c r="BC136" t="n">
        <v>0</v>
      </c>
      <c r="BD136" t="n">
        <v>0</v>
      </c>
      <c r="BE136" t="n">
        <v>0</v>
      </c>
      <c r="BF136" t="n">
        <v>0</v>
      </c>
      <c r="BG136" t="n">
        <v>0</v>
      </c>
      <c r="BH136" t="n">
        <v>0</v>
      </c>
      <c r="BJ136" t="inlineStr">
        <is>
          <t>Med2</t>
        </is>
      </c>
      <c r="BL136" t="n">
        <v>0.8</v>
      </c>
      <c r="BM136" t="n">
        <v>0.797560975609756</v>
      </c>
      <c r="BN136" t="n">
        <v>0.785365853658536</v>
      </c>
      <c r="BO136" t="n">
        <v>0.773170731707317</v>
      </c>
      <c r="BP136" t="n">
        <v>0.760975609756097</v>
      </c>
      <c r="BQ136" t="n">
        <v>0.748780487804878</v>
      </c>
      <c r="BR136" t="n">
        <v>0.736585365853658</v>
      </c>
      <c r="BS136" t="n">
        <v>0.724390243902439</v>
      </c>
      <c r="BT136" t="n">
        <v>0.71219512195122</v>
      </c>
      <c r="BU136" t="n">
        <v>0.699999999999999</v>
      </c>
      <c r="BV136" t="n">
        <v>0.687499999999999</v>
      </c>
      <c r="BW136" t="n">
        <v>0.675</v>
      </c>
      <c r="BX136" t="n">
        <v>0.6625</v>
      </c>
      <c r="BY136" t="n">
        <v>0.649999999999999</v>
      </c>
      <c r="BZ136" t="n">
        <v>0.637499999999999</v>
      </c>
      <c r="CA136" t="n">
        <v>0.625</v>
      </c>
      <c r="CB136" t="n">
        <v>0.6125</v>
      </c>
      <c r="CC136" t="n">
        <v>0.6</v>
      </c>
      <c r="CD136" t="e">
        <v>#VALUE!</v>
      </c>
      <c r="CE136" t="e">
        <v>#VALUE!</v>
      </c>
      <c r="CF136" t="e">
        <v>#VALUE!</v>
      </c>
      <c r="CG136" t="e">
        <v>#VALUE!</v>
      </c>
      <c r="CH136" t="e">
        <v>#VALUE!</v>
      </c>
      <c r="CI136" t="e">
        <v>#VALUE!</v>
      </c>
      <c r="CJ136" t="e">
        <v>#VALUE!</v>
      </c>
      <c r="CK136" t="e">
        <v>#VALUE!</v>
      </c>
    </row>
    <row r="137" ht="12.5" customHeight="1" s="213">
      <c r="A137" t="inlineStr">
        <is>
          <t>Germany</t>
        </is>
      </c>
      <c r="B137" t="inlineStr">
        <is>
          <t>TTF</t>
        </is>
      </c>
      <c r="C137" t="inlineStr">
        <is>
          <t>TTF</t>
        </is>
      </c>
      <c r="E137" t="n">
        <v>10.2422820870275</v>
      </c>
      <c r="I137" t="n">
        <v>11.6970659852254</v>
      </c>
      <c r="J137" t="n">
        <v>12.2167840930765</v>
      </c>
      <c r="L137" t="n">
        <v>13.2500408782904</v>
      </c>
      <c r="V137" t="n">
        <v>16.4810771612383</v>
      </c>
      <c r="W137" t="n">
        <v>3</v>
      </c>
      <c r="AG137" s="223" t="inlineStr">
        <is>
          <t>GDP</t>
        </is>
      </c>
      <c r="AI137" t="n">
        <v>1</v>
      </c>
      <c r="AJ137" t="n">
        <v>1.0056875027351</v>
      </c>
      <c r="AK137" t="n">
        <v>1.07548227075571</v>
      </c>
      <c r="AL137" t="n">
        <v>1.13218376061282</v>
      </c>
      <c r="AM137" t="n">
        <v>1.19257480849257</v>
      </c>
      <c r="AN137" t="n">
        <v>1.26334038046461</v>
      </c>
      <c r="AO137" t="n">
        <v>1.33842175445903</v>
      </c>
      <c r="AP137" t="n">
        <v>1.41064604739435</v>
      </c>
      <c r="AQ137" t="n">
        <v>1.47946498139125</v>
      </c>
      <c r="AR137" t="n">
        <v>1.54708424314766</v>
      </c>
      <c r="AS137" t="n">
        <v>1.61544795560257</v>
      </c>
      <c r="AT137" t="n">
        <v>1.68343692767209</v>
      </c>
      <c r="AU137" t="n">
        <v>1.74911458152565</v>
      </c>
      <c r="AV137" t="n">
        <v>1.80784570555063</v>
      </c>
      <c r="AW137" t="n">
        <v>1.85660974133859</v>
      </c>
      <c r="AX137" t="n">
        <v>1.89568334286532</v>
      </c>
      <c r="AY137" t="n">
        <v>1.92675158434702</v>
      </c>
      <c r="AZ137" t="n">
        <v>1.95063688260264</v>
      </c>
      <c r="BA137" t="n">
        <v>0</v>
      </c>
      <c r="BB137" t="n">
        <v>0</v>
      </c>
      <c r="BC137" t="n">
        <v>0</v>
      </c>
      <c r="BD137" t="n">
        <v>0</v>
      </c>
      <c r="BE137" t="n">
        <v>0</v>
      </c>
      <c r="BF137" t="n">
        <v>0</v>
      </c>
      <c r="BG137" t="n">
        <v>0</v>
      </c>
      <c r="BH137" t="n">
        <v>0</v>
      </c>
      <c r="BJ137" t="inlineStr">
        <is>
          <t>Med2</t>
        </is>
      </c>
      <c r="BL137" t="n">
        <v>0.8</v>
      </c>
      <c r="BM137" t="n">
        <v>0.797560975609756</v>
      </c>
      <c r="BN137" t="n">
        <v>0.785365853658536</v>
      </c>
      <c r="BO137" t="n">
        <v>0.773170731707317</v>
      </c>
      <c r="BP137" t="n">
        <v>0.760975609756097</v>
      </c>
      <c r="BQ137" t="n">
        <v>0.748780487804878</v>
      </c>
      <c r="BR137" t="n">
        <v>0.736585365853658</v>
      </c>
      <c r="BS137" t="n">
        <v>0.724390243902439</v>
      </c>
      <c r="BT137" t="n">
        <v>0.71219512195122</v>
      </c>
      <c r="BU137" t="n">
        <v>0.699999999999999</v>
      </c>
      <c r="BV137" t="n">
        <v>0.687499999999999</v>
      </c>
      <c r="BW137" t="n">
        <v>0.675</v>
      </c>
      <c r="BX137" t="n">
        <v>0.6625</v>
      </c>
      <c r="BY137" t="n">
        <v>0.649999999999999</v>
      </c>
      <c r="BZ137" t="n">
        <v>0.637499999999999</v>
      </c>
      <c r="CA137" t="n">
        <v>0.625</v>
      </c>
      <c r="CB137" t="n">
        <v>0.6125</v>
      </c>
      <c r="CC137" t="n">
        <v>0.6</v>
      </c>
      <c r="CD137" t="e">
        <v>#VALUE!</v>
      </c>
      <c r="CE137" t="e">
        <v>#VALUE!</v>
      </c>
      <c r="CF137" t="e">
        <v>#VALUE!</v>
      </c>
      <c r="CG137" t="e">
        <v>#VALUE!</v>
      </c>
      <c r="CH137" t="e">
        <v>#VALUE!</v>
      </c>
      <c r="CI137" t="e">
        <v>#VALUE!</v>
      </c>
      <c r="CJ137" t="e">
        <v>#VALUE!</v>
      </c>
      <c r="CK137" t="e">
        <v>#VALUE!</v>
      </c>
    </row>
    <row r="138" ht="12.5" customHeight="1" s="213">
      <c r="A138" t="inlineStr">
        <is>
          <t>Germany</t>
        </is>
      </c>
      <c r="B138" t="inlineStr">
        <is>
          <t>TTP</t>
        </is>
      </c>
      <c r="C138" t="inlineStr">
        <is>
          <t>TTP</t>
        </is>
      </c>
      <c r="E138" t="n">
        <v>41.728037261455</v>
      </c>
      <c r="I138" t="n">
        <v>41.4076364519895</v>
      </c>
      <c r="J138" t="n">
        <v>41.206691240923</v>
      </c>
      <c r="L138" t="n">
        <v>40.8643391636625</v>
      </c>
      <c r="V138" t="n">
        <v>38.3848419306435</v>
      </c>
      <c r="W138" t="n">
        <v>3</v>
      </c>
      <c r="AG138" s="223" t="inlineStr">
        <is>
          <t>POP</t>
        </is>
      </c>
      <c r="AI138" t="n">
        <v>1</v>
      </c>
      <c r="AJ138" t="n">
        <v>1.00080411535718</v>
      </c>
      <c r="AK138" t="n">
        <v>1.0048246921431</v>
      </c>
      <c r="AL138" t="n">
        <v>0.9978035774653889</v>
      </c>
      <c r="AM138" t="n">
        <v>0.990688677574286</v>
      </c>
      <c r="AN138" t="n">
        <v>0.984268014221844</v>
      </c>
      <c r="AO138" t="n">
        <v>0.978671297778821</v>
      </c>
      <c r="AP138" t="n">
        <v>0.973081900981446</v>
      </c>
      <c r="AQ138" t="n">
        <v>0.9668067291076911</v>
      </c>
      <c r="AR138" t="n">
        <v>0.960095827983472</v>
      </c>
      <c r="AS138" t="n">
        <v>0.952932599200519</v>
      </c>
      <c r="AT138" t="n">
        <v>0.946375699093767</v>
      </c>
      <c r="AU138" t="n">
        <v>0.939771804217772</v>
      </c>
      <c r="AV138" t="n">
        <v>0.931597839341566</v>
      </c>
      <c r="AW138" t="n">
        <v>0.921192680609161</v>
      </c>
      <c r="AX138" t="n">
        <v>0.909209411083547</v>
      </c>
      <c r="AY138" t="n">
        <v>0.896439526043208</v>
      </c>
      <c r="AZ138" t="n">
        <v>0.882948649897371</v>
      </c>
      <c r="BA138" t="n">
        <v>0</v>
      </c>
      <c r="BB138" t="n">
        <v>0</v>
      </c>
      <c r="BC138" t="n">
        <v>0</v>
      </c>
      <c r="BD138" t="n">
        <v>0</v>
      </c>
      <c r="BE138" t="n">
        <v>0</v>
      </c>
      <c r="BF138" t="n">
        <v>0</v>
      </c>
      <c r="BG138" t="n">
        <v>0</v>
      </c>
      <c r="BH138" t="n">
        <v>0</v>
      </c>
      <c r="BJ138" t="inlineStr">
        <is>
          <t>Med2</t>
        </is>
      </c>
      <c r="BL138" t="n">
        <v>0.8</v>
      </c>
      <c r="BM138" t="n">
        <v>0.797560975609756</v>
      </c>
      <c r="BN138" t="n">
        <v>0.785365853658536</v>
      </c>
      <c r="BO138" t="n">
        <v>0.773170731707317</v>
      </c>
      <c r="BP138" t="n">
        <v>0.760975609756097</v>
      </c>
      <c r="BQ138" t="n">
        <v>0.748780487804878</v>
      </c>
      <c r="BR138" t="n">
        <v>0.736585365853658</v>
      </c>
      <c r="BS138" t="n">
        <v>0.724390243902439</v>
      </c>
      <c r="BT138" t="n">
        <v>0.71219512195122</v>
      </c>
      <c r="BU138" t="n">
        <v>0.699999999999999</v>
      </c>
      <c r="BV138" t="n">
        <v>0.687499999999999</v>
      </c>
      <c r="BW138" t="n">
        <v>0.675</v>
      </c>
      <c r="BX138" t="n">
        <v>0.6625</v>
      </c>
      <c r="BY138" t="n">
        <v>0.649999999999999</v>
      </c>
      <c r="BZ138" t="n">
        <v>0.637499999999999</v>
      </c>
      <c r="CA138" t="n">
        <v>0.625</v>
      </c>
      <c r="CB138" t="n">
        <v>0.6125</v>
      </c>
      <c r="CC138" t="n">
        <v>0.6</v>
      </c>
      <c r="CD138" t="e">
        <v>#VALUE!</v>
      </c>
      <c r="CE138" t="e">
        <v>#VALUE!</v>
      </c>
      <c r="CF138" t="e">
        <v>#VALUE!</v>
      </c>
      <c r="CG138" t="e">
        <v>#VALUE!</v>
      </c>
      <c r="CH138" t="e">
        <v>#VALUE!</v>
      </c>
      <c r="CI138" t="e">
        <v>#VALUE!</v>
      </c>
      <c r="CJ138" t="e">
        <v>#VALUE!</v>
      </c>
      <c r="CK138" t="e">
        <v>#VALUE!</v>
      </c>
    </row>
    <row r="139" ht="12.5" customHeight="1" s="213">
      <c r="A139" t="inlineStr">
        <is>
          <t>Germany</t>
        </is>
      </c>
      <c r="B139" t="inlineStr">
        <is>
          <t>TWD</t>
        </is>
      </c>
      <c r="C139" t="inlineStr">
        <is>
          <t>TWD</t>
        </is>
      </c>
      <c r="E139" t="n">
        <v>11.29741306648</v>
      </c>
      <c r="F139">
        <f>E139</f>
        <v/>
      </c>
      <c r="I139">
        <f>F139</f>
        <v/>
      </c>
      <c r="J139">
        <f>I139</f>
        <v/>
      </c>
      <c r="L139">
        <f>J139</f>
        <v/>
      </c>
      <c r="V139">
        <f>L139</f>
        <v/>
      </c>
      <c r="W139" t="n">
        <v>3</v>
      </c>
      <c r="AG139" s="223" t="inlineStr">
        <is>
          <t>GDP</t>
        </is>
      </c>
      <c r="AI139" t="n">
        <v>1</v>
      </c>
      <c r="AJ139" t="n">
        <v>1.0056875027351</v>
      </c>
      <c r="AK139" t="n">
        <v>1.07548227075571</v>
      </c>
      <c r="AL139" t="n">
        <v>1.13218376061282</v>
      </c>
      <c r="AM139" t="n">
        <v>1.19257480849257</v>
      </c>
      <c r="AN139" t="n">
        <v>1.26334038046461</v>
      </c>
      <c r="AO139" t="n">
        <v>1.33842175445903</v>
      </c>
      <c r="AP139" t="n">
        <v>1.41064604739435</v>
      </c>
      <c r="AQ139" t="n">
        <v>1.47946498139125</v>
      </c>
      <c r="AR139" t="n">
        <v>1.54708424314766</v>
      </c>
      <c r="AS139" t="n">
        <v>1.61544795560257</v>
      </c>
      <c r="AT139" t="n">
        <v>1.68343692767209</v>
      </c>
      <c r="AU139" t="n">
        <v>1.74911458152565</v>
      </c>
      <c r="AV139" t="n">
        <v>1.80784570555063</v>
      </c>
      <c r="AW139" t="n">
        <v>1.85660974133859</v>
      </c>
      <c r="AX139" t="n">
        <v>1.89568334286532</v>
      </c>
      <c r="AY139" t="n">
        <v>1.92675158434702</v>
      </c>
      <c r="AZ139" t="n">
        <v>1.95063688260264</v>
      </c>
      <c r="BA139" t="n">
        <v>0</v>
      </c>
      <c r="BB139" t="n">
        <v>0</v>
      </c>
      <c r="BC139" t="n">
        <v>0</v>
      </c>
      <c r="BD139" t="n">
        <v>0</v>
      </c>
      <c r="BE139" t="n">
        <v>0</v>
      </c>
      <c r="BF139" t="n">
        <v>0</v>
      </c>
      <c r="BG139" t="n">
        <v>0</v>
      </c>
      <c r="BH139" t="n">
        <v>0</v>
      </c>
      <c r="BJ139" t="inlineStr">
        <is>
          <t>Med2</t>
        </is>
      </c>
      <c r="BL139" t="n">
        <v>0.8</v>
      </c>
      <c r="BM139" t="n">
        <v>0.797560975609756</v>
      </c>
      <c r="BN139" t="n">
        <v>0.785365853658536</v>
      </c>
      <c r="BO139" t="n">
        <v>0.773170731707317</v>
      </c>
      <c r="BP139" t="n">
        <v>0.760975609756097</v>
      </c>
      <c r="BQ139" t="n">
        <v>0.748780487804878</v>
      </c>
      <c r="BR139" t="n">
        <v>0.736585365853658</v>
      </c>
      <c r="BS139" t="n">
        <v>0.724390243902439</v>
      </c>
      <c r="BT139" t="n">
        <v>0.71219512195122</v>
      </c>
      <c r="BU139" t="n">
        <v>0.699999999999999</v>
      </c>
      <c r="BV139" t="n">
        <v>0.687499999999999</v>
      </c>
      <c r="BW139" t="n">
        <v>0.675</v>
      </c>
      <c r="BX139" t="n">
        <v>0.6625</v>
      </c>
      <c r="BY139" t="n">
        <v>0.649999999999999</v>
      </c>
      <c r="BZ139" t="n">
        <v>0.637499999999999</v>
      </c>
      <c r="CA139" t="n">
        <v>0.625</v>
      </c>
      <c r="CB139" t="n">
        <v>0.6125</v>
      </c>
      <c r="CC139" t="n">
        <v>0.6</v>
      </c>
      <c r="CD139" t="e">
        <v>#VALUE!</v>
      </c>
      <c r="CE139" t="e">
        <v>#VALUE!</v>
      </c>
      <c r="CF139" t="e">
        <v>#VALUE!</v>
      </c>
      <c r="CG139" t="e">
        <v>#VALUE!</v>
      </c>
      <c r="CH139" t="e">
        <v>#VALUE!</v>
      </c>
      <c r="CI139" t="e">
        <v>#VALUE!</v>
      </c>
      <c r="CJ139" t="e">
        <v>#VALUE!</v>
      </c>
      <c r="CK139" t="e">
        <v>#VALUE!</v>
      </c>
    </row>
    <row r="140" ht="12.5" customHeight="1" s="213">
      <c r="A140" t="inlineStr">
        <is>
          <t>Germany</t>
        </is>
      </c>
      <c r="B140" t="inlineStr">
        <is>
          <t>TWI</t>
        </is>
      </c>
      <c r="C140" t="inlineStr">
        <is>
          <t>TWI</t>
        </is>
      </c>
      <c r="E140" t="n">
        <v>57.0532322107784</v>
      </c>
      <c r="F140">
        <f>E140</f>
        <v/>
      </c>
      <c r="I140">
        <f>F140</f>
        <v/>
      </c>
      <c r="J140">
        <f>I140</f>
        <v/>
      </c>
      <c r="L140">
        <f>J140</f>
        <v/>
      </c>
      <c r="V140">
        <f>L140</f>
        <v/>
      </c>
      <c r="W140" t="n">
        <v>3</v>
      </c>
      <c r="AG140" s="223" t="inlineStr">
        <is>
          <t>GDP</t>
        </is>
      </c>
      <c r="AI140" t="n">
        <v>1</v>
      </c>
      <c r="AJ140" t="n">
        <v>1.0056875027351</v>
      </c>
      <c r="AK140" t="n">
        <v>1.07548227075571</v>
      </c>
      <c r="AL140" t="n">
        <v>1.13218376061282</v>
      </c>
      <c r="AM140" t="n">
        <v>1.19257480849257</v>
      </c>
      <c r="AN140" t="n">
        <v>1.26334038046461</v>
      </c>
      <c r="AO140" t="n">
        <v>1.33842175445903</v>
      </c>
      <c r="AP140" t="n">
        <v>1.41064604739435</v>
      </c>
      <c r="AQ140" t="n">
        <v>1.47946498139125</v>
      </c>
      <c r="AR140" t="n">
        <v>1.54708424314766</v>
      </c>
      <c r="AS140" t="n">
        <v>1.61544795560257</v>
      </c>
      <c r="AT140" t="n">
        <v>1.68343692767209</v>
      </c>
      <c r="AU140" t="n">
        <v>1.74911458152565</v>
      </c>
      <c r="AV140" t="n">
        <v>1.80784570555063</v>
      </c>
      <c r="AW140" t="n">
        <v>1.85660974133859</v>
      </c>
      <c r="AX140" t="n">
        <v>1.89568334286532</v>
      </c>
      <c r="AY140" t="n">
        <v>1.92675158434702</v>
      </c>
      <c r="AZ140" t="n">
        <v>1.95063688260264</v>
      </c>
      <c r="BA140" t="n">
        <v>0</v>
      </c>
      <c r="BB140" t="n">
        <v>0</v>
      </c>
      <c r="BC140" t="n">
        <v>0</v>
      </c>
      <c r="BD140" t="n">
        <v>0</v>
      </c>
      <c r="BE140" t="n">
        <v>0</v>
      </c>
      <c r="BF140" t="n">
        <v>0</v>
      </c>
      <c r="BG140" t="n">
        <v>0</v>
      </c>
      <c r="BH140" t="n">
        <v>0</v>
      </c>
      <c r="BJ140" t="inlineStr">
        <is>
          <t>Med2</t>
        </is>
      </c>
      <c r="BL140" t="n">
        <v>0.8</v>
      </c>
      <c r="BM140" t="n">
        <v>0.797560975609756</v>
      </c>
      <c r="BN140" t="n">
        <v>0.785365853658536</v>
      </c>
      <c r="BO140" t="n">
        <v>0.773170731707317</v>
      </c>
      <c r="BP140" t="n">
        <v>0.760975609756097</v>
      </c>
      <c r="BQ140" t="n">
        <v>0.748780487804878</v>
      </c>
      <c r="BR140" t="n">
        <v>0.736585365853658</v>
      </c>
      <c r="BS140" t="n">
        <v>0.724390243902439</v>
      </c>
      <c r="BT140" t="n">
        <v>0.71219512195122</v>
      </c>
      <c r="BU140" t="n">
        <v>0.699999999999999</v>
      </c>
      <c r="BV140" t="n">
        <v>0.687499999999999</v>
      </c>
      <c r="BW140" t="n">
        <v>0.675</v>
      </c>
      <c r="BX140" t="n">
        <v>0.6625</v>
      </c>
      <c r="BY140" t="n">
        <v>0.649999999999999</v>
      </c>
      <c r="BZ140" t="n">
        <v>0.637499999999999</v>
      </c>
      <c r="CA140" t="n">
        <v>0.625</v>
      </c>
      <c r="CB140" t="n">
        <v>0.6125</v>
      </c>
      <c r="CC140" t="n">
        <v>0.6</v>
      </c>
      <c r="CD140" t="e">
        <v>#VALUE!</v>
      </c>
      <c r="CE140" t="e">
        <v>#VALUE!</v>
      </c>
      <c r="CF140" t="e">
        <v>#VALUE!</v>
      </c>
      <c r="CG140" t="e">
        <v>#VALUE!</v>
      </c>
      <c r="CH140" t="e">
        <v>#VALUE!</v>
      </c>
      <c r="CI140" t="e">
        <v>#VALUE!</v>
      </c>
      <c r="CJ140" t="e">
        <v>#VALUE!</v>
      </c>
      <c r="CK140" t="e">
        <v>#VALUE!</v>
      </c>
    </row>
    <row r="141" ht="12.5" customHeight="1" s="213">
      <c r="A141" t="inlineStr">
        <is>
          <t>Germany</t>
        </is>
      </c>
      <c r="B141" t="inlineStr">
        <is>
          <t>Trd_2w</t>
        </is>
      </c>
      <c r="C141" t="inlineStr">
        <is>
          <t>Trd_2w</t>
        </is>
      </c>
      <c r="D141" t="n">
        <v>3.472</v>
      </c>
      <c r="E141" t="n">
        <v>3.47422670133191</v>
      </c>
      <c r="G141" t="n">
        <v>3.48518818767205</v>
      </c>
      <c r="H141" t="n">
        <v>3.46635961466062</v>
      </c>
      <c r="I141" t="n">
        <v>3.44755051140237</v>
      </c>
      <c r="J141" t="n">
        <v>3.43082005237268</v>
      </c>
      <c r="K141" t="n">
        <v>3.41645057549349</v>
      </c>
      <c r="L141" t="n">
        <v>3.40231622602153</v>
      </c>
      <c r="M141" t="n">
        <v>3.3866901511232</v>
      </c>
      <c r="N141" t="n">
        <v>3.37023451480955</v>
      </c>
      <c r="O141" t="n">
        <v>3.35294721897671</v>
      </c>
      <c r="P141" t="n">
        <v>3.33737441299061</v>
      </c>
      <c r="Q141" t="n">
        <v>3.32194578221882</v>
      </c>
      <c r="R141" t="n">
        <v>3.30316488858621</v>
      </c>
      <c r="S141" t="n">
        <v>3.27964524805285</v>
      </c>
      <c r="T141" t="n">
        <v>3.2529808529546</v>
      </c>
      <c r="U141" t="n">
        <v>3.22499679669389</v>
      </c>
      <c r="V141" t="n">
        <v>3.19587623846932</v>
      </c>
      <c r="W141" t="n">
        <v>3</v>
      </c>
      <c r="AG141" s="223" t="inlineStr">
        <is>
          <t>POP</t>
        </is>
      </c>
      <c r="AI141" t="n">
        <v>1</v>
      </c>
      <c r="AJ141" t="n">
        <v>1.00080411535718</v>
      </c>
      <c r="AK141" t="n">
        <v>1.0048246921431</v>
      </c>
      <c r="AL141" t="n">
        <v>0.9978035774653889</v>
      </c>
      <c r="AM141" t="n">
        <v>0.990688677574286</v>
      </c>
      <c r="AN141" t="n">
        <v>0.984268014221844</v>
      </c>
      <c r="AO141" t="n">
        <v>0.978671297778821</v>
      </c>
      <c r="AP141" t="n">
        <v>0.973081900981446</v>
      </c>
      <c r="AQ141" t="n">
        <v>0.9668067291076911</v>
      </c>
      <c r="AR141" t="n">
        <v>0.960095827983472</v>
      </c>
      <c r="AS141" t="n">
        <v>0.952932599200519</v>
      </c>
      <c r="AT141" t="n">
        <v>0.946375699093767</v>
      </c>
      <c r="AU141" t="n">
        <v>0.939771804217772</v>
      </c>
      <c r="AV141" t="n">
        <v>0.931597839341566</v>
      </c>
      <c r="AW141" t="n">
        <v>0.921192680609161</v>
      </c>
      <c r="AX141" t="n">
        <v>0.909209411083547</v>
      </c>
      <c r="AY141" t="n">
        <v>0.896439526043208</v>
      </c>
      <c r="AZ141" t="n">
        <v>0.882948649897371</v>
      </c>
      <c r="BA141" t="n">
        <v>0</v>
      </c>
      <c r="BB141" t="n">
        <v>0</v>
      </c>
      <c r="BC141" t="n">
        <v>0</v>
      </c>
      <c r="BD141" t="n">
        <v>0</v>
      </c>
      <c r="BE141" t="n">
        <v>0</v>
      </c>
      <c r="BF141" t="n">
        <v>0</v>
      </c>
      <c r="BG141" t="n">
        <v>0</v>
      </c>
      <c r="BH141" t="n">
        <v>0</v>
      </c>
      <c r="BJ141" t="inlineStr">
        <is>
          <t>Med2</t>
        </is>
      </c>
      <c r="BL141" t="n">
        <v>0.8</v>
      </c>
      <c r="BM141" t="n">
        <v>0.797560975609756</v>
      </c>
      <c r="BN141" t="n">
        <v>0.785365853658536</v>
      </c>
      <c r="BO141" t="n">
        <v>0.773170731707317</v>
      </c>
      <c r="BP141" t="n">
        <v>0.760975609756097</v>
      </c>
      <c r="BQ141" t="n">
        <v>0.748780487804878</v>
      </c>
      <c r="BR141" t="n">
        <v>0.736585365853658</v>
      </c>
      <c r="BS141" t="n">
        <v>0.724390243902439</v>
      </c>
      <c r="BT141" t="n">
        <v>0.71219512195122</v>
      </c>
      <c r="BU141" t="n">
        <v>0.699999999999999</v>
      </c>
      <c r="BV141" t="n">
        <v>0.687499999999999</v>
      </c>
      <c r="BW141" t="n">
        <v>0.675</v>
      </c>
      <c r="BX141" t="n">
        <v>0.6625</v>
      </c>
      <c r="BY141" t="n">
        <v>0.649999999999999</v>
      </c>
      <c r="BZ141" t="n">
        <v>0.637499999999999</v>
      </c>
      <c r="CA141" t="n">
        <v>0.625</v>
      </c>
      <c r="CB141" t="n">
        <v>0.6125</v>
      </c>
      <c r="CC141" t="n">
        <v>0.6</v>
      </c>
      <c r="CD141" t="e">
        <v>#VALUE!</v>
      </c>
      <c r="CE141" t="e">
        <v>#VALUE!</v>
      </c>
      <c r="CF141" t="e">
        <v>#VALUE!</v>
      </c>
      <c r="CG141" t="e">
        <v>#VALUE!</v>
      </c>
      <c r="CH141" t="e">
        <v>#VALUE!</v>
      </c>
      <c r="CI141" t="e">
        <v>#VALUE!</v>
      </c>
      <c r="CJ141" t="e">
        <v>#VALUE!</v>
      </c>
      <c r="CK141" t="e">
        <v>#VALUE!</v>
      </c>
    </row>
    <row r="142" ht="12.5" customHeight="1" s="213">
      <c r="A142" t="inlineStr">
        <is>
          <t>Germany</t>
        </is>
      </c>
      <c r="B142" t="inlineStr">
        <is>
          <t>Trd_3w</t>
        </is>
      </c>
      <c r="C142" t="inlineStr">
        <is>
          <t>Trd_3w</t>
        </is>
      </c>
      <c r="D142" t="n">
        <v>2.055</v>
      </c>
      <c r="E142" t="n">
        <v>2.05631793526413</v>
      </c>
      <c r="G142" t="n">
        <v>2.06280579656281</v>
      </c>
      <c r="H142" t="n">
        <v>2.05166158068191</v>
      </c>
      <c r="I142" t="n">
        <v>2.04052888851724</v>
      </c>
      <c r="J142" t="n">
        <v>2.03062649989224</v>
      </c>
      <c r="K142" t="n">
        <v>2.02212152437763</v>
      </c>
      <c r="L142" t="n">
        <v>2.01375571557438</v>
      </c>
      <c r="M142" t="n">
        <v>2.00450698748795</v>
      </c>
      <c r="N142" t="n">
        <v>1.99476726034955</v>
      </c>
      <c r="O142" t="n">
        <v>1.98453529233788</v>
      </c>
      <c r="P142" t="n">
        <v>1.97531809294231</v>
      </c>
      <c r="Q142" t="n">
        <v>1.96618622766696</v>
      </c>
      <c r="R142" t="n">
        <v>1.95507023215572</v>
      </c>
      <c r="S142" t="n">
        <v>1.94114947717414</v>
      </c>
      <c r="T142" t="n">
        <v>1.92536741152699</v>
      </c>
      <c r="U142" t="n">
        <v>1.90880426762844</v>
      </c>
      <c r="V142" t="n">
        <v>1.89156845335669</v>
      </c>
      <c r="W142" t="n">
        <v>3</v>
      </c>
      <c r="AG142" s="223" t="inlineStr">
        <is>
          <t>POP</t>
        </is>
      </c>
      <c r="AI142" t="n">
        <v>1</v>
      </c>
      <c r="AJ142" t="n">
        <v>1.00080411535718</v>
      </c>
      <c r="AK142" t="n">
        <v>1.0048246921431</v>
      </c>
      <c r="AL142" t="n">
        <v>0.9978035774653889</v>
      </c>
      <c r="AM142" t="n">
        <v>0.990688677574286</v>
      </c>
      <c r="AN142" t="n">
        <v>0.984268014221844</v>
      </c>
      <c r="AO142" t="n">
        <v>0.978671297778821</v>
      </c>
      <c r="AP142" t="n">
        <v>0.973081900981446</v>
      </c>
      <c r="AQ142" t="n">
        <v>0.9668067291076911</v>
      </c>
      <c r="AR142" t="n">
        <v>0.960095827983472</v>
      </c>
      <c r="AS142" t="n">
        <v>0.952932599200519</v>
      </c>
      <c r="AT142" t="n">
        <v>0.946375699093767</v>
      </c>
      <c r="AU142" t="n">
        <v>0.939771804217772</v>
      </c>
      <c r="AV142" t="n">
        <v>0.931597839341566</v>
      </c>
      <c r="AW142" t="n">
        <v>0.921192680609161</v>
      </c>
      <c r="AX142" t="n">
        <v>0.909209411083547</v>
      </c>
      <c r="AY142" t="n">
        <v>0.896439526043208</v>
      </c>
      <c r="AZ142" t="n">
        <v>0.882948649897371</v>
      </c>
      <c r="BA142" t="n">
        <v>0</v>
      </c>
      <c r="BB142" t="n">
        <v>0</v>
      </c>
      <c r="BC142" t="n">
        <v>0</v>
      </c>
      <c r="BD142" t="n">
        <v>0</v>
      </c>
      <c r="BE142" t="n">
        <v>0</v>
      </c>
      <c r="BF142" t="n">
        <v>0</v>
      </c>
      <c r="BG142" t="n">
        <v>0</v>
      </c>
      <c r="BH142" t="n">
        <v>0</v>
      </c>
      <c r="BJ142" t="inlineStr">
        <is>
          <t>Med2</t>
        </is>
      </c>
      <c r="BL142" t="n">
        <v>0.8</v>
      </c>
      <c r="BM142" t="n">
        <v>0.797560975609756</v>
      </c>
      <c r="BN142" t="n">
        <v>0.785365853658536</v>
      </c>
      <c r="BO142" t="n">
        <v>0.773170731707317</v>
      </c>
      <c r="BP142" t="n">
        <v>0.760975609756097</v>
      </c>
      <c r="BQ142" t="n">
        <v>0.748780487804878</v>
      </c>
      <c r="BR142" t="n">
        <v>0.736585365853658</v>
      </c>
      <c r="BS142" t="n">
        <v>0.724390243902439</v>
      </c>
      <c r="BT142" t="n">
        <v>0.71219512195122</v>
      </c>
      <c r="BU142" t="n">
        <v>0.699999999999999</v>
      </c>
      <c r="BV142" t="n">
        <v>0.687499999999999</v>
      </c>
      <c r="BW142" t="n">
        <v>0.675</v>
      </c>
      <c r="BX142" t="n">
        <v>0.6625</v>
      </c>
      <c r="BY142" t="n">
        <v>0.649999999999999</v>
      </c>
      <c r="BZ142" t="n">
        <v>0.637499999999999</v>
      </c>
      <c r="CA142" t="n">
        <v>0.625</v>
      </c>
      <c r="CB142" t="n">
        <v>0.6125</v>
      </c>
      <c r="CC142" t="n">
        <v>0.6</v>
      </c>
      <c r="CD142" t="e">
        <v>#VALUE!</v>
      </c>
      <c r="CE142" t="e">
        <v>#VALUE!</v>
      </c>
      <c r="CF142" t="e">
        <v>#VALUE!</v>
      </c>
      <c r="CG142" t="e">
        <v>#VALUE!</v>
      </c>
      <c r="CH142" t="e">
        <v>#VALUE!</v>
      </c>
      <c r="CI142" t="e">
        <v>#VALUE!</v>
      </c>
      <c r="CJ142" t="e">
        <v>#VALUE!</v>
      </c>
      <c r="CK142" t="e">
        <v>#VALUE!</v>
      </c>
    </row>
    <row r="143" ht="12.5" customHeight="1" s="213">
      <c r="A143" t="inlineStr">
        <is>
          <t>Germany</t>
        </is>
      </c>
      <c r="B143" t="inlineStr">
        <is>
          <t>Trd_bus</t>
        </is>
      </c>
      <c r="C143" t="inlineStr">
        <is>
          <t>Trd_bus</t>
        </is>
      </c>
      <c r="D143" t="n">
        <v>4.48</v>
      </c>
      <c r="E143" t="n">
        <v>4.48287316300891</v>
      </c>
      <c r="G143" t="n">
        <v>4.49701701635104</v>
      </c>
      <c r="H143" t="n">
        <v>4.47272208343306</v>
      </c>
      <c r="I143" t="n">
        <v>4.44845227277725</v>
      </c>
      <c r="J143" t="n">
        <v>4.42686458370669</v>
      </c>
      <c r="K143" t="n">
        <v>4.4083233232174</v>
      </c>
      <c r="L143" t="n">
        <v>4.39008545293101</v>
      </c>
      <c r="M143" t="n">
        <v>4.36992277564284</v>
      </c>
      <c r="N143" t="n">
        <v>4.34868969652845</v>
      </c>
      <c r="O143" t="n">
        <v>4.32638350835704</v>
      </c>
      <c r="P143" t="n">
        <v>4.30628956514917</v>
      </c>
      <c r="Q143" t="n">
        <v>4.2863816544759</v>
      </c>
      <c r="R143" t="n">
        <v>4.26214824333705</v>
      </c>
      <c r="S143" t="n">
        <v>4.2318003200682</v>
      </c>
      <c r="T143" t="n">
        <v>4.19739464897367</v>
      </c>
      <c r="U143" t="n">
        <v>4.16128618928244</v>
      </c>
      <c r="V143" t="n">
        <v>4.12371127544428</v>
      </c>
      <c r="W143" t="n">
        <v>3</v>
      </c>
      <c r="AG143" s="223" t="inlineStr">
        <is>
          <t>POP</t>
        </is>
      </c>
      <c r="AI143" t="n">
        <v>1</v>
      </c>
      <c r="AJ143" t="n">
        <v>1.00080411535718</v>
      </c>
      <c r="AK143" t="n">
        <v>1.0048246921431</v>
      </c>
      <c r="AL143" t="n">
        <v>0.9978035774653889</v>
      </c>
      <c r="AM143" t="n">
        <v>0.990688677574286</v>
      </c>
      <c r="AN143" t="n">
        <v>0.984268014221844</v>
      </c>
      <c r="AO143" t="n">
        <v>0.978671297778821</v>
      </c>
      <c r="AP143" t="n">
        <v>0.973081900981446</v>
      </c>
      <c r="AQ143" t="n">
        <v>0.9668067291076911</v>
      </c>
      <c r="AR143" t="n">
        <v>0.960095827983472</v>
      </c>
      <c r="AS143" t="n">
        <v>0.952932599200519</v>
      </c>
      <c r="AT143" t="n">
        <v>0.946375699093767</v>
      </c>
      <c r="AU143" t="n">
        <v>0.939771804217772</v>
      </c>
      <c r="AV143" t="n">
        <v>0.931597839341566</v>
      </c>
      <c r="AW143" t="n">
        <v>0.921192680609161</v>
      </c>
      <c r="AX143" t="n">
        <v>0.909209411083547</v>
      </c>
      <c r="AY143" t="n">
        <v>0.896439526043208</v>
      </c>
      <c r="AZ143" t="n">
        <v>0.882948649897371</v>
      </c>
      <c r="BA143" t="n">
        <v>0</v>
      </c>
      <c r="BB143" t="n">
        <v>0</v>
      </c>
      <c r="BC143" t="n">
        <v>0</v>
      </c>
      <c r="BD143" t="n">
        <v>0</v>
      </c>
      <c r="BE143" t="n">
        <v>0</v>
      </c>
      <c r="BF143" t="n">
        <v>0</v>
      </c>
      <c r="BG143" t="n">
        <v>0</v>
      </c>
      <c r="BH143" t="n">
        <v>0</v>
      </c>
      <c r="BJ143" t="inlineStr">
        <is>
          <t>Med2</t>
        </is>
      </c>
      <c r="BL143" t="n">
        <v>0.8</v>
      </c>
      <c r="BM143" t="n">
        <v>0.797560975609756</v>
      </c>
      <c r="BN143" t="n">
        <v>0.785365853658536</v>
      </c>
      <c r="BO143" t="n">
        <v>0.773170731707317</v>
      </c>
      <c r="BP143" t="n">
        <v>0.760975609756097</v>
      </c>
      <c r="BQ143" t="n">
        <v>0.748780487804878</v>
      </c>
      <c r="BR143" t="n">
        <v>0.736585365853658</v>
      </c>
      <c r="BS143" t="n">
        <v>0.724390243902439</v>
      </c>
      <c r="BT143" t="n">
        <v>0.71219512195122</v>
      </c>
      <c r="BU143" t="n">
        <v>0.699999999999999</v>
      </c>
      <c r="BV143" t="n">
        <v>0.687499999999999</v>
      </c>
      <c r="BW143" t="n">
        <v>0.675</v>
      </c>
      <c r="BX143" t="n">
        <v>0.6625</v>
      </c>
      <c r="BY143" t="n">
        <v>0.649999999999999</v>
      </c>
      <c r="BZ143" t="n">
        <v>0.637499999999999</v>
      </c>
      <c r="CA143" t="n">
        <v>0.625</v>
      </c>
      <c r="CB143" t="n">
        <v>0.6125</v>
      </c>
      <c r="CC143" t="n">
        <v>0.6</v>
      </c>
      <c r="CD143" t="e">
        <v>#VALUE!</v>
      </c>
      <c r="CE143" t="e">
        <v>#VALUE!</v>
      </c>
      <c r="CF143" t="e">
        <v>#VALUE!</v>
      </c>
      <c r="CG143" t="e">
        <v>#VALUE!</v>
      </c>
      <c r="CH143" t="e">
        <v>#VALUE!</v>
      </c>
      <c r="CI143" t="e">
        <v>#VALUE!</v>
      </c>
      <c r="CJ143" t="e">
        <v>#VALUE!</v>
      </c>
      <c r="CK143" t="e">
        <v>#VALUE!</v>
      </c>
    </row>
    <row r="144" ht="12.5" customHeight="1" s="213">
      <c r="A144" t="inlineStr">
        <is>
          <t>Germany</t>
        </is>
      </c>
      <c r="B144" t="inlineStr">
        <is>
          <t>Trd_car</t>
        </is>
      </c>
      <c r="C144" t="inlineStr">
        <is>
          <t>Trd_car</t>
        </is>
      </c>
      <c r="D144" t="n">
        <v>487.776</v>
      </c>
      <c r="E144" t="n">
        <v>489.674263152715</v>
      </c>
      <c r="G144" t="n">
        <v>514.718106909079</v>
      </c>
      <c r="H144" t="n">
        <v>538.647530384054</v>
      </c>
      <c r="I144" t="n">
        <v>563.612416648886</v>
      </c>
      <c r="J144" t="n">
        <v>591.570885759525</v>
      </c>
      <c r="K144" t="n">
        <v>620.107393628332</v>
      </c>
      <c r="L144" t="n">
        <v>647.066681255765</v>
      </c>
      <c r="M144" t="n">
        <v>672.685879321172</v>
      </c>
      <c r="N144" t="n">
        <v>697.6493571834239</v>
      </c>
      <c r="O144" t="n">
        <v>722.608524003204</v>
      </c>
      <c r="P144" t="n">
        <v>746.658440455295</v>
      </c>
      <c r="Q144" t="n">
        <v>769.568827829978</v>
      </c>
      <c r="R144" t="n">
        <v>790.901389022283</v>
      </c>
      <c r="S144" t="n">
        <v>810.350157575089</v>
      </c>
      <c r="T144" t="n">
        <v>827.824817245277</v>
      </c>
      <c r="U144" t="n">
        <v>843.475967361271</v>
      </c>
      <c r="V144" t="n">
        <v>857.578256729381</v>
      </c>
      <c r="W144" t="n">
        <v>3</v>
      </c>
      <c r="AG144" s="223" t="inlineStr">
        <is>
          <t>GDPPCAP</t>
        </is>
      </c>
      <c r="AI144" t="n">
        <v>1</v>
      </c>
      <c r="AJ144" t="n">
        <v>1.0048794637262</v>
      </c>
      <c r="AK144" t="n">
        <v>1.07031831439365</v>
      </c>
      <c r="AL144" t="n">
        <v>1.1346759885235</v>
      </c>
      <c r="AM144" t="n">
        <v>1.20378362596473</v>
      </c>
      <c r="AN144" t="n">
        <v>1.28353290182187</v>
      </c>
      <c r="AO144" t="n">
        <v>1.36759068902572</v>
      </c>
      <c r="AP144" t="n">
        <v>1.44966836395947</v>
      </c>
      <c r="AQ144" t="n">
        <v>1.53025929262689</v>
      </c>
      <c r="AR144" t="n">
        <v>1.61138523682273</v>
      </c>
      <c r="AS144" t="n">
        <v>1.69523842185469</v>
      </c>
      <c r="AT144" t="n">
        <v>1.7788251846324</v>
      </c>
      <c r="AU144" t="n">
        <v>1.86121202368009</v>
      </c>
      <c r="AV144" t="n">
        <v>1.9405859794913</v>
      </c>
      <c r="AW144" t="n">
        <v>2.01544126480778</v>
      </c>
      <c r="AX144" t="n">
        <v>2.08497989545241</v>
      </c>
      <c r="AY144" t="n">
        <v>2.14933805167148</v>
      </c>
      <c r="AZ144" t="n">
        <v>2.20923026818079</v>
      </c>
      <c r="BA144" t="n">
        <v>0</v>
      </c>
      <c r="BB144" t="n">
        <v>0</v>
      </c>
      <c r="BC144" t="n">
        <v>0</v>
      </c>
      <c r="BD144" t="n">
        <v>0</v>
      </c>
      <c r="BE144" t="n">
        <v>0</v>
      </c>
      <c r="BF144" t="n">
        <v>0</v>
      </c>
      <c r="BG144" t="n">
        <v>0</v>
      </c>
      <c r="BH144" t="n">
        <v>0</v>
      </c>
      <c r="BJ144" t="inlineStr">
        <is>
          <t>Med2</t>
        </is>
      </c>
      <c r="BL144" t="n">
        <v>0.8</v>
      </c>
      <c r="BM144" t="n">
        <v>0.797560975609756</v>
      </c>
      <c r="BN144" t="n">
        <v>0.785365853658536</v>
      </c>
      <c r="BO144" t="n">
        <v>0.773170731707317</v>
      </c>
      <c r="BP144" t="n">
        <v>0.760975609756097</v>
      </c>
      <c r="BQ144" t="n">
        <v>0.748780487804878</v>
      </c>
      <c r="BR144" t="n">
        <v>0.736585365853658</v>
      </c>
      <c r="BS144" t="n">
        <v>0.724390243902439</v>
      </c>
      <c r="BT144" t="n">
        <v>0.71219512195122</v>
      </c>
      <c r="BU144" t="n">
        <v>0.699999999999999</v>
      </c>
      <c r="BV144" t="n">
        <v>0.687499999999999</v>
      </c>
      <c r="BW144" t="n">
        <v>0.675</v>
      </c>
      <c r="BX144" t="n">
        <v>0.6625</v>
      </c>
      <c r="BY144" t="n">
        <v>0.649999999999999</v>
      </c>
      <c r="BZ144" t="n">
        <v>0.637499999999999</v>
      </c>
      <c r="CA144" t="n">
        <v>0.625</v>
      </c>
      <c r="CB144" t="n">
        <v>0.6125</v>
      </c>
      <c r="CC144" t="n">
        <v>0.6</v>
      </c>
      <c r="CD144" t="e">
        <v>#VALUE!</v>
      </c>
      <c r="CE144" t="e">
        <v>#VALUE!</v>
      </c>
      <c r="CF144" t="e">
        <v>#VALUE!</v>
      </c>
      <c r="CG144" t="e">
        <v>#VALUE!</v>
      </c>
      <c r="CH144" t="e">
        <v>#VALUE!</v>
      </c>
      <c r="CI144" t="e">
        <v>#VALUE!</v>
      </c>
      <c r="CJ144" t="e">
        <v>#VALUE!</v>
      </c>
      <c r="CK144" t="e">
        <v>#VALUE!</v>
      </c>
    </row>
    <row r="145" ht="12.5" customHeight="1" s="213">
      <c r="A145" t="inlineStr">
        <is>
          <t>Germany</t>
        </is>
      </c>
      <c r="B145" t="inlineStr">
        <is>
          <t>Trd_hdt</t>
        </is>
      </c>
      <c r="C145" t="inlineStr">
        <is>
          <t>Trd_hdt</t>
        </is>
      </c>
      <c r="D145" t="n">
        <v>131</v>
      </c>
      <c r="E145" t="n">
        <v>131.594233060155</v>
      </c>
      <c r="G145" t="n">
        <v>138.766702178789</v>
      </c>
      <c r="H145" t="n">
        <v>144.423255530294</v>
      </c>
      <c r="I145" t="n">
        <v>150.285494414311</v>
      </c>
      <c r="J145" t="n">
        <v>156.96290333832</v>
      </c>
      <c r="K145" t="n">
        <v>163.834093110719</v>
      </c>
      <c r="L145" t="n">
        <v>170.23832702311</v>
      </c>
      <c r="M145" t="n">
        <v>176.153210892228</v>
      </c>
      <c r="N145" t="n">
        <v>181.788994880671</v>
      </c>
      <c r="O145" t="n">
        <v>187.311701421777</v>
      </c>
      <c r="P145" t="n">
        <v>192.632957822927</v>
      </c>
      <c r="Q145" t="n">
        <v>197.61190199501</v>
      </c>
      <c r="R145" t="n">
        <v>201.924872689356</v>
      </c>
      <c r="S145" t="n">
        <v>205.397101099748</v>
      </c>
      <c r="T145" t="n">
        <v>208.09880124182</v>
      </c>
      <c r="U145" t="n">
        <v>210.187744048612</v>
      </c>
      <c r="V145" t="n">
        <v>211.751120561826</v>
      </c>
      <c r="W145" t="n">
        <v>3</v>
      </c>
      <c r="AG145" s="223" t="inlineStr">
        <is>
          <t>GDP</t>
        </is>
      </c>
      <c r="AI145" t="n">
        <v>1</v>
      </c>
      <c r="AJ145" t="n">
        <v>1.0056875027351</v>
      </c>
      <c r="AK145" t="n">
        <v>1.07548227075571</v>
      </c>
      <c r="AL145" t="n">
        <v>1.13218376061282</v>
      </c>
      <c r="AM145" t="n">
        <v>1.19257480849257</v>
      </c>
      <c r="AN145" t="n">
        <v>1.26334038046461</v>
      </c>
      <c r="AO145" t="n">
        <v>1.33842175445903</v>
      </c>
      <c r="AP145" t="n">
        <v>1.41064604739435</v>
      </c>
      <c r="AQ145" t="n">
        <v>1.47946498139125</v>
      </c>
      <c r="AR145" t="n">
        <v>1.54708424314766</v>
      </c>
      <c r="AS145" t="n">
        <v>1.61544795560257</v>
      </c>
      <c r="AT145" t="n">
        <v>1.68343692767209</v>
      </c>
      <c r="AU145" t="n">
        <v>1.74911458152565</v>
      </c>
      <c r="AV145" t="n">
        <v>1.80784570555063</v>
      </c>
      <c r="AW145" t="n">
        <v>1.85660974133859</v>
      </c>
      <c r="AX145" t="n">
        <v>1.89568334286532</v>
      </c>
      <c r="AY145" t="n">
        <v>1.92675158434702</v>
      </c>
      <c r="AZ145" t="n">
        <v>1.95063688260264</v>
      </c>
      <c r="BA145" t="n">
        <v>0</v>
      </c>
      <c r="BB145" t="n">
        <v>0</v>
      </c>
      <c r="BC145" t="n">
        <v>0</v>
      </c>
      <c r="BD145" t="n">
        <v>0</v>
      </c>
      <c r="BE145" t="n">
        <v>0</v>
      </c>
      <c r="BF145" t="n">
        <v>0</v>
      </c>
      <c r="BG145" t="n">
        <v>0</v>
      </c>
      <c r="BH145" t="n">
        <v>0</v>
      </c>
      <c r="BJ145" t="inlineStr">
        <is>
          <t>Med2</t>
        </is>
      </c>
      <c r="BL145" t="n">
        <v>0.8</v>
      </c>
      <c r="BM145" t="n">
        <v>0.797560975609756</v>
      </c>
      <c r="BN145" t="n">
        <v>0.785365853658536</v>
      </c>
      <c r="BO145" t="n">
        <v>0.773170731707317</v>
      </c>
      <c r="BP145" t="n">
        <v>0.760975609756097</v>
      </c>
      <c r="BQ145" t="n">
        <v>0.748780487804878</v>
      </c>
      <c r="BR145" t="n">
        <v>0.736585365853658</v>
      </c>
      <c r="BS145" t="n">
        <v>0.724390243902439</v>
      </c>
      <c r="BT145" t="n">
        <v>0.71219512195122</v>
      </c>
      <c r="BU145" t="n">
        <v>0.699999999999999</v>
      </c>
      <c r="BV145" t="n">
        <v>0.687499999999999</v>
      </c>
      <c r="BW145" t="n">
        <v>0.675</v>
      </c>
      <c r="BX145" t="n">
        <v>0.6625</v>
      </c>
      <c r="BY145" t="n">
        <v>0.649999999999999</v>
      </c>
      <c r="BZ145" t="n">
        <v>0.637499999999999</v>
      </c>
      <c r="CA145" t="n">
        <v>0.625</v>
      </c>
      <c r="CB145" t="n">
        <v>0.6125</v>
      </c>
      <c r="CC145" t="n">
        <v>0.6</v>
      </c>
      <c r="CD145" t="e">
        <v>#VALUE!</v>
      </c>
      <c r="CE145" t="e">
        <v>#VALUE!</v>
      </c>
      <c r="CF145" t="e">
        <v>#VALUE!</v>
      </c>
      <c r="CG145" t="e">
        <v>#VALUE!</v>
      </c>
      <c r="CH145" t="e">
        <v>#VALUE!</v>
      </c>
      <c r="CI145" t="e">
        <v>#VALUE!</v>
      </c>
      <c r="CJ145" t="e">
        <v>#VALUE!</v>
      </c>
      <c r="CK145" t="e">
        <v>#VALUE!</v>
      </c>
    </row>
    <row r="146" ht="12.5" customHeight="1" s="213">
      <c r="A146" t="inlineStr">
        <is>
          <t>Germany</t>
        </is>
      </c>
      <c r="B146" t="inlineStr">
        <is>
          <t>Trd_lcv</t>
        </is>
      </c>
      <c r="C146" t="inlineStr">
        <is>
          <t>Trd_lcv</t>
        </is>
      </c>
      <c r="D146" t="n">
        <v>76.28</v>
      </c>
      <c r="E146" t="n">
        <v>76.6260160139589</v>
      </c>
      <c r="G146" t="n">
        <v>80.80247360456529</v>
      </c>
      <c r="H146" t="n">
        <v>84.096228487411</v>
      </c>
      <c r="I146" t="n">
        <v>87.50975201468439</v>
      </c>
      <c r="J146" t="n">
        <v>91.3979409667712</v>
      </c>
      <c r="K146" t="n">
        <v>95.3989665838597</v>
      </c>
      <c r="L146" t="n">
        <v>99.1280884375789</v>
      </c>
      <c r="M146" t="n">
        <v>102.572266617245</v>
      </c>
      <c r="N146" t="n">
        <v>105.853927706089</v>
      </c>
      <c r="O146" t="n">
        <v>109.06974491949</v>
      </c>
      <c r="P146" t="n">
        <v>112.168259715518</v>
      </c>
      <c r="Q146" t="n">
        <v>115.067449497552</v>
      </c>
      <c r="R146" t="n">
        <v>117.578849532397</v>
      </c>
      <c r="S146" t="n">
        <v>119.60069367854</v>
      </c>
      <c r="T146" t="n">
        <v>121.173866860504</v>
      </c>
      <c r="U146" t="n">
        <v>122.390237526932</v>
      </c>
      <c r="V146" t="n">
        <v>123.300576156153</v>
      </c>
      <c r="W146" t="n">
        <v>3</v>
      </c>
      <c r="AG146" s="223" t="inlineStr">
        <is>
          <t>GDP</t>
        </is>
      </c>
      <c r="AI146" t="n">
        <v>1</v>
      </c>
      <c r="AJ146" t="n">
        <v>1.0056875027351</v>
      </c>
      <c r="AK146" t="n">
        <v>1.07548227075571</v>
      </c>
      <c r="AL146" t="n">
        <v>1.13218376061282</v>
      </c>
      <c r="AM146" t="n">
        <v>1.19257480849257</v>
      </c>
      <c r="AN146" t="n">
        <v>1.26334038046461</v>
      </c>
      <c r="AO146" t="n">
        <v>1.33842175445903</v>
      </c>
      <c r="AP146" t="n">
        <v>1.41064604739435</v>
      </c>
      <c r="AQ146" t="n">
        <v>1.47946498139125</v>
      </c>
      <c r="AR146" t="n">
        <v>1.54708424314766</v>
      </c>
      <c r="AS146" t="n">
        <v>1.61544795560257</v>
      </c>
      <c r="AT146" t="n">
        <v>1.68343692767209</v>
      </c>
      <c r="AU146" t="n">
        <v>1.74911458152565</v>
      </c>
      <c r="AV146" t="n">
        <v>1.80784570555063</v>
      </c>
      <c r="AW146" t="n">
        <v>1.85660974133859</v>
      </c>
      <c r="AX146" t="n">
        <v>1.89568334286532</v>
      </c>
      <c r="AY146" t="n">
        <v>1.92675158434702</v>
      </c>
      <c r="AZ146" t="n">
        <v>1.95063688260264</v>
      </c>
      <c r="BA146" t="n">
        <v>0</v>
      </c>
      <c r="BB146" t="n">
        <v>0</v>
      </c>
      <c r="BC146" t="n">
        <v>0</v>
      </c>
      <c r="BD146" t="n">
        <v>0</v>
      </c>
      <c r="BE146" t="n">
        <v>0</v>
      </c>
      <c r="BF146" t="n">
        <v>0</v>
      </c>
      <c r="BG146" t="n">
        <v>0</v>
      </c>
      <c r="BH146" t="n">
        <v>0</v>
      </c>
      <c r="BJ146" t="inlineStr">
        <is>
          <t>Med2</t>
        </is>
      </c>
      <c r="BL146" t="n">
        <v>0.8</v>
      </c>
      <c r="BM146" t="n">
        <v>0.797560975609756</v>
      </c>
      <c r="BN146" t="n">
        <v>0.785365853658536</v>
      </c>
      <c r="BO146" t="n">
        <v>0.773170731707317</v>
      </c>
      <c r="BP146" t="n">
        <v>0.760975609756097</v>
      </c>
      <c r="BQ146" t="n">
        <v>0.748780487804878</v>
      </c>
      <c r="BR146" t="n">
        <v>0.736585365853658</v>
      </c>
      <c r="BS146" t="n">
        <v>0.724390243902439</v>
      </c>
      <c r="BT146" t="n">
        <v>0.71219512195122</v>
      </c>
      <c r="BU146" t="n">
        <v>0.699999999999999</v>
      </c>
      <c r="BV146" t="n">
        <v>0.687499999999999</v>
      </c>
      <c r="BW146" t="n">
        <v>0.675</v>
      </c>
      <c r="BX146" t="n">
        <v>0.6625</v>
      </c>
      <c r="BY146" t="n">
        <v>0.649999999999999</v>
      </c>
      <c r="BZ146" t="n">
        <v>0.637499999999999</v>
      </c>
      <c r="CA146" t="n">
        <v>0.625</v>
      </c>
      <c r="CB146" t="n">
        <v>0.6125</v>
      </c>
      <c r="CC146" t="n">
        <v>0.6</v>
      </c>
      <c r="CD146" t="e">
        <v>#VALUE!</v>
      </c>
      <c r="CE146" t="e">
        <v>#VALUE!</v>
      </c>
      <c r="CF146" t="e">
        <v>#VALUE!</v>
      </c>
      <c r="CG146" t="e">
        <v>#VALUE!</v>
      </c>
      <c r="CH146" t="e">
        <v>#VALUE!</v>
      </c>
      <c r="CI146" t="e">
        <v>#VALUE!</v>
      </c>
      <c r="CJ146" t="e">
        <v>#VALUE!</v>
      </c>
      <c r="CK146" t="e">
        <v>#VALUE!</v>
      </c>
    </row>
    <row r="147" ht="12.5" customHeight="1" s="213">
      <c r="A147" t="inlineStr">
        <is>
          <t>GreeceCyp</t>
        </is>
      </c>
      <c r="B147" t="inlineStr">
        <is>
          <t>TAD</t>
        </is>
      </c>
      <c r="C147" t="inlineStr">
        <is>
          <t>TAD</t>
        </is>
      </c>
      <c r="E147" t="n">
        <v>9.41801071539259</v>
      </c>
      <c r="F147">
        <f>E147</f>
        <v/>
      </c>
      <c r="I147">
        <f>F147</f>
        <v/>
      </c>
      <c r="J147">
        <f>I147</f>
        <v/>
      </c>
      <c r="L147">
        <f>J147</f>
        <v/>
      </c>
      <c r="V147">
        <f>L147</f>
        <v/>
      </c>
      <c r="W147" t="n">
        <v>3</v>
      </c>
      <c r="AG147" s="223" t="inlineStr">
        <is>
          <t>GDP</t>
        </is>
      </c>
      <c r="AI147" t="n">
        <v>1</v>
      </c>
      <c r="AJ147" t="n">
        <v>0.9939958208117819</v>
      </c>
      <c r="AK147" t="n">
        <v>1.21947847748895</v>
      </c>
      <c r="AL147" t="n">
        <v>1.35596328130499</v>
      </c>
      <c r="AM147" t="n">
        <v>1.47246412572297</v>
      </c>
      <c r="AN147" t="n">
        <v>1.59951826814933</v>
      </c>
      <c r="AO147" t="n">
        <v>1.72541059727865</v>
      </c>
      <c r="AP147" t="n">
        <v>1.84777798871814</v>
      </c>
      <c r="AQ147" t="n">
        <v>1.9700814772151</v>
      </c>
      <c r="AR147" t="n">
        <v>2.09095469583227</v>
      </c>
      <c r="AS147" t="n">
        <v>2.20646103063693</v>
      </c>
      <c r="AT147" t="n">
        <v>2.30928214966673</v>
      </c>
      <c r="AU147" t="n">
        <v>2.39914124721075</v>
      </c>
      <c r="AV147" t="n">
        <v>2.47820427978879</v>
      </c>
      <c r="AW147" t="n">
        <v>2.55041781606331</v>
      </c>
      <c r="AX147" t="n">
        <v>2.61759297460683</v>
      </c>
      <c r="AY147" t="n">
        <v>2.67827186919254</v>
      </c>
      <c r="AZ147" t="n">
        <v>2.72810653076512</v>
      </c>
      <c r="BA147" t="n">
        <v>0</v>
      </c>
      <c r="BB147" t="n">
        <v>0</v>
      </c>
      <c r="BC147" t="n">
        <v>0</v>
      </c>
      <c r="BD147" t="n">
        <v>0</v>
      </c>
      <c r="BE147" t="n">
        <v>0</v>
      </c>
      <c r="BF147" t="n">
        <v>0</v>
      </c>
      <c r="BG147" t="n">
        <v>0</v>
      </c>
      <c r="BH147" t="n">
        <v>0</v>
      </c>
      <c r="BJ147" t="inlineStr">
        <is>
          <t>Med2</t>
        </is>
      </c>
      <c r="BL147" t="n">
        <v>0.8</v>
      </c>
      <c r="BM147" t="n">
        <v>0.797560975609756</v>
      </c>
      <c r="BN147" t="n">
        <v>0.785365853658536</v>
      </c>
      <c r="BO147" t="n">
        <v>0.773170731707317</v>
      </c>
      <c r="BP147" t="n">
        <v>0.760975609756097</v>
      </c>
      <c r="BQ147" t="n">
        <v>0.748780487804878</v>
      </c>
      <c r="BR147" t="n">
        <v>0.736585365853658</v>
      </c>
      <c r="BS147" t="n">
        <v>0.724390243902439</v>
      </c>
      <c r="BT147" t="n">
        <v>0.71219512195122</v>
      </c>
      <c r="BU147" t="n">
        <v>0.699999999999999</v>
      </c>
      <c r="BV147" t="n">
        <v>0.687499999999999</v>
      </c>
      <c r="BW147" t="n">
        <v>0.675</v>
      </c>
      <c r="BX147" t="n">
        <v>0.6625</v>
      </c>
      <c r="BY147" t="n">
        <v>0.649999999999999</v>
      </c>
      <c r="BZ147" t="n">
        <v>0.637499999999999</v>
      </c>
      <c r="CA147" t="n">
        <v>0.625</v>
      </c>
      <c r="CB147" t="n">
        <v>0.6125</v>
      </c>
      <c r="CC147" t="n">
        <v>0.6</v>
      </c>
      <c r="CD147" t="e">
        <v>#VALUE!</v>
      </c>
      <c r="CE147" t="e">
        <v>#VALUE!</v>
      </c>
      <c r="CF147" t="e">
        <v>#VALUE!</v>
      </c>
      <c r="CG147" t="e">
        <v>#VALUE!</v>
      </c>
      <c r="CH147" t="e">
        <v>#VALUE!</v>
      </c>
      <c r="CI147" t="e">
        <v>#VALUE!</v>
      </c>
      <c r="CJ147" t="e">
        <v>#VALUE!</v>
      </c>
      <c r="CK147" t="e">
        <v>#VALUE!</v>
      </c>
    </row>
    <row r="148" ht="12.5" customHeight="1" s="213">
      <c r="A148" t="inlineStr">
        <is>
          <t>GreeceCyp</t>
        </is>
      </c>
      <c r="B148" t="inlineStr">
        <is>
          <t>TAI</t>
        </is>
      </c>
      <c r="C148" t="inlineStr">
        <is>
          <t>TAI</t>
        </is>
      </c>
      <c r="E148" t="n">
        <v>60.0666943733252</v>
      </c>
      <c r="F148">
        <f>E148</f>
        <v/>
      </c>
      <c r="I148">
        <f>F148</f>
        <v/>
      </c>
      <c r="J148">
        <f>I148</f>
        <v/>
      </c>
      <c r="L148">
        <f>J148</f>
        <v/>
      </c>
      <c r="V148">
        <f>L148</f>
        <v/>
      </c>
      <c r="W148" t="n">
        <v>3</v>
      </c>
      <c r="AG148" s="223" t="inlineStr">
        <is>
          <t>GDP</t>
        </is>
      </c>
      <c r="AI148" t="n">
        <v>1</v>
      </c>
      <c r="AJ148" t="n">
        <v>0.9939958208117819</v>
      </c>
      <c r="AK148" t="n">
        <v>1.21947847748895</v>
      </c>
      <c r="AL148" t="n">
        <v>1.35596328130499</v>
      </c>
      <c r="AM148" t="n">
        <v>1.47246412572297</v>
      </c>
      <c r="AN148" t="n">
        <v>1.59951826814933</v>
      </c>
      <c r="AO148" t="n">
        <v>1.72541059727865</v>
      </c>
      <c r="AP148" t="n">
        <v>1.84777798871814</v>
      </c>
      <c r="AQ148" t="n">
        <v>1.9700814772151</v>
      </c>
      <c r="AR148" t="n">
        <v>2.09095469583227</v>
      </c>
      <c r="AS148" t="n">
        <v>2.20646103063693</v>
      </c>
      <c r="AT148" t="n">
        <v>2.30928214966673</v>
      </c>
      <c r="AU148" t="n">
        <v>2.39914124721075</v>
      </c>
      <c r="AV148" t="n">
        <v>2.47820427978879</v>
      </c>
      <c r="AW148" t="n">
        <v>2.55041781606331</v>
      </c>
      <c r="AX148" t="n">
        <v>2.61759297460683</v>
      </c>
      <c r="AY148" t="n">
        <v>2.67827186919254</v>
      </c>
      <c r="AZ148" t="n">
        <v>2.72810653076512</v>
      </c>
      <c r="BA148" t="n">
        <v>0</v>
      </c>
      <c r="BB148" t="n">
        <v>0</v>
      </c>
      <c r="BC148" t="n">
        <v>0</v>
      </c>
      <c r="BD148" t="n">
        <v>0</v>
      </c>
      <c r="BE148" t="n">
        <v>0</v>
      </c>
      <c r="BF148" t="n">
        <v>0</v>
      </c>
      <c r="BG148" t="n">
        <v>0</v>
      </c>
      <c r="BH148" t="n">
        <v>0</v>
      </c>
      <c r="BJ148" t="inlineStr">
        <is>
          <t>Med2</t>
        </is>
      </c>
      <c r="BL148" t="n">
        <v>0.8</v>
      </c>
      <c r="BM148" t="n">
        <v>0.797560975609756</v>
      </c>
      <c r="BN148" t="n">
        <v>0.785365853658536</v>
      </c>
      <c r="BO148" t="n">
        <v>0.773170731707317</v>
      </c>
      <c r="BP148" t="n">
        <v>0.760975609756097</v>
      </c>
      <c r="BQ148" t="n">
        <v>0.748780487804878</v>
      </c>
      <c r="BR148" t="n">
        <v>0.736585365853658</v>
      </c>
      <c r="BS148" t="n">
        <v>0.724390243902439</v>
      </c>
      <c r="BT148" t="n">
        <v>0.71219512195122</v>
      </c>
      <c r="BU148" t="n">
        <v>0.699999999999999</v>
      </c>
      <c r="BV148" t="n">
        <v>0.687499999999999</v>
      </c>
      <c r="BW148" t="n">
        <v>0.675</v>
      </c>
      <c r="BX148" t="n">
        <v>0.6625</v>
      </c>
      <c r="BY148" t="n">
        <v>0.649999999999999</v>
      </c>
      <c r="BZ148" t="n">
        <v>0.637499999999999</v>
      </c>
      <c r="CA148" t="n">
        <v>0.625</v>
      </c>
      <c r="CB148" t="n">
        <v>0.6125</v>
      </c>
      <c r="CC148" t="n">
        <v>0.6</v>
      </c>
      <c r="CD148" t="e">
        <v>#VALUE!</v>
      </c>
      <c r="CE148" t="e">
        <v>#VALUE!</v>
      </c>
      <c r="CF148" t="e">
        <v>#VALUE!</v>
      </c>
      <c r="CG148" t="e">
        <v>#VALUE!</v>
      </c>
      <c r="CH148" t="e">
        <v>#VALUE!</v>
      </c>
      <c r="CI148" t="e">
        <v>#VALUE!</v>
      </c>
      <c r="CJ148" t="e">
        <v>#VALUE!</v>
      </c>
      <c r="CK148" t="e">
        <v>#VALUE!</v>
      </c>
    </row>
    <row r="149" ht="12.5" customHeight="1" s="213">
      <c r="A149" t="inlineStr">
        <is>
          <t>GreeceCyp</t>
        </is>
      </c>
      <c r="B149" t="inlineStr">
        <is>
          <t>TTF</t>
        </is>
      </c>
      <c r="C149" t="inlineStr">
        <is>
          <t>TTF</t>
        </is>
      </c>
      <c r="E149" t="n">
        <v>0.407881973548625</v>
      </c>
      <c r="I149" t="n">
        <v>0.5562698539388859</v>
      </c>
      <c r="J149" t="n">
        <v>0.592210356864755</v>
      </c>
      <c r="L149" t="n">
        <v>0.658731360506297</v>
      </c>
      <c r="V149" t="n">
        <v>0.856844601589363</v>
      </c>
      <c r="W149" t="n">
        <v>3</v>
      </c>
      <c r="AG149" s="223" t="inlineStr">
        <is>
          <t>GDP</t>
        </is>
      </c>
      <c r="AI149" t="n">
        <v>1</v>
      </c>
      <c r="AJ149" t="n">
        <v>0.9939958208117819</v>
      </c>
      <c r="AK149" t="n">
        <v>1.21947847748895</v>
      </c>
      <c r="AL149" t="n">
        <v>1.35596328130499</v>
      </c>
      <c r="AM149" t="n">
        <v>1.47246412572297</v>
      </c>
      <c r="AN149" t="n">
        <v>1.59951826814933</v>
      </c>
      <c r="AO149" t="n">
        <v>1.72541059727865</v>
      </c>
      <c r="AP149" t="n">
        <v>1.84777798871814</v>
      </c>
      <c r="AQ149" t="n">
        <v>1.9700814772151</v>
      </c>
      <c r="AR149" t="n">
        <v>2.09095469583227</v>
      </c>
      <c r="AS149" t="n">
        <v>2.20646103063693</v>
      </c>
      <c r="AT149" t="n">
        <v>2.30928214966673</v>
      </c>
      <c r="AU149" t="n">
        <v>2.39914124721075</v>
      </c>
      <c r="AV149" t="n">
        <v>2.47820427978879</v>
      </c>
      <c r="AW149" t="n">
        <v>2.55041781606331</v>
      </c>
      <c r="AX149" t="n">
        <v>2.61759297460683</v>
      </c>
      <c r="AY149" t="n">
        <v>2.67827186919254</v>
      </c>
      <c r="AZ149" t="n">
        <v>2.72810653076512</v>
      </c>
      <c r="BA149" t="n">
        <v>0</v>
      </c>
      <c r="BB149" t="n">
        <v>0</v>
      </c>
      <c r="BC149" t="n">
        <v>0</v>
      </c>
      <c r="BD149" t="n">
        <v>0</v>
      </c>
      <c r="BE149" t="n">
        <v>0</v>
      </c>
      <c r="BF149" t="n">
        <v>0</v>
      </c>
      <c r="BG149" t="n">
        <v>0</v>
      </c>
      <c r="BH149" t="n">
        <v>0</v>
      </c>
      <c r="BJ149" t="inlineStr">
        <is>
          <t>Med2</t>
        </is>
      </c>
      <c r="BL149" t="n">
        <v>0.8</v>
      </c>
      <c r="BM149" t="n">
        <v>0.797560975609756</v>
      </c>
      <c r="BN149" t="n">
        <v>0.785365853658536</v>
      </c>
      <c r="BO149" t="n">
        <v>0.773170731707317</v>
      </c>
      <c r="BP149" t="n">
        <v>0.760975609756097</v>
      </c>
      <c r="BQ149" t="n">
        <v>0.748780487804878</v>
      </c>
      <c r="BR149" t="n">
        <v>0.736585365853658</v>
      </c>
      <c r="BS149" t="n">
        <v>0.724390243902439</v>
      </c>
      <c r="BT149" t="n">
        <v>0.71219512195122</v>
      </c>
      <c r="BU149" t="n">
        <v>0.699999999999999</v>
      </c>
      <c r="BV149" t="n">
        <v>0.687499999999999</v>
      </c>
      <c r="BW149" t="n">
        <v>0.675</v>
      </c>
      <c r="BX149" t="n">
        <v>0.6625</v>
      </c>
      <c r="BY149" t="n">
        <v>0.649999999999999</v>
      </c>
      <c r="BZ149" t="n">
        <v>0.637499999999999</v>
      </c>
      <c r="CA149" t="n">
        <v>0.625</v>
      </c>
      <c r="CB149" t="n">
        <v>0.6125</v>
      </c>
      <c r="CC149" t="n">
        <v>0.6</v>
      </c>
      <c r="CD149" t="e">
        <v>#VALUE!</v>
      </c>
      <c r="CE149" t="e">
        <v>#VALUE!</v>
      </c>
      <c r="CF149" t="e">
        <v>#VALUE!</v>
      </c>
      <c r="CG149" t="e">
        <v>#VALUE!</v>
      </c>
      <c r="CH149" t="e">
        <v>#VALUE!</v>
      </c>
      <c r="CI149" t="e">
        <v>#VALUE!</v>
      </c>
      <c r="CJ149" t="e">
        <v>#VALUE!</v>
      </c>
      <c r="CK149" t="e">
        <v>#VALUE!</v>
      </c>
    </row>
    <row r="150" ht="12.5" customHeight="1" s="213">
      <c r="A150" t="inlineStr">
        <is>
          <t>GreeceCyp</t>
        </is>
      </c>
      <c r="B150" t="inlineStr">
        <is>
          <t>TTP</t>
        </is>
      </c>
      <c r="C150" t="inlineStr">
        <is>
          <t>TTP</t>
        </is>
      </c>
      <c r="E150" t="n">
        <v>0.699362690149308</v>
      </c>
      <c r="I150" t="n">
        <v>0.682703126816235</v>
      </c>
      <c r="J150" t="n">
        <v>0.678924584296357</v>
      </c>
      <c r="L150" t="n">
        <v>0.673124624068275</v>
      </c>
      <c r="V150" t="n">
        <v>0.613005347160796</v>
      </c>
      <c r="W150" t="n">
        <v>3</v>
      </c>
      <c r="AG150" s="223" t="inlineStr">
        <is>
          <t>POP</t>
        </is>
      </c>
      <c r="AI150" t="n">
        <v>1</v>
      </c>
      <c r="AJ150" t="n">
        <v>0.997831549885011</v>
      </c>
      <c r="AK150" t="n">
        <v>0.986989299310067</v>
      </c>
      <c r="AL150" t="n">
        <v>0.976305741027938</v>
      </c>
      <c r="AM150" t="n">
        <v>0.967184619783603</v>
      </c>
      <c r="AN150" t="n">
        <v>0.960035587064387</v>
      </c>
      <c r="AO150" t="n">
        <v>0.954118558952653</v>
      </c>
      <c r="AP150" t="n">
        <v>0.94882198127353</v>
      </c>
      <c r="AQ150" t="n">
        <v>0.941337178369357</v>
      </c>
      <c r="AR150" t="n">
        <v>0.931743792928468</v>
      </c>
      <c r="AS150" t="n">
        <v>0.919779512436951</v>
      </c>
      <c r="AT150" t="n">
        <v>0.906486639396784</v>
      </c>
      <c r="AU150" t="n">
        <v>0.892687526928125</v>
      </c>
      <c r="AV150" t="n">
        <v>0.879075998408366</v>
      </c>
      <c r="AW150" t="n">
        <v>0.865765587031513</v>
      </c>
      <c r="AX150" t="n">
        <v>0.852277250499876</v>
      </c>
      <c r="AY150" t="n">
        <v>0.837699080032056</v>
      </c>
      <c r="AZ150" t="n">
        <v>0.821073160485202</v>
      </c>
      <c r="BA150" t="n">
        <v>0</v>
      </c>
      <c r="BB150" t="n">
        <v>0</v>
      </c>
      <c r="BC150" t="n">
        <v>0</v>
      </c>
      <c r="BD150" t="n">
        <v>0</v>
      </c>
      <c r="BE150" t="n">
        <v>0</v>
      </c>
      <c r="BF150" t="n">
        <v>0</v>
      </c>
      <c r="BG150" t="n">
        <v>0</v>
      </c>
      <c r="BH150" t="n">
        <v>0</v>
      </c>
      <c r="BJ150" t="inlineStr">
        <is>
          <t>Med2</t>
        </is>
      </c>
      <c r="BL150" t="n">
        <v>0.8</v>
      </c>
      <c r="BM150" t="n">
        <v>0.797560975609756</v>
      </c>
      <c r="BN150" t="n">
        <v>0.785365853658536</v>
      </c>
      <c r="BO150" t="n">
        <v>0.773170731707317</v>
      </c>
      <c r="BP150" t="n">
        <v>0.760975609756097</v>
      </c>
      <c r="BQ150" t="n">
        <v>0.748780487804878</v>
      </c>
      <c r="BR150" t="n">
        <v>0.736585365853658</v>
      </c>
      <c r="BS150" t="n">
        <v>0.724390243902439</v>
      </c>
      <c r="BT150" t="n">
        <v>0.71219512195122</v>
      </c>
      <c r="BU150" t="n">
        <v>0.699999999999999</v>
      </c>
      <c r="BV150" t="n">
        <v>0.687499999999999</v>
      </c>
      <c r="BW150" t="n">
        <v>0.675</v>
      </c>
      <c r="BX150" t="n">
        <v>0.6625</v>
      </c>
      <c r="BY150" t="n">
        <v>0.649999999999999</v>
      </c>
      <c r="BZ150" t="n">
        <v>0.637499999999999</v>
      </c>
      <c r="CA150" t="n">
        <v>0.625</v>
      </c>
      <c r="CB150" t="n">
        <v>0.6125</v>
      </c>
      <c r="CC150" t="n">
        <v>0.6</v>
      </c>
      <c r="CD150" t="e">
        <v>#VALUE!</v>
      </c>
      <c r="CE150" t="e">
        <v>#VALUE!</v>
      </c>
      <c r="CF150" t="e">
        <v>#VALUE!</v>
      </c>
      <c r="CG150" t="e">
        <v>#VALUE!</v>
      </c>
      <c r="CH150" t="e">
        <v>#VALUE!</v>
      </c>
      <c r="CI150" t="e">
        <v>#VALUE!</v>
      </c>
      <c r="CJ150" t="e">
        <v>#VALUE!</v>
      </c>
      <c r="CK150" t="e">
        <v>#VALUE!</v>
      </c>
    </row>
    <row r="151" ht="12.5" customHeight="1" s="213">
      <c r="A151" t="inlineStr">
        <is>
          <t>GreeceCyp</t>
        </is>
      </c>
      <c r="B151" t="inlineStr">
        <is>
          <t>TWD</t>
        </is>
      </c>
      <c r="C151" t="inlineStr">
        <is>
          <t>TWD</t>
        </is>
      </c>
      <c r="E151" t="n">
        <v>26.7348015160745</v>
      </c>
      <c r="F151">
        <f>E151</f>
        <v/>
      </c>
      <c r="I151">
        <f>F151</f>
        <v/>
      </c>
      <c r="J151">
        <f>I151</f>
        <v/>
      </c>
      <c r="L151">
        <f>J151</f>
        <v/>
      </c>
      <c r="V151">
        <f>L151</f>
        <v/>
      </c>
      <c r="W151" t="n">
        <v>3</v>
      </c>
      <c r="AG151" s="223" t="inlineStr">
        <is>
          <t>GDP</t>
        </is>
      </c>
      <c r="AI151" t="n">
        <v>1</v>
      </c>
      <c r="AJ151" t="n">
        <v>0.9939958208117819</v>
      </c>
      <c r="AK151" t="n">
        <v>1.21947847748895</v>
      </c>
      <c r="AL151" t="n">
        <v>1.35596328130499</v>
      </c>
      <c r="AM151" t="n">
        <v>1.47246412572297</v>
      </c>
      <c r="AN151" t="n">
        <v>1.59951826814933</v>
      </c>
      <c r="AO151" t="n">
        <v>1.72541059727865</v>
      </c>
      <c r="AP151" t="n">
        <v>1.84777798871814</v>
      </c>
      <c r="AQ151" t="n">
        <v>1.9700814772151</v>
      </c>
      <c r="AR151" t="n">
        <v>2.09095469583227</v>
      </c>
      <c r="AS151" t="n">
        <v>2.20646103063693</v>
      </c>
      <c r="AT151" t="n">
        <v>2.30928214966673</v>
      </c>
      <c r="AU151" t="n">
        <v>2.39914124721075</v>
      </c>
      <c r="AV151" t="n">
        <v>2.47820427978879</v>
      </c>
      <c r="AW151" t="n">
        <v>2.55041781606331</v>
      </c>
      <c r="AX151" t="n">
        <v>2.61759297460683</v>
      </c>
      <c r="AY151" t="n">
        <v>2.67827186919254</v>
      </c>
      <c r="AZ151" t="n">
        <v>2.72810653076512</v>
      </c>
      <c r="BA151" t="n">
        <v>0</v>
      </c>
      <c r="BB151" t="n">
        <v>0</v>
      </c>
      <c r="BC151" t="n">
        <v>0</v>
      </c>
      <c r="BD151" t="n">
        <v>0</v>
      </c>
      <c r="BE151" t="n">
        <v>0</v>
      </c>
      <c r="BF151" t="n">
        <v>0</v>
      </c>
      <c r="BG151" t="n">
        <v>0</v>
      </c>
      <c r="BH151" t="n">
        <v>0</v>
      </c>
      <c r="BJ151" t="inlineStr">
        <is>
          <t>Med2</t>
        </is>
      </c>
      <c r="BL151" t="n">
        <v>0.8</v>
      </c>
      <c r="BM151" t="n">
        <v>0.797560975609756</v>
      </c>
      <c r="BN151" t="n">
        <v>0.785365853658536</v>
      </c>
      <c r="BO151" t="n">
        <v>0.773170731707317</v>
      </c>
      <c r="BP151" t="n">
        <v>0.760975609756097</v>
      </c>
      <c r="BQ151" t="n">
        <v>0.748780487804878</v>
      </c>
      <c r="BR151" t="n">
        <v>0.736585365853658</v>
      </c>
      <c r="BS151" t="n">
        <v>0.724390243902439</v>
      </c>
      <c r="BT151" t="n">
        <v>0.71219512195122</v>
      </c>
      <c r="BU151" t="n">
        <v>0.699999999999999</v>
      </c>
      <c r="BV151" t="n">
        <v>0.687499999999999</v>
      </c>
      <c r="BW151" t="n">
        <v>0.675</v>
      </c>
      <c r="BX151" t="n">
        <v>0.6625</v>
      </c>
      <c r="BY151" t="n">
        <v>0.649999999999999</v>
      </c>
      <c r="BZ151" t="n">
        <v>0.637499999999999</v>
      </c>
      <c r="CA151" t="n">
        <v>0.625</v>
      </c>
      <c r="CB151" t="n">
        <v>0.6125</v>
      </c>
      <c r="CC151" t="n">
        <v>0.6</v>
      </c>
      <c r="CD151" t="e">
        <v>#VALUE!</v>
      </c>
      <c r="CE151" t="e">
        <v>#VALUE!</v>
      </c>
      <c r="CF151" t="e">
        <v>#VALUE!</v>
      </c>
      <c r="CG151" t="e">
        <v>#VALUE!</v>
      </c>
      <c r="CH151" t="e">
        <v>#VALUE!</v>
      </c>
      <c r="CI151" t="e">
        <v>#VALUE!</v>
      </c>
      <c r="CJ151" t="e">
        <v>#VALUE!</v>
      </c>
      <c r="CK151" t="e">
        <v>#VALUE!</v>
      </c>
    </row>
    <row r="152" ht="12.5" customHeight="1" s="213">
      <c r="A152" t="inlineStr">
        <is>
          <t>GreeceCyp</t>
        </is>
      </c>
      <c r="B152" t="inlineStr">
        <is>
          <t>TWI</t>
        </is>
      </c>
      <c r="C152" t="inlineStr">
        <is>
          <t>TWI</t>
        </is>
      </c>
      <c r="E152" t="n">
        <v>116.52376180417</v>
      </c>
      <c r="F152">
        <f>E152</f>
        <v/>
      </c>
      <c r="I152">
        <f>F152</f>
        <v/>
      </c>
      <c r="J152">
        <f>I152</f>
        <v/>
      </c>
      <c r="L152">
        <f>J152</f>
        <v/>
      </c>
      <c r="V152">
        <f>L152</f>
        <v/>
      </c>
      <c r="W152" t="n">
        <v>3</v>
      </c>
      <c r="AG152" s="223" t="inlineStr">
        <is>
          <t>GDP</t>
        </is>
      </c>
      <c r="AI152" t="n">
        <v>1</v>
      </c>
      <c r="AJ152" t="n">
        <v>0.9939958208117819</v>
      </c>
      <c r="AK152" t="n">
        <v>1.21947847748895</v>
      </c>
      <c r="AL152" t="n">
        <v>1.35596328130499</v>
      </c>
      <c r="AM152" t="n">
        <v>1.47246412572297</v>
      </c>
      <c r="AN152" t="n">
        <v>1.59951826814933</v>
      </c>
      <c r="AO152" t="n">
        <v>1.72541059727865</v>
      </c>
      <c r="AP152" t="n">
        <v>1.84777798871814</v>
      </c>
      <c r="AQ152" t="n">
        <v>1.9700814772151</v>
      </c>
      <c r="AR152" t="n">
        <v>2.09095469583227</v>
      </c>
      <c r="AS152" t="n">
        <v>2.20646103063693</v>
      </c>
      <c r="AT152" t="n">
        <v>2.30928214966673</v>
      </c>
      <c r="AU152" t="n">
        <v>2.39914124721075</v>
      </c>
      <c r="AV152" t="n">
        <v>2.47820427978879</v>
      </c>
      <c r="AW152" t="n">
        <v>2.55041781606331</v>
      </c>
      <c r="AX152" t="n">
        <v>2.61759297460683</v>
      </c>
      <c r="AY152" t="n">
        <v>2.67827186919254</v>
      </c>
      <c r="AZ152" t="n">
        <v>2.72810653076512</v>
      </c>
      <c r="BA152" t="n">
        <v>0</v>
      </c>
      <c r="BB152" t="n">
        <v>0</v>
      </c>
      <c r="BC152" t="n">
        <v>0</v>
      </c>
      <c r="BD152" t="n">
        <v>0</v>
      </c>
      <c r="BE152" t="n">
        <v>0</v>
      </c>
      <c r="BF152" t="n">
        <v>0</v>
      </c>
      <c r="BG152" t="n">
        <v>0</v>
      </c>
      <c r="BH152" t="n">
        <v>0</v>
      </c>
      <c r="BJ152" t="inlineStr">
        <is>
          <t>Med2</t>
        </is>
      </c>
      <c r="BL152" t="n">
        <v>0.8</v>
      </c>
      <c r="BM152" t="n">
        <v>0.797560975609756</v>
      </c>
      <c r="BN152" t="n">
        <v>0.785365853658536</v>
      </c>
      <c r="BO152" t="n">
        <v>0.773170731707317</v>
      </c>
      <c r="BP152" t="n">
        <v>0.760975609756097</v>
      </c>
      <c r="BQ152" t="n">
        <v>0.748780487804878</v>
      </c>
      <c r="BR152" t="n">
        <v>0.736585365853658</v>
      </c>
      <c r="BS152" t="n">
        <v>0.724390243902439</v>
      </c>
      <c r="BT152" t="n">
        <v>0.71219512195122</v>
      </c>
      <c r="BU152" t="n">
        <v>0.699999999999999</v>
      </c>
      <c r="BV152" t="n">
        <v>0.687499999999999</v>
      </c>
      <c r="BW152" t="n">
        <v>0.675</v>
      </c>
      <c r="BX152" t="n">
        <v>0.6625</v>
      </c>
      <c r="BY152" t="n">
        <v>0.649999999999999</v>
      </c>
      <c r="BZ152" t="n">
        <v>0.637499999999999</v>
      </c>
      <c r="CA152" t="n">
        <v>0.625</v>
      </c>
      <c r="CB152" t="n">
        <v>0.6125</v>
      </c>
      <c r="CC152" t="n">
        <v>0.6</v>
      </c>
      <c r="CD152" t="e">
        <v>#VALUE!</v>
      </c>
      <c r="CE152" t="e">
        <v>#VALUE!</v>
      </c>
      <c r="CF152" t="e">
        <v>#VALUE!</v>
      </c>
      <c r="CG152" t="e">
        <v>#VALUE!</v>
      </c>
      <c r="CH152" t="e">
        <v>#VALUE!</v>
      </c>
      <c r="CI152" t="e">
        <v>#VALUE!</v>
      </c>
      <c r="CJ152" t="e">
        <v>#VALUE!</v>
      </c>
      <c r="CK152" t="e">
        <v>#VALUE!</v>
      </c>
    </row>
    <row r="153" ht="12.5" customHeight="1" s="213">
      <c r="A153" t="inlineStr">
        <is>
          <t>GreeceCyp</t>
        </is>
      </c>
      <c r="B153" t="inlineStr">
        <is>
          <t>Trd_2w</t>
        </is>
      </c>
      <c r="C153" t="inlineStr">
        <is>
          <t>Trd_2w</t>
        </is>
      </c>
      <c r="D153" t="n">
        <v>0.546</v>
      </c>
      <c r="E153" t="n">
        <v>0.545055708730658</v>
      </c>
      <c r="G153" t="n">
        <v>0.540404400542398</v>
      </c>
      <c r="H153" t="n">
        <v>0.535881700743667</v>
      </c>
      <c r="I153" t="n">
        <v>0.532071901862561</v>
      </c>
      <c r="J153" t="n">
        <v>0.529127054789433</v>
      </c>
      <c r="K153" t="n">
        <v>0.526724909038171</v>
      </c>
      <c r="L153" t="n">
        <v>0.524606794447761</v>
      </c>
      <c r="M153" t="n">
        <v>0.521659465992699</v>
      </c>
      <c r="N153" t="n">
        <v>0.517938019194669</v>
      </c>
      <c r="O153" t="n">
        <v>0.513365657561778</v>
      </c>
      <c r="P153" t="n">
        <v>0.508357641530336</v>
      </c>
      <c r="Q153" t="n">
        <v>0.503230857938885</v>
      </c>
      <c r="R153" t="n">
        <v>0.498243298877789</v>
      </c>
      <c r="S153" t="n">
        <v>0.493433945255671</v>
      </c>
      <c r="T153" t="n">
        <v>0.48862923598344</v>
      </c>
      <c r="U153" t="n">
        <v>0.483509970298712</v>
      </c>
      <c r="V153" t="n">
        <v>0.477752200193977</v>
      </c>
      <c r="W153" t="n">
        <v>3</v>
      </c>
      <c r="AG153" s="223" t="inlineStr">
        <is>
          <t>POP</t>
        </is>
      </c>
      <c r="AI153" t="n">
        <v>1</v>
      </c>
      <c r="AJ153" t="n">
        <v>0.997831549885011</v>
      </c>
      <c r="AK153" t="n">
        <v>0.986989299310067</v>
      </c>
      <c r="AL153" t="n">
        <v>0.976305741027938</v>
      </c>
      <c r="AM153" t="n">
        <v>0.967184619783603</v>
      </c>
      <c r="AN153" t="n">
        <v>0.960035587064387</v>
      </c>
      <c r="AO153" t="n">
        <v>0.954118558952653</v>
      </c>
      <c r="AP153" t="n">
        <v>0.94882198127353</v>
      </c>
      <c r="AQ153" t="n">
        <v>0.941337178369357</v>
      </c>
      <c r="AR153" t="n">
        <v>0.931743792928468</v>
      </c>
      <c r="AS153" t="n">
        <v>0.919779512436951</v>
      </c>
      <c r="AT153" t="n">
        <v>0.906486639396784</v>
      </c>
      <c r="AU153" t="n">
        <v>0.892687526928125</v>
      </c>
      <c r="AV153" t="n">
        <v>0.879075998408366</v>
      </c>
      <c r="AW153" t="n">
        <v>0.865765587031513</v>
      </c>
      <c r="AX153" t="n">
        <v>0.852277250499876</v>
      </c>
      <c r="AY153" t="n">
        <v>0.837699080032056</v>
      </c>
      <c r="AZ153" t="n">
        <v>0.821073160485202</v>
      </c>
      <c r="BA153" t="n">
        <v>0</v>
      </c>
      <c r="BB153" t="n">
        <v>0</v>
      </c>
      <c r="BC153" t="n">
        <v>0</v>
      </c>
      <c r="BD153" t="n">
        <v>0</v>
      </c>
      <c r="BE153" t="n">
        <v>0</v>
      </c>
      <c r="BF153" t="n">
        <v>0</v>
      </c>
      <c r="BG153" t="n">
        <v>0</v>
      </c>
      <c r="BH153" t="n">
        <v>0</v>
      </c>
      <c r="BJ153" t="inlineStr">
        <is>
          <t>Med2</t>
        </is>
      </c>
      <c r="BL153" t="n">
        <v>0.8</v>
      </c>
      <c r="BM153" t="n">
        <v>0.797560975609756</v>
      </c>
      <c r="BN153" t="n">
        <v>0.785365853658536</v>
      </c>
      <c r="BO153" t="n">
        <v>0.773170731707317</v>
      </c>
      <c r="BP153" t="n">
        <v>0.760975609756097</v>
      </c>
      <c r="BQ153" t="n">
        <v>0.748780487804878</v>
      </c>
      <c r="BR153" t="n">
        <v>0.736585365853658</v>
      </c>
      <c r="BS153" t="n">
        <v>0.724390243902439</v>
      </c>
      <c r="BT153" t="n">
        <v>0.71219512195122</v>
      </c>
      <c r="BU153" t="n">
        <v>0.699999999999999</v>
      </c>
      <c r="BV153" t="n">
        <v>0.687499999999999</v>
      </c>
      <c r="BW153" t="n">
        <v>0.675</v>
      </c>
      <c r="BX153" t="n">
        <v>0.6625</v>
      </c>
      <c r="BY153" t="n">
        <v>0.649999999999999</v>
      </c>
      <c r="BZ153" t="n">
        <v>0.637499999999999</v>
      </c>
      <c r="CA153" t="n">
        <v>0.625</v>
      </c>
      <c r="CB153" t="n">
        <v>0.6125</v>
      </c>
      <c r="CC153" t="n">
        <v>0.6</v>
      </c>
      <c r="CD153" t="e">
        <v>#VALUE!</v>
      </c>
      <c r="CE153" t="e">
        <v>#VALUE!</v>
      </c>
      <c r="CF153" t="e">
        <v>#VALUE!</v>
      </c>
      <c r="CG153" t="e">
        <v>#VALUE!</v>
      </c>
      <c r="CH153" t="e">
        <v>#VALUE!</v>
      </c>
      <c r="CI153" t="e">
        <v>#VALUE!</v>
      </c>
      <c r="CJ153" t="e">
        <v>#VALUE!</v>
      </c>
      <c r="CK153" t="e">
        <v>#VALUE!</v>
      </c>
    </row>
    <row r="154" ht="12.5" customHeight="1" s="213">
      <c r="A154" t="inlineStr">
        <is>
          <t>GreeceCyp</t>
        </is>
      </c>
      <c r="B154" t="inlineStr">
        <is>
          <t>Trd_3w</t>
        </is>
      </c>
      <c r="C154" t="inlineStr">
        <is>
          <t>Trd_3w</t>
        </is>
      </c>
      <c r="D154" t="n">
        <v>0.315</v>
      </c>
      <c r="E154" t="n">
        <v>0.314455216575379</v>
      </c>
      <c r="G154" t="n">
        <v>0.311771769543691</v>
      </c>
      <c r="H154" t="n">
        <v>0.309162519659808</v>
      </c>
      <c r="I154" t="n">
        <v>0.306964558766862</v>
      </c>
      <c r="J154" t="n">
        <v>0.305265608532365</v>
      </c>
      <c r="K154" t="n">
        <v>0.303879755214329</v>
      </c>
      <c r="L154" t="n">
        <v>0.302657766027555</v>
      </c>
      <c r="M154" t="n">
        <v>0.300957384226557</v>
      </c>
      <c r="N154" t="n">
        <v>0.298810395689232</v>
      </c>
      <c r="O154" t="n">
        <v>0.29617249474718</v>
      </c>
      <c r="P154" t="n">
        <v>0.29328325472904</v>
      </c>
      <c r="Q154" t="n">
        <v>0.290325494964741</v>
      </c>
      <c r="R154" t="n">
        <v>0.287448057044878</v>
      </c>
      <c r="S154" t="n">
        <v>0.284673429955195</v>
      </c>
      <c r="T154" t="n">
        <v>0.281901482298138</v>
      </c>
      <c r="U154" t="n">
        <v>0.278948059787719</v>
      </c>
      <c r="V154" t="n">
        <v>0.275626269342679</v>
      </c>
      <c r="W154" t="n">
        <v>3</v>
      </c>
      <c r="AG154" s="223" t="inlineStr">
        <is>
          <t>POP</t>
        </is>
      </c>
      <c r="AI154" t="n">
        <v>1</v>
      </c>
      <c r="AJ154" t="n">
        <v>0.997831549885011</v>
      </c>
      <c r="AK154" t="n">
        <v>0.986989299310067</v>
      </c>
      <c r="AL154" t="n">
        <v>0.976305741027938</v>
      </c>
      <c r="AM154" t="n">
        <v>0.967184619783603</v>
      </c>
      <c r="AN154" t="n">
        <v>0.960035587064387</v>
      </c>
      <c r="AO154" t="n">
        <v>0.954118558952653</v>
      </c>
      <c r="AP154" t="n">
        <v>0.94882198127353</v>
      </c>
      <c r="AQ154" t="n">
        <v>0.941337178369357</v>
      </c>
      <c r="AR154" t="n">
        <v>0.931743792928468</v>
      </c>
      <c r="AS154" t="n">
        <v>0.919779512436951</v>
      </c>
      <c r="AT154" t="n">
        <v>0.906486639396784</v>
      </c>
      <c r="AU154" t="n">
        <v>0.892687526928125</v>
      </c>
      <c r="AV154" t="n">
        <v>0.879075998408366</v>
      </c>
      <c r="AW154" t="n">
        <v>0.865765587031513</v>
      </c>
      <c r="AX154" t="n">
        <v>0.852277250499876</v>
      </c>
      <c r="AY154" t="n">
        <v>0.837699080032056</v>
      </c>
      <c r="AZ154" t="n">
        <v>0.821073160485202</v>
      </c>
      <c r="BA154" t="n">
        <v>0</v>
      </c>
      <c r="BB154" t="n">
        <v>0</v>
      </c>
      <c r="BC154" t="n">
        <v>0</v>
      </c>
      <c r="BD154" t="n">
        <v>0</v>
      </c>
      <c r="BE154" t="n">
        <v>0</v>
      </c>
      <c r="BF154" t="n">
        <v>0</v>
      </c>
      <c r="BG154" t="n">
        <v>0</v>
      </c>
      <c r="BH154" t="n">
        <v>0</v>
      </c>
      <c r="BJ154" t="inlineStr">
        <is>
          <t>Med2</t>
        </is>
      </c>
      <c r="BL154" t="n">
        <v>0.8</v>
      </c>
      <c r="BM154" t="n">
        <v>0.797560975609756</v>
      </c>
      <c r="BN154" t="n">
        <v>0.785365853658536</v>
      </c>
      <c r="BO154" t="n">
        <v>0.773170731707317</v>
      </c>
      <c r="BP154" t="n">
        <v>0.760975609756097</v>
      </c>
      <c r="BQ154" t="n">
        <v>0.748780487804878</v>
      </c>
      <c r="BR154" t="n">
        <v>0.736585365853658</v>
      </c>
      <c r="BS154" t="n">
        <v>0.724390243902439</v>
      </c>
      <c r="BT154" t="n">
        <v>0.71219512195122</v>
      </c>
      <c r="BU154" t="n">
        <v>0.699999999999999</v>
      </c>
      <c r="BV154" t="n">
        <v>0.687499999999999</v>
      </c>
      <c r="BW154" t="n">
        <v>0.675</v>
      </c>
      <c r="BX154" t="n">
        <v>0.6625</v>
      </c>
      <c r="BY154" t="n">
        <v>0.649999999999999</v>
      </c>
      <c r="BZ154" t="n">
        <v>0.637499999999999</v>
      </c>
      <c r="CA154" t="n">
        <v>0.625</v>
      </c>
      <c r="CB154" t="n">
        <v>0.6125</v>
      </c>
      <c r="CC154" t="n">
        <v>0.6</v>
      </c>
      <c r="CD154" t="e">
        <v>#VALUE!</v>
      </c>
      <c r="CE154" t="e">
        <v>#VALUE!</v>
      </c>
      <c r="CF154" t="e">
        <v>#VALUE!</v>
      </c>
      <c r="CG154" t="e">
        <v>#VALUE!</v>
      </c>
      <c r="CH154" t="e">
        <v>#VALUE!</v>
      </c>
      <c r="CI154" t="e">
        <v>#VALUE!</v>
      </c>
      <c r="CJ154" t="e">
        <v>#VALUE!</v>
      </c>
      <c r="CK154" t="e">
        <v>#VALUE!</v>
      </c>
    </row>
    <row r="155" ht="12.5" customHeight="1" s="213">
      <c r="A155" t="inlineStr">
        <is>
          <t>GreeceCyp</t>
        </is>
      </c>
      <c r="B155" t="inlineStr">
        <is>
          <t>Trd_bus</t>
        </is>
      </c>
      <c r="C155" t="inlineStr">
        <is>
          <t>Trd_bus</t>
        </is>
      </c>
      <c r="D155" t="n">
        <v>0.35</v>
      </c>
      <c r="E155" t="n">
        <v>0.349394685083755</v>
      </c>
      <c r="G155" t="n">
        <v>0.346413077270768</v>
      </c>
      <c r="H155" t="n">
        <v>0.34351391073312</v>
      </c>
      <c r="I155" t="n">
        <v>0.34107173196318</v>
      </c>
      <c r="J155" t="n">
        <v>0.339184009480406</v>
      </c>
      <c r="K155" t="n">
        <v>0.337644172460366</v>
      </c>
      <c r="L155" t="n">
        <v>0.336286406697283</v>
      </c>
      <c r="M155" t="n">
        <v>0.334397093585064</v>
      </c>
      <c r="N155" t="n">
        <v>0.332011550765813</v>
      </c>
      <c r="O155" t="n">
        <v>0.329080549719089</v>
      </c>
      <c r="P155" t="n">
        <v>0.325870283032267</v>
      </c>
      <c r="Q155" t="n">
        <v>0.322583883294157</v>
      </c>
      <c r="R155" t="n">
        <v>0.319386730049865</v>
      </c>
      <c r="S155" t="n">
        <v>0.316303811061327</v>
      </c>
      <c r="T155" t="n">
        <v>0.313223869220154</v>
      </c>
      <c r="U155" t="n">
        <v>0.309942288653021</v>
      </c>
      <c r="V155" t="n">
        <v>0.306251410380755</v>
      </c>
      <c r="W155" t="n">
        <v>3</v>
      </c>
      <c r="AG155" s="223" t="inlineStr">
        <is>
          <t>POP</t>
        </is>
      </c>
      <c r="AI155" t="n">
        <v>1</v>
      </c>
      <c r="AJ155" t="n">
        <v>0.997831549885011</v>
      </c>
      <c r="AK155" t="n">
        <v>0.986989299310067</v>
      </c>
      <c r="AL155" t="n">
        <v>0.976305741027938</v>
      </c>
      <c r="AM155" t="n">
        <v>0.967184619783603</v>
      </c>
      <c r="AN155" t="n">
        <v>0.960035587064387</v>
      </c>
      <c r="AO155" t="n">
        <v>0.954118558952653</v>
      </c>
      <c r="AP155" t="n">
        <v>0.94882198127353</v>
      </c>
      <c r="AQ155" t="n">
        <v>0.941337178369357</v>
      </c>
      <c r="AR155" t="n">
        <v>0.931743792928468</v>
      </c>
      <c r="AS155" t="n">
        <v>0.919779512436951</v>
      </c>
      <c r="AT155" t="n">
        <v>0.906486639396784</v>
      </c>
      <c r="AU155" t="n">
        <v>0.892687526928125</v>
      </c>
      <c r="AV155" t="n">
        <v>0.879075998408366</v>
      </c>
      <c r="AW155" t="n">
        <v>0.865765587031513</v>
      </c>
      <c r="AX155" t="n">
        <v>0.852277250499876</v>
      </c>
      <c r="AY155" t="n">
        <v>0.837699080032056</v>
      </c>
      <c r="AZ155" t="n">
        <v>0.821073160485202</v>
      </c>
      <c r="BA155" t="n">
        <v>0</v>
      </c>
      <c r="BB155" t="n">
        <v>0</v>
      </c>
      <c r="BC155" t="n">
        <v>0</v>
      </c>
      <c r="BD155" t="n">
        <v>0</v>
      </c>
      <c r="BE155" t="n">
        <v>0</v>
      </c>
      <c r="BF155" t="n">
        <v>0</v>
      </c>
      <c r="BG155" t="n">
        <v>0</v>
      </c>
      <c r="BH155" t="n">
        <v>0</v>
      </c>
      <c r="BJ155" t="inlineStr">
        <is>
          <t>Med2</t>
        </is>
      </c>
      <c r="BL155" t="n">
        <v>0.8</v>
      </c>
      <c r="BM155" t="n">
        <v>0.797560975609756</v>
      </c>
      <c r="BN155" t="n">
        <v>0.785365853658536</v>
      </c>
      <c r="BO155" t="n">
        <v>0.773170731707317</v>
      </c>
      <c r="BP155" t="n">
        <v>0.760975609756097</v>
      </c>
      <c r="BQ155" t="n">
        <v>0.748780487804878</v>
      </c>
      <c r="BR155" t="n">
        <v>0.736585365853658</v>
      </c>
      <c r="BS155" t="n">
        <v>0.724390243902439</v>
      </c>
      <c r="BT155" t="n">
        <v>0.71219512195122</v>
      </c>
      <c r="BU155" t="n">
        <v>0.699999999999999</v>
      </c>
      <c r="BV155" t="n">
        <v>0.687499999999999</v>
      </c>
      <c r="BW155" t="n">
        <v>0.675</v>
      </c>
      <c r="BX155" t="n">
        <v>0.6625</v>
      </c>
      <c r="BY155" t="n">
        <v>0.649999999999999</v>
      </c>
      <c r="BZ155" t="n">
        <v>0.637499999999999</v>
      </c>
      <c r="CA155" t="n">
        <v>0.625</v>
      </c>
      <c r="CB155" t="n">
        <v>0.6125</v>
      </c>
      <c r="CC155" t="n">
        <v>0.6</v>
      </c>
      <c r="CD155" t="e">
        <v>#VALUE!</v>
      </c>
      <c r="CE155" t="e">
        <v>#VALUE!</v>
      </c>
      <c r="CF155" t="e">
        <v>#VALUE!</v>
      </c>
      <c r="CG155" t="e">
        <v>#VALUE!</v>
      </c>
      <c r="CH155" t="e">
        <v>#VALUE!</v>
      </c>
      <c r="CI155" t="e">
        <v>#VALUE!</v>
      </c>
      <c r="CJ155" t="e">
        <v>#VALUE!</v>
      </c>
      <c r="CK155" t="e">
        <v>#VALUE!</v>
      </c>
    </row>
    <row r="156" ht="12.5" customHeight="1" s="213">
      <c r="A156" t="inlineStr">
        <is>
          <t>GreeceCyp</t>
        </is>
      </c>
      <c r="B156" t="inlineStr">
        <is>
          <t>Trd_car</t>
        </is>
      </c>
      <c r="C156" t="inlineStr">
        <is>
          <t>Trd_car</t>
        </is>
      </c>
      <c r="D156" t="n">
        <v>67.092</v>
      </c>
      <c r="E156" t="n">
        <v>66.886304245997</v>
      </c>
      <c r="G156" t="n">
        <v>79.5104599084931</v>
      </c>
      <c r="H156" t="n">
        <v>87.138802162632</v>
      </c>
      <c r="I156" t="n">
        <v>93.5151037625579</v>
      </c>
      <c r="J156" t="n">
        <v>100.123521876701</v>
      </c>
      <c r="K156" t="n">
        <v>106.421441172394</v>
      </c>
      <c r="L156" t="n">
        <v>112.34962785145</v>
      </c>
      <c r="M156" t="n">
        <v>118.324099367125</v>
      </c>
      <c r="N156" t="n">
        <v>124.311016313788</v>
      </c>
      <c r="O156" t="n">
        <v>130.2052243777</v>
      </c>
      <c r="P156" t="n">
        <v>135.649701955049</v>
      </c>
      <c r="Q156" t="n">
        <v>140.589883790382</v>
      </c>
      <c r="R156" t="n">
        <v>145.063001331268</v>
      </c>
      <c r="S156" t="n">
        <v>149.220945668528</v>
      </c>
      <c r="T156" t="n">
        <v>153.192270875538</v>
      </c>
      <c r="U156" t="n">
        <v>157.038113361228</v>
      </c>
      <c r="V156" t="n">
        <v>160.734740875473</v>
      </c>
      <c r="W156" t="n">
        <v>3</v>
      </c>
      <c r="AG156" s="223" t="inlineStr">
        <is>
          <t>GDPPCAP</t>
        </is>
      </c>
      <c r="AI156" t="n">
        <v>1</v>
      </c>
      <c r="AJ156" t="n">
        <v>0.996155935264151</v>
      </c>
      <c r="AK156" t="n">
        <v>1.23555389946112</v>
      </c>
      <c r="AL156" t="n">
        <v>1.38887156381701</v>
      </c>
      <c r="AM156" t="n">
        <v>1.52242301583788</v>
      </c>
      <c r="AN156" t="n">
        <v>1.66610310044898</v>
      </c>
      <c r="AO156" t="n">
        <v>1.80838175831382</v>
      </c>
      <c r="AP156" t="n">
        <v>1.94744433116738</v>
      </c>
      <c r="AQ156" t="n">
        <v>2.09285421046239</v>
      </c>
      <c r="AR156" t="n">
        <v>2.24413053427531</v>
      </c>
      <c r="AS156" t="n">
        <v>2.39890212904496</v>
      </c>
      <c r="AT156" t="n">
        <v>2.54750820288253</v>
      </c>
      <c r="AU156" t="n">
        <v>2.68754875008343</v>
      </c>
      <c r="AV156" t="n">
        <v>2.81910128848446</v>
      </c>
      <c r="AW156" t="n">
        <v>2.94585261214647</v>
      </c>
      <c r="AX156" t="n">
        <v>3.0712927900769</v>
      </c>
      <c r="AY156" t="n">
        <v>3.19717656737793</v>
      </c>
      <c r="AZ156" t="n">
        <v>3.32261077582049</v>
      </c>
      <c r="BA156" t="n">
        <v>0</v>
      </c>
      <c r="BB156" t="n">
        <v>0</v>
      </c>
      <c r="BC156" t="n">
        <v>0</v>
      </c>
      <c r="BD156" t="n">
        <v>0</v>
      </c>
      <c r="BE156" t="n">
        <v>0</v>
      </c>
      <c r="BF156" t="n">
        <v>0</v>
      </c>
      <c r="BG156" t="n">
        <v>0</v>
      </c>
      <c r="BH156" t="n">
        <v>0</v>
      </c>
      <c r="BJ156" t="inlineStr">
        <is>
          <t>Med2</t>
        </is>
      </c>
      <c r="BL156" t="n">
        <v>0.8</v>
      </c>
      <c r="BM156" t="n">
        <v>0.797560975609756</v>
      </c>
      <c r="BN156" t="n">
        <v>0.785365853658536</v>
      </c>
      <c r="BO156" t="n">
        <v>0.773170731707317</v>
      </c>
      <c r="BP156" t="n">
        <v>0.760975609756097</v>
      </c>
      <c r="BQ156" t="n">
        <v>0.748780487804878</v>
      </c>
      <c r="BR156" t="n">
        <v>0.736585365853658</v>
      </c>
      <c r="BS156" t="n">
        <v>0.724390243902439</v>
      </c>
      <c r="BT156" t="n">
        <v>0.71219512195122</v>
      </c>
      <c r="BU156" t="n">
        <v>0.699999999999999</v>
      </c>
      <c r="BV156" t="n">
        <v>0.687499999999999</v>
      </c>
      <c r="BW156" t="n">
        <v>0.675</v>
      </c>
      <c r="BX156" t="n">
        <v>0.6625</v>
      </c>
      <c r="BY156" t="n">
        <v>0.649999999999999</v>
      </c>
      <c r="BZ156" t="n">
        <v>0.637499999999999</v>
      </c>
      <c r="CA156" t="n">
        <v>0.625</v>
      </c>
      <c r="CB156" t="n">
        <v>0.6125</v>
      </c>
      <c r="CC156" t="n">
        <v>0.6</v>
      </c>
      <c r="CD156" t="e">
        <v>#VALUE!</v>
      </c>
      <c r="CE156" t="e">
        <v>#VALUE!</v>
      </c>
      <c r="CF156" t="e">
        <v>#VALUE!</v>
      </c>
      <c r="CG156" t="e">
        <v>#VALUE!</v>
      </c>
      <c r="CH156" t="e">
        <v>#VALUE!</v>
      </c>
      <c r="CI156" t="e">
        <v>#VALUE!</v>
      </c>
      <c r="CJ156" t="e">
        <v>#VALUE!</v>
      </c>
      <c r="CK156" t="e">
        <v>#VALUE!</v>
      </c>
    </row>
    <row r="157" ht="12.5" customHeight="1" s="213">
      <c r="A157" t="inlineStr">
        <is>
          <t>GreeceCyp</t>
        </is>
      </c>
      <c r="B157" t="inlineStr">
        <is>
          <t>Trd_hdt</t>
        </is>
      </c>
      <c r="C157" t="inlineStr">
        <is>
          <t>Trd_hdt</t>
        </is>
      </c>
      <c r="D157" t="n">
        <v>10.6</v>
      </c>
      <c r="E157" t="n">
        <v>10.5492397904824</v>
      </c>
      <c r="G157" t="n">
        <v>12.4286507881249</v>
      </c>
      <c r="H157" t="n">
        <v>13.5041486494862</v>
      </c>
      <c r="I157" t="n">
        <v>14.3870640478755</v>
      </c>
      <c r="J157" t="n">
        <v>15.3166098678511</v>
      </c>
      <c r="K157" t="n">
        <v>16.2045747711593</v>
      </c>
      <c r="L157" t="n">
        <v>17.0370732960652</v>
      </c>
      <c r="M157" t="n">
        <v>17.8401981053753</v>
      </c>
      <c r="N157" t="n">
        <v>18.6064006881076</v>
      </c>
      <c r="O157" t="n">
        <v>19.3130374898403</v>
      </c>
      <c r="P157" t="n">
        <v>19.9205292908841</v>
      </c>
      <c r="Q157" t="n">
        <v>20.4340663742675</v>
      </c>
      <c r="R157" t="n">
        <v>20.8717757076649</v>
      </c>
      <c r="S157" t="n">
        <v>21.2594982915538</v>
      </c>
      <c r="T157" t="n">
        <v>21.6094679512543</v>
      </c>
      <c r="U157" t="n">
        <v>21.9162893965133</v>
      </c>
      <c r="V157" t="n">
        <v>22.1609675139737</v>
      </c>
      <c r="W157" t="n">
        <v>3</v>
      </c>
      <c r="AG157" s="223" t="inlineStr">
        <is>
          <t>GDP</t>
        </is>
      </c>
      <c r="AI157" t="n">
        <v>1</v>
      </c>
      <c r="AJ157" t="n">
        <v>0.9939958208117819</v>
      </c>
      <c r="AK157" t="n">
        <v>1.21947847748895</v>
      </c>
      <c r="AL157" t="n">
        <v>1.35596328130499</v>
      </c>
      <c r="AM157" t="n">
        <v>1.47246412572297</v>
      </c>
      <c r="AN157" t="n">
        <v>1.59951826814933</v>
      </c>
      <c r="AO157" t="n">
        <v>1.72541059727865</v>
      </c>
      <c r="AP157" t="n">
        <v>1.84777798871814</v>
      </c>
      <c r="AQ157" t="n">
        <v>1.9700814772151</v>
      </c>
      <c r="AR157" t="n">
        <v>2.09095469583227</v>
      </c>
      <c r="AS157" t="n">
        <v>2.20646103063693</v>
      </c>
      <c r="AT157" t="n">
        <v>2.30928214966673</v>
      </c>
      <c r="AU157" t="n">
        <v>2.39914124721075</v>
      </c>
      <c r="AV157" t="n">
        <v>2.47820427978879</v>
      </c>
      <c r="AW157" t="n">
        <v>2.55041781606331</v>
      </c>
      <c r="AX157" t="n">
        <v>2.61759297460683</v>
      </c>
      <c r="AY157" t="n">
        <v>2.67827186919254</v>
      </c>
      <c r="AZ157" t="n">
        <v>2.72810653076512</v>
      </c>
      <c r="BA157" t="n">
        <v>0</v>
      </c>
      <c r="BB157" t="n">
        <v>0</v>
      </c>
      <c r="BC157" t="n">
        <v>0</v>
      </c>
      <c r="BD157" t="n">
        <v>0</v>
      </c>
      <c r="BE157" t="n">
        <v>0</v>
      </c>
      <c r="BF157" t="n">
        <v>0</v>
      </c>
      <c r="BG157" t="n">
        <v>0</v>
      </c>
      <c r="BH157" t="n">
        <v>0</v>
      </c>
      <c r="BJ157" t="inlineStr">
        <is>
          <t>Med2</t>
        </is>
      </c>
      <c r="BL157" t="n">
        <v>0.8</v>
      </c>
      <c r="BM157" t="n">
        <v>0.797560975609756</v>
      </c>
      <c r="BN157" t="n">
        <v>0.785365853658536</v>
      </c>
      <c r="BO157" t="n">
        <v>0.773170731707317</v>
      </c>
      <c r="BP157" t="n">
        <v>0.760975609756097</v>
      </c>
      <c r="BQ157" t="n">
        <v>0.748780487804878</v>
      </c>
      <c r="BR157" t="n">
        <v>0.736585365853658</v>
      </c>
      <c r="BS157" t="n">
        <v>0.724390243902439</v>
      </c>
      <c r="BT157" t="n">
        <v>0.71219512195122</v>
      </c>
      <c r="BU157" t="n">
        <v>0.699999999999999</v>
      </c>
      <c r="BV157" t="n">
        <v>0.687499999999999</v>
      </c>
      <c r="BW157" t="n">
        <v>0.675</v>
      </c>
      <c r="BX157" t="n">
        <v>0.6625</v>
      </c>
      <c r="BY157" t="n">
        <v>0.649999999999999</v>
      </c>
      <c r="BZ157" t="n">
        <v>0.637499999999999</v>
      </c>
      <c r="CA157" t="n">
        <v>0.625</v>
      </c>
      <c r="CB157" t="n">
        <v>0.6125</v>
      </c>
      <c r="CC157" t="n">
        <v>0.6</v>
      </c>
      <c r="CD157" t="e">
        <v>#VALUE!</v>
      </c>
      <c r="CE157" t="e">
        <v>#VALUE!</v>
      </c>
      <c r="CF157" t="e">
        <v>#VALUE!</v>
      </c>
      <c r="CG157" t="e">
        <v>#VALUE!</v>
      </c>
      <c r="CH157" t="e">
        <v>#VALUE!</v>
      </c>
      <c r="CI157" t="e">
        <v>#VALUE!</v>
      </c>
      <c r="CJ157" t="e">
        <v>#VALUE!</v>
      </c>
      <c r="CK157" t="e">
        <v>#VALUE!</v>
      </c>
    </row>
    <row r="158" ht="12.5" customHeight="1" s="213">
      <c r="A158" t="inlineStr">
        <is>
          <t>GreeceCyp</t>
        </is>
      </c>
      <c r="B158" t="inlineStr">
        <is>
          <t>Trd_lcv</t>
        </is>
      </c>
      <c r="C158" t="inlineStr">
        <is>
          <t>Trd_lcv</t>
        </is>
      </c>
      <c r="D158" t="n">
        <v>7.76</v>
      </c>
      <c r="E158" t="n">
        <v>7.72283969567393</v>
      </c>
      <c r="G158" t="n">
        <v>9.098710388287641</v>
      </c>
      <c r="H158" t="n">
        <v>9.886055992454009</v>
      </c>
      <c r="I158" t="n">
        <v>10.5324166991994</v>
      </c>
      <c r="J158" t="n">
        <v>11.2129143938231</v>
      </c>
      <c r="K158" t="n">
        <v>11.8629717192638</v>
      </c>
      <c r="L158" t="n">
        <v>12.4724234695723</v>
      </c>
      <c r="M158" t="n">
        <v>13.0603714431804</v>
      </c>
      <c r="N158" t="n">
        <v>13.6212895603505</v>
      </c>
      <c r="O158" t="n">
        <v>14.1386010302982</v>
      </c>
      <c r="P158" t="n">
        <v>14.5833308771001</v>
      </c>
      <c r="Q158" t="n">
        <v>14.9592787796524</v>
      </c>
      <c r="R158" t="n">
        <v>15.279715046366</v>
      </c>
      <c r="S158" t="n">
        <v>15.5635572398545</v>
      </c>
      <c r="T158" t="n">
        <v>15.8197614435597</v>
      </c>
      <c r="U158" t="n">
        <v>16.0443778978249</v>
      </c>
      <c r="V158" t="n">
        <v>16.2235007460789</v>
      </c>
      <c r="W158" t="n">
        <v>3</v>
      </c>
      <c r="AG158" s="223" t="inlineStr">
        <is>
          <t>GDP</t>
        </is>
      </c>
      <c r="AI158" t="n">
        <v>1</v>
      </c>
      <c r="AJ158" t="n">
        <v>0.9939958208117819</v>
      </c>
      <c r="AK158" t="n">
        <v>1.21947847748895</v>
      </c>
      <c r="AL158" t="n">
        <v>1.35596328130499</v>
      </c>
      <c r="AM158" t="n">
        <v>1.47246412572297</v>
      </c>
      <c r="AN158" t="n">
        <v>1.59951826814933</v>
      </c>
      <c r="AO158" t="n">
        <v>1.72541059727865</v>
      </c>
      <c r="AP158" t="n">
        <v>1.84777798871814</v>
      </c>
      <c r="AQ158" t="n">
        <v>1.9700814772151</v>
      </c>
      <c r="AR158" t="n">
        <v>2.09095469583227</v>
      </c>
      <c r="AS158" t="n">
        <v>2.20646103063693</v>
      </c>
      <c r="AT158" t="n">
        <v>2.30928214966673</v>
      </c>
      <c r="AU158" t="n">
        <v>2.39914124721075</v>
      </c>
      <c r="AV158" t="n">
        <v>2.47820427978879</v>
      </c>
      <c r="AW158" t="n">
        <v>2.55041781606331</v>
      </c>
      <c r="AX158" t="n">
        <v>2.61759297460683</v>
      </c>
      <c r="AY158" t="n">
        <v>2.67827186919254</v>
      </c>
      <c r="AZ158" t="n">
        <v>2.72810653076512</v>
      </c>
      <c r="BA158" t="n">
        <v>0</v>
      </c>
      <c r="BB158" t="n">
        <v>0</v>
      </c>
      <c r="BC158" t="n">
        <v>0</v>
      </c>
      <c r="BD158" t="n">
        <v>0</v>
      </c>
      <c r="BE158" t="n">
        <v>0</v>
      </c>
      <c r="BF158" t="n">
        <v>0</v>
      </c>
      <c r="BG158" t="n">
        <v>0</v>
      </c>
      <c r="BH158" t="n">
        <v>0</v>
      </c>
      <c r="BJ158" t="inlineStr">
        <is>
          <t>Med2</t>
        </is>
      </c>
      <c r="BL158" t="n">
        <v>0.8</v>
      </c>
      <c r="BM158" t="n">
        <v>0.797560975609756</v>
      </c>
      <c r="BN158" t="n">
        <v>0.785365853658536</v>
      </c>
      <c r="BO158" t="n">
        <v>0.773170731707317</v>
      </c>
      <c r="BP158" t="n">
        <v>0.760975609756097</v>
      </c>
      <c r="BQ158" t="n">
        <v>0.748780487804878</v>
      </c>
      <c r="BR158" t="n">
        <v>0.736585365853658</v>
      </c>
      <c r="BS158" t="n">
        <v>0.724390243902439</v>
      </c>
      <c r="BT158" t="n">
        <v>0.71219512195122</v>
      </c>
      <c r="BU158" t="n">
        <v>0.699999999999999</v>
      </c>
      <c r="BV158" t="n">
        <v>0.687499999999999</v>
      </c>
      <c r="BW158" t="n">
        <v>0.675</v>
      </c>
      <c r="BX158" t="n">
        <v>0.6625</v>
      </c>
      <c r="BY158" t="n">
        <v>0.649999999999999</v>
      </c>
      <c r="BZ158" t="n">
        <v>0.637499999999999</v>
      </c>
      <c r="CA158" t="n">
        <v>0.625</v>
      </c>
      <c r="CB158" t="n">
        <v>0.6125</v>
      </c>
      <c r="CC158" t="n">
        <v>0.6</v>
      </c>
      <c r="CD158" t="e">
        <v>#VALUE!</v>
      </c>
      <c r="CE158" t="e">
        <v>#VALUE!</v>
      </c>
      <c r="CF158" t="e">
        <v>#VALUE!</v>
      </c>
      <c r="CG158" t="e">
        <v>#VALUE!</v>
      </c>
      <c r="CH158" t="e">
        <v>#VALUE!</v>
      </c>
      <c r="CI158" t="e">
        <v>#VALUE!</v>
      </c>
      <c r="CJ158" t="e">
        <v>#VALUE!</v>
      </c>
      <c r="CK158" t="e">
        <v>#VALUE!</v>
      </c>
    </row>
    <row r="159" ht="12.5" customHeight="1" s="213">
      <c r="A159" t="inlineStr">
        <is>
          <t>HunRomBul</t>
        </is>
      </c>
      <c r="B159" t="inlineStr">
        <is>
          <t>TAD</t>
        </is>
      </c>
      <c r="C159" t="inlineStr">
        <is>
          <t>TAD</t>
        </is>
      </c>
      <c r="E159" t="n">
        <v>3.26516627111412</v>
      </c>
      <c r="F159">
        <f>E159</f>
        <v/>
      </c>
      <c r="I159">
        <f>F159</f>
        <v/>
      </c>
      <c r="J159">
        <f>I159</f>
        <v/>
      </c>
      <c r="L159">
        <f>J159</f>
        <v/>
      </c>
      <c r="V159">
        <f>L159</f>
        <v/>
      </c>
      <c r="W159" t="n">
        <v>3</v>
      </c>
      <c r="AG159" s="223" t="inlineStr">
        <is>
          <t>GDP</t>
        </is>
      </c>
      <c r="AI159" t="n">
        <v>1</v>
      </c>
      <c r="AJ159" t="n">
        <v>1.02621483239062</v>
      </c>
      <c r="AK159" t="n">
        <v>1.22119565054484</v>
      </c>
      <c r="AL159" t="n">
        <v>1.38784904257775</v>
      </c>
      <c r="AM159" t="n">
        <v>1.5285762184508</v>
      </c>
      <c r="AN159" t="n">
        <v>1.63888949552538</v>
      </c>
      <c r="AO159" t="n">
        <v>1.72357630623467</v>
      </c>
      <c r="AP159" t="n">
        <v>1.79283349626876</v>
      </c>
      <c r="AQ159" t="n">
        <v>1.85482924752953</v>
      </c>
      <c r="AR159" t="n">
        <v>1.91218851178937</v>
      </c>
      <c r="AS159" t="n">
        <v>1.96545083867851</v>
      </c>
      <c r="AT159" t="n">
        <v>2.01132968580655</v>
      </c>
      <c r="AU159" t="n">
        <v>2.05220699350528</v>
      </c>
      <c r="AV159" t="n">
        <v>2.08953761881332</v>
      </c>
      <c r="AW159" t="n">
        <v>2.12524424255582</v>
      </c>
      <c r="AX159" t="n">
        <v>2.16064148168893</v>
      </c>
      <c r="AY159" t="n">
        <v>2.19610937613075</v>
      </c>
      <c r="AZ159" t="n">
        <v>2.22905937229824</v>
      </c>
      <c r="BA159" t="n">
        <v>0</v>
      </c>
      <c r="BB159" t="n">
        <v>0</v>
      </c>
      <c r="BC159" t="n">
        <v>0</v>
      </c>
      <c r="BD159" t="n">
        <v>0</v>
      </c>
      <c r="BE159" t="n">
        <v>0</v>
      </c>
      <c r="BF159" t="n">
        <v>0</v>
      </c>
      <c r="BG159" t="n">
        <v>0</v>
      </c>
      <c r="BH159" t="n">
        <v>0</v>
      </c>
      <c r="BJ159" t="inlineStr">
        <is>
          <t>Med2</t>
        </is>
      </c>
      <c r="BL159" t="n">
        <v>0.8</v>
      </c>
      <c r="BM159" t="n">
        <v>0.797560975609756</v>
      </c>
      <c r="BN159" t="n">
        <v>0.785365853658536</v>
      </c>
      <c r="BO159" t="n">
        <v>0.773170731707317</v>
      </c>
      <c r="BP159" t="n">
        <v>0.760975609756097</v>
      </c>
      <c r="BQ159" t="n">
        <v>0.748780487804878</v>
      </c>
      <c r="BR159" t="n">
        <v>0.736585365853658</v>
      </c>
      <c r="BS159" t="n">
        <v>0.724390243902439</v>
      </c>
      <c r="BT159" t="n">
        <v>0.71219512195122</v>
      </c>
      <c r="BU159" t="n">
        <v>0.699999999999999</v>
      </c>
      <c r="BV159" t="n">
        <v>0.687499999999999</v>
      </c>
      <c r="BW159" t="n">
        <v>0.675</v>
      </c>
      <c r="BX159" t="n">
        <v>0.6625</v>
      </c>
      <c r="BY159" t="n">
        <v>0.649999999999999</v>
      </c>
      <c r="BZ159" t="n">
        <v>0.637499999999999</v>
      </c>
      <c r="CA159" t="n">
        <v>0.625</v>
      </c>
      <c r="CB159" t="n">
        <v>0.6125</v>
      </c>
      <c r="CC159" t="n">
        <v>0.6</v>
      </c>
      <c r="CD159" t="e">
        <v>#VALUE!</v>
      </c>
      <c r="CE159" t="e">
        <v>#VALUE!</v>
      </c>
      <c r="CF159" t="e">
        <v>#VALUE!</v>
      </c>
      <c r="CG159" t="e">
        <v>#VALUE!</v>
      </c>
      <c r="CH159" t="e">
        <v>#VALUE!</v>
      </c>
      <c r="CI159" t="e">
        <v>#VALUE!</v>
      </c>
      <c r="CJ159" t="e">
        <v>#VALUE!</v>
      </c>
      <c r="CK159" t="e">
        <v>#VALUE!</v>
      </c>
    </row>
    <row r="160" ht="12.5" customHeight="1" s="213">
      <c r="A160" t="inlineStr">
        <is>
          <t>HunRomBul</t>
        </is>
      </c>
      <c r="B160" t="inlineStr">
        <is>
          <t>TAI</t>
        </is>
      </c>
      <c r="C160" t="inlineStr">
        <is>
          <t>TAI</t>
        </is>
      </c>
      <c r="E160" t="n">
        <v>28.7692351147517</v>
      </c>
      <c r="F160">
        <f>E160</f>
        <v/>
      </c>
      <c r="I160">
        <f>F160</f>
        <v/>
      </c>
      <c r="J160">
        <f>I160</f>
        <v/>
      </c>
      <c r="L160">
        <f>J160</f>
        <v/>
      </c>
      <c r="V160">
        <f>L160</f>
        <v/>
      </c>
      <c r="W160" t="n">
        <v>3</v>
      </c>
      <c r="AG160" s="223" t="inlineStr">
        <is>
          <t>GDP</t>
        </is>
      </c>
      <c r="AI160" t="n">
        <v>1</v>
      </c>
      <c r="AJ160" t="n">
        <v>1.02621483239062</v>
      </c>
      <c r="AK160" t="n">
        <v>1.22119565054484</v>
      </c>
      <c r="AL160" t="n">
        <v>1.38784904257775</v>
      </c>
      <c r="AM160" t="n">
        <v>1.5285762184508</v>
      </c>
      <c r="AN160" t="n">
        <v>1.63888949552538</v>
      </c>
      <c r="AO160" t="n">
        <v>1.72357630623467</v>
      </c>
      <c r="AP160" t="n">
        <v>1.79283349626876</v>
      </c>
      <c r="AQ160" t="n">
        <v>1.85482924752953</v>
      </c>
      <c r="AR160" t="n">
        <v>1.91218851178937</v>
      </c>
      <c r="AS160" t="n">
        <v>1.96545083867851</v>
      </c>
      <c r="AT160" t="n">
        <v>2.01132968580655</v>
      </c>
      <c r="AU160" t="n">
        <v>2.05220699350528</v>
      </c>
      <c r="AV160" t="n">
        <v>2.08953761881332</v>
      </c>
      <c r="AW160" t="n">
        <v>2.12524424255582</v>
      </c>
      <c r="AX160" t="n">
        <v>2.16064148168893</v>
      </c>
      <c r="AY160" t="n">
        <v>2.19610937613075</v>
      </c>
      <c r="AZ160" t="n">
        <v>2.22905937229824</v>
      </c>
      <c r="BA160" t="n">
        <v>0</v>
      </c>
      <c r="BB160" t="n">
        <v>0</v>
      </c>
      <c r="BC160" t="n">
        <v>0</v>
      </c>
      <c r="BD160" t="n">
        <v>0</v>
      </c>
      <c r="BE160" t="n">
        <v>0</v>
      </c>
      <c r="BF160" t="n">
        <v>0</v>
      </c>
      <c r="BG160" t="n">
        <v>0</v>
      </c>
      <c r="BH160" t="n">
        <v>0</v>
      </c>
      <c r="BJ160" t="inlineStr">
        <is>
          <t>Med2</t>
        </is>
      </c>
      <c r="BL160" t="n">
        <v>0.8</v>
      </c>
      <c r="BM160" t="n">
        <v>0.797560975609756</v>
      </c>
      <c r="BN160" t="n">
        <v>0.785365853658536</v>
      </c>
      <c r="BO160" t="n">
        <v>0.773170731707317</v>
      </c>
      <c r="BP160" t="n">
        <v>0.760975609756097</v>
      </c>
      <c r="BQ160" t="n">
        <v>0.748780487804878</v>
      </c>
      <c r="BR160" t="n">
        <v>0.736585365853658</v>
      </c>
      <c r="BS160" t="n">
        <v>0.724390243902439</v>
      </c>
      <c r="BT160" t="n">
        <v>0.71219512195122</v>
      </c>
      <c r="BU160" t="n">
        <v>0.699999999999999</v>
      </c>
      <c r="BV160" t="n">
        <v>0.687499999999999</v>
      </c>
      <c r="BW160" t="n">
        <v>0.675</v>
      </c>
      <c r="BX160" t="n">
        <v>0.6625</v>
      </c>
      <c r="BY160" t="n">
        <v>0.649999999999999</v>
      </c>
      <c r="BZ160" t="n">
        <v>0.637499999999999</v>
      </c>
      <c r="CA160" t="n">
        <v>0.625</v>
      </c>
      <c r="CB160" t="n">
        <v>0.6125</v>
      </c>
      <c r="CC160" t="n">
        <v>0.6</v>
      </c>
      <c r="CD160" t="e">
        <v>#VALUE!</v>
      </c>
      <c r="CE160" t="e">
        <v>#VALUE!</v>
      </c>
      <c r="CF160" t="e">
        <v>#VALUE!</v>
      </c>
      <c r="CG160" t="e">
        <v>#VALUE!</v>
      </c>
      <c r="CH160" t="e">
        <v>#VALUE!</v>
      </c>
      <c r="CI160" t="e">
        <v>#VALUE!</v>
      </c>
      <c r="CJ160" t="e">
        <v>#VALUE!</v>
      </c>
      <c r="CK160" t="e">
        <v>#VALUE!</v>
      </c>
    </row>
    <row r="161" ht="12.5" customHeight="1" s="213">
      <c r="A161" t="inlineStr">
        <is>
          <t>HunRomBul</t>
        </is>
      </c>
      <c r="B161" t="inlineStr">
        <is>
          <t>TTF</t>
        </is>
      </c>
      <c r="C161" t="inlineStr">
        <is>
          <t>TTF</t>
        </is>
      </c>
      <c r="E161" t="n">
        <v>7.75342561481203</v>
      </c>
      <c r="I161" t="n">
        <v>10.6106392868222</v>
      </c>
      <c r="J161" t="n">
        <v>11.184011651854</v>
      </c>
      <c r="L161" t="n">
        <v>11.9476259257563</v>
      </c>
      <c r="V161" t="n">
        <v>13.8206787126309</v>
      </c>
      <c r="W161" t="n">
        <v>3</v>
      </c>
      <c r="AG161" s="223" t="inlineStr">
        <is>
          <t>GDP</t>
        </is>
      </c>
      <c r="AI161" t="n">
        <v>1</v>
      </c>
      <c r="AJ161" t="n">
        <v>1.02621483239062</v>
      </c>
      <c r="AK161" t="n">
        <v>1.22119565054484</v>
      </c>
      <c r="AL161" t="n">
        <v>1.38784904257775</v>
      </c>
      <c r="AM161" t="n">
        <v>1.5285762184508</v>
      </c>
      <c r="AN161" t="n">
        <v>1.63888949552538</v>
      </c>
      <c r="AO161" t="n">
        <v>1.72357630623467</v>
      </c>
      <c r="AP161" t="n">
        <v>1.79283349626876</v>
      </c>
      <c r="AQ161" t="n">
        <v>1.85482924752953</v>
      </c>
      <c r="AR161" t="n">
        <v>1.91218851178937</v>
      </c>
      <c r="AS161" t="n">
        <v>1.96545083867851</v>
      </c>
      <c r="AT161" t="n">
        <v>2.01132968580655</v>
      </c>
      <c r="AU161" t="n">
        <v>2.05220699350528</v>
      </c>
      <c r="AV161" t="n">
        <v>2.08953761881332</v>
      </c>
      <c r="AW161" t="n">
        <v>2.12524424255582</v>
      </c>
      <c r="AX161" t="n">
        <v>2.16064148168893</v>
      </c>
      <c r="AY161" t="n">
        <v>2.19610937613075</v>
      </c>
      <c r="AZ161" t="n">
        <v>2.22905937229824</v>
      </c>
      <c r="BA161" t="n">
        <v>0</v>
      </c>
      <c r="BB161" t="n">
        <v>0</v>
      </c>
      <c r="BC161" t="n">
        <v>0</v>
      </c>
      <c r="BD161" t="n">
        <v>0</v>
      </c>
      <c r="BE161" t="n">
        <v>0</v>
      </c>
      <c r="BF161" t="n">
        <v>0</v>
      </c>
      <c r="BG161" t="n">
        <v>0</v>
      </c>
      <c r="BH161" t="n">
        <v>0</v>
      </c>
      <c r="BJ161" t="inlineStr">
        <is>
          <t>Med2</t>
        </is>
      </c>
      <c r="BL161" t="n">
        <v>0.8</v>
      </c>
      <c r="BM161" t="n">
        <v>0.797560975609756</v>
      </c>
      <c r="BN161" t="n">
        <v>0.785365853658536</v>
      </c>
      <c r="BO161" t="n">
        <v>0.773170731707317</v>
      </c>
      <c r="BP161" t="n">
        <v>0.760975609756097</v>
      </c>
      <c r="BQ161" t="n">
        <v>0.748780487804878</v>
      </c>
      <c r="BR161" t="n">
        <v>0.736585365853658</v>
      </c>
      <c r="BS161" t="n">
        <v>0.724390243902439</v>
      </c>
      <c r="BT161" t="n">
        <v>0.71219512195122</v>
      </c>
      <c r="BU161" t="n">
        <v>0.699999999999999</v>
      </c>
      <c r="BV161" t="n">
        <v>0.687499999999999</v>
      </c>
      <c r="BW161" t="n">
        <v>0.675</v>
      </c>
      <c r="BX161" t="n">
        <v>0.6625</v>
      </c>
      <c r="BY161" t="n">
        <v>0.649999999999999</v>
      </c>
      <c r="BZ161" t="n">
        <v>0.637499999999999</v>
      </c>
      <c r="CA161" t="n">
        <v>0.625</v>
      </c>
      <c r="CB161" t="n">
        <v>0.6125</v>
      </c>
      <c r="CC161" t="n">
        <v>0.6</v>
      </c>
      <c r="CD161" t="e">
        <v>#VALUE!</v>
      </c>
      <c r="CE161" t="e">
        <v>#VALUE!</v>
      </c>
      <c r="CF161" t="e">
        <v>#VALUE!</v>
      </c>
      <c r="CG161" t="e">
        <v>#VALUE!</v>
      </c>
      <c r="CH161" t="e">
        <v>#VALUE!</v>
      </c>
      <c r="CI161" t="e">
        <v>#VALUE!</v>
      </c>
      <c r="CJ161" t="e">
        <v>#VALUE!</v>
      </c>
      <c r="CK161" t="e">
        <v>#VALUE!</v>
      </c>
    </row>
    <row r="162" ht="12.5" customHeight="1" s="213">
      <c r="A162" t="inlineStr">
        <is>
          <t>HunRomBul</t>
        </is>
      </c>
      <c r="B162" t="inlineStr">
        <is>
          <t>TTP</t>
        </is>
      </c>
      <c r="C162" t="inlineStr">
        <is>
          <t>TTP</t>
        </is>
      </c>
      <c r="E162" t="n">
        <v>8.674739131687909</v>
      </c>
      <c r="I162" t="n">
        <v>8.08336435165592</v>
      </c>
      <c r="J162" t="n">
        <v>7.89625828842359</v>
      </c>
      <c r="L162" t="n">
        <v>7.54541790110384</v>
      </c>
      <c r="V162" t="n">
        <v>6.17662652933353</v>
      </c>
      <c r="W162" t="n">
        <v>3</v>
      </c>
      <c r="AG162" s="223" t="inlineStr">
        <is>
          <t>POP</t>
        </is>
      </c>
      <c r="AI162" t="n">
        <v>1</v>
      </c>
      <c r="AJ162" t="n">
        <v>0.993839655291651</v>
      </c>
      <c r="AK162" t="n">
        <v>0.963037931749907</v>
      </c>
      <c r="AL162" t="n">
        <v>0.935448209186594</v>
      </c>
      <c r="AM162" t="n">
        <v>0.906817669447105</v>
      </c>
      <c r="AN162" t="n">
        <v>0.878785212650304</v>
      </c>
      <c r="AO162" t="n">
        <v>0.851574726117705</v>
      </c>
      <c r="AP162" t="n">
        <v>0.825561062915208</v>
      </c>
      <c r="AQ162" t="n">
        <v>0.80022969036693</v>
      </c>
      <c r="AR162" t="n">
        <v>0.774550748708733</v>
      </c>
      <c r="AS162" t="n">
        <v>0.74830418571332</v>
      </c>
      <c r="AT162" t="n">
        <v>0.722575771339761</v>
      </c>
      <c r="AU162" t="n">
        <v>0.698620759317864</v>
      </c>
      <c r="AV162" t="n">
        <v>0.677055093171943</v>
      </c>
      <c r="AW162" t="n">
        <v>0.657833573577332</v>
      </c>
      <c r="AX162" t="n">
        <v>0.640476320673726</v>
      </c>
      <c r="AY162" t="n">
        <v>0.624349283813413</v>
      </c>
      <c r="AZ162" t="n">
        <v>0.6084595844978939</v>
      </c>
      <c r="BA162" t="n">
        <v>0</v>
      </c>
      <c r="BB162" t="n">
        <v>0</v>
      </c>
      <c r="BC162" t="n">
        <v>0</v>
      </c>
      <c r="BD162" t="n">
        <v>0</v>
      </c>
      <c r="BE162" t="n">
        <v>0</v>
      </c>
      <c r="BF162" t="n">
        <v>0</v>
      </c>
      <c r="BG162" t="n">
        <v>0</v>
      </c>
      <c r="BH162" t="n">
        <v>0</v>
      </c>
      <c r="BJ162" t="inlineStr">
        <is>
          <t>Med2</t>
        </is>
      </c>
      <c r="BL162" t="n">
        <v>0.8</v>
      </c>
      <c r="BM162" t="n">
        <v>0.797560975609756</v>
      </c>
      <c r="BN162" t="n">
        <v>0.785365853658536</v>
      </c>
      <c r="BO162" t="n">
        <v>0.773170731707317</v>
      </c>
      <c r="BP162" t="n">
        <v>0.760975609756097</v>
      </c>
      <c r="BQ162" t="n">
        <v>0.748780487804878</v>
      </c>
      <c r="BR162" t="n">
        <v>0.736585365853658</v>
      </c>
      <c r="BS162" t="n">
        <v>0.724390243902439</v>
      </c>
      <c r="BT162" t="n">
        <v>0.71219512195122</v>
      </c>
      <c r="BU162" t="n">
        <v>0.699999999999999</v>
      </c>
      <c r="BV162" t="n">
        <v>0.687499999999999</v>
      </c>
      <c r="BW162" t="n">
        <v>0.675</v>
      </c>
      <c r="BX162" t="n">
        <v>0.6625</v>
      </c>
      <c r="BY162" t="n">
        <v>0.649999999999999</v>
      </c>
      <c r="BZ162" t="n">
        <v>0.637499999999999</v>
      </c>
      <c r="CA162" t="n">
        <v>0.625</v>
      </c>
      <c r="CB162" t="n">
        <v>0.6125</v>
      </c>
      <c r="CC162" t="n">
        <v>0.6</v>
      </c>
      <c r="CD162" t="e">
        <v>#VALUE!</v>
      </c>
      <c r="CE162" t="e">
        <v>#VALUE!</v>
      </c>
      <c r="CF162" t="e">
        <v>#VALUE!</v>
      </c>
      <c r="CG162" t="e">
        <v>#VALUE!</v>
      </c>
      <c r="CH162" t="e">
        <v>#VALUE!</v>
      </c>
      <c r="CI162" t="e">
        <v>#VALUE!</v>
      </c>
      <c r="CJ162" t="e">
        <v>#VALUE!</v>
      </c>
      <c r="CK162" t="e">
        <v>#VALUE!</v>
      </c>
    </row>
    <row r="163" ht="12.5" customHeight="1" s="213">
      <c r="A163" t="inlineStr">
        <is>
          <t>HunRomBul</t>
        </is>
      </c>
      <c r="B163" t="inlineStr">
        <is>
          <t>TWD</t>
        </is>
      </c>
      <c r="C163" t="inlineStr">
        <is>
          <t>TWD</t>
        </is>
      </c>
      <c r="E163" t="n">
        <v>2.08057642901886</v>
      </c>
      <c r="F163">
        <f>E163</f>
        <v/>
      </c>
      <c r="I163">
        <f>F163</f>
        <v/>
      </c>
      <c r="J163">
        <f>I163</f>
        <v/>
      </c>
      <c r="L163">
        <f>J163</f>
        <v/>
      </c>
      <c r="V163">
        <f>L163</f>
        <v/>
      </c>
      <c r="W163" t="n">
        <v>3</v>
      </c>
      <c r="AG163" s="223" t="inlineStr">
        <is>
          <t>GDP</t>
        </is>
      </c>
      <c r="AI163" t="n">
        <v>1</v>
      </c>
      <c r="AJ163" t="n">
        <v>1.02621483239062</v>
      </c>
      <c r="AK163" t="n">
        <v>1.22119565054484</v>
      </c>
      <c r="AL163" t="n">
        <v>1.38784904257775</v>
      </c>
      <c r="AM163" t="n">
        <v>1.5285762184508</v>
      </c>
      <c r="AN163" t="n">
        <v>1.63888949552538</v>
      </c>
      <c r="AO163" t="n">
        <v>1.72357630623467</v>
      </c>
      <c r="AP163" t="n">
        <v>1.79283349626876</v>
      </c>
      <c r="AQ163" t="n">
        <v>1.85482924752953</v>
      </c>
      <c r="AR163" t="n">
        <v>1.91218851178937</v>
      </c>
      <c r="AS163" t="n">
        <v>1.96545083867851</v>
      </c>
      <c r="AT163" t="n">
        <v>2.01132968580655</v>
      </c>
      <c r="AU163" t="n">
        <v>2.05220699350528</v>
      </c>
      <c r="AV163" t="n">
        <v>2.08953761881332</v>
      </c>
      <c r="AW163" t="n">
        <v>2.12524424255582</v>
      </c>
      <c r="AX163" t="n">
        <v>2.16064148168893</v>
      </c>
      <c r="AY163" t="n">
        <v>2.19610937613075</v>
      </c>
      <c r="AZ163" t="n">
        <v>2.22905937229824</v>
      </c>
      <c r="BA163" t="n">
        <v>0</v>
      </c>
      <c r="BB163" t="n">
        <v>0</v>
      </c>
      <c r="BC163" t="n">
        <v>0</v>
      </c>
      <c r="BD163" t="n">
        <v>0</v>
      </c>
      <c r="BE163" t="n">
        <v>0</v>
      </c>
      <c r="BF163" t="n">
        <v>0</v>
      </c>
      <c r="BG163" t="n">
        <v>0</v>
      </c>
      <c r="BH163" t="n">
        <v>0</v>
      </c>
      <c r="BJ163" t="inlineStr">
        <is>
          <t>Med2</t>
        </is>
      </c>
      <c r="BL163" t="n">
        <v>0.8</v>
      </c>
      <c r="BM163" t="n">
        <v>0.797560975609756</v>
      </c>
      <c r="BN163" t="n">
        <v>0.785365853658536</v>
      </c>
      <c r="BO163" t="n">
        <v>0.773170731707317</v>
      </c>
      <c r="BP163" t="n">
        <v>0.760975609756097</v>
      </c>
      <c r="BQ163" t="n">
        <v>0.748780487804878</v>
      </c>
      <c r="BR163" t="n">
        <v>0.736585365853658</v>
      </c>
      <c r="BS163" t="n">
        <v>0.724390243902439</v>
      </c>
      <c r="BT163" t="n">
        <v>0.71219512195122</v>
      </c>
      <c r="BU163" t="n">
        <v>0.699999999999999</v>
      </c>
      <c r="BV163" t="n">
        <v>0.687499999999999</v>
      </c>
      <c r="BW163" t="n">
        <v>0.675</v>
      </c>
      <c r="BX163" t="n">
        <v>0.6625</v>
      </c>
      <c r="BY163" t="n">
        <v>0.649999999999999</v>
      </c>
      <c r="BZ163" t="n">
        <v>0.637499999999999</v>
      </c>
      <c r="CA163" t="n">
        <v>0.625</v>
      </c>
      <c r="CB163" t="n">
        <v>0.6125</v>
      </c>
      <c r="CC163" t="n">
        <v>0.6</v>
      </c>
      <c r="CD163" t="e">
        <v>#VALUE!</v>
      </c>
      <c r="CE163" t="e">
        <v>#VALUE!</v>
      </c>
      <c r="CF163" t="e">
        <v>#VALUE!</v>
      </c>
      <c r="CG163" t="e">
        <v>#VALUE!</v>
      </c>
      <c r="CH163" t="e">
        <v>#VALUE!</v>
      </c>
      <c r="CI163" t="e">
        <v>#VALUE!</v>
      </c>
      <c r="CJ163" t="e">
        <v>#VALUE!</v>
      </c>
      <c r="CK163" t="e">
        <v>#VALUE!</v>
      </c>
    </row>
    <row r="164" ht="12.5" customHeight="1" s="213">
      <c r="A164" t="inlineStr">
        <is>
          <t>HunRomBul</t>
        </is>
      </c>
      <c r="B164" t="inlineStr">
        <is>
          <t>TWI</t>
        </is>
      </c>
      <c r="C164" t="inlineStr">
        <is>
          <t>TWI</t>
        </is>
      </c>
      <c r="E164" t="n">
        <v>4.70380562556693</v>
      </c>
      <c r="F164">
        <f>E164</f>
        <v/>
      </c>
      <c r="I164">
        <f>F164</f>
        <v/>
      </c>
      <c r="J164">
        <f>I164</f>
        <v/>
      </c>
      <c r="L164">
        <f>J164</f>
        <v/>
      </c>
      <c r="V164">
        <f>L164</f>
        <v/>
      </c>
      <c r="W164" t="n">
        <v>3</v>
      </c>
      <c r="AG164" s="223" t="inlineStr">
        <is>
          <t>GDP</t>
        </is>
      </c>
      <c r="AI164" t="n">
        <v>1</v>
      </c>
      <c r="AJ164" t="n">
        <v>1.02621483239062</v>
      </c>
      <c r="AK164" t="n">
        <v>1.22119565054484</v>
      </c>
      <c r="AL164" t="n">
        <v>1.38784904257775</v>
      </c>
      <c r="AM164" t="n">
        <v>1.5285762184508</v>
      </c>
      <c r="AN164" t="n">
        <v>1.63888949552538</v>
      </c>
      <c r="AO164" t="n">
        <v>1.72357630623467</v>
      </c>
      <c r="AP164" t="n">
        <v>1.79283349626876</v>
      </c>
      <c r="AQ164" t="n">
        <v>1.85482924752953</v>
      </c>
      <c r="AR164" t="n">
        <v>1.91218851178937</v>
      </c>
      <c r="AS164" t="n">
        <v>1.96545083867851</v>
      </c>
      <c r="AT164" t="n">
        <v>2.01132968580655</v>
      </c>
      <c r="AU164" t="n">
        <v>2.05220699350528</v>
      </c>
      <c r="AV164" t="n">
        <v>2.08953761881332</v>
      </c>
      <c r="AW164" t="n">
        <v>2.12524424255582</v>
      </c>
      <c r="AX164" t="n">
        <v>2.16064148168893</v>
      </c>
      <c r="AY164" t="n">
        <v>2.19610937613075</v>
      </c>
      <c r="AZ164" t="n">
        <v>2.22905937229824</v>
      </c>
      <c r="BA164" t="n">
        <v>0</v>
      </c>
      <c r="BB164" t="n">
        <v>0</v>
      </c>
      <c r="BC164" t="n">
        <v>0</v>
      </c>
      <c r="BD164" t="n">
        <v>0</v>
      </c>
      <c r="BE164" t="n">
        <v>0</v>
      </c>
      <c r="BF164" t="n">
        <v>0</v>
      </c>
      <c r="BG164" t="n">
        <v>0</v>
      </c>
      <c r="BH164" t="n">
        <v>0</v>
      </c>
      <c r="BJ164" t="inlineStr">
        <is>
          <t>Med2</t>
        </is>
      </c>
      <c r="BL164" t="n">
        <v>0.8</v>
      </c>
      <c r="BM164" t="n">
        <v>0.797560975609756</v>
      </c>
      <c r="BN164" t="n">
        <v>0.785365853658536</v>
      </c>
      <c r="BO164" t="n">
        <v>0.773170731707317</v>
      </c>
      <c r="BP164" t="n">
        <v>0.760975609756097</v>
      </c>
      <c r="BQ164" t="n">
        <v>0.748780487804878</v>
      </c>
      <c r="BR164" t="n">
        <v>0.736585365853658</v>
      </c>
      <c r="BS164" t="n">
        <v>0.724390243902439</v>
      </c>
      <c r="BT164" t="n">
        <v>0.71219512195122</v>
      </c>
      <c r="BU164" t="n">
        <v>0.699999999999999</v>
      </c>
      <c r="BV164" t="n">
        <v>0.687499999999999</v>
      </c>
      <c r="BW164" t="n">
        <v>0.675</v>
      </c>
      <c r="BX164" t="n">
        <v>0.6625</v>
      </c>
      <c r="BY164" t="n">
        <v>0.649999999999999</v>
      </c>
      <c r="BZ164" t="n">
        <v>0.637499999999999</v>
      </c>
      <c r="CA164" t="n">
        <v>0.625</v>
      </c>
      <c r="CB164" t="n">
        <v>0.6125</v>
      </c>
      <c r="CC164" t="n">
        <v>0.6</v>
      </c>
      <c r="CD164" t="e">
        <v>#VALUE!</v>
      </c>
      <c r="CE164" t="e">
        <v>#VALUE!</v>
      </c>
      <c r="CF164" t="e">
        <v>#VALUE!</v>
      </c>
      <c r="CG164" t="e">
        <v>#VALUE!</v>
      </c>
      <c r="CH164" t="e">
        <v>#VALUE!</v>
      </c>
      <c r="CI164" t="e">
        <v>#VALUE!</v>
      </c>
      <c r="CJ164" t="e">
        <v>#VALUE!</v>
      </c>
      <c r="CK164" t="e">
        <v>#VALUE!</v>
      </c>
    </row>
    <row r="165" ht="12.5" customHeight="1" s="213">
      <c r="A165" t="inlineStr">
        <is>
          <t>HunRomBul</t>
        </is>
      </c>
      <c r="B165" t="inlineStr">
        <is>
          <t>Trd_2w</t>
        </is>
      </c>
      <c r="C165" t="inlineStr">
        <is>
          <t>Trd_2w</t>
        </is>
      </c>
      <c r="D165" t="n">
        <v>1.855</v>
      </c>
      <c r="E165" t="n">
        <v>1.84588592025631</v>
      </c>
      <c r="G165" t="n">
        <v>1.80095600813599</v>
      </c>
      <c r="H165" t="n">
        <v>1.76106431680021</v>
      </c>
      <c r="I165" t="n">
        <v>1.72004808657804</v>
      </c>
      <c r="J165" t="n">
        <v>1.68023404232009</v>
      </c>
      <c r="K165" t="n">
        <v>1.64191219533414</v>
      </c>
      <c r="L165" t="n">
        <v>1.6055791943322</v>
      </c>
      <c r="M165" t="n">
        <v>1.57049267824715</v>
      </c>
      <c r="N165" t="n">
        <v>1.53521529071534</v>
      </c>
      <c r="O165" t="n">
        <v>1.49944977002713</v>
      </c>
      <c r="P165" t="n">
        <v>1.46465046730681</v>
      </c>
      <c r="Q165" t="n">
        <v>1.43248181437752</v>
      </c>
      <c r="R165" t="n">
        <v>1.4037393590439</v>
      </c>
      <c r="S165" t="n">
        <v>1.37833370525641</v>
      </c>
      <c r="T165" t="n">
        <v>1.35560370971818</v>
      </c>
      <c r="U165" t="n">
        <v>1.3346967760003</v>
      </c>
      <c r="V165" t="n">
        <v>1.31431594334986</v>
      </c>
      <c r="W165" t="n">
        <v>3</v>
      </c>
      <c r="AG165" s="223" t="inlineStr">
        <is>
          <t>POP</t>
        </is>
      </c>
      <c r="AI165" t="n">
        <v>1</v>
      </c>
      <c r="AJ165" t="n">
        <v>0.993839655291651</v>
      </c>
      <c r="AK165" t="n">
        <v>0.963037931749907</v>
      </c>
      <c r="AL165" t="n">
        <v>0.935448209186594</v>
      </c>
      <c r="AM165" t="n">
        <v>0.906817669447105</v>
      </c>
      <c r="AN165" t="n">
        <v>0.878785212650304</v>
      </c>
      <c r="AO165" t="n">
        <v>0.851574726117705</v>
      </c>
      <c r="AP165" t="n">
        <v>0.825561062915208</v>
      </c>
      <c r="AQ165" t="n">
        <v>0.80022969036693</v>
      </c>
      <c r="AR165" t="n">
        <v>0.774550748708733</v>
      </c>
      <c r="AS165" t="n">
        <v>0.74830418571332</v>
      </c>
      <c r="AT165" t="n">
        <v>0.722575771339761</v>
      </c>
      <c r="AU165" t="n">
        <v>0.698620759317864</v>
      </c>
      <c r="AV165" t="n">
        <v>0.677055093171943</v>
      </c>
      <c r="AW165" t="n">
        <v>0.657833573577332</v>
      </c>
      <c r="AX165" t="n">
        <v>0.640476320673726</v>
      </c>
      <c r="AY165" t="n">
        <v>0.624349283813413</v>
      </c>
      <c r="AZ165" t="n">
        <v>0.6084595844978939</v>
      </c>
      <c r="BA165" t="n">
        <v>0</v>
      </c>
      <c r="BB165" t="n">
        <v>0</v>
      </c>
      <c r="BC165" t="n">
        <v>0</v>
      </c>
      <c r="BD165" t="n">
        <v>0</v>
      </c>
      <c r="BE165" t="n">
        <v>0</v>
      </c>
      <c r="BF165" t="n">
        <v>0</v>
      </c>
      <c r="BG165" t="n">
        <v>0</v>
      </c>
      <c r="BH165" t="n">
        <v>0</v>
      </c>
      <c r="BJ165" t="inlineStr">
        <is>
          <t>Med2</t>
        </is>
      </c>
      <c r="BL165" t="n">
        <v>0.8</v>
      </c>
      <c r="BM165" t="n">
        <v>0.797560975609756</v>
      </c>
      <c r="BN165" t="n">
        <v>0.785365853658536</v>
      </c>
      <c r="BO165" t="n">
        <v>0.773170731707317</v>
      </c>
      <c r="BP165" t="n">
        <v>0.760975609756097</v>
      </c>
      <c r="BQ165" t="n">
        <v>0.748780487804878</v>
      </c>
      <c r="BR165" t="n">
        <v>0.736585365853658</v>
      </c>
      <c r="BS165" t="n">
        <v>0.724390243902439</v>
      </c>
      <c r="BT165" t="n">
        <v>0.71219512195122</v>
      </c>
      <c r="BU165" t="n">
        <v>0.699999999999999</v>
      </c>
      <c r="BV165" t="n">
        <v>0.687499999999999</v>
      </c>
      <c r="BW165" t="n">
        <v>0.675</v>
      </c>
      <c r="BX165" t="n">
        <v>0.6625</v>
      </c>
      <c r="BY165" t="n">
        <v>0.649999999999999</v>
      </c>
      <c r="BZ165" t="n">
        <v>0.637499999999999</v>
      </c>
      <c r="CA165" t="n">
        <v>0.625</v>
      </c>
      <c r="CB165" t="n">
        <v>0.6125</v>
      </c>
      <c r="CC165" t="n">
        <v>0.6</v>
      </c>
      <c r="CD165" t="e">
        <v>#VALUE!</v>
      </c>
      <c r="CE165" t="e">
        <v>#VALUE!</v>
      </c>
      <c r="CF165" t="e">
        <v>#VALUE!</v>
      </c>
      <c r="CG165" t="e">
        <v>#VALUE!</v>
      </c>
      <c r="CH165" t="e">
        <v>#VALUE!</v>
      </c>
      <c r="CI165" t="e">
        <v>#VALUE!</v>
      </c>
      <c r="CJ165" t="e">
        <v>#VALUE!</v>
      </c>
      <c r="CK165" t="e">
        <v>#VALUE!</v>
      </c>
    </row>
    <row r="166" ht="12.5" customHeight="1" s="213">
      <c r="A166" t="inlineStr">
        <is>
          <t>HunRomBul</t>
        </is>
      </c>
      <c r="B166" t="inlineStr">
        <is>
          <t>Trd_3w</t>
        </is>
      </c>
      <c r="C166" t="inlineStr">
        <is>
          <t>Trd_3w</t>
        </is>
      </c>
      <c r="D166" t="n">
        <v>0.36</v>
      </c>
      <c r="E166" t="n">
        <v>0.358231229807154</v>
      </c>
      <c r="G166" t="n">
        <v>0.349511678128817</v>
      </c>
      <c r="H166" t="n">
        <v>0.341769894365539</v>
      </c>
      <c r="I166" t="n">
        <v>0.333809871249646</v>
      </c>
      <c r="J166" t="n">
        <v>0.326083156461043</v>
      </c>
      <c r="K166" t="n">
        <v>0.318646032517676</v>
      </c>
      <c r="L166" t="n">
        <v>0.311594884075252</v>
      </c>
      <c r="M166" t="n">
        <v>0.304785641061441</v>
      </c>
      <c r="N166" t="n">
        <v>0.297939355610524</v>
      </c>
      <c r="O166" t="n">
        <v>0.290998338118474</v>
      </c>
      <c r="P166" t="n">
        <v>0.28424483462558</v>
      </c>
      <c r="Q166" t="n">
        <v>0.278001861550354</v>
      </c>
      <c r="R166" t="n">
        <v>0.272423810919572</v>
      </c>
      <c r="S166" t="n">
        <v>0.267493333634667</v>
      </c>
      <c r="T166" t="n">
        <v>0.263082121562557</v>
      </c>
      <c r="U166" t="n">
        <v>0.259024711245341</v>
      </c>
      <c r="V166" t="n">
        <v>0.255069401404825</v>
      </c>
      <c r="W166" t="n">
        <v>3</v>
      </c>
      <c r="AG166" s="223" t="inlineStr">
        <is>
          <t>POP</t>
        </is>
      </c>
      <c r="AI166" t="n">
        <v>1</v>
      </c>
      <c r="AJ166" t="n">
        <v>0.993839655291651</v>
      </c>
      <c r="AK166" t="n">
        <v>0.963037931749907</v>
      </c>
      <c r="AL166" t="n">
        <v>0.935448209186594</v>
      </c>
      <c r="AM166" t="n">
        <v>0.906817669447105</v>
      </c>
      <c r="AN166" t="n">
        <v>0.878785212650304</v>
      </c>
      <c r="AO166" t="n">
        <v>0.851574726117705</v>
      </c>
      <c r="AP166" t="n">
        <v>0.825561062915208</v>
      </c>
      <c r="AQ166" t="n">
        <v>0.80022969036693</v>
      </c>
      <c r="AR166" t="n">
        <v>0.774550748708733</v>
      </c>
      <c r="AS166" t="n">
        <v>0.74830418571332</v>
      </c>
      <c r="AT166" t="n">
        <v>0.722575771339761</v>
      </c>
      <c r="AU166" t="n">
        <v>0.698620759317864</v>
      </c>
      <c r="AV166" t="n">
        <v>0.677055093171943</v>
      </c>
      <c r="AW166" t="n">
        <v>0.657833573577332</v>
      </c>
      <c r="AX166" t="n">
        <v>0.640476320673726</v>
      </c>
      <c r="AY166" t="n">
        <v>0.624349283813413</v>
      </c>
      <c r="AZ166" t="n">
        <v>0.6084595844978939</v>
      </c>
      <c r="BA166" t="n">
        <v>0</v>
      </c>
      <c r="BB166" t="n">
        <v>0</v>
      </c>
      <c r="BC166" t="n">
        <v>0</v>
      </c>
      <c r="BD166" t="n">
        <v>0</v>
      </c>
      <c r="BE166" t="n">
        <v>0</v>
      </c>
      <c r="BF166" t="n">
        <v>0</v>
      </c>
      <c r="BG166" t="n">
        <v>0</v>
      </c>
      <c r="BH166" t="n">
        <v>0</v>
      </c>
      <c r="BJ166" t="inlineStr">
        <is>
          <t>Med2</t>
        </is>
      </c>
      <c r="BL166" t="n">
        <v>0.8</v>
      </c>
      <c r="BM166" t="n">
        <v>0.797560975609756</v>
      </c>
      <c r="BN166" t="n">
        <v>0.785365853658536</v>
      </c>
      <c r="BO166" t="n">
        <v>0.773170731707317</v>
      </c>
      <c r="BP166" t="n">
        <v>0.760975609756097</v>
      </c>
      <c r="BQ166" t="n">
        <v>0.748780487804878</v>
      </c>
      <c r="BR166" t="n">
        <v>0.736585365853658</v>
      </c>
      <c r="BS166" t="n">
        <v>0.724390243902439</v>
      </c>
      <c r="BT166" t="n">
        <v>0.71219512195122</v>
      </c>
      <c r="BU166" t="n">
        <v>0.699999999999999</v>
      </c>
      <c r="BV166" t="n">
        <v>0.687499999999999</v>
      </c>
      <c r="BW166" t="n">
        <v>0.675</v>
      </c>
      <c r="BX166" t="n">
        <v>0.6625</v>
      </c>
      <c r="BY166" t="n">
        <v>0.649999999999999</v>
      </c>
      <c r="BZ166" t="n">
        <v>0.637499999999999</v>
      </c>
      <c r="CA166" t="n">
        <v>0.625</v>
      </c>
      <c r="CB166" t="n">
        <v>0.6125</v>
      </c>
      <c r="CC166" t="n">
        <v>0.6</v>
      </c>
      <c r="CD166" t="e">
        <v>#VALUE!</v>
      </c>
      <c r="CE166" t="e">
        <v>#VALUE!</v>
      </c>
      <c r="CF166" t="e">
        <v>#VALUE!</v>
      </c>
      <c r="CG166" t="e">
        <v>#VALUE!</v>
      </c>
      <c r="CH166" t="e">
        <v>#VALUE!</v>
      </c>
      <c r="CI166" t="e">
        <v>#VALUE!</v>
      </c>
      <c r="CJ166" t="e">
        <v>#VALUE!</v>
      </c>
      <c r="CK166" t="e">
        <v>#VALUE!</v>
      </c>
    </row>
    <row r="167" ht="12.5" customHeight="1" s="213">
      <c r="A167" t="inlineStr">
        <is>
          <t>HunRomBul</t>
        </is>
      </c>
      <c r="B167" t="inlineStr">
        <is>
          <t>Trd_bus</t>
        </is>
      </c>
      <c r="C167" t="inlineStr">
        <is>
          <t>Trd_bus</t>
        </is>
      </c>
      <c r="D167" t="n">
        <v>2.94</v>
      </c>
      <c r="E167" t="n">
        <v>2.92555504342509</v>
      </c>
      <c r="G167" t="n">
        <v>2.85434537138534</v>
      </c>
      <c r="H167" t="n">
        <v>2.79112080398524</v>
      </c>
      <c r="I167" t="n">
        <v>2.72611394853878</v>
      </c>
      <c r="J167" t="n">
        <v>2.66301244443185</v>
      </c>
      <c r="K167" t="n">
        <v>2.60227593222769</v>
      </c>
      <c r="L167" t="n">
        <v>2.54469155328122</v>
      </c>
      <c r="M167" t="n">
        <v>2.4890827353351</v>
      </c>
      <c r="N167" t="n">
        <v>2.43317140415261</v>
      </c>
      <c r="O167" t="n">
        <v>2.37648642796753</v>
      </c>
      <c r="P167" t="n">
        <v>2.3213328161089</v>
      </c>
      <c r="Q167" t="n">
        <v>2.27034853599456</v>
      </c>
      <c r="R167" t="n">
        <v>2.22479445584317</v>
      </c>
      <c r="S167" t="n">
        <v>2.18452889134978</v>
      </c>
      <c r="T167" t="n">
        <v>2.14850399276088</v>
      </c>
      <c r="U167" t="n">
        <v>2.11536847517029</v>
      </c>
      <c r="V167" t="n">
        <v>2.0830667781394</v>
      </c>
      <c r="W167" t="n">
        <v>3</v>
      </c>
      <c r="AG167" s="223" t="inlineStr">
        <is>
          <t>POP</t>
        </is>
      </c>
      <c r="AI167" t="n">
        <v>1</v>
      </c>
      <c r="AJ167" t="n">
        <v>0.993839655291651</v>
      </c>
      <c r="AK167" t="n">
        <v>0.963037931749907</v>
      </c>
      <c r="AL167" t="n">
        <v>0.935448209186594</v>
      </c>
      <c r="AM167" t="n">
        <v>0.906817669447105</v>
      </c>
      <c r="AN167" t="n">
        <v>0.878785212650304</v>
      </c>
      <c r="AO167" t="n">
        <v>0.851574726117705</v>
      </c>
      <c r="AP167" t="n">
        <v>0.825561062915208</v>
      </c>
      <c r="AQ167" t="n">
        <v>0.80022969036693</v>
      </c>
      <c r="AR167" t="n">
        <v>0.774550748708733</v>
      </c>
      <c r="AS167" t="n">
        <v>0.74830418571332</v>
      </c>
      <c r="AT167" t="n">
        <v>0.722575771339761</v>
      </c>
      <c r="AU167" t="n">
        <v>0.698620759317864</v>
      </c>
      <c r="AV167" t="n">
        <v>0.677055093171943</v>
      </c>
      <c r="AW167" t="n">
        <v>0.657833573577332</v>
      </c>
      <c r="AX167" t="n">
        <v>0.640476320673726</v>
      </c>
      <c r="AY167" t="n">
        <v>0.624349283813413</v>
      </c>
      <c r="AZ167" t="n">
        <v>0.6084595844978939</v>
      </c>
      <c r="BA167" t="n">
        <v>0</v>
      </c>
      <c r="BB167" t="n">
        <v>0</v>
      </c>
      <c r="BC167" t="n">
        <v>0</v>
      </c>
      <c r="BD167" t="n">
        <v>0</v>
      </c>
      <c r="BE167" t="n">
        <v>0</v>
      </c>
      <c r="BF167" t="n">
        <v>0</v>
      </c>
      <c r="BG167" t="n">
        <v>0</v>
      </c>
      <c r="BH167" t="n">
        <v>0</v>
      </c>
      <c r="BJ167" t="inlineStr">
        <is>
          <t>Med2</t>
        </is>
      </c>
      <c r="BL167" t="n">
        <v>0.8</v>
      </c>
      <c r="BM167" t="n">
        <v>0.797560975609756</v>
      </c>
      <c r="BN167" t="n">
        <v>0.785365853658536</v>
      </c>
      <c r="BO167" t="n">
        <v>0.773170731707317</v>
      </c>
      <c r="BP167" t="n">
        <v>0.760975609756097</v>
      </c>
      <c r="BQ167" t="n">
        <v>0.748780487804878</v>
      </c>
      <c r="BR167" t="n">
        <v>0.736585365853658</v>
      </c>
      <c r="BS167" t="n">
        <v>0.724390243902439</v>
      </c>
      <c r="BT167" t="n">
        <v>0.71219512195122</v>
      </c>
      <c r="BU167" t="n">
        <v>0.699999999999999</v>
      </c>
      <c r="BV167" t="n">
        <v>0.687499999999999</v>
      </c>
      <c r="BW167" t="n">
        <v>0.675</v>
      </c>
      <c r="BX167" t="n">
        <v>0.6625</v>
      </c>
      <c r="BY167" t="n">
        <v>0.649999999999999</v>
      </c>
      <c r="BZ167" t="n">
        <v>0.637499999999999</v>
      </c>
      <c r="CA167" t="n">
        <v>0.625</v>
      </c>
      <c r="CB167" t="n">
        <v>0.6125</v>
      </c>
      <c r="CC167" t="n">
        <v>0.6</v>
      </c>
      <c r="CD167" t="e">
        <v>#VALUE!</v>
      </c>
      <c r="CE167" t="e">
        <v>#VALUE!</v>
      </c>
      <c r="CF167" t="e">
        <v>#VALUE!</v>
      </c>
      <c r="CG167" t="e">
        <v>#VALUE!</v>
      </c>
      <c r="CH167" t="e">
        <v>#VALUE!</v>
      </c>
      <c r="CI167" t="e">
        <v>#VALUE!</v>
      </c>
      <c r="CJ167" t="e">
        <v>#VALUE!</v>
      </c>
      <c r="CK167" t="e">
        <v>#VALUE!</v>
      </c>
    </row>
    <row r="168" ht="12.5" customHeight="1" s="213">
      <c r="A168" t="inlineStr">
        <is>
          <t>HunRomBul</t>
        </is>
      </c>
      <c r="B168" t="inlineStr">
        <is>
          <t>Trd_car</t>
        </is>
      </c>
      <c r="C168" t="inlineStr">
        <is>
          <t>Trd_car</t>
        </is>
      </c>
      <c r="D168" t="n">
        <v>108.66</v>
      </c>
      <c r="E168" t="n">
        <v>111.483120579211</v>
      </c>
      <c r="G168" t="n">
        <v>131.450997343658</v>
      </c>
      <c r="H168" t="n">
        <v>148.727354809864</v>
      </c>
      <c r="I168" t="n">
        <v>164.139180270184</v>
      </c>
      <c r="J168" t="n">
        <v>177.212318632682</v>
      </c>
      <c r="K168" t="n">
        <v>188.343768234989</v>
      </c>
      <c r="L168" t="n">
        <v>198.297843458347</v>
      </c>
      <c r="M168" t="n">
        <v>207.806572265739</v>
      </c>
      <c r="N168" t="n">
        <v>217.276734164386</v>
      </c>
      <c r="O168" t="n">
        <v>226.82284193878</v>
      </c>
      <c r="P168" t="n">
        <v>235.975535460544</v>
      </c>
      <c r="Q168" t="n">
        <v>244.622264431406</v>
      </c>
      <c r="R168" t="n">
        <v>252.671395495324</v>
      </c>
      <c r="S168" t="n">
        <v>260.210978277129</v>
      </c>
      <c r="T168" t="n">
        <v>267.400530192511</v>
      </c>
      <c r="U168" t="n">
        <v>274.389079745819</v>
      </c>
      <c r="V168" t="n">
        <v>281.223056559144</v>
      </c>
      <c r="W168" t="n">
        <v>3</v>
      </c>
      <c r="AG168" s="223" t="inlineStr">
        <is>
          <t>GDPPCAP</t>
        </is>
      </c>
      <c r="AI168" t="n">
        <v>1</v>
      </c>
      <c r="AJ168" t="n">
        <v>1.03257585559863</v>
      </c>
      <c r="AK168" t="n">
        <v>1.26806599229777</v>
      </c>
      <c r="AL168" t="n">
        <v>1.48361932702242</v>
      </c>
      <c r="AM168" t="n">
        <v>1.68564891262296</v>
      </c>
      <c r="AN168" t="n">
        <v>1.8649488770785</v>
      </c>
      <c r="AO168" t="n">
        <v>2.02398715388417</v>
      </c>
      <c r="AP168" t="n">
        <v>2.17165461987503</v>
      </c>
      <c r="AQ168" t="n">
        <v>2.31787106859161</v>
      </c>
      <c r="AR168" t="n">
        <v>2.46877111019157</v>
      </c>
      <c r="AS168" t="n">
        <v>2.6265399502008</v>
      </c>
      <c r="AT168" t="n">
        <v>2.78355539388934</v>
      </c>
      <c r="AU168" t="n">
        <v>2.93751218545103</v>
      </c>
      <c r="AV168" t="n">
        <v>3.08621505086687</v>
      </c>
      <c r="AW168" t="n">
        <v>3.23067159828684</v>
      </c>
      <c r="AX168" t="n">
        <v>3.37349159047147</v>
      </c>
      <c r="AY168" t="n">
        <v>3.51743716708908</v>
      </c>
      <c r="AZ168" t="n">
        <v>3.66344688963635</v>
      </c>
      <c r="BA168" t="n">
        <v>0</v>
      </c>
      <c r="BB168" t="n">
        <v>0</v>
      </c>
      <c r="BC168" t="n">
        <v>0</v>
      </c>
      <c r="BD168" t="n">
        <v>0</v>
      </c>
      <c r="BE168" t="n">
        <v>0</v>
      </c>
      <c r="BF168" t="n">
        <v>0</v>
      </c>
      <c r="BG168" t="n">
        <v>0</v>
      </c>
      <c r="BH168" t="n">
        <v>0</v>
      </c>
      <c r="BJ168" t="inlineStr">
        <is>
          <t>Med2</t>
        </is>
      </c>
      <c r="BL168" t="n">
        <v>0.8</v>
      </c>
      <c r="BM168" t="n">
        <v>0.797560975609756</v>
      </c>
      <c r="BN168" t="n">
        <v>0.785365853658536</v>
      </c>
      <c r="BO168" t="n">
        <v>0.773170731707317</v>
      </c>
      <c r="BP168" t="n">
        <v>0.760975609756097</v>
      </c>
      <c r="BQ168" t="n">
        <v>0.748780487804878</v>
      </c>
      <c r="BR168" t="n">
        <v>0.736585365853658</v>
      </c>
      <c r="BS168" t="n">
        <v>0.724390243902439</v>
      </c>
      <c r="BT168" t="n">
        <v>0.71219512195122</v>
      </c>
      <c r="BU168" t="n">
        <v>0.699999999999999</v>
      </c>
      <c r="BV168" t="n">
        <v>0.687499999999999</v>
      </c>
      <c r="BW168" t="n">
        <v>0.675</v>
      </c>
      <c r="BX168" t="n">
        <v>0.6625</v>
      </c>
      <c r="BY168" t="n">
        <v>0.649999999999999</v>
      </c>
      <c r="BZ168" t="n">
        <v>0.637499999999999</v>
      </c>
      <c r="CA168" t="n">
        <v>0.625</v>
      </c>
      <c r="CB168" t="n">
        <v>0.6125</v>
      </c>
      <c r="CC168" t="n">
        <v>0.6</v>
      </c>
      <c r="CD168" t="e">
        <v>#VALUE!</v>
      </c>
      <c r="CE168" t="e">
        <v>#VALUE!</v>
      </c>
      <c r="CF168" t="e">
        <v>#VALUE!</v>
      </c>
      <c r="CG168" t="e">
        <v>#VALUE!</v>
      </c>
      <c r="CH168" t="e">
        <v>#VALUE!</v>
      </c>
      <c r="CI168" t="e">
        <v>#VALUE!</v>
      </c>
      <c r="CJ168" t="e">
        <v>#VALUE!</v>
      </c>
      <c r="CK168" t="e">
        <v>#VALUE!</v>
      </c>
    </row>
    <row r="169" ht="12.5" customHeight="1" s="213">
      <c r="A169" t="inlineStr">
        <is>
          <t>HunRomBul</t>
        </is>
      </c>
      <c r="B169" t="inlineStr">
        <is>
          <t>Trd_hdt</t>
        </is>
      </c>
      <c r="C169" t="inlineStr">
        <is>
          <t>Trd_hdt</t>
        </is>
      </c>
      <c r="D169" t="n">
        <v>36.7</v>
      </c>
      <c r="E169" t="n">
        <v>37.4673209317966</v>
      </c>
      <c r="G169" t="n">
        <v>43.0581762844974</v>
      </c>
      <c r="H169" t="n">
        <v>47.6013563048872</v>
      </c>
      <c r="I169" t="n">
        <v>51.2743975632423</v>
      </c>
      <c r="J169" t="n">
        <v>54.0451375537087</v>
      </c>
      <c r="K169" t="n">
        <v>56.102192151888</v>
      </c>
      <c r="L169" t="n">
        <v>57.7351943737215</v>
      </c>
      <c r="M169" t="n">
        <v>59.1570699567237</v>
      </c>
      <c r="N169" t="n">
        <v>60.4376429308147</v>
      </c>
      <c r="O169" t="n">
        <v>61.5950060849238</v>
      </c>
      <c r="P169" t="n">
        <v>62.5655151271122</v>
      </c>
      <c r="Q169" t="n">
        <v>63.4079181718187</v>
      </c>
      <c r="R169" t="n">
        <v>64.1576413759166</v>
      </c>
      <c r="S169" t="n">
        <v>64.8565608985283</v>
      </c>
      <c r="T169" t="n">
        <v>65.5317018862988</v>
      </c>
      <c r="U169" t="n">
        <v>66.1905878221129</v>
      </c>
      <c r="V169" t="n">
        <v>66.7864542134959</v>
      </c>
      <c r="W169" t="n">
        <v>3</v>
      </c>
      <c r="AG169" s="223" t="inlineStr">
        <is>
          <t>GDP</t>
        </is>
      </c>
      <c r="AI169" t="n">
        <v>1</v>
      </c>
      <c r="AJ169" t="n">
        <v>1.02621483239062</v>
      </c>
      <c r="AK169" t="n">
        <v>1.22119565054484</v>
      </c>
      <c r="AL169" t="n">
        <v>1.38784904257775</v>
      </c>
      <c r="AM169" t="n">
        <v>1.5285762184508</v>
      </c>
      <c r="AN169" t="n">
        <v>1.63888949552538</v>
      </c>
      <c r="AO169" t="n">
        <v>1.72357630623467</v>
      </c>
      <c r="AP169" t="n">
        <v>1.79283349626876</v>
      </c>
      <c r="AQ169" t="n">
        <v>1.85482924752953</v>
      </c>
      <c r="AR169" t="n">
        <v>1.91218851178937</v>
      </c>
      <c r="AS169" t="n">
        <v>1.96545083867851</v>
      </c>
      <c r="AT169" t="n">
        <v>2.01132968580655</v>
      </c>
      <c r="AU169" t="n">
        <v>2.05220699350528</v>
      </c>
      <c r="AV169" t="n">
        <v>2.08953761881332</v>
      </c>
      <c r="AW169" t="n">
        <v>2.12524424255582</v>
      </c>
      <c r="AX169" t="n">
        <v>2.16064148168893</v>
      </c>
      <c r="AY169" t="n">
        <v>2.19610937613075</v>
      </c>
      <c r="AZ169" t="n">
        <v>2.22905937229824</v>
      </c>
      <c r="BA169" t="n">
        <v>0</v>
      </c>
      <c r="BB169" t="n">
        <v>0</v>
      </c>
      <c r="BC169" t="n">
        <v>0</v>
      </c>
      <c r="BD169" t="n">
        <v>0</v>
      </c>
      <c r="BE169" t="n">
        <v>0</v>
      </c>
      <c r="BF169" t="n">
        <v>0</v>
      </c>
      <c r="BG169" t="n">
        <v>0</v>
      </c>
      <c r="BH169" t="n">
        <v>0</v>
      </c>
      <c r="BJ169" t="inlineStr">
        <is>
          <t>Med2</t>
        </is>
      </c>
      <c r="BL169" t="n">
        <v>0.8</v>
      </c>
      <c r="BM169" t="n">
        <v>0.797560975609756</v>
      </c>
      <c r="BN169" t="n">
        <v>0.785365853658536</v>
      </c>
      <c r="BO169" t="n">
        <v>0.773170731707317</v>
      </c>
      <c r="BP169" t="n">
        <v>0.760975609756097</v>
      </c>
      <c r="BQ169" t="n">
        <v>0.748780487804878</v>
      </c>
      <c r="BR169" t="n">
        <v>0.736585365853658</v>
      </c>
      <c r="BS169" t="n">
        <v>0.724390243902439</v>
      </c>
      <c r="BT169" t="n">
        <v>0.71219512195122</v>
      </c>
      <c r="BU169" t="n">
        <v>0.699999999999999</v>
      </c>
      <c r="BV169" t="n">
        <v>0.687499999999999</v>
      </c>
      <c r="BW169" t="n">
        <v>0.675</v>
      </c>
      <c r="BX169" t="n">
        <v>0.6625</v>
      </c>
      <c r="BY169" t="n">
        <v>0.649999999999999</v>
      </c>
      <c r="BZ169" t="n">
        <v>0.637499999999999</v>
      </c>
      <c r="CA169" t="n">
        <v>0.625</v>
      </c>
      <c r="CB169" t="n">
        <v>0.6125</v>
      </c>
      <c r="CC169" t="n">
        <v>0.6</v>
      </c>
      <c r="CD169" t="e">
        <v>#VALUE!</v>
      </c>
      <c r="CE169" t="e">
        <v>#VALUE!</v>
      </c>
      <c r="CF169" t="e">
        <v>#VALUE!</v>
      </c>
      <c r="CG169" t="e">
        <v>#VALUE!</v>
      </c>
      <c r="CH169" t="e">
        <v>#VALUE!</v>
      </c>
      <c r="CI169" t="e">
        <v>#VALUE!</v>
      </c>
      <c r="CJ169" t="e">
        <v>#VALUE!</v>
      </c>
      <c r="CK169" t="e">
        <v>#VALUE!</v>
      </c>
    </row>
    <row r="170" ht="12.5" customHeight="1" s="213">
      <c r="A170" t="inlineStr">
        <is>
          <t>HunRomBul</t>
        </is>
      </c>
      <c r="B170" t="inlineStr">
        <is>
          <t>Trd_lcv</t>
        </is>
      </c>
      <c r="C170" t="inlineStr">
        <is>
          <t>Trd_lcv</t>
        </is>
      </c>
      <c r="D170" t="n">
        <v>26.56</v>
      </c>
      <c r="E170" t="n">
        <v>27.1153145490059</v>
      </c>
      <c r="G170" t="n">
        <v>31.1614485590259</v>
      </c>
      <c r="H170" t="n">
        <v>34.4493739361799</v>
      </c>
      <c r="I170" t="n">
        <v>37.1075749122538</v>
      </c>
      <c r="J170" t="n">
        <v>39.1127752977249</v>
      </c>
      <c r="K170" t="n">
        <v>40.6014774810394</v>
      </c>
      <c r="L170" t="n">
        <v>41.7832905331347</v>
      </c>
      <c r="M170" t="n">
        <v>42.8123100286262</v>
      </c>
      <c r="N170" t="n">
        <v>43.7390680175052</v>
      </c>
      <c r="O170" t="n">
        <v>44.5766583546479</v>
      </c>
      <c r="P170" t="n">
        <v>45.2790213018011</v>
      </c>
      <c r="Q170" t="n">
        <v>45.8886732055451</v>
      </c>
      <c r="R170" t="n">
        <v>46.43125217832</v>
      </c>
      <c r="S170" t="n">
        <v>46.9370642361011</v>
      </c>
      <c r="T170" t="n">
        <v>47.4256676321552</v>
      </c>
      <c r="U170" t="n">
        <v>47.9025071540959</v>
      </c>
      <c r="V170" t="n">
        <v>48.3337390711295</v>
      </c>
      <c r="W170" t="n">
        <v>3</v>
      </c>
      <c r="AG170" s="223" t="inlineStr">
        <is>
          <t>GDP</t>
        </is>
      </c>
      <c r="AI170" t="n">
        <v>1</v>
      </c>
      <c r="AJ170" t="n">
        <v>1.02621483239062</v>
      </c>
      <c r="AK170" t="n">
        <v>1.22119565054484</v>
      </c>
      <c r="AL170" t="n">
        <v>1.38784904257775</v>
      </c>
      <c r="AM170" t="n">
        <v>1.5285762184508</v>
      </c>
      <c r="AN170" t="n">
        <v>1.63888949552538</v>
      </c>
      <c r="AO170" t="n">
        <v>1.72357630623467</v>
      </c>
      <c r="AP170" t="n">
        <v>1.79283349626876</v>
      </c>
      <c r="AQ170" t="n">
        <v>1.85482924752953</v>
      </c>
      <c r="AR170" t="n">
        <v>1.91218851178937</v>
      </c>
      <c r="AS170" t="n">
        <v>1.96545083867851</v>
      </c>
      <c r="AT170" t="n">
        <v>2.01132968580655</v>
      </c>
      <c r="AU170" t="n">
        <v>2.05220699350528</v>
      </c>
      <c r="AV170" t="n">
        <v>2.08953761881332</v>
      </c>
      <c r="AW170" t="n">
        <v>2.12524424255582</v>
      </c>
      <c r="AX170" t="n">
        <v>2.16064148168893</v>
      </c>
      <c r="AY170" t="n">
        <v>2.19610937613075</v>
      </c>
      <c r="AZ170" t="n">
        <v>2.22905937229824</v>
      </c>
      <c r="BA170" t="n">
        <v>0</v>
      </c>
      <c r="BB170" t="n">
        <v>0</v>
      </c>
      <c r="BC170" t="n">
        <v>0</v>
      </c>
      <c r="BD170" t="n">
        <v>0</v>
      </c>
      <c r="BE170" t="n">
        <v>0</v>
      </c>
      <c r="BF170" t="n">
        <v>0</v>
      </c>
      <c r="BG170" t="n">
        <v>0</v>
      </c>
      <c r="BH170" t="n">
        <v>0</v>
      </c>
      <c r="BJ170" t="inlineStr">
        <is>
          <t>Med2</t>
        </is>
      </c>
      <c r="BL170" t="n">
        <v>0.8</v>
      </c>
      <c r="BM170" t="n">
        <v>0.797560975609756</v>
      </c>
      <c r="BN170" t="n">
        <v>0.785365853658536</v>
      </c>
      <c r="BO170" t="n">
        <v>0.773170731707317</v>
      </c>
      <c r="BP170" t="n">
        <v>0.760975609756097</v>
      </c>
      <c r="BQ170" t="n">
        <v>0.748780487804878</v>
      </c>
      <c r="BR170" t="n">
        <v>0.736585365853658</v>
      </c>
      <c r="BS170" t="n">
        <v>0.724390243902439</v>
      </c>
      <c r="BT170" t="n">
        <v>0.71219512195122</v>
      </c>
      <c r="BU170" t="n">
        <v>0.699999999999999</v>
      </c>
      <c r="BV170" t="n">
        <v>0.687499999999999</v>
      </c>
      <c r="BW170" t="n">
        <v>0.675</v>
      </c>
      <c r="BX170" t="n">
        <v>0.6625</v>
      </c>
      <c r="BY170" t="n">
        <v>0.649999999999999</v>
      </c>
      <c r="BZ170" t="n">
        <v>0.637499999999999</v>
      </c>
      <c r="CA170" t="n">
        <v>0.625</v>
      </c>
      <c r="CB170" t="n">
        <v>0.6125</v>
      </c>
      <c r="CC170" t="n">
        <v>0.6</v>
      </c>
      <c r="CD170" t="e">
        <v>#VALUE!</v>
      </c>
      <c r="CE170" t="e">
        <v>#VALUE!</v>
      </c>
      <c r="CF170" t="e">
        <v>#VALUE!</v>
      </c>
      <c r="CG170" t="e">
        <v>#VALUE!</v>
      </c>
      <c r="CH170" t="e">
        <v>#VALUE!</v>
      </c>
      <c r="CI170" t="e">
        <v>#VALUE!</v>
      </c>
      <c r="CJ170" t="e">
        <v>#VALUE!</v>
      </c>
      <c r="CK170" t="e">
        <v>#VALUE!</v>
      </c>
    </row>
    <row r="171" ht="12.5" customHeight="1" s="213">
      <c r="A171" t="inlineStr">
        <is>
          <t>Iceland</t>
        </is>
      </c>
      <c r="B171" t="inlineStr">
        <is>
          <t>TAD</t>
        </is>
      </c>
      <c r="C171" t="inlineStr">
        <is>
          <t>TAD</t>
        </is>
      </c>
      <c r="E171" t="n">
        <v>0.385231112178535</v>
      </c>
      <c r="F171">
        <f>E171</f>
        <v/>
      </c>
      <c r="I171">
        <f>F171</f>
        <v/>
      </c>
      <c r="J171">
        <f>I171</f>
        <v/>
      </c>
      <c r="L171">
        <f>J171</f>
        <v/>
      </c>
      <c r="V171">
        <f>L171</f>
        <v/>
      </c>
      <c r="W171" t="n">
        <v>3</v>
      </c>
      <c r="AG171" s="223" t="inlineStr">
        <is>
          <t>GDP</t>
        </is>
      </c>
      <c r="AI171" t="n">
        <v>1</v>
      </c>
      <c r="AJ171" t="n">
        <v>1.01817736459544</v>
      </c>
      <c r="AK171" t="n">
        <v>1.24931642627657</v>
      </c>
      <c r="AL171" t="n">
        <v>1.427108255292</v>
      </c>
      <c r="AM171" t="n">
        <v>1.60429626085173</v>
      </c>
      <c r="AN171" t="n">
        <v>1.78178048169162</v>
      </c>
      <c r="AO171" t="n">
        <v>1.95254859069884</v>
      </c>
      <c r="AP171" t="n">
        <v>2.10878506163556</v>
      </c>
      <c r="AQ171" t="n">
        <v>2.24936199785814</v>
      </c>
      <c r="AR171" t="n">
        <v>2.38084170711145</v>
      </c>
      <c r="AS171" t="n">
        <v>2.50725727436371</v>
      </c>
      <c r="AT171" t="n">
        <v>2.62275275138424</v>
      </c>
      <c r="AU171" t="n">
        <v>2.72462232551781</v>
      </c>
      <c r="AV171" t="n">
        <v>2.81146467063139</v>
      </c>
      <c r="AW171" t="n">
        <v>2.88243671246611</v>
      </c>
      <c r="AX171" t="n">
        <v>2.93886002688723</v>
      </c>
      <c r="AY171" t="n">
        <v>2.98358853419008</v>
      </c>
      <c r="AZ171" t="n">
        <v>3.01980654863627</v>
      </c>
      <c r="BA171" t="n">
        <v>0</v>
      </c>
      <c r="BB171" t="n">
        <v>0</v>
      </c>
      <c r="BC171" t="n">
        <v>0</v>
      </c>
      <c r="BD171" t="n">
        <v>0</v>
      </c>
      <c r="BE171" t="n">
        <v>0</v>
      </c>
      <c r="BF171" t="n">
        <v>0</v>
      </c>
      <c r="BG171" t="n">
        <v>0</v>
      </c>
      <c r="BH171" t="n">
        <v>0</v>
      </c>
      <c r="BJ171" t="inlineStr">
        <is>
          <t>Med2</t>
        </is>
      </c>
      <c r="BL171" t="n">
        <v>0.8</v>
      </c>
      <c r="BM171" t="n">
        <v>0.797560975609756</v>
      </c>
      <c r="BN171" t="n">
        <v>0.785365853658536</v>
      </c>
      <c r="BO171" t="n">
        <v>0.773170731707317</v>
      </c>
      <c r="BP171" t="n">
        <v>0.760975609756097</v>
      </c>
      <c r="BQ171" t="n">
        <v>0.748780487804878</v>
      </c>
      <c r="BR171" t="n">
        <v>0.736585365853658</v>
      </c>
      <c r="BS171" t="n">
        <v>0.724390243902439</v>
      </c>
      <c r="BT171" t="n">
        <v>0.71219512195122</v>
      </c>
      <c r="BU171" t="n">
        <v>0.699999999999999</v>
      </c>
      <c r="BV171" t="n">
        <v>0.687499999999999</v>
      </c>
      <c r="BW171" t="n">
        <v>0.675</v>
      </c>
      <c r="BX171" t="n">
        <v>0.6625</v>
      </c>
      <c r="BY171" t="n">
        <v>0.649999999999999</v>
      </c>
      <c r="BZ171" t="n">
        <v>0.637499999999999</v>
      </c>
      <c r="CA171" t="n">
        <v>0.625</v>
      </c>
      <c r="CB171" t="n">
        <v>0.6125</v>
      </c>
      <c r="CC171" t="n">
        <v>0.6</v>
      </c>
      <c r="CD171" t="e">
        <v>#VALUE!</v>
      </c>
      <c r="CE171" t="e">
        <v>#VALUE!</v>
      </c>
      <c r="CF171" t="e">
        <v>#VALUE!</v>
      </c>
      <c r="CG171" t="e">
        <v>#VALUE!</v>
      </c>
      <c r="CH171" t="e">
        <v>#VALUE!</v>
      </c>
      <c r="CI171" t="e">
        <v>#VALUE!</v>
      </c>
      <c r="CJ171" t="e">
        <v>#VALUE!</v>
      </c>
      <c r="CK171" t="e">
        <v>#VALUE!</v>
      </c>
    </row>
    <row r="172" ht="12.5" customHeight="1" s="213">
      <c r="A172" t="inlineStr">
        <is>
          <t>Iceland</t>
        </is>
      </c>
      <c r="B172" t="inlineStr">
        <is>
          <t>TAI</t>
        </is>
      </c>
      <c r="C172" t="inlineStr">
        <is>
          <t>TAI</t>
        </is>
      </c>
      <c r="E172" t="n">
        <v>13.2313227078569</v>
      </c>
      <c r="F172">
        <f>E172</f>
        <v/>
      </c>
      <c r="I172">
        <f>F172</f>
        <v/>
      </c>
      <c r="J172">
        <f>I172</f>
        <v/>
      </c>
      <c r="L172">
        <f>J172</f>
        <v/>
      </c>
      <c r="V172">
        <f>L172</f>
        <v/>
      </c>
      <c r="W172" t="n">
        <v>3</v>
      </c>
      <c r="AG172" s="223" t="inlineStr">
        <is>
          <t>GDP</t>
        </is>
      </c>
      <c r="AI172" t="n">
        <v>1</v>
      </c>
      <c r="AJ172" t="n">
        <v>1.01817736459544</v>
      </c>
      <c r="AK172" t="n">
        <v>1.24931642627657</v>
      </c>
      <c r="AL172" t="n">
        <v>1.427108255292</v>
      </c>
      <c r="AM172" t="n">
        <v>1.60429626085173</v>
      </c>
      <c r="AN172" t="n">
        <v>1.78178048169162</v>
      </c>
      <c r="AO172" t="n">
        <v>1.95254859069884</v>
      </c>
      <c r="AP172" t="n">
        <v>2.10878506163556</v>
      </c>
      <c r="AQ172" t="n">
        <v>2.24936199785814</v>
      </c>
      <c r="AR172" t="n">
        <v>2.38084170711145</v>
      </c>
      <c r="AS172" t="n">
        <v>2.50725727436371</v>
      </c>
      <c r="AT172" t="n">
        <v>2.62275275138424</v>
      </c>
      <c r="AU172" t="n">
        <v>2.72462232551781</v>
      </c>
      <c r="AV172" t="n">
        <v>2.81146467063139</v>
      </c>
      <c r="AW172" t="n">
        <v>2.88243671246611</v>
      </c>
      <c r="AX172" t="n">
        <v>2.93886002688723</v>
      </c>
      <c r="AY172" t="n">
        <v>2.98358853419008</v>
      </c>
      <c r="AZ172" t="n">
        <v>3.01980654863627</v>
      </c>
      <c r="BA172" t="n">
        <v>0</v>
      </c>
      <c r="BB172" t="n">
        <v>0</v>
      </c>
      <c r="BC172" t="n">
        <v>0</v>
      </c>
      <c r="BD172" t="n">
        <v>0</v>
      </c>
      <c r="BE172" t="n">
        <v>0</v>
      </c>
      <c r="BF172" t="n">
        <v>0</v>
      </c>
      <c r="BG172" t="n">
        <v>0</v>
      </c>
      <c r="BH172" t="n">
        <v>0</v>
      </c>
      <c r="BJ172" t="inlineStr">
        <is>
          <t>Med2</t>
        </is>
      </c>
      <c r="BL172" t="n">
        <v>0.8</v>
      </c>
      <c r="BM172" t="n">
        <v>0.797560975609756</v>
      </c>
      <c r="BN172" t="n">
        <v>0.785365853658536</v>
      </c>
      <c r="BO172" t="n">
        <v>0.773170731707317</v>
      </c>
      <c r="BP172" t="n">
        <v>0.760975609756097</v>
      </c>
      <c r="BQ172" t="n">
        <v>0.748780487804878</v>
      </c>
      <c r="BR172" t="n">
        <v>0.736585365853658</v>
      </c>
      <c r="BS172" t="n">
        <v>0.724390243902439</v>
      </c>
      <c r="BT172" t="n">
        <v>0.71219512195122</v>
      </c>
      <c r="BU172" t="n">
        <v>0.699999999999999</v>
      </c>
      <c r="BV172" t="n">
        <v>0.687499999999999</v>
      </c>
      <c r="BW172" t="n">
        <v>0.675</v>
      </c>
      <c r="BX172" t="n">
        <v>0.6625</v>
      </c>
      <c r="BY172" t="n">
        <v>0.649999999999999</v>
      </c>
      <c r="BZ172" t="n">
        <v>0.637499999999999</v>
      </c>
      <c r="CA172" t="n">
        <v>0.625</v>
      </c>
      <c r="CB172" t="n">
        <v>0.6125</v>
      </c>
      <c r="CC172" t="n">
        <v>0.6</v>
      </c>
      <c r="CD172" t="e">
        <v>#VALUE!</v>
      </c>
      <c r="CE172" t="e">
        <v>#VALUE!</v>
      </c>
      <c r="CF172" t="e">
        <v>#VALUE!</v>
      </c>
      <c r="CG172" t="e">
        <v>#VALUE!</v>
      </c>
      <c r="CH172" t="e">
        <v>#VALUE!</v>
      </c>
      <c r="CI172" t="e">
        <v>#VALUE!</v>
      </c>
      <c r="CJ172" t="e">
        <v>#VALUE!</v>
      </c>
      <c r="CK172" t="e">
        <v>#VALUE!</v>
      </c>
    </row>
    <row r="173" ht="12.5" customHeight="1" s="213">
      <c r="A173" t="inlineStr">
        <is>
          <t>Iceland</t>
        </is>
      </c>
      <c r="B173" t="inlineStr">
        <is>
          <t>TTF</t>
        </is>
      </c>
      <c r="C173" t="inlineStr">
        <is>
          <t>TTF</t>
        </is>
      </c>
      <c r="E173" t="n">
        <v>0</v>
      </c>
      <c r="I173" t="n">
        <v>0</v>
      </c>
      <c r="J173" t="n">
        <v>0</v>
      </c>
      <c r="L173" t="n">
        <v>0</v>
      </c>
      <c r="V173" t="n">
        <v>0</v>
      </c>
      <c r="W173" t="n">
        <v>3</v>
      </c>
      <c r="AG173" s="223" t="inlineStr">
        <is>
          <t>GDP</t>
        </is>
      </c>
      <c r="AI173" t="n">
        <v>1</v>
      </c>
      <c r="AJ173" t="n">
        <v>1.01817736459544</v>
      </c>
      <c r="AK173" t="n">
        <v>1.24931642627657</v>
      </c>
      <c r="AL173" t="n">
        <v>1.427108255292</v>
      </c>
      <c r="AM173" t="n">
        <v>1.60429626085173</v>
      </c>
      <c r="AN173" t="n">
        <v>1.78178048169162</v>
      </c>
      <c r="AO173" t="n">
        <v>1.95254859069884</v>
      </c>
      <c r="AP173" t="n">
        <v>2.10878506163556</v>
      </c>
      <c r="AQ173" t="n">
        <v>2.24936199785814</v>
      </c>
      <c r="AR173" t="n">
        <v>2.38084170711145</v>
      </c>
      <c r="AS173" t="n">
        <v>2.50725727436371</v>
      </c>
      <c r="AT173" t="n">
        <v>2.62275275138424</v>
      </c>
      <c r="AU173" t="n">
        <v>2.72462232551781</v>
      </c>
      <c r="AV173" t="n">
        <v>2.81146467063139</v>
      </c>
      <c r="AW173" t="n">
        <v>2.88243671246611</v>
      </c>
      <c r="AX173" t="n">
        <v>2.93886002688723</v>
      </c>
      <c r="AY173" t="n">
        <v>2.98358853419008</v>
      </c>
      <c r="AZ173" t="n">
        <v>3.01980654863627</v>
      </c>
      <c r="BA173" t="n">
        <v>0</v>
      </c>
      <c r="BB173" t="n">
        <v>0</v>
      </c>
      <c r="BC173" t="n">
        <v>0</v>
      </c>
      <c r="BD173" t="n">
        <v>0</v>
      </c>
      <c r="BE173" t="n">
        <v>0</v>
      </c>
      <c r="BF173" t="n">
        <v>0</v>
      </c>
      <c r="BG173" t="n">
        <v>0</v>
      </c>
      <c r="BH173" t="n">
        <v>0</v>
      </c>
      <c r="BJ173" t="inlineStr">
        <is>
          <t>Med2</t>
        </is>
      </c>
      <c r="BL173" t="n">
        <v>0.8</v>
      </c>
      <c r="BM173" t="n">
        <v>0.797560975609756</v>
      </c>
      <c r="BN173" t="n">
        <v>0.785365853658536</v>
      </c>
      <c r="BO173" t="n">
        <v>0.773170731707317</v>
      </c>
      <c r="BP173" t="n">
        <v>0.760975609756097</v>
      </c>
      <c r="BQ173" t="n">
        <v>0.748780487804878</v>
      </c>
      <c r="BR173" t="n">
        <v>0.736585365853658</v>
      </c>
      <c r="BS173" t="n">
        <v>0.724390243902439</v>
      </c>
      <c r="BT173" t="n">
        <v>0.71219512195122</v>
      </c>
      <c r="BU173" t="n">
        <v>0.699999999999999</v>
      </c>
      <c r="BV173" t="n">
        <v>0.687499999999999</v>
      </c>
      <c r="BW173" t="n">
        <v>0.675</v>
      </c>
      <c r="BX173" t="n">
        <v>0.6625</v>
      </c>
      <c r="BY173" t="n">
        <v>0.649999999999999</v>
      </c>
      <c r="BZ173" t="n">
        <v>0.637499999999999</v>
      </c>
      <c r="CA173" t="n">
        <v>0.625</v>
      </c>
      <c r="CB173" t="n">
        <v>0.6125</v>
      </c>
      <c r="CC173" t="n">
        <v>0.6</v>
      </c>
      <c r="CD173" t="e">
        <v>#VALUE!</v>
      </c>
      <c r="CE173" t="e">
        <v>#VALUE!</v>
      </c>
      <c r="CF173" t="e">
        <v>#VALUE!</v>
      </c>
      <c r="CG173" t="e">
        <v>#VALUE!</v>
      </c>
      <c r="CH173" t="e">
        <v>#VALUE!</v>
      </c>
      <c r="CI173" t="e">
        <v>#VALUE!</v>
      </c>
      <c r="CJ173" t="e">
        <v>#VALUE!</v>
      </c>
      <c r="CK173" t="e">
        <v>#VALUE!</v>
      </c>
    </row>
    <row r="174" ht="12.5" customHeight="1" s="213">
      <c r="A174" t="inlineStr">
        <is>
          <t>Iceland</t>
        </is>
      </c>
      <c r="B174" t="inlineStr">
        <is>
          <t>TTP</t>
        </is>
      </c>
      <c r="C174" t="inlineStr">
        <is>
          <t>TTP</t>
        </is>
      </c>
      <c r="E174" t="n">
        <v>0</v>
      </c>
      <c r="I174" t="n">
        <v>0</v>
      </c>
      <c r="J174" t="n">
        <v>0</v>
      </c>
      <c r="L174" t="n">
        <v>0</v>
      </c>
      <c r="V174" t="n">
        <v>0</v>
      </c>
      <c r="W174" t="n">
        <v>3</v>
      </c>
      <c r="AG174" s="223" t="inlineStr">
        <is>
          <t>POP</t>
        </is>
      </c>
      <c r="AI174" t="n">
        <v>1</v>
      </c>
      <c r="AJ174" t="n">
        <v>1.00675128244523</v>
      </c>
      <c r="AK174" t="n">
        <v>1.04050769467137</v>
      </c>
      <c r="AL174" t="n">
        <v>1.06963558770311</v>
      </c>
      <c r="AM174" t="n">
        <v>1.09619914293641</v>
      </c>
      <c r="AN174" t="n">
        <v>1.11979768259025</v>
      </c>
      <c r="AO174" t="n">
        <v>1.14095070613241</v>
      </c>
      <c r="AP174" t="n">
        <v>1.16120289549108</v>
      </c>
      <c r="AQ174" t="n">
        <v>1.17864757708764</v>
      </c>
      <c r="AR174" t="n">
        <v>1.19442599177422</v>
      </c>
      <c r="AS174" t="n">
        <v>1.20867354100785</v>
      </c>
      <c r="AT174" t="n">
        <v>1.22107797244884</v>
      </c>
      <c r="AU174" t="n">
        <v>1.23124966149636</v>
      </c>
      <c r="AV174" t="n">
        <v>1.23865805550244</v>
      </c>
      <c r="AW174" t="n">
        <v>1.24298261224228</v>
      </c>
      <c r="AX174" t="n">
        <v>1.24450795110515</v>
      </c>
      <c r="AY174" t="n">
        <v>1.24472072482334</v>
      </c>
      <c r="AZ174" t="n">
        <v>1.24555247663081</v>
      </c>
      <c r="BA174" t="n">
        <v>0</v>
      </c>
      <c r="BB174" t="n">
        <v>0</v>
      </c>
      <c r="BC174" t="n">
        <v>0</v>
      </c>
      <c r="BD174" t="n">
        <v>0</v>
      </c>
      <c r="BE174" t="n">
        <v>0</v>
      </c>
      <c r="BF174" t="n">
        <v>0</v>
      </c>
      <c r="BG174" t="n">
        <v>0</v>
      </c>
      <c r="BH174" t="n">
        <v>0</v>
      </c>
      <c r="BJ174" t="inlineStr">
        <is>
          <t>Med2</t>
        </is>
      </c>
      <c r="BL174" t="n">
        <v>0.8</v>
      </c>
      <c r="BM174" t="n">
        <v>0.797560975609756</v>
      </c>
      <c r="BN174" t="n">
        <v>0.785365853658536</v>
      </c>
      <c r="BO174" t="n">
        <v>0.773170731707317</v>
      </c>
      <c r="BP174" t="n">
        <v>0.760975609756097</v>
      </c>
      <c r="BQ174" t="n">
        <v>0.748780487804878</v>
      </c>
      <c r="BR174" t="n">
        <v>0.736585365853658</v>
      </c>
      <c r="BS174" t="n">
        <v>0.724390243902439</v>
      </c>
      <c r="BT174" t="n">
        <v>0.71219512195122</v>
      </c>
      <c r="BU174" t="n">
        <v>0.699999999999999</v>
      </c>
      <c r="BV174" t="n">
        <v>0.687499999999999</v>
      </c>
      <c r="BW174" t="n">
        <v>0.675</v>
      </c>
      <c r="BX174" t="n">
        <v>0.6625</v>
      </c>
      <c r="BY174" t="n">
        <v>0.649999999999999</v>
      </c>
      <c r="BZ174" t="n">
        <v>0.637499999999999</v>
      </c>
      <c r="CA174" t="n">
        <v>0.625</v>
      </c>
      <c r="CB174" t="n">
        <v>0.6125</v>
      </c>
      <c r="CC174" t="n">
        <v>0.6</v>
      </c>
      <c r="CD174" t="e">
        <v>#VALUE!</v>
      </c>
      <c r="CE174" t="e">
        <v>#VALUE!</v>
      </c>
      <c r="CF174" t="e">
        <v>#VALUE!</v>
      </c>
      <c r="CG174" t="e">
        <v>#VALUE!</v>
      </c>
      <c r="CH174" t="e">
        <v>#VALUE!</v>
      </c>
      <c r="CI174" t="e">
        <v>#VALUE!</v>
      </c>
      <c r="CJ174" t="e">
        <v>#VALUE!</v>
      </c>
      <c r="CK174" t="e">
        <v>#VALUE!</v>
      </c>
    </row>
    <row r="175" ht="12.5" customHeight="1" s="213">
      <c r="A175" t="inlineStr">
        <is>
          <t>Iceland</t>
        </is>
      </c>
      <c r="B175" t="inlineStr">
        <is>
          <t>TWD</t>
        </is>
      </c>
      <c r="C175" t="inlineStr">
        <is>
          <t>TWD</t>
        </is>
      </c>
      <c r="E175" t="n">
        <v>0.709145337885679</v>
      </c>
      <c r="F175">
        <f>E175</f>
        <v/>
      </c>
      <c r="I175">
        <f>F175</f>
        <v/>
      </c>
      <c r="J175">
        <f>I175</f>
        <v/>
      </c>
      <c r="L175">
        <f>J175</f>
        <v/>
      </c>
      <c r="V175">
        <f>L175</f>
        <v/>
      </c>
      <c r="W175" t="n">
        <v>3</v>
      </c>
      <c r="AG175" s="223" t="inlineStr">
        <is>
          <t>GDP</t>
        </is>
      </c>
      <c r="AI175" t="n">
        <v>1</v>
      </c>
      <c r="AJ175" t="n">
        <v>1.01817736459544</v>
      </c>
      <c r="AK175" t="n">
        <v>1.24931642627657</v>
      </c>
      <c r="AL175" t="n">
        <v>1.427108255292</v>
      </c>
      <c r="AM175" t="n">
        <v>1.60429626085173</v>
      </c>
      <c r="AN175" t="n">
        <v>1.78178048169162</v>
      </c>
      <c r="AO175" t="n">
        <v>1.95254859069884</v>
      </c>
      <c r="AP175" t="n">
        <v>2.10878506163556</v>
      </c>
      <c r="AQ175" t="n">
        <v>2.24936199785814</v>
      </c>
      <c r="AR175" t="n">
        <v>2.38084170711145</v>
      </c>
      <c r="AS175" t="n">
        <v>2.50725727436371</v>
      </c>
      <c r="AT175" t="n">
        <v>2.62275275138424</v>
      </c>
      <c r="AU175" t="n">
        <v>2.72462232551781</v>
      </c>
      <c r="AV175" t="n">
        <v>2.81146467063139</v>
      </c>
      <c r="AW175" t="n">
        <v>2.88243671246611</v>
      </c>
      <c r="AX175" t="n">
        <v>2.93886002688723</v>
      </c>
      <c r="AY175" t="n">
        <v>2.98358853419008</v>
      </c>
      <c r="AZ175" t="n">
        <v>3.01980654863627</v>
      </c>
      <c r="BA175" t="n">
        <v>0</v>
      </c>
      <c r="BB175" t="n">
        <v>0</v>
      </c>
      <c r="BC175" t="n">
        <v>0</v>
      </c>
      <c r="BD175" t="n">
        <v>0</v>
      </c>
      <c r="BE175" t="n">
        <v>0</v>
      </c>
      <c r="BF175" t="n">
        <v>0</v>
      </c>
      <c r="BG175" t="n">
        <v>0</v>
      </c>
      <c r="BH175" t="n">
        <v>0</v>
      </c>
      <c r="BJ175" t="inlineStr">
        <is>
          <t>Med2</t>
        </is>
      </c>
      <c r="BL175" t="n">
        <v>0.8</v>
      </c>
      <c r="BM175" t="n">
        <v>0.797560975609756</v>
      </c>
      <c r="BN175" t="n">
        <v>0.785365853658536</v>
      </c>
      <c r="BO175" t="n">
        <v>0.773170731707317</v>
      </c>
      <c r="BP175" t="n">
        <v>0.760975609756097</v>
      </c>
      <c r="BQ175" t="n">
        <v>0.748780487804878</v>
      </c>
      <c r="BR175" t="n">
        <v>0.736585365853658</v>
      </c>
      <c r="BS175" t="n">
        <v>0.724390243902439</v>
      </c>
      <c r="BT175" t="n">
        <v>0.71219512195122</v>
      </c>
      <c r="BU175" t="n">
        <v>0.699999999999999</v>
      </c>
      <c r="BV175" t="n">
        <v>0.687499999999999</v>
      </c>
      <c r="BW175" t="n">
        <v>0.675</v>
      </c>
      <c r="BX175" t="n">
        <v>0.6625</v>
      </c>
      <c r="BY175" t="n">
        <v>0.649999999999999</v>
      </c>
      <c r="BZ175" t="n">
        <v>0.637499999999999</v>
      </c>
      <c r="CA175" t="n">
        <v>0.625</v>
      </c>
      <c r="CB175" t="n">
        <v>0.6125</v>
      </c>
      <c r="CC175" t="n">
        <v>0.6</v>
      </c>
      <c r="CD175" t="e">
        <v>#VALUE!</v>
      </c>
      <c r="CE175" t="e">
        <v>#VALUE!</v>
      </c>
      <c r="CF175" t="e">
        <v>#VALUE!</v>
      </c>
      <c r="CG175" t="e">
        <v>#VALUE!</v>
      </c>
      <c r="CH175" t="e">
        <v>#VALUE!</v>
      </c>
      <c r="CI175" t="e">
        <v>#VALUE!</v>
      </c>
      <c r="CJ175" t="e">
        <v>#VALUE!</v>
      </c>
      <c r="CK175" t="e">
        <v>#VALUE!</v>
      </c>
    </row>
    <row r="176" ht="12.5" customHeight="1" s="213">
      <c r="A176" t="inlineStr">
        <is>
          <t>Iceland</t>
        </is>
      </c>
      <c r="B176" t="inlineStr">
        <is>
          <t>TWI</t>
        </is>
      </c>
      <c r="C176" t="inlineStr">
        <is>
          <t>TWI</t>
        </is>
      </c>
      <c r="E176" t="n">
        <v>2.73749995706238</v>
      </c>
      <c r="F176">
        <f>E176</f>
        <v/>
      </c>
      <c r="I176">
        <f>F176</f>
        <v/>
      </c>
      <c r="J176">
        <f>I176</f>
        <v/>
      </c>
      <c r="L176">
        <f>J176</f>
        <v/>
      </c>
      <c r="V176">
        <f>L176</f>
        <v/>
      </c>
      <c r="W176" t="n">
        <v>3</v>
      </c>
      <c r="AG176" s="223" t="inlineStr">
        <is>
          <t>GDP</t>
        </is>
      </c>
      <c r="AI176" t="n">
        <v>1</v>
      </c>
      <c r="AJ176" t="n">
        <v>1.01817736459544</v>
      </c>
      <c r="AK176" t="n">
        <v>1.24931642627657</v>
      </c>
      <c r="AL176" t="n">
        <v>1.427108255292</v>
      </c>
      <c r="AM176" t="n">
        <v>1.60429626085173</v>
      </c>
      <c r="AN176" t="n">
        <v>1.78178048169162</v>
      </c>
      <c r="AO176" t="n">
        <v>1.95254859069884</v>
      </c>
      <c r="AP176" t="n">
        <v>2.10878506163556</v>
      </c>
      <c r="AQ176" t="n">
        <v>2.24936199785814</v>
      </c>
      <c r="AR176" t="n">
        <v>2.38084170711145</v>
      </c>
      <c r="AS176" t="n">
        <v>2.50725727436371</v>
      </c>
      <c r="AT176" t="n">
        <v>2.62275275138424</v>
      </c>
      <c r="AU176" t="n">
        <v>2.72462232551781</v>
      </c>
      <c r="AV176" t="n">
        <v>2.81146467063139</v>
      </c>
      <c r="AW176" t="n">
        <v>2.88243671246611</v>
      </c>
      <c r="AX176" t="n">
        <v>2.93886002688723</v>
      </c>
      <c r="AY176" t="n">
        <v>2.98358853419008</v>
      </c>
      <c r="AZ176" t="n">
        <v>3.01980654863627</v>
      </c>
      <c r="BA176" t="n">
        <v>0</v>
      </c>
      <c r="BB176" t="n">
        <v>0</v>
      </c>
      <c r="BC176" t="n">
        <v>0</v>
      </c>
      <c r="BD176" t="n">
        <v>0</v>
      </c>
      <c r="BE176" t="n">
        <v>0</v>
      </c>
      <c r="BF176" t="n">
        <v>0</v>
      </c>
      <c r="BG176" t="n">
        <v>0</v>
      </c>
      <c r="BH176" t="n">
        <v>0</v>
      </c>
      <c r="BJ176" t="inlineStr">
        <is>
          <t>Med2</t>
        </is>
      </c>
      <c r="BL176" t="n">
        <v>0.8</v>
      </c>
      <c r="BM176" t="n">
        <v>0.797560975609756</v>
      </c>
      <c r="BN176" t="n">
        <v>0.785365853658536</v>
      </c>
      <c r="BO176" t="n">
        <v>0.773170731707317</v>
      </c>
      <c r="BP176" t="n">
        <v>0.760975609756097</v>
      </c>
      <c r="BQ176" t="n">
        <v>0.748780487804878</v>
      </c>
      <c r="BR176" t="n">
        <v>0.736585365853658</v>
      </c>
      <c r="BS176" t="n">
        <v>0.724390243902439</v>
      </c>
      <c r="BT176" t="n">
        <v>0.71219512195122</v>
      </c>
      <c r="BU176" t="n">
        <v>0.699999999999999</v>
      </c>
      <c r="BV176" t="n">
        <v>0.687499999999999</v>
      </c>
      <c r="BW176" t="n">
        <v>0.675</v>
      </c>
      <c r="BX176" t="n">
        <v>0.6625</v>
      </c>
      <c r="BY176" t="n">
        <v>0.649999999999999</v>
      </c>
      <c r="BZ176" t="n">
        <v>0.637499999999999</v>
      </c>
      <c r="CA176" t="n">
        <v>0.625</v>
      </c>
      <c r="CB176" t="n">
        <v>0.6125</v>
      </c>
      <c r="CC176" t="n">
        <v>0.6</v>
      </c>
      <c r="CD176" t="e">
        <v>#VALUE!</v>
      </c>
      <c r="CE176" t="e">
        <v>#VALUE!</v>
      </c>
      <c r="CF176" t="e">
        <v>#VALUE!</v>
      </c>
      <c r="CG176" t="e">
        <v>#VALUE!</v>
      </c>
      <c r="CH176" t="e">
        <v>#VALUE!</v>
      </c>
      <c r="CI176" t="e">
        <v>#VALUE!</v>
      </c>
      <c r="CJ176" t="e">
        <v>#VALUE!</v>
      </c>
      <c r="CK176" t="e">
        <v>#VALUE!</v>
      </c>
    </row>
    <row r="177" ht="12.5" customHeight="1" s="213">
      <c r="A177" t="inlineStr">
        <is>
          <t>Iceland</t>
        </is>
      </c>
      <c r="B177" t="inlineStr">
        <is>
          <t>Trd_2w</t>
        </is>
      </c>
      <c r="C177" t="inlineStr">
        <is>
          <t>Trd_2w</t>
        </is>
      </c>
      <c r="D177" t="n">
        <v>0.028</v>
      </c>
      <c r="E177" t="n">
        <v>0.0281507676635818</v>
      </c>
      <c r="G177" t="n">
        <v>0.0288920716706338</v>
      </c>
      <c r="H177" t="n">
        <v>0.0295174140529994</v>
      </c>
      <c r="I177" t="n">
        <v>0.030075240885544</v>
      </c>
      <c r="J177" t="n">
        <v>0.0305600371931852</v>
      </c>
      <c r="K177" t="n">
        <v>0.0309852534431373</v>
      </c>
      <c r="L177" t="n">
        <v>0.0313836657482678</v>
      </c>
      <c r="M177" t="n">
        <v>0.031719447895035</v>
      </c>
      <c r="N177" t="n">
        <v>0.0320166850239041</v>
      </c>
      <c r="O177" t="n">
        <v>0.0322792458843346</v>
      </c>
      <c r="P177" t="n">
        <v>0.0325028578302356</v>
      </c>
      <c r="Q177" t="n">
        <v>0.0326822308456635</v>
      </c>
      <c r="R177" t="n">
        <v>0.0328100520771636</v>
      </c>
      <c r="S177" t="n">
        <v>0.0328830780375158</v>
      </c>
      <c r="T177" t="n">
        <v>0.0329082985415918</v>
      </c>
      <c r="U177" t="n">
        <v>0.0329117446729589</v>
      </c>
      <c r="V177" t="n">
        <v>0.0329249401163573</v>
      </c>
      <c r="W177" t="n">
        <v>3</v>
      </c>
      <c r="AG177" s="223" t="inlineStr">
        <is>
          <t>POP</t>
        </is>
      </c>
      <c r="AI177" t="n">
        <v>1</v>
      </c>
      <c r="AJ177" t="n">
        <v>1.00675128244523</v>
      </c>
      <c r="AK177" t="n">
        <v>1.04050769467137</v>
      </c>
      <c r="AL177" t="n">
        <v>1.06963558770311</v>
      </c>
      <c r="AM177" t="n">
        <v>1.09619914293641</v>
      </c>
      <c r="AN177" t="n">
        <v>1.11979768259025</v>
      </c>
      <c r="AO177" t="n">
        <v>1.14095070613241</v>
      </c>
      <c r="AP177" t="n">
        <v>1.16120289549108</v>
      </c>
      <c r="AQ177" t="n">
        <v>1.17864757708764</v>
      </c>
      <c r="AR177" t="n">
        <v>1.19442599177422</v>
      </c>
      <c r="AS177" t="n">
        <v>1.20867354100785</v>
      </c>
      <c r="AT177" t="n">
        <v>1.22107797244884</v>
      </c>
      <c r="AU177" t="n">
        <v>1.23124966149636</v>
      </c>
      <c r="AV177" t="n">
        <v>1.23865805550244</v>
      </c>
      <c r="AW177" t="n">
        <v>1.24298261224228</v>
      </c>
      <c r="AX177" t="n">
        <v>1.24450795110515</v>
      </c>
      <c r="AY177" t="n">
        <v>1.24472072482334</v>
      </c>
      <c r="AZ177" t="n">
        <v>1.24555247663081</v>
      </c>
      <c r="BA177" t="n">
        <v>0</v>
      </c>
      <c r="BB177" t="n">
        <v>0</v>
      </c>
      <c r="BC177" t="n">
        <v>0</v>
      </c>
      <c r="BD177" t="n">
        <v>0</v>
      </c>
      <c r="BE177" t="n">
        <v>0</v>
      </c>
      <c r="BF177" t="n">
        <v>0</v>
      </c>
      <c r="BG177" t="n">
        <v>0</v>
      </c>
      <c r="BH177" t="n">
        <v>0</v>
      </c>
      <c r="BJ177" t="inlineStr">
        <is>
          <t>Med2</t>
        </is>
      </c>
      <c r="BL177" t="n">
        <v>0.8</v>
      </c>
      <c r="BM177" t="n">
        <v>0.797560975609756</v>
      </c>
      <c r="BN177" t="n">
        <v>0.785365853658536</v>
      </c>
      <c r="BO177" t="n">
        <v>0.773170731707317</v>
      </c>
      <c r="BP177" t="n">
        <v>0.760975609756097</v>
      </c>
      <c r="BQ177" t="n">
        <v>0.748780487804878</v>
      </c>
      <c r="BR177" t="n">
        <v>0.736585365853658</v>
      </c>
      <c r="BS177" t="n">
        <v>0.724390243902439</v>
      </c>
      <c r="BT177" t="n">
        <v>0.71219512195122</v>
      </c>
      <c r="BU177" t="n">
        <v>0.699999999999999</v>
      </c>
      <c r="BV177" t="n">
        <v>0.687499999999999</v>
      </c>
      <c r="BW177" t="n">
        <v>0.675</v>
      </c>
      <c r="BX177" t="n">
        <v>0.6625</v>
      </c>
      <c r="BY177" t="n">
        <v>0.649999999999999</v>
      </c>
      <c r="BZ177" t="n">
        <v>0.637499999999999</v>
      </c>
      <c r="CA177" t="n">
        <v>0.625</v>
      </c>
      <c r="CB177" t="n">
        <v>0.6125</v>
      </c>
      <c r="CC177" t="n">
        <v>0.6</v>
      </c>
      <c r="CD177" t="e">
        <v>#VALUE!</v>
      </c>
      <c r="CE177" t="e">
        <v>#VALUE!</v>
      </c>
      <c r="CF177" t="e">
        <v>#VALUE!</v>
      </c>
      <c r="CG177" t="e">
        <v>#VALUE!</v>
      </c>
      <c r="CH177" t="e">
        <v>#VALUE!</v>
      </c>
      <c r="CI177" t="e">
        <v>#VALUE!</v>
      </c>
      <c r="CJ177" t="e">
        <v>#VALUE!</v>
      </c>
      <c r="CK177" t="e">
        <v>#VALUE!</v>
      </c>
    </row>
    <row r="178" ht="12.5" customHeight="1" s="213">
      <c r="A178" t="inlineStr">
        <is>
          <t>Iceland</t>
        </is>
      </c>
      <c r="B178" t="inlineStr">
        <is>
          <t>Trd_3w</t>
        </is>
      </c>
      <c r="C178" t="inlineStr">
        <is>
          <t>Trd_3w</t>
        </is>
      </c>
      <c r="D178" t="n">
        <v>0.015</v>
      </c>
      <c r="E178" t="n">
        <v>0.0150807683912045</v>
      </c>
      <c r="G178" t="n">
        <v>0.0154778955378396</v>
      </c>
      <c r="H178" t="n">
        <v>0.0158129003855354</v>
      </c>
      <c r="I178" t="n">
        <v>0.0161117361886843</v>
      </c>
      <c r="J178" t="n">
        <v>0.0163714484963492</v>
      </c>
      <c r="K178" t="n">
        <v>0.0165992429159664</v>
      </c>
      <c r="L178" t="n">
        <v>0.0168126780794292</v>
      </c>
      <c r="M178" t="n">
        <v>0.0169925613723402</v>
      </c>
      <c r="N178" t="n">
        <v>0.01715179554852</v>
      </c>
      <c r="O178" t="n">
        <v>0.0172924531523221</v>
      </c>
      <c r="P178" t="n">
        <v>0.0174122452661977</v>
      </c>
      <c r="Q178" t="n">
        <v>0.017508337953034</v>
      </c>
      <c r="R178" t="n">
        <v>0.0175768136127662</v>
      </c>
      <c r="S178" t="n">
        <v>0.0176159346629549</v>
      </c>
      <c r="T178" t="n">
        <v>0.0176294456472813</v>
      </c>
      <c r="U178" t="n">
        <v>0.0176312917890851</v>
      </c>
      <c r="V178" t="n">
        <v>0.01763836077662</v>
      </c>
      <c r="W178" t="n">
        <v>3</v>
      </c>
      <c r="AG178" s="223" t="inlineStr">
        <is>
          <t>POP</t>
        </is>
      </c>
      <c r="AI178" t="n">
        <v>1</v>
      </c>
      <c r="AJ178" t="n">
        <v>1.00675128244523</v>
      </c>
      <c r="AK178" t="n">
        <v>1.04050769467137</v>
      </c>
      <c r="AL178" t="n">
        <v>1.06963558770311</v>
      </c>
      <c r="AM178" t="n">
        <v>1.09619914293641</v>
      </c>
      <c r="AN178" t="n">
        <v>1.11979768259025</v>
      </c>
      <c r="AO178" t="n">
        <v>1.14095070613241</v>
      </c>
      <c r="AP178" t="n">
        <v>1.16120289549108</v>
      </c>
      <c r="AQ178" t="n">
        <v>1.17864757708764</v>
      </c>
      <c r="AR178" t="n">
        <v>1.19442599177422</v>
      </c>
      <c r="AS178" t="n">
        <v>1.20867354100785</v>
      </c>
      <c r="AT178" t="n">
        <v>1.22107797244884</v>
      </c>
      <c r="AU178" t="n">
        <v>1.23124966149636</v>
      </c>
      <c r="AV178" t="n">
        <v>1.23865805550244</v>
      </c>
      <c r="AW178" t="n">
        <v>1.24298261224228</v>
      </c>
      <c r="AX178" t="n">
        <v>1.24450795110515</v>
      </c>
      <c r="AY178" t="n">
        <v>1.24472072482334</v>
      </c>
      <c r="AZ178" t="n">
        <v>1.24555247663081</v>
      </c>
      <c r="BA178" t="n">
        <v>0</v>
      </c>
      <c r="BB178" t="n">
        <v>0</v>
      </c>
      <c r="BC178" t="n">
        <v>0</v>
      </c>
      <c r="BD178" t="n">
        <v>0</v>
      </c>
      <c r="BE178" t="n">
        <v>0</v>
      </c>
      <c r="BF178" t="n">
        <v>0</v>
      </c>
      <c r="BG178" t="n">
        <v>0</v>
      </c>
      <c r="BH178" t="n">
        <v>0</v>
      </c>
      <c r="BJ178" t="inlineStr">
        <is>
          <t>Med2</t>
        </is>
      </c>
      <c r="BL178" t="n">
        <v>0.8</v>
      </c>
      <c r="BM178" t="n">
        <v>0.797560975609756</v>
      </c>
      <c r="BN178" t="n">
        <v>0.785365853658536</v>
      </c>
      <c r="BO178" t="n">
        <v>0.773170731707317</v>
      </c>
      <c r="BP178" t="n">
        <v>0.760975609756097</v>
      </c>
      <c r="BQ178" t="n">
        <v>0.748780487804878</v>
      </c>
      <c r="BR178" t="n">
        <v>0.736585365853658</v>
      </c>
      <c r="BS178" t="n">
        <v>0.724390243902439</v>
      </c>
      <c r="BT178" t="n">
        <v>0.71219512195122</v>
      </c>
      <c r="BU178" t="n">
        <v>0.699999999999999</v>
      </c>
      <c r="BV178" t="n">
        <v>0.687499999999999</v>
      </c>
      <c r="BW178" t="n">
        <v>0.675</v>
      </c>
      <c r="BX178" t="n">
        <v>0.6625</v>
      </c>
      <c r="BY178" t="n">
        <v>0.649999999999999</v>
      </c>
      <c r="BZ178" t="n">
        <v>0.637499999999999</v>
      </c>
      <c r="CA178" t="n">
        <v>0.625</v>
      </c>
      <c r="CB178" t="n">
        <v>0.6125</v>
      </c>
      <c r="CC178" t="n">
        <v>0.6</v>
      </c>
      <c r="CD178" t="e">
        <v>#VALUE!</v>
      </c>
      <c r="CE178" t="e">
        <v>#VALUE!</v>
      </c>
      <c r="CF178" t="e">
        <v>#VALUE!</v>
      </c>
      <c r="CG178" t="e">
        <v>#VALUE!</v>
      </c>
      <c r="CH178" t="e">
        <v>#VALUE!</v>
      </c>
      <c r="CI178" t="e">
        <v>#VALUE!</v>
      </c>
      <c r="CJ178" t="e">
        <v>#VALUE!</v>
      </c>
      <c r="CK178" t="e">
        <v>#VALUE!</v>
      </c>
    </row>
    <row r="179" ht="12.5" customHeight="1" s="213">
      <c r="A179" t="inlineStr">
        <is>
          <t>Iceland</t>
        </is>
      </c>
      <c r="B179" t="inlineStr">
        <is>
          <t>Trd_bus</t>
        </is>
      </c>
      <c r="C179" t="inlineStr">
        <is>
          <t>Trd_bus</t>
        </is>
      </c>
      <c r="D179" t="n">
        <v>0.035</v>
      </c>
      <c r="E179" t="n">
        <v>0.0351884595794772</v>
      </c>
      <c r="G179" t="n">
        <v>0.0361150895882923</v>
      </c>
      <c r="H179" t="n">
        <v>0.0368967675662493</v>
      </c>
      <c r="I179" t="n">
        <v>0.03759405110693</v>
      </c>
      <c r="J179" t="n">
        <v>0.0382000464914815</v>
      </c>
      <c r="K179" t="n">
        <v>0.0387315668039216</v>
      </c>
      <c r="L179" t="n">
        <v>0.0392295821853347</v>
      </c>
      <c r="M179" t="n">
        <v>0.0396493098687937</v>
      </c>
      <c r="N179" t="n">
        <v>0.0400208562798801</v>
      </c>
      <c r="O179" t="n">
        <v>0.0403490573554182</v>
      </c>
      <c r="P179" t="n">
        <v>0.0406285722877945</v>
      </c>
      <c r="Q179" t="n">
        <v>0.0408527885570794</v>
      </c>
      <c r="R179" t="n">
        <v>0.0410125650964545</v>
      </c>
      <c r="S179" t="n">
        <v>0.0411038475468948</v>
      </c>
      <c r="T179" t="n">
        <v>0.0411353731769897</v>
      </c>
      <c r="U179" t="n">
        <v>0.0411396808411987</v>
      </c>
      <c r="V179" t="n">
        <v>0.0411561751454467</v>
      </c>
      <c r="W179" t="n">
        <v>3</v>
      </c>
      <c r="AG179" s="223" t="inlineStr">
        <is>
          <t>POP</t>
        </is>
      </c>
      <c r="AI179" t="n">
        <v>1</v>
      </c>
      <c r="AJ179" t="n">
        <v>1.00675128244523</v>
      </c>
      <c r="AK179" t="n">
        <v>1.04050769467137</v>
      </c>
      <c r="AL179" t="n">
        <v>1.06963558770311</v>
      </c>
      <c r="AM179" t="n">
        <v>1.09619914293641</v>
      </c>
      <c r="AN179" t="n">
        <v>1.11979768259025</v>
      </c>
      <c r="AO179" t="n">
        <v>1.14095070613241</v>
      </c>
      <c r="AP179" t="n">
        <v>1.16120289549108</v>
      </c>
      <c r="AQ179" t="n">
        <v>1.17864757708764</v>
      </c>
      <c r="AR179" t="n">
        <v>1.19442599177422</v>
      </c>
      <c r="AS179" t="n">
        <v>1.20867354100785</v>
      </c>
      <c r="AT179" t="n">
        <v>1.22107797244884</v>
      </c>
      <c r="AU179" t="n">
        <v>1.23124966149636</v>
      </c>
      <c r="AV179" t="n">
        <v>1.23865805550244</v>
      </c>
      <c r="AW179" t="n">
        <v>1.24298261224228</v>
      </c>
      <c r="AX179" t="n">
        <v>1.24450795110515</v>
      </c>
      <c r="AY179" t="n">
        <v>1.24472072482334</v>
      </c>
      <c r="AZ179" t="n">
        <v>1.24555247663081</v>
      </c>
      <c r="BA179" t="n">
        <v>0</v>
      </c>
      <c r="BB179" t="n">
        <v>0</v>
      </c>
      <c r="BC179" t="n">
        <v>0</v>
      </c>
      <c r="BD179" t="n">
        <v>0</v>
      </c>
      <c r="BE179" t="n">
        <v>0</v>
      </c>
      <c r="BF179" t="n">
        <v>0</v>
      </c>
      <c r="BG179" t="n">
        <v>0</v>
      </c>
      <c r="BH179" t="n">
        <v>0</v>
      </c>
      <c r="BJ179" t="inlineStr">
        <is>
          <t>Med2</t>
        </is>
      </c>
      <c r="BL179" t="n">
        <v>0.8</v>
      </c>
      <c r="BM179" t="n">
        <v>0.797560975609756</v>
      </c>
      <c r="BN179" t="n">
        <v>0.785365853658536</v>
      </c>
      <c r="BO179" t="n">
        <v>0.773170731707317</v>
      </c>
      <c r="BP179" t="n">
        <v>0.760975609756097</v>
      </c>
      <c r="BQ179" t="n">
        <v>0.748780487804878</v>
      </c>
      <c r="BR179" t="n">
        <v>0.736585365853658</v>
      </c>
      <c r="BS179" t="n">
        <v>0.724390243902439</v>
      </c>
      <c r="BT179" t="n">
        <v>0.71219512195122</v>
      </c>
      <c r="BU179" t="n">
        <v>0.699999999999999</v>
      </c>
      <c r="BV179" t="n">
        <v>0.687499999999999</v>
      </c>
      <c r="BW179" t="n">
        <v>0.675</v>
      </c>
      <c r="BX179" t="n">
        <v>0.6625</v>
      </c>
      <c r="BY179" t="n">
        <v>0.649999999999999</v>
      </c>
      <c r="BZ179" t="n">
        <v>0.637499999999999</v>
      </c>
      <c r="CA179" t="n">
        <v>0.625</v>
      </c>
      <c r="CB179" t="n">
        <v>0.6125</v>
      </c>
      <c r="CC179" t="n">
        <v>0.6</v>
      </c>
      <c r="CD179" t="e">
        <v>#VALUE!</v>
      </c>
      <c r="CE179" t="e">
        <v>#VALUE!</v>
      </c>
      <c r="CF179" t="e">
        <v>#VALUE!</v>
      </c>
      <c r="CG179" t="e">
        <v>#VALUE!</v>
      </c>
      <c r="CH179" t="e">
        <v>#VALUE!</v>
      </c>
      <c r="CI179" t="e">
        <v>#VALUE!</v>
      </c>
      <c r="CJ179" t="e">
        <v>#VALUE!</v>
      </c>
      <c r="CK179" t="e">
        <v>#VALUE!</v>
      </c>
    </row>
    <row r="180" ht="12.5" customHeight="1" s="213">
      <c r="A180" t="inlineStr">
        <is>
          <t>Iceland</t>
        </is>
      </c>
      <c r="B180" t="inlineStr">
        <is>
          <t>Trd_car</t>
        </is>
      </c>
      <c r="C180" t="inlineStr">
        <is>
          <t>Trd_car</t>
        </is>
      </c>
      <c r="D180" t="n">
        <v>3.348</v>
      </c>
      <c r="E180" t="n">
        <v>3.37830571229301</v>
      </c>
      <c r="G180" t="n">
        <v>3.87500051462122</v>
      </c>
      <c r="H180" t="n">
        <v>4.20817276551987</v>
      </c>
      <c r="I180" t="n">
        <v>4.5185339010783</v>
      </c>
      <c r="J180" t="n">
        <v>4.81365085398528</v>
      </c>
      <c r="K180" t="n">
        <v>5.08143566161218</v>
      </c>
      <c r="L180" t="n">
        <v>5.30663734782078</v>
      </c>
      <c r="M180" t="n">
        <v>5.4989134394951</v>
      </c>
      <c r="N180" t="n">
        <v>5.67008837652624</v>
      </c>
      <c r="O180" t="n">
        <v>5.82867965320323</v>
      </c>
      <c r="P180" t="n">
        <v>5.96810517951262</v>
      </c>
      <c r="Q180" t="n">
        <v>6.08774359000258</v>
      </c>
      <c r="R180" t="n">
        <v>6.18944548440854</v>
      </c>
      <c r="S180" t="n">
        <v>6.27497715089905</v>
      </c>
      <c r="T180" t="n">
        <v>6.34684610536415</v>
      </c>
      <c r="U180" t="n">
        <v>6.40533710802108</v>
      </c>
      <c r="V180" t="n">
        <v>6.44939248330905</v>
      </c>
      <c r="W180" t="n">
        <v>3</v>
      </c>
      <c r="AG180" s="223" t="inlineStr">
        <is>
          <t>GDPPCAP</t>
        </is>
      </c>
      <c r="AI180" t="n">
        <v>1</v>
      </c>
      <c r="AJ180" t="n">
        <v>1.0113494587486</v>
      </c>
      <c r="AK180" t="n">
        <v>1.20067966116402</v>
      </c>
      <c r="AL180" t="n">
        <v>1.33420042461051</v>
      </c>
      <c r="AM180" t="n">
        <v>1.46350804157197</v>
      </c>
      <c r="AN180" t="n">
        <v>1.59116285860685</v>
      </c>
      <c r="AO180" t="n">
        <v>1.71133474934914</v>
      </c>
      <c r="AP180" t="n">
        <v>1.81603496669181</v>
      </c>
      <c r="AQ180" t="n">
        <v>1.90842626887349</v>
      </c>
      <c r="AR180" t="n">
        <v>1.99329361844755</v>
      </c>
      <c r="AS180" t="n">
        <v>2.07438749116079</v>
      </c>
      <c r="AT180" t="n">
        <v>2.14789948763416</v>
      </c>
      <c r="AU180" t="n">
        <v>2.21289183723026</v>
      </c>
      <c r="AV180" t="n">
        <v>2.26976658985274</v>
      </c>
      <c r="AW180" t="n">
        <v>2.3189678472383</v>
      </c>
      <c r="AX180" t="n">
        <v>2.36146343964895</v>
      </c>
      <c r="AY180" t="n">
        <v>2.39699434153274</v>
      </c>
      <c r="AZ180" t="n">
        <v>2.42447155402458</v>
      </c>
      <c r="BA180" t="n">
        <v>0</v>
      </c>
      <c r="BB180" t="n">
        <v>0</v>
      </c>
      <c r="BC180" t="n">
        <v>0</v>
      </c>
      <c r="BD180" t="n">
        <v>0</v>
      </c>
      <c r="BE180" t="n">
        <v>0</v>
      </c>
      <c r="BF180" t="n">
        <v>0</v>
      </c>
      <c r="BG180" t="n">
        <v>0</v>
      </c>
      <c r="BH180" t="n">
        <v>0</v>
      </c>
      <c r="BJ180" t="inlineStr">
        <is>
          <t>Med2</t>
        </is>
      </c>
      <c r="BL180" t="n">
        <v>0.8</v>
      </c>
      <c r="BM180" t="n">
        <v>0.797560975609756</v>
      </c>
      <c r="BN180" t="n">
        <v>0.785365853658536</v>
      </c>
      <c r="BO180" t="n">
        <v>0.773170731707317</v>
      </c>
      <c r="BP180" t="n">
        <v>0.760975609756097</v>
      </c>
      <c r="BQ180" t="n">
        <v>0.748780487804878</v>
      </c>
      <c r="BR180" t="n">
        <v>0.736585365853658</v>
      </c>
      <c r="BS180" t="n">
        <v>0.724390243902439</v>
      </c>
      <c r="BT180" t="n">
        <v>0.71219512195122</v>
      </c>
      <c r="BU180" t="n">
        <v>0.699999999999999</v>
      </c>
      <c r="BV180" t="n">
        <v>0.687499999999999</v>
      </c>
      <c r="BW180" t="n">
        <v>0.675</v>
      </c>
      <c r="BX180" t="n">
        <v>0.6625</v>
      </c>
      <c r="BY180" t="n">
        <v>0.649999999999999</v>
      </c>
      <c r="BZ180" t="n">
        <v>0.637499999999999</v>
      </c>
      <c r="CA180" t="n">
        <v>0.625</v>
      </c>
      <c r="CB180" t="n">
        <v>0.6125</v>
      </c>
      <c r="CC180" t="n">
        <v>0.6</v>
      </c>
      <c r="CD180" t="e">
        <v>#VALUE!</v>
      </c>
      <c r="CE180" t="e">
        <v>#VALUE!</v>
      </c>
      <c r="CF180" t="e">
        <v>#VALUE!</v>
      </c>
      <c r="CG180" t="e">
        <v>#VALUE!</v>
      </c>
      <c r="CH180" t="e">
        <v>#VALUE!</v>
      </c>
      <c r="CI180" t="e">
        <v>#VALUE!</v>
      </c>
      <c r="CJ180" t="e">
        <v>#VALUE!</v>
      </c>
      <c r="CK180" t="e">
        <v>#VALUE!</v>
      </c>
    </row>
    <row r="181" ht="12.5" customHeight="1" s="213">
      <c r="A181" t="inlineStr">
        <is>
          <t>Iceland</t>
        </is>
      </c>
      <c r="B181" t="inlineStr">
        <is>
          <t>Trd_hdt</t>
        </is>
      </c>
      <c r="C181" t="inlineStr">
        <is>
          <t>Trd_hdt</t>
        </is>
      </c>
      <c r="D181" t="n">
        <v>0.8</v>
      </c>
      <c r="E181" t="n">
        <v>0.811598045312603</v>
      </c>
      <c r="G181" t="n">
        <v>0.956296174254752</v>
      </c>
      <c r="H181" t="n">
        <v>1.06151832422624</v>
      </c>
      <c r="I181" t="n">
        <v>1.16181248163338</v>
      </c>
      <c r="J181" t="n">
        <v>1.25805472412061</v>
      </c>
      <c r="K181" t="n">
        <v>1.34686744824534</v>
      </c>
      <c r="L181" t="n">
        <v>1.42493634094222</v>
      </c>
      <c r="M181" t="n">
        <v>1.49258765159579</v>
      </c>
      <c r="N181" t="n">
        <v>1.5536589657985</v>
      </c>
      <c r="O181" t="n">
        <v>1.61037403078488</v>
      </c>
      <c r="P181" t="n">
        <v>1.66044622328338</v>
      </c>
      <c r="Q181" t="n">
        <v>1.70317277426145</v>
      </c>
      <c r="R181" t="n">
        <v>1.73845835703833</v>
      </c>
      <c r="S181" t="n">
        <v>1.76643522869867</v>
      </c>
      <c r="T181" t="n">
        <v>1.78804631253495</v>
      </c>
      <c r="U181" t="n">
        <v>1.8047145761176</v>
      </c>
      <c r="V181" t="n">
        <v>1.81785911890695</v>
      </c>
      <c r="W181" t="n">
        <v>3</v>
      </c>
      <c r="AG181" s="223" t="inlineStr">
        <is>
          <t>GDP</t>
        </is>
      </c>
      <c r="AI181" t="n">
        <v>1</v>
      </c>
      <c r="AJ181" t="n">
        <v>1.01817736459544</v>
      </c>
      <c r="AK181" t="n">
        <v>1.24931642627657</v>
      </c>
      <c r="AL181" t="n">
        <v>1.427108255292</v>
      </c>
      <c r="AM181" t="n">
        <v>1.60429626085173</v>
      </c>
      <c r="AN181" t="n">
        <v>1.78178048169162</v>
      </c>
      <c r="AO181" t="n">
        <v>1.95254859069884</v>
      </c>
      <c r="AP181" t="n">
        <v>2.10878506163556</v>
      </c>
      <c r="AQ181" t="n">
        <v>2.24936199785814</v>
      </c>
      <c r="AR181" t="n">
        <v>2.38084170711145</v>
      </c>
      <c r="AS181" t="n">
        <v>2.50725727436371</v>
      </c>
      <c r="AT181" t="n">
        <v>2.62275275138424</v>
      </c>
      <c r="AU181" t="n">
        <v>2.72462232551781</v>
      </c>
      <c r="AV181" t="n">
        <v>2.81146467063139</v>
      </c>
      <c r="AW181" t="n">
        <v>2.88243671246611</v>
      </c>
      <c r="AX181" t="n">
        <v>2.93886002688723</v>
      </c>
      <c r="AY181" t="n">
        <v>2.98358853419008</v>
      </c>
      <c r="AZ181" t="n">
        <v>3.01980654863627</v>
      </c>
      <c r="BA181" t="n">
        <v>0</v>
      </c>
      <c r="BB181" t="n">
        <v>0</v>
      </c>
      <c r="BC181" t="n">
        <v>0</v>
      </c>
      <c r="BD181" t="n">
        <v>0</v>
      </c>
      <c r="BE181" t="n">
        <v>0</v>
      </c>
      <c r="BF181" t="n">
        <v>0</v>
      </c>
      <c r="BG181" t="n">
        <v>0</v>
      </c>
      <c r="BH181" t="n">
        <v>0</v>
      </c>
      <c r="BJ181" t="inlineStr">
        <is>
          <t>Med2</t>
        </is>
      </c>
      <c r="BL181" t="n">
        <v>0.8</v>
      </c>
      <c r="BM181" t="n">
        <v>0.797560975609756</v>
      </c>
      <c r="BN181" t="n">
        <v>0.785365853658536</v>
      </c>
      <c r="BO181" t="n">
        <v>0.773170731707317</v>
      </c>
      <c r="BP181" t="n">
        <v>0.760975609756097</v>
      </c>
      <c r="BQ181" t="n">
        <v>0.748780487804878</v>
      </c>
      <c r="BR181" t="n">
        <v>0.736585365853658</v>
      </c>
      <c r="BS181" t="n">
        <v>0.724390243902439</v>
      </c>
      <c r="BT181" t="n">
        <v>0.71219512195122</v>
      </c>
      <c r="BU181" t="n">
        <v>0.699999999999999</v>
      </c>
      <c r="BV181" t="n">
        <v>0.687499999999999</v>
      </c>
      <c r="BW181" t="n">
        <v>0.675</v>
      </c>
      <c r="BX181" t="n">
        <v>0.6625</v>
      </c>
      <c r="BY181" t="n">
        <v>0.649999999999999</v>
      </c>
      <c r="BZ181" t="n">
        <v>0.637499999999999</v>
      </c>
      <c r="CA181" t="n">
        <v>0.625</v>
      </c>
      <c r="CB181" t="n">
        <v>0.6125</v>
      </c>
      <c r="CC181" t="n">
        <v>0.6</v>
      </c>
      <c r="CD181" t="e">
        <v>#VALUE!</v>
      </c>
      <c r="CE181" t="e">
        <v>#VALUE!</v>
      </c>
      <c r="CF181" t="e">
        <v>#VALUE!</v>
      </c>
      <c r="CG181" t="e">
        <v>#VALUE!</v>
      </c>
      <c r="CH181" t="e">
        <v>#VALUE!</v>
      </c>
      <c r="CI181" t="e">
        <v>#VALUE!</v>
      </c>
      <c r="CJ181" t="e">
        <v>#VALUE!</v>
      </c>
      <c r="CK181" t="e">
        <v>#VALUE!</v>
      </c>
    </row>
    <row r="182" ht="12.5" customHeight="1" s="213">
      <c r="A182" t="inlineStr">
        <is>
          <t>Iceland</t>
        </is>
      </c>
      <c r="B182" t="inlineStr">
        <is>
          <t>Trd_lcv</t>
        </is>
      </c>
      <c r="C182" t="inlineStr">
        <is>
          <t>Trd_lcv</t>
        </is>
      </c>
      <c r="D182" t="n">
        <v>0.44</v>
      </c>
      <c r="E182" t="n">
        <v>0.446378924921931</v>
      </c>
      <c r="G182" t="n">
        <v>0.525962895840114</v>
      </c>
      <c r="H182" t="n">
        <v>0.583835078324434</v>
      </c>
      <c r="I182" t="n">
        <v>0.6389968648983581</v>
      </c>
      <c r="J182" t="n">
        <v>0.691930098266334</v>
      </c>
      <c r="K182" t="n">
        <v>0.740777096534935</v>
      </c>
      <c r="L182" t="n">
        <v>0.783714987518223</v>
      </c>
      <c r="M182" t="n">
        <v>0.820923208377685</v>
      </c>
      <c r="N182" t="n">
        <v>0.854512431189175</v>
      </c>
      <c r="O182" t="n">
        <v>0.885705716931683</v>
      </c>
      <c r="P182" t="n">
        <v>0.913245422805859</v>
      </c>
      <c r="Q182" t="n">
        <v>0.936745025843797</v>
      </c>
      <c r="R182" t="n">
        <v>0.956152096371083</v>
      </c>
      <c r="S182" t="n">
        <v>0.971539375784268</v>
      </c>
      <c r="T182" t="n">
        <v>0.983425471894223</v>
      </c>
      <c r="U182" t="n">
        <v>0.992593016864682</v>
      </c>
      <c r="V182" t="n">
        <v>0.9998225153988201</v>
      </c>
      <c r="W182" t="n">
        <v>3</v>
      </c>
      <c r="AG182" s="223" t="inlineStr">
        <is>
          <t>GDP</t>
        </is>
      </c>
      <c r="AI182" t="n">
        <v>1</v>
      </c>
      <c r="AJ182" t="n">
        <v>1.01817736459544</v>
      </c>
      <c r="AK182" t="n">
        <v>1.24931642627657</v>
      </c>
      <c r="AL182" t="n">
        <v>1.427108255292</v>
      </c>
      <c r="AM182" t="n">
        <v>1.60429626085173</v>
      </c>
      <c r="AN182" t="n">
        <v>1.78178048169162</v>
      </c>
      <c r="AO182" t="n">
        <v>1.95254859069884</v>
      </c>
      <c r="AP182" t="n">
        <v>2.10878506163556</v>
      </c>
      <c r="AQ182" t="n">
        <v>2.24936199785814</v>
      </c>
      <c r="AR182" t="n">
        <v>2.38084170711145</v>
      </c>
      <c r="AS182" t="n">
        <v>2.50725727436371</v>
      </c>
      <c r="AT182" t="n">
        <v>2.62275275138424</v>
      </c>
      <c r="AU182" t="n">
        <v>2.72462232551781</v>
      </c>
      <c r="AV182" t="n">
        <v>2.81146467063139</v>
      </c>
      <c r="AW182" t="n">
        <v>2.88243671246611</v>
      </c>
      <c r="AX182" t="n">
        <v>2.93886002688723</v>
      </c>
      <c r="AY182" t="n">
        <v>2.98358853419008</v>
      </c>
      <c r="AZ182" t="n">
        <v>3.01980654863627</v>
      </c>
      <c r="BA182" t="n">
        <v>0</v>
      </c>
      <c r="BB182" t="n">
        <v>0</v>
      </c>
      <c r="BC182" t="n">
        <v>0</v>
      </c>
      <c r="BD182" t="n">
        <v>0</v>
      </c>
      <c r="BE182" t="n">
        <v>0</v>
      </c>
      <c r="BF182" t="n">
        <v>0</v>
      </c>
      <c r="BG182" t="n">
        <v>0</v>
      </c>
      <c r="BH182" t="n">
        <v>0</v>
      </c>
      <c r="BJ182" t="inlineStr">
        <is>
          <t>Med2</t>
        </is>
      </c>
      <c r="BL182" t="n">
        <v>0.8</v>
      </c>
      <c r="BM182" t="n">
        <v>0.797560975609756</v>
      </c>
      <c r="BN182" t="n">
        <v>0.785365853658536</v>
      </c>
      <c r="BO182" t="n">
        <v>0.773170731707317</v>
      </c>
      <c r="BP182" t="n">
        <v>0.760975609756097</v>
      </c>
      <c r="BQ182" t="n">
        <v>0.748780487804878</v>
      </c>
      <c r="BR182" t="n">
        <v>0.736585365853658</v>
      </c>
      <c r="BS182" t="n">
        <v>0.724390243902439</v>
      </c>
      <c r="BT182" t="n">
        <v>0.71219512195122</v>
      </c>
      <c r="BU182" t="n">
        <v>0.699999999999999</v>
      </c>
      <c r="BV182" t="n">
        <v>0.687499999999999</v>
      </c>
      <c r="BW182" t="n">
        <v>0.675</v>
      </c>
      <c r="BX182" t="n">
        <v>0.6625</v>
      </c>
      <c r="BY182" t="n">
        <v>0.649999999999999</v>
      </c>
      <c r="BZ182" t="n">
        <v>0.637499999999999</v>
      </c>
      <c r="CA182" t="n">
        <v>0.625</v>
      </c>
      <c r="CB182" t="n">
        <v>0.6125</v>
      </c>
      <c r="CC182" t="n">
        <v>0.6</v>
      </c>
      <c r="CD182" t="e">
        <v>#VALUE!</v>
      </c>
      <c r="CE182" t="e">
        <v>#VALUE!</v>
      </c>
      <c r="CF182" t="e">
        <v>#VALUE!</v>
      </c>
      <c r="CG182" t="e">
        <v>#VALUE!</v>
      </c>
      <c r="CH182" t="e">
        <v>#VALUE!</v>
      </c>
      <c r="CI182" t="e">
        <v>#VALUE!</v>
      </c>
      <c r="CJ182" t="e">
        <v>#VALUE!</v>
      </c>
      <c r="CK182" t="e">
        <v>#VALUE!</v>
      </c>
    </row>
    <row r="183" ht="12.5" customHeight="1" s="213">
      <c r="A183" t="inlineStr">
        <is>
          <t>India</t>
        </is>
      </c>
      <c r="B183" t="inlineStr">
        <is>
          <t>TAD</t>
        </is>
      </c>
      <c r="C183" t="inlineStr">
        <is>
          <t>TAD</t>
        </is>
      </c>
      <c r="E183" t="n">
        <v>186.015286947819</v>
      </c>
      <c r="F183">
        <f>E183</f>
        <v/>
      </c>
      <c r="I183">
        <f>F183</f>
        <v/>
      </c>
      <c r="J183">
        <f>I183</f>
        <v/>
      </c>
      <c r="L183">
        <f>J183</f>
        <v/>
      </c>
      <c r="V183">
        <f>L183</f>
        <v/>
      </c>
      <c r="W183" t="n">
        <v>3</v>
      </c>
      <c r="AG183" s="223" t="inlineStr">
        <is>
          <t>GDP</t>
        </is>
      </c>
      <c r="AI183" t="n">
        <v>1</v>
      </c>
      <c r="AJ183" t="n">
        <v>1.03762389140165</v>
      </c>
      <c r="AK183" t="n">
        <v>1.44627211766871</v>
      </c>
      <c r="AL183" t="n">
        <v>1.91684835209244</v>
      </c>
      <c r="AM183" t="n">
        <v>2.4175631359905</v>
      </c>
      <c r="AN183" t="n">
        <v>2.95866601655253</v>
      </c>
      <c r="AO183" t="n">
        <v>3.54077928771504</v>
      </c>
      <c r="AP183" t="n">
        <v>4.16520854656052</v>
      </c>
      <c r="AQ183" t="n">
        <v>4.83649287827296</v>
      </c>
      <c r="AR183" t="n">
        <v>5.54875099506021</v>
      </c>
      <c r="AS183" t="n">
        <v>6.28934178872169</v>
      </c>
      <c r="AT183" t="n">
        <v>7.03156762919676</v>
      </c>
      <c r="AU183" t="n">
        <v>7.7696570452703</v>
      </c>
      <c r="AV183" t="n">
        <v>8.48146369390752</v>
      </c>
      <c r="AW183" t="n">
        <v>9.161228305735211</v>
      </c>
      <c r="AX183" t="n">
        <v>9.80792592603439</v>
      </c>
      <c r="AY183" t="n">
        <v>10.422581509524</v>
      </c>
      <c r="AZ183" t="n">
        <v>11.0107224905814</v>
      </c>
      <c r="BA183" t="n">
        <v>0</v>
      </c>
      <c r="BB183" t="n">
        <v>0</v>
      </c>
      <c r="BC183" t="n">
        <v>0</v>
      </c>
      <c r="BD183" t="n">
        <v>0</v>
      </c>
      <c r="BE183" t="n">
        <v>0</v>
      </c>
      <c r="BF183" t="n">
        <v>0</v>
      </c>
      <c r="BG183" t="n">
        <v>0</v>
      </c>
      <c r="BH183" t="n">
        <v>0</v>
      </c>
      <c r="BJ183" t="inlineStr">
        <is>
          <t>High2</t>
        </is>
      </c>
      <c r="BL183" t="n">
        <v>1</v>
      </c>
      <c r="BM183" t="n">
        <v>0.997560975609757</v>
      </c>
      <c r="BN183" t="n">
        <v>0.985365853658537</v>
      </c>
      <c r="BO183" t="n">
        <v>0.973170731707317</v>
      </c>
      <c r="BP183" t="n">
        <v>0.960975609756098</v>
      </c>
      <c r="BQ183" t="n">
        <v>0.948780487804878</v>
      </c>
      <c r="BR183" t="n">
        <v>0.936585365853658</v>
      </c>
      <c r="BS183" t="n">
        <v>0.924390243902439</v>
      </c>
      <c r="BT183" t="n">
        <v>0.91219512195122</v>
      </c>
      <c r="BU183" t="n">
        <v>0.9</v>
      </c>
      <c r="BV183" t="n">
        <v>0.8875</v>
      </c>
      <c r="BW183" t="n">
        <v>0.875000000000001</v>
      </c>
      <c r="BX183" t="n">
        <v>0.862500000000001</v>
      </c>
      <c r="BY183" t="n">
        <v>0.850000000000001</v>
      </c>
      <c r="BZ183" t="n">
        <v>0.8375</v>
      </c>
      <c r="CA183" t="n">
        <v>0.825000000000001</v>
      </c>
      <c r="CB183" t="n">
        <v>0.812500000000001</v>
      </c>
      <c r="CC183" t="n">
        <v>0.800000000000001</v>
      </c>
      <c r="CD183" t="e">
        <v>#VALUE!</v>
      </c>
      <c r="CE183" t="e">
        <v>#VALUE!</v>
      </c>
      <c r="CF183" t="e">
        <v>#VALUE!</v>
      </c>
      <c r="CG183" t="e">
        <v>#VALUE!</v>
      </c>
      <c r="CH183" t="e">
        <v>#VALUE!</v>
      </c>
      <c r="CI183" t="e">
        <v>#VALUE!</v>
      </c>
      <c r="CJ183" t="e">
        <v>#VALUE!</v>
      </c>
      <c r="CK183" t="e">
        <v>#VALUE!</v>
      </c>
    </row>
    <row r="184" ht="12.5" customHeight="1" s="213">
      <c r="A184" t="inlineStr">
        <is>
          <t>India</t>
        </is>
      </c>
      <c r="B184" t="inlineStr">
        <is>
          <t>TAI</t>
        </is>
      </c>
      <c r="C184" t="inlineStr">
        <is>
          <t>TAI</t>
        </is>
      </c>
      <c r="E184" t="n">
        <v>184.129899916563</v>
      </c>
      <c r="F184">
        <f>E184</f>
        <v/>
      </c>
      <c r="I184">
        <f>F184</f>
        <v/>
      </c>
      <c r="J184">
        <f>I184</f>
        <v/>
      </c>
      <c r="L184">
        <f>J184</f>
        <v/>
      </c>
      <c r="V184">
        <f>L184</f>
        <v/>
      </c>
      <c r="W184" t="n">
        <v>3</v>
      </c>
      <c r="AG184" s="223" t="inlineStr">
        <is>
          <t>GDP</t>
        </is>
      </c>
      <c r="AI184" t="n">
        <v>1</v>
      </c>
      <c r="AJ184" t="n">
        <v>1.03762389140165</v>
      </c>
      <c r="AK184" t="n">
        <v>1.44627211766871</v>
      </c>
      <c r="AL184" t="n">
        <v>1.91684835209244</v>
      </c>
      <c r="AM184" t="n">
        <v>2.4175631359905</v>
      </c>
      <c r="AN184" t="n">
        <v>2.95866601655253</v>
      </c>
      <c r="AO184" t="n">
        <v>3.54077928771504</v>
      </c>
      <c r="AP184" t="n">
        <v>4.16520854656052</v>
      </c>
      <c r="AQ184" t="n">
        <v>4.83649287827296</v>
      </c>
      <c r="AR184" t="n">
        <v>5.54875099506021</v>
      </c>
      <c r="AS184" t="n">
        <v>6.28934178872169</v>
      </c>
      <c r="AT184" t="n">
        <v>7.03156762919676</v>
      </c>
      <c r="AU184" t="n">
        <v>7.7696570452703</v>
      </c>
      <c r="AV184" t="n">
        <v>8.48146369390752</v>
      </c>
      <c r="AW184" t="n">
        <v>9.161228305735211</v>
      </c>
      <c r="AX184" t="n">
        <v>9.80792592603439</v>
      </c>
      <c r="AY184" t="n">
        <v>10.422581509524</v>
      </c>
      <c r="AZ184" t="n">
        <v>11.0107224905814</v>
      </c>
      <c r="BA184" t="n">
        <v>0</v>
      </c>
      <c r="BB184" t="n">
        <v>0</v>
      </c>
      <c r="BC184" t="n">
        <v>0</v>
      </c>
      <c r="BD184" t="n">
        <v>0</v>
      </c>
      <c r="BE184" t="n">
        <v>0</v>
      </c>
      <c r="BF184" t="n">
        <v>0</v>
      </c>
      <c r="BG184" t="n">
        <v>0</v>
      </c>
      <c r="BH184" t="n">
        <v>0</v>
      </c>
      <c r="BJ184" t="inlineStr">
        <is>
          <t>High2</t>
        </is>
      </c>
      <c r="BL184" t="n">
        <v>1</v>
      </c>
      <c r="BM184" t="n">
        <v>0.997560975609757</v>
      </c>
      <c r="BN184" t="n">
        <v>0.985365853658537</v>
      </c>
      <c r="BO184" t="n">
        <v>0.973170731707317</v>
      </c>
      <c r="BP184" t="n">
        <v>0.960975609756098</v>
      </c>
      <c r="BQ184" t="n">
        <v>0.948780487804878</v>
      </c>
      <c r="BR184" t="n">
        <v>0.936585365853658</v>
      </c>
      <c r="BS184" t="n">
        <v>0.924390243902439</v>
      </c>
      <c r="BT184" t="n">
        <v>0.91219512195122</v>
      </c>
      <c r="BU184" t="n">
        <v>0.9</v>
      </c>
      <c r="BV184" t="n">
        <v>0.8875</v>
      </c>
      <c r="BW184" t="n">
        <v>0.875000000000001</v>
      </c>
      <c r="BX184" t="n">
        <v>0.862500000000001</v>
      </c>
      <c r="BY184" t="n">
        <v>0.850000000000001</v>
      </c>
      <c r="BZ184" t="n">
        <v>0.8375</v>
      </c>
      <c r="CA184" t="n">
        <v>0.825000000000001</v>
      </c>
      <c r="CB184" t="n">
        <v>0.812500000000001</v>
      </c>
      <c r="CC184" t="n">
        <v>0.800000000000001</v>
      </c>
      <c r="CD184" t="e">
        <v>#VALUE!</v>
      </c>
      <c r="CE184" t="e">
        <v>#VALUE!</v>
      </c>
      <c r="CF184" t="e">
        <v>#VALUE!</v>
      </c>
      <c r="CG184" t="e">
        <v>#VALUE!</v>
      </c>
      <c r="CH184" t="e">
        <v>#VALUE!</v>
      </c>
      <c r="CI184" t="e">
        <v>#VALUE!</v>
      </c>
      <c r="CJ184" t="e">
        <v>#VALUE!</v>
      </c>
      <c r="CK184" t="e">
        <v>#VALUE!</v>
      </c>
    </row>
    <row r="185" ht="12.5" customHeight="1" s="213">
      <c r="A185" t="inlineStr">
        <is>
          <t>India</t>
        </is>
      </c>
      <c r="B185" t="inlineStr">
        <is>
          <t>TTF</t>
        </is>
      </c>
      <c r="C185" t="inlineStr">
        <is>
          <t>TTF</t>
        </is>
      </c>
      <c r="E185" t="n">
        <v>78.4974489885753</v>
      </c>
      <c r="I185" t="n">
        <v>179.473164032869</v>
      </c>
      <c r="J185" t="n">
        <v>217.58565066713</v>
      </c>
      <c r="L185" t="n">
        <v>299.687527515158</v>
      </c>
      <c r="V185" t="n">
        <v>700.385629999891</v>
      </c>
      <c r="W185" t="n">
        <v>3</v>
      </c>
      <c r="AG185" s="223" t="inlineStr">
        <is>
          <t>GDP</t>
        </is>
      </c>
      <c r="AI185" t="n">
        <v>1</v>
      </c>
      <c r="AJ185" t="n">
        <v>1.03762389140165</v>
      </c>
      <c r="AK185" t="n">
        <v>1.44627211766871</v>
      </c>
      <c r="AL185" t="n">
        <v>1.91684835209244</v>
      </c>
      <c r="AM185" t="n">
        <v>2.4175631359905</v>
      </c>
      <c r="AN185" t="n">
        <v>2.95866601655253</v>
      </c>
      <c r="AO185" t="n">
        <v>3.54077928771504</v>
      </c>
      <c r="AP185" t="n">
        <v>4.16520854656052</v>
      </c>
      <c r="AQ185" t="n">
        <v>4.83649287827296</v>
      </c>
      <c r="AR185" t="n">
        <v>5.54875099506021</v>
      </c>
      <c r="AS185" t="n">
        <v>6.28934178872169</v>
      </c>
      <c r="AT185" t="n">
        <v>7.03156762919676</v>
      </c>
      <c r="AU185" t="n">
        <v>7.7696570452703</v>
      </c>
      <c r="AV185" t="n">
        <v>8.48146369390752</v>
      </c>
      <c r="AW185" t="n">
        <v>9.161228305735211</v>
      </c>
      <c r="AX185" t="n">
        <v>9.80792592603439</v>
      </c>
      <c r="AY185" t="n">
        <v>10.422581509524</v>
      </c>
      <c r="AZ185" t="n">
        <v>11.0107224905814</v>
      </c>
      <c r="BA185" t="n">
        <v>0</v>
      </c>
      <c r="BB185" t="n">
        <v>0</v>
      </c>
      <c r="BC185" t="n">
        <v>0</v>
      </c>
      <c r="BD185" t="n">
        <v>0</v>
      </c>
      <c r="BE185" t="n">
        <v>0</v>
      </c>
      <c r="BF185" t="n">
        <v>0</v>
      </c>
      <c r="BG185" t="n">
        <v>0</v>
      </c>
      <c r="BH185" t="n">
        <v>0</v>
      </c>
      <c r="BJ185" t="inlineStr">
        <is>
          <t>High2</t>
        </is>
      </c>
      <c r="BL185" t="n">
        <v>1</v>
      </c>
      <c r="BM185" t="n">
        <v>0.997560975609757</v>
      </c>
      <c r="BN185" t="n">
        <v>0.985365853658537</v>
      </c>
      <c r="BO185" t="n">
        <v>0.973170731707317</v>
      </c>
      <c r="BP185" t="n">
        <v>0.960975609756098</v>
      </c>
      <c r="BQ185" t="n">
        <v>0.948780487804878</v>
      </c>
      <c r="BR185" t="n">
        <v>0.936585365853658</v>
      </c>
      <c r="BS185" t="n">
        <v>0.924390243902439</v>
      </c>
      <c r="BT185" t="n">
        <v>0.91219512195122</v>
      </c>
      <c r="BU185" t="n">
        <v>0.9</v>
      </c>
      <c r="BV185" t="n">
        <v>0.8875</v>
      </c>
      <c r="BW185" t="n">
        <v>0.875000000000001</v>
      </c>
      <c r="BX185" t="n">
        <v>0.862500000000001</v>
      </c>
      <c r="BY185" t="n">
        <v>0.850000000000001</v>
      </c>
      <c r="BZ185" t="n">
        <v>0.8375</v>
      </c>
      <c r="CA185" t="n">
        <v>0.825000000000001</v>
      </c>
      <c r="CB185" t="n">
        <v>0.812500000000001</v>
      </c>
      <c r="CC185" t="n">
        <v>0.800000000000001</v>
      </c>
      <c r="CD185" t="e">
        <v>#VALUE!</v>
      </c>
      <c r="CE185" t="e">
        <v>#VALUE!</v>
      </c>
      <c r="CF185" t="e">
        <v>#VALUE!</v>
      </c>
      <c r="CG185" t="e">
        <v>#VALUE!</v>
      </c>
      <c r="CH185" t="e">
        <v>#VALUE!</v>
      </c>
      <c r="CI185" t="e">
        <v>#VALUE!</v>
      </c>
      <c r="CJ185" t="e">
        <v>#VALUE!</v>
      </c>
      <c r="CK185" t="e">
        <v>#VALUE!</v>
      </c>
    </row>
    <row r="186" ht="12.5" customHeight="1" s="213">
      <c r="A186" t="inlineStr">
        <is>
          <t>India</t>
        </is>
      </c>
      <c r="B186" t="inlineStr">
        <is>
          <t>TTP</t>
        </is>
      </c>
      <c r="C186" t="inlineStr">
        <is>
          <t>TTP</t>
        </is>
      </c>
      <c r="E186" t="n">
        <v>104.060158429408</v>
      </c>
      <c r="I186" t="n">
        <v>115.579723919514</v>
      </c>
      <c r="J186" t="n">
        <v>118.102884953976</v>
      </c>
      <c r="L186" t="n">
        <v>120.651844860726</v>
      </c>
      <c r="V186" t="n">
        <v>106.318426449093</v>
      </c>
      <c r="W186" t="n">
        <v>3</v>
      </c>
      <c r="AG186" s="223" t="inlineStr">
        <is>
          <t>POP</t>
        </is>
      </c>
      <c r="AI186" t="n">
        <v>1</v>
      </c>
      <c r="AJ186" t="n">
        <v>1.00805201609879</v>
      </c>
      <c r="AK186" t="n">
        <v>1.04831209659274</v>
      </c>
      <c r="AL186" t="n">
        <v>1.08910353632669</v>
      </c>
      <c r="AM186" t="n">
        <v>1.12271244267224</v>
      </c>
      <c r="AN186" t="n">
        <v>1.14854492301775</v>
      </c>
      <c r="AO186" t="n">
        <v>1.16595612395182</v>
      </c>
      <c r="AP186" t="n">
        <v>1.17513999066876</v>
      </c>
      <c r="AQ186" t="n">
        <v>1.17855152930929</v>
      </c>
      <c r="AR186" t="n">
        <v>1.17674547198093</v>
      </c>
      <c r="AS186" t="n">
        <v>1.16918188426727</v>
      </c>
      <c r="AT186" t="n">
        <v>1.15651440870038</v>
      </c>
      <c r="AU186" t="n">
        <v>1.13863586790409</v>
      </c>
      <c r="AV186" t="n">
        <v>1.11649393853589</v>
      </c>
      <c r="AW186" t="n">
        <v>1.09146440481315</v>
      </c>
      <c r="AX186" t="n">
        <v>1.06483421041404</v>
      </c>
      <c r="AY186" t="n">
        <v>1.03720659477644</v>
      </c>
      <c r="AZ186" t="n">
        <v>1.00924254633584</v>
      </c>
      <c r="BA186" t="n">
        <v>0</v>
      </c>
      <c r="BB186" t="n">
        <v>0</v>
      </c>
      <c r="BC186" t="n">
        <v>0</v>
      </c>
      <c r="BD186" t="n">
        <v>0</v>
      </c>
      <c r="BE186" t="n">
        <v>0</v>
      </c>
      <c r="BF186" t="n">
        <v>0</v>
      </c>
      <c r="BG186" t="n">
        <v>0</v>
      </c>
      <c r="BH186" t="n">
        <v>0</v>
      </c>
      <c r="BJ186" t="inlineStr">
        <is>
          <t>High2</t>
        </is>
      </c>
      <c r="BL186" t="n">
        <v>1</v>
      </c>
      <c r="BM186" t="n">
        <v>0.997560975609757</v>
      </c>
      <c r="BN186" t="n">
        <v>0.985365853658537</v>
      </c>
      <c r="BO186" t="n">
        <v>0.973170731707317</v>
      </c>
      <c r="BP186" t="n">
        <v>0.960975609756098</v>
      </c>
      <c r="BQ186" t="n">
        <v>0.948780487804878</v>
      </c>
      <c r="BR186" t="n">
        <v>0.936585365853658</v>
      </c>
      <c r="BS186" t="n">
        <v>0.924390243902439</v>
      </c>
      <c r="BT186" t="n">
        <v>0.91219512195122</v>
      </c>
      <c r="BU186" t="n">
        <v>0.9</v>
      </c>
      <c r="BV186" t="n">
        <v>0.8875</v>
      </c>
      <c r="BW186" t="n">
        <v>0.875000000000001</v>
      </c>
      <c r="BX186" t="n">
        <v>0.862500000000001</v>
      </c>
      <c r="BY186" t="n">
        <v>0.850000000000001</v>
      </c>
      <c r="BZ186" t="n">
        <v>0.8375</v>
      </c>
      <c r="CA186" t="n">
        <v>0.825000000000001</v>
      </c>
      <c r="CB186" t="n">
        <v>0.812500000000001</v>
      </c>
      <c r="CC186" t="n">
        <v>0.800000000000001</v>
      </c>
      <c r="CD186" t="e">
        <v>#VALUE!</v>
      </c>
      <c r="CE186" t="e">
        <v>#VALUE!</v>
      </c>
      <c r="CF186" t="e">
        <v>#VALUE!</v>
      </c>
      <c r="CG186" t="e">
        <v>#VALUE!</v>
      </c>
      <c r="CH186" t="e">
        <v>#VALUE!</v>
      </c>
      <c r="CI186" t="e">
        <v>#VALUE!</v>
      </c>
      <c r="CJ186" t="e">
        <v>#VALUE!</v>
      </c>
      <c r="CK186" t="e">
        <v>#VALUE!</v>
      </c>
    </row>
    <row r="187" ht="12.5" customHeight="1" s="213">
      <c r="A187" t="inlineStr">
        <is>
          <t>India</t>
        </is>
      </c>
      <c r="B187" t="inlineStr">
        <is>
          <t>TWD</t>
        </is>
      </c>
      <c r="C187" t="inlineStr">
        <is>
          <t>TWD</t>
        </is>
      </c>
      <c r="E187" t="n">
        <v>66.79154937497501</v>
      </c>
      <c r="F187">
        <f>E187</f>
        <v/>
      </c>
      <c r="I187">
        <f>F187</f>
        <v/>
      </c>
      <c r="J187">
        <f>I187</f>
        <v/>
      </c>
      <c r="L187">
        <f>J187</f>
        <v/>
      </c>
      <c r="V187">
        <f>L187</f>
        <v/>
      </c>
      <c r="W187" t="n">
        <v>3</v>
      </c>
      <c r="AG187" s="223" t="inlineStr">
        <is>
          <t>GDP</t>
        </is>
      </c>
      <c r="AI187" t="n">
        <v>1</v>
      </c>
      <c r="AJ187" t="n">
        <v>1.03762389140165</v>
      </c>
      <c r="AK187" t="n">
        <v>1.44627211766871</v>
      </c>
      <c r="AL187" t="n">
        <v>1.91684835209244</v>
      </c>
      <c r="AM187" t="n">
        <v>2.4175631359905</v>
      </c>
      <c r="AN187" t="n">
        <v>2.95866601655253</v>
      </c>
      <c r="AO187" t="n">
        <v>3.54077928771504</v>
      </c>
      <c r="AP187" t="n">
        <v>4.16520854656052</v>
      </c>
      <c r="AQ187" t="n">
        <v>4.83649287827296</v>
      </c>
      <c r="AR187" t="n">
        <v>5.54875099506021</v>
      </c>
      <c r="AS187" t="n">
        <v>6.28934178872169</v>
      </c>
      <c r="AT187" t="n">
        <v>7.03156762919676</v>
      </c>
      <c r="AU187" t="n">
        <v>7.7696570452703</v>
      </c>
      <c r="AV187" t="n">
        <v>8.48146369390752</v>
      </c>
      <c r="AW187" t="n">
        <v>9.161228305735211</v>
      </c>
      <c r="AX187" t="n">
        <v>9.80792592603439</v>
      </c>
      <c r="AY187" t="n">
        <v>10.422581509524</v>
      </c>
      <c r="AZ187" t="n">
        <v>11.0107224905814</v>
      </c>
      <c r="BA187" t="n">
        <v>0</v>
      </c>
      <c r="BB187" t="n">
        <v>0</v>
      </c>
      <c r="BC187" t="n">
        <v>0</v>
      </c>
      <c r="BD187" t="n">
        <v>0</v>
      </c>
      <c r="BE187" t="n">
        <v>0</v>
      </c>
      <c r="BF187" t="n">
        <v>0</v>
      </c>
      <c r="BG187" t="n">
        <v>0</v>
      </c>
      <c r="BH187" t="n">
        <v>0</v>
      </c>
      <c r="BJ187" t="inlineStr">
        <is>
          <t>High2</t>
        </is>
      </c>
      <c r="BL187" t="n">
        <v>1</v>
      </c>
      <c r="BM187" t="n">
        <v>0.997560975609757</v>
      </c>
      <c r="BN187" t="n">
        <v>0.985365853658537</v>
      </c>
      <c r="BO187" t="n">
        <v>0.973170731707317</v>
      </c>
      <c r="BP187" t="n">
        <v>0.960975609756098</v>
      </c>
      <c r="BQ187" t="n">
        <v>0.948780487804878</v>
      </c>
      <c r="BR187" t="n">
        <v>0.936585365853658</v>
      </c>
      <c r="BS187" t="n">
        <v>0.924390243902439</v>
      </c>
      <c r="BT187" t="n">
        <v>0.91219512195122</v>
      </c>
      <c r="BU187" t="n">
        <v>0.9</v>
      </c>
      <c r="BV187" t="n">
        <v>0.8875</v>
      </c>
      <c r="BW187" t="n">
        <v>0.875000000000001</v>
      </c>
      <c r="BX187" t="n">
        <v>0.862500000000001</v>
      </c>
      <c r="BY187" t="n">
        <v>0.850000000000001</v>
      </c>
      <c r="BZ187" t="n">
        <v>0.8375</v>
      </c>
      <c r="CA187" t="n">
        <v>0.825000000000001</v>
      </c>
      <c r="CB187" t="n">
        <v>0.812500000000001</v>
      </c>
      <c r="CC187" t="n">
        <v>0.800000000000001</v>
      </c>
      <c r="CD187" t="e">
        <v>#VALUE!</v>
      </c>
      <c r="CE187" t="e">
        <v>#VALUE!</v>
      </c>
      <c r="CF187" t="e">
        <v>#VALUE!</v>
      </c>
      <c r="CG187" t="e">
        <v>#VALUE!</v>
      </c>
      <c r="CH187" t="e">
        <v>#VALUE!</v>
      </c>
      <c r="CI187" t="e">
        <v>#VALUE!</v>
      </c>
      <c r="CJ187" t="e">
        <v>#VALUE!</v>
      </c>
      <c r="CK187" t="e">
        <v>#VALUE!</v>
      </c>
    </row>
    <row r="188" ht="12.5" customHeight="1" s="213">
      <c r="A188" t="inlineStr">
        <is>
          <t>India</t>
        </is>
      </c>
      <c r="B188" t="inlineStr">
        <is>
          <t>TWI</t>
        </is>
      </c>
      <c r="C188" t="inlineStr">
        <is>
          <t>TWI</t>
        </is>
      </c>
      <c r="E188" t="n">
        <v>70.7067159866117</v>
      </c>
      <c r="F188">
        <f>E188</f>
        <v/>
      </c>
      <c r="I188">
        <f>F188</f>
        <v/>
      </c>
      <c r="J188">
        <f>I188</f>
        <v/>
      </c>
      <c r="L188">
        <f>J188</f>
        <v/>
      </c>
      <c r="V188">
        <f>L188</f>
        <v/>
      </c>
      <c r="W188" t="n">
        <v>3</v>
      </c>
      <c r="AG188" s="223" t="inlineStr">
        <is>
          <t>GDP</t>
        </is>
      </c>
      <c r="AI188" t="n">
        <v>1</v>
      </c>
      <c r="AJ188" t="n">
        <v>1.03762389140165</v>
      </c>
      <c r="AK188" t="n">
        <v>1.44627211766871</v>
      </c>
      <c r="AL188" t="n">
        <v>1.91684835209244</v>
      </c>
      <c r="AM188" t="n">
        <v>2.4175631359905</v>
      </c>
      <c r="AN188" t="n">
        <v>2.95866601655253</v>
      </c>
      <c r="AO188" t="n">
        <v>3.54077928771504</v>
      </c>
      <c r="AP188" t="n">
        <v>4.16520854656052</v>
      </c>
      <c r="AQ188" t="n">
        <v>4.83649287827296</v>
      </c>
      <c r="AR188" t="n">
        <v>5.54875099506021</v>
      </c>
      <c r="AS188" t="n">
        <v>6.28934178872169</v>
      </c>
      <c r="AT188" t="n">
        <v>7.03156762919676</v>
      </c>
      <c r="AU188" t="n">
        <v>7.7696570452703</v>
      </c>
      <c r="AV188" t="n">
        <v>8.48146369390752</v>
      </c>
      <c r="AW188" t="n">
        <v>9.161228305735211</v>
      </c>
      <c r="AX188" t="n">
        <v>9.80792592603439</v>
      </c>
      <c r="AY188" t="n">
        <v>10.422581509524</v>
      </c>
      <c r="AZ188" t="n">
        <v>11.0107224905814</v>
      </c>
      <c r="BA188" t="n">
        <v>0</v>
      </c>
      <c r="BB188" t="n">
        <v>0</v>
      </c>
      <c r="BC188" t="n">
        <v>0</v>
      </c>
      <c r="BD188" t="n">
        <v>0</v>
      </c>
      <c r="BE188" t="n">
        <v>0</v>
      </c>
      <c r="BF188" t="n">
        <v>0</v>
      </c>
      <c r="BG188" t="n">
        <v>0</v>
      </c>
      <c r="BH188" t="n">
        <v>0</v>
      </c>
      <c r="BJ188" t="inlineStr">
        <is>
          <t>High2</t>
        </is>
      </c>
      <c r="BL188" t="n">
        <v>1</v>
      </c>
      <c r="BM188" t="n">
        <v>0.997560975609757</v>
      </c>
      <c r="BN188" t="n">
        <v>0.985365853658537</v>
      </c>
      <c r="BO188" t="n">
        <v>0.973170731707317</v>
      </c>
      <c r="BP188" t="n">
        <v>0.960975609756098</v>
      </c>
      <c r="BQ188" t="n">
        <v>0.948780487804878</v>
      </c>
      <c r="BR188" t="n">
        <v>0.936585365853658</v>
      </c>
      <c r="BS188" t="n">
        <v>0.924390243902439</v>
      </c>
      <c r="BT188" t="n">
        <v>0.91219512195122</v>
      </c>
      <c r="BU188" t="n">
        <v>0.9</v>
      </c>
      <c r="BV188" t="n">
        <v>0.8875</v>
      </c>
      <c r="BW188" t="n">
        <v>0.875000000000001</v>
      </c>
      <c r="BX188" t="n">
        <v>0.862500000000001</v>
      </c>
      <c r="BY188" t="n">
        <v>0.850000000000001</v>
      </c>
      <c r="BZ188" t="n">
        <v>0.8375</v>
      </c>
      <c r="CA188" t="n">
        <v>0.825000000000001</v>
      </c>
      <c r="CB188" t="n">
        <v>0.812500000000001</v>
      </c>
      <c r="CC188" t="n">
        <v>0.800000000000001</v>
      </c>
      <c r="CD188" t="e">
        <v>#VALUE!</v>
      </c>
      <c r="CE188" t="e">
        <v>#VALUE!</v>
      </c>
      <c r="CF188" t="e">
        <v>#VALUE!</v>
      </c>
      <c r="CG188" t="e">
        <v>#VALUE!</v>
      </c>
      <c r="CH188" t="e">
        <v>#VALUE!</v>
      </c>
      <c r="CI188" t="e">
        <v>#VALUE!</v>
      </c>
      <c r="CJ188" t="e">
        <v>#VALUE!</v>
      </c>
      <c r="CK188" t="e">
        <v>#VALUE!</v>
      </c>
    </row>
    <row r="189" ht="12.5" customHeight="1" s="213">
      <c r="A189" t="inlineStr">
        <is>
          <t>India</t>
        </is>
      </c>
      <c r="B189" t="inlineStr">
        <is>
          <t>Trd_2w</t>
        </is>
      </c>
      <c r="C189" t="inlineStr">
        <is>
          <t>Trd_2w</t>
        </is>
      </c>
      <c r="D189" t="n">
        <v>531.783</v>
      </c>
      <c r="E189" t="n">
        <v>536.054481556875</v>
      </c>
      <c r="G189" t="n">
        <v>557.1503853340801</v>
      </c>
      <c r="H189" t="n">
        <v>578.248318439949</v>
      </c>
      <c r="I189" t="n">
        <v>595.3962584651661</v>
      </c>
      <c r="J189" t="n">
        <v>608.394045520528</v>
      </c>
      <c r="K189" t="n">
        <v>617.032042813859</v>
      </c>
      <c r="L189" t="n">
        <v>621.524732634073</v>
      </c>
      <c r="M189" t="n">
        <v>623.170645536594</v>
      </c>
      <c r="N189" t="n">
        <v>622.311172111054</v>
      </c>
      <c r="O189" t="n">
        <v>618.761229997674</v>
      </c>
      <c r="P189" t="n">
        <v>612.895269354869</v>
      </c>
      <c r="Q189" t="n">
        <v>604.723306292562</v>
      </c>
      <c r="R189" t="n">
        <v>594.727766940813</v>
      </c>
      <c r="S189" t="n">
        <v>583.561720731607</v>
      </c>
      <c r="T189" t="n">
        <v>571.815301289337</v>
      </c>
      <c r="U189" t="n">
        <v>559.761041359256</v>
      </c>
      <c r="V189" t="n">
        <v>547.687701328783</v>
      </c>
      <c r="W189" t="n">
        <v>3</v>
      </c>
      <c r="AG189" s="223" t="inlineStr">
        <is>
          <t>POP</t>
        </is>
      </c>
      <c r="AI189" t="n">
        <v>1</v>
      </c>
      <c r="AJ189" t="n">
        <v>1.00805201609879</v>
      </c>
      <c r="AK189" t="n">
        <v>1.04831209659274</v>
      </c>
      <c r="AL189" t="n">
        <v>1.08910353632669</v>
      </c>
      <c r="AM189" t="n">
        <v>1.12271244267224</v>
      </c>
      <c r="AN189" t="n">
        <v>1.14854492301775</v>
      </c>
      <c r="AO189" t="n">
        <v>1.16595612395182</v>
      </c>
      <c r="AP189" t="n">
        <v>1.17513999066876</v>
      </c>
      <c r="AQ189" t="n">
        <v>1.17855152930929</v>
      </c>
      <c r="AR189" t="n">
        <v>1.17674547198093</v>
      </c>
      <c r="AS189" t="n">
        <v>1.16918188426727</v>
      </c>
      <c r="AT189" t="n">
        <v>1.15651440870038</v>
      </c>
      <c r="AU189" t="n">
        <v>1.13863586790409</v>
      </c>
      <c r="AV189" t="n">
        <v>1.11649393853589</v>
      </c>
      <c r="AW189" t="n">
        <v>1.09146440481315</v>
      </c>
      <c r="AX189" t="n">
        <v>1.06483421041404</v>
      </c>
      <c r="AY189" t="n">
        <v>1.03720659477644</v>
      </c>
      <c r="AZ189" t="n">
        <v>1.00924254633584</v>
      </c>
      <c r="BA189" t="n">
        <v>0</v>
      </c>
      <c r="BB189" t="n">
        <v>0</v>
      </c>
      <c r="BC189" t="n">
        <v>0</v>
      </c>
      <c r="BD189" t="n">
        <v>0</v>
      </c>
      <c r="BE189" t="n">
        <v>0</v>
      </c>
      <c r="BF189" t="n">
        <v>0</v>
      </c>
      <c r="BG189" t="n">
        <v>0</v>
      </c>
      <c r="BH189" t="n">
        <v>0</v>
      </c>
      <c r="BJ189" t="inlineStr">
        <is>
          <t>High2</t>
        </is>
      </c>
      <c r="BL189" t="n">
        <v>1</v>
      </c>
      <c r="BM189" t="n">
        <v>0.997560975609757</v>
      </c>
      <c r="BN189" t="n">
        <v>0.985365853658537</v>
      </c>
      <c r="BO189" t="n">
        <v>0.973170731707317</v>
      </c>
      <c r="BP189" t="n">
        <v>0.960975609756098</v>
      </c>
      <c r="BQ189" t="n">
        <v>0.948780487804878</v>
      </c>
      <c r="BR189" t="n">
        <v>0.936585365853658</v>
      </c>
      <c r="BS189" t="n">
        <v>0.924390243902439</v>
      </c>
      <c r="BT189" t="n">
        <v>0.91219512195122</v>
      </c>
      <c r="BU189" t="n">
        <v>0.9</v>
      </c>
      <c r="BV189" t="n">
        <v>0.8875</v>
      </c>
      <c r="BW189" t="n">
        <v>0.875000000000001</v>
      </c>
      <c r="BX189" t="n">
        <v>0.862500000000001</v>
      </c>
      <c r="BY189" t="n">
        <v>0.850000000000001</v>
      </c>
      <c r="BZ189" t="n">
        <v>0.8375</v>
      </c>
      <c r="CA189" t="n">
        <v>0.825000000000001</v>
      </c>
      <c r="CB189" t="n">
        <v>0.812500000000001</v>
      </c>
      <c r="CC189" t="n">
        <v>0.800000000000001</v>
      </c>
      <c r="CD189" t="e">
        <v>#VALUE!</v>
      </c>
      <c r="CE189" t="e">
        <v>#VALUE!</v>
      </c>
      <c r="CF189" t="e">
        <v>#VALUE!</v>
      </c>
      <c r="CG189" t="e">
        <v>#VALUE!</v>
      </c>
      <c r="CH189" t="e">
        <v>#VALUE!</v>
      </c>
      <c r="CI189" t="e">
        <v>#VALUE!</v>
      </c>
      <c r="CJ189" t="e">
        <v>#VALUE!</v>
      </c>
      <c r="CK189" t="e">
        <v>#VALUE!</v>
      </c>
    </row>
    <row r="190" ht="12.5" customHeight="1" s="213">
      <c r="A190" t="inlineStr">
        <is>
          <t>India</t>
        </is>
      </c>
      <c r="B190" t="inlineStr">
        <is>
          <t>Trd_3w</t>
        </is>
      </c>
      <c r="C190" t="inlineStr">
        <is>
          <t>Trd_3w</t>
        </is>
      </c>
      <c r="D190" t="n">
        <v>168.165</v>
      </c>
      <c r="E190" t="n">
        <v>169.515764684113</v>
      </c>
      <c r="G190" t="n">
        <v>176.186893055449</v>
      </c>
      <c r="H190" t="n">
        <v>182.85866315857</v>
      </c>
      <c r="I190" t="n">
        <v>188.281332432204</v>
      </c>
      <c r="J190" t="n">
        <v>192.391604592399</v>
      </c>
      <c r="K190" t="n">
        <v>195.123186487331</v>
      </c>
      <c r="L190" t="n">
        <v>196.543903553534</v>
      </c>
      <c r="M190" t="n">
        <v>197.064388306248</v>
      </c>
      <c r="N190" t="n">
        <v>196.792598217798</v>
      </c>
      <c r="O190" t="n">
        <v>195.670004950438</v>
      </c>
      <c r="P190" t="n">
        <v>193.815020358044</v>
      </c>
      <c r="Q190" t="n">
        <v>191.230811821154</v>
      </c>
      <c r="R190" t="n">
        <v>188.069936285293</v>
      </c>
      <c r="S190" t="n">
        <v>184.538912990507</v>
      </c>
      <c r="T190" t="n">
        <v>180.82435907376</v>
      </c>
      <c r="U190" t="n">
        <v>177.012457186821</v>
      </c>
      <c r="V190" t="n">
        <v>173.194521626218</v>
      </c>
      <c r="W190" t="n">
        <v>3</v>
      </c>
      <c r="AG190" s="223" t="inlineStr">
        <is>
          <t>POP</t>
        </is>
      </c>
      <c r="AI190" t="n">
        <v>1</v>
      </c>
      <c r="AJ190" t="n">
        <v>1.00805201609879</v>
      </c>
      <c r="AK190" t="n">
        <v>1.04831209659274</v>
      </c>
      <c r="AL190" t="n">
        <v>1.08910353632669</v>
      </c>
      <c r="AM190" t="n">
        <v>1.12271244267224</v>
      </c>
      <c r="AN190" t="n">
        <v>1.14854492301775</v>
      </c>
      <c r="AO190" t="n">
        <v>1.16595612395182</v>
      </c>
      <c r="AP190" t="n">
        <v>1.17513999066876</v>
      </c>
      <c r="AQ190" t="n">
        <v>1.17855152930929</v>
      </c>
      <c r="AR190" t="n">
        <v>1.17674547198093</v>
      </c>
      <c r="AS190" t="n">
        <v>1.16918188426727</v>
      </c>
      <c r="AT190" t="n">
        <v>1.15651440870038</v>
      </c>
      <c r="AU190" t="n">
        <v>1.13863586790409</v>
      </c>
      <c r="AV190" t="n">
        <v>1.11649393853589</v>
      </c>
      <c r="AW190" t="n">
        <v>1.09146440481315</v>
      </c>
      <c r="AX190" t="n">
        <v>1.06483421041404</v>
      </c>
      <c r="AY190" t="n">
        <v>1.03720659477644</v>
      </c>
      <c r="AZ190" t="n">
        <v>1.00924254633584</v>
      </c>
      <c r="BA190" t="n">
        <v>0</v>
      </c>
      <c r="BB190" t="n">
        <v>0</v>
      </c>
      <c r="BC190" t="n">
        <v>0</v>
      </c>
      <c r="BD190" t="n">
        <v>0</v>
      </c>
      <c r="BE190" t="n">
        <v>0</v>
      </c>
      <c r="BF190" t="n">
        <v>0</v>
      </c>
      <c r="BG190" t="n">
        <v>0</v>
      </c>
      <c r="BH190" t="n">
        <v>0</v>
      </c>
      <c r="BJ190" t="inlineStr">
        <is>
          <t>High2</t>
        </is>
      </c>
      <c r="BL190" t="n">
        <v>1</v>
      </c>
      <c r="BM190" t="n">
        <v>0.997560975609757</v>
      </c>
      <c r="BN190" t="n">
        <v>0.985365853658537</v>
      </c>
      <c r="BO190" t="n">
        <v>0.973170731707317</v>
      </c>
      <c r="BP190" t="n">
        <v>0.960975609756098</v>
      </c>
      <c r="BQ190" t="n">
        <v>0.948780487804878</v>
      </c>
      <c r="BR190" t="n">
        <v>0.936585365853658</v>
      </c>
      <c r="BS190" t="n">
        <v>0.924390243902439</v>
      </c>
      <c r="BT190" t="n">
        <v>0.91219512195122</v>
      </c>
      <c r="BU190" t="n">
        <v>0.9</v>
      </c>
      <c r="BV190" t="n">
        <v>0.8875</v>
      </c>
      <c r="BW190" t="n">
        <v>0.875000000000001</v>
      </c>
      <c r="BX190" t="n">
        <v>0.862500000000001</v>
      </c>
      <c r="BY190" t="n">
        <v>0.850000000000001</v>
      </c>
      <c r="BZ190" t="n">
        <v>0.8375</v>
      </c>
      <c r="CA190" t="n">
        <v>0.825000000000001</v>
      </c>
      <c r="CB190" t="n">
        <v>0.812500000000001</v>
      </c>
      <c r="CC190" t="n">
        <v>0.800000000000001</v>
      </c>
      <c r="CD190" t="e">
        <v>#VALUE!</v>
      </c>
      <c r="CE190" t="e">
        <v>#VALUE!</v>
      </c>
      <c r="CF190" t="e">
        <v>#VALUE!</v>
      </c>
      <c r="CG190" t="e">
        <v>#VALUE!</v>
      </c>
      <c r="CH190" t="e">
        <v>#VALUE!</v>
      </c>
      <c r="CI190" t="e">
        <v>#VALUE!</v>
      </c>
      <c r="CJ190" t="e">
        <v>#VALUE!</v>
      </c>
      <c r="CK190" t="e">
        <v>#VALUE!</v>
      </c>
    </row>
    <row r="191" ht="12.5" customHeight="1" s="213">
      <c r="A191" t="inlineStr">
        <is>
          <t>India</t>
        </is>
      </c>
      <c r="B191" t="inlineStr">
        <is>
          <t>Trd_bus</t>
        </is>
      </c>
      <c r="C191" t="inlineStr">
        <is>
          <t>Trd_bus</t>
        </is>
      </c>
      <c r="D191" t="n">
        <v>37.835</v>
      </c>
      <c r="E191" t="n">
        <v>38.1389049851243</v>
      </c>
      <c r="G191" t="n">
        <v>39.6398245696363</v>
      </c>
      <c r="H191" t="n">
        <v>41.1408885356912</v>
      </c>
      <c r="I191" t="n">
        <v>42.3609205992474</v>
      </c>
      <c r="J191" t="n">
        <v>43.2856798962531</v>
      </c>
      <c r="K191" t="n">
        <v>43.9002513052549</v>
      </c>
      <c r="L191" t="n">
        <v>44.219894692403</v>
      </c>
      <c r="M191" t="n">
        <v>44.3369971847107</v>
      </c>
      <c r="N191" t="n">
        <v>44.2758478492575</v>
      </c>
      <c r="O191" t="n">
        <v>44.0232785496377</v>
      </c>
      <c r="P191" t="n">
        <v>43.605930456674</v>
      </c>
      <c r="Q191" t="n">
        <v>43.0245161909634</v>
      </c>
      <c r="R191" t="n">
        <v>42.3133591374783</v>
      </c>
      <c r="S191" t="n">
        <v>41.51892351557</v>
      </c>
      <c r="T191" t="n">
        <v>40.6831958228865</v>
      </c>
      <c r="U191" t="n">
        <v>39.8255660670376</v>
      </c>
      <c r="V191" t="n">
        <v>38.966578810858</v>
      </c>
      <c r="W191" t="n">
        <v>3</v>
      </c>
      <c r="AG191" s="223" t="inlineStr">
        <is>
          <t>POP</t>
        </is>
      </c>
      <c r="AI191" t="n">
        <v>1</v>
      </c>
      <c r="AJ191" t="n">
        <v>1.00805201609879</v>
      </c>
      <c r="AK191" t="n">
        <v>1.04831209659274</v>
      </c>
      <c r="AL191" t="n">
        <v>1.08910353632669</v>
      </c>
      <c r="AM191" t="n">
        <v>1.12271244267224</v>
      </c>
      <c r="AN191" t="n">
        <v>1.14854492301775</v>
      </c>
      <c r="AO191" t="n">
        <v>1.16595612395182</v>
      </c>
      <c r="AP191" t="n">
        <v>1.17513999066876</v>
      </c>
      <c r="AQ191" t="n">
        <v>1.17855152930929</v>
      </c>
      <c r="AR191" t="n">
        <v>1.17674547198093</v>
      </c>
      <c r="AS191" t="n">
        <v>1.16918188426727</v>
      </c>
      <c r="AT191" t="n">
        <v>1.15651440870038</v>
      </c>
      <c r="AU191" t="n">
        <v>1.13863586790409</v>
      </c>
      <c r="AV191" t="n">
        <v>1.11649393853589</v>
      </c>
      <c r="AW191" t="n">
        <v>1.09146440481315</v>
      </c>
      <c r="AX191" t="n">
        <v>1.06483421041404</v>
      </c>
      <c r="AY191" t="n">
        <v>1.03720659477644</v>
      </c>
      <c r="AZ191" t="n">
        <v>1.00924254633584</v>
      </c>
      <c r="BA191" t="n">
        <v>0</v>
      </c>
      <c r="BB191" t="n">
        <v>0</v>
      </c>
      <c r="BC191" t="n">
        <v>0</v>
      </c>
      <c r="BD191" t="n">
        <v>0</v>
      </c>
      <c r="BE191" t="n">
        <v>0</v>
      </c>
      <c r="BF191" t="n">
        <v>0</v>
      </c>
      <c r="BG191" t="n">
        <v>0</v>
      </c>
      <c r="BH191" t="n">
        <v>0</v>
      </c>
      <c r="BJ191" t="inlineStr">
        <is>
          <t>High2</t>
        </is>
      </c>
      <c r="BL191" t="n">
        <v>1</v>
      </c>
      <c r="BM191" t="n">
        <v>0.997560975609757</v>
      </c>
      <c r="BN191" t="n">
        <v>0.985365853658537</v>
      </c>
      <c r="BO191" t="n">
        <v>0.973170731707317</v>
      </c>
      <c r="BP191" t="n">
        <v>0.960975609756098</v>
      </c>
      <c r="BQ191" t="n">
        <v>0.948780487804878</v>
      </c>
      <c r="BR191" t="n">
        <v>0.936585365853658</v>
      </c>
      <c r="BS191" t="n">
        <v>0.924390243902439</v>
      </c>
      <c r="BT191" t="n">
        <v>0.91219512195122</v>
      </c>
      <c r="BU191" t="n">
        <v>0.9</v>
      </c>
      <c r="BV191" t="n">
        <v>0.8875</v>
      </c>
      <c r="BW191" t="n">
        <v>0.875000000000001</v>
      </c>
      <c r="BX191" t="n">
        <v>0.862500000000001</v>
      </c>
      <c r="BY191" t="n">
        <v>0.850000000000001</v>
      </c>
      <c r="BZ191" t="n">
        <v>0.8375</v>
      </c>
      <c r="CA191" t="n">
        <v>0.825000000000001</v>
      </c>
      <c r="CB191" t="n">
        <v>0.812500000000001</v>
      </c>
      <c r="CC191" t="n">
        <v>0.800000000000001</v>
      </c>
      <c r="CD191" t="e">
        <v>#VALUE!</v>
      </c>
      <c r="CE191" t="e">
        <v>#VALUE!</v>
      </c>
      <c r="CF191" t="e">
        <v>#VALUE!</v>
      </c>
      <c r="CG191" t="e">
        <v>#VALUE!</v>
      </c>
      <c r="CH191" t="e">
        <v>#VALUE!</v>
      </c>
      <c r="CI191" t="e">
        <v>#VALUE!</v>
      </c>
      <c r="CJ191" t="e">
        <v>#VALUE!</v>
      </c>
      <c r="CK191" t="e">
        <v>#VALUE!</v>
      </c>
    </row>
    <row r="192" ht="12.5" customHeight="1" s="213">
      <c r="A192" t="inlineStr">
        <is>
          <t>India</t>
        </is>
      </c>
      <c r="B192" t="inlineStr">
        <is>
          <t>Trd_car</t>
        </is>
      </c>
      <c r="C192" t="inlineStr">
        <is>
          <t>Trd_car</t>
        </is>
      </c>
      <c r="D192" t="n">
        <v>568.104</v>
      </c>
      <c r="E192" t="n">
        <v>584.729060028635</v>
      </c>
      <c r="G192" t="n">
        <v>780.801081496547</v>
      </c>
      <c r="H192" t="n">
        <v>990.316181829653</v>
      </c>
      <c r="I192" t="n">
        <v>1202.97877553391</v>
      </c>
      <c r="J192" t="n">
        <v>1427.02378057992</v>
      </c>
      <c r="K192" t="n">
        <v>1666.0988974572</v>
      </c>
      <c r="L192" t="n">
        <v>1923.5467067764</v>
      </c>
      <c r="M192" t="n">
        <v>2200.43648297593</v>
      </c>
      <c r="N192" t="n">
        <v>2495.57104956898</v>
      </c>
      <c r="O192" t="n">
        <v>2807.42288199203</v>
      </c>
      <c r="P192" t="n">
        <v>3127.40357717487</v>
      </c>
      <c r="Q192" t="n">
        <v>3457.34204228706</v>
      </c>
      <c r="R192" t="n">
        <v>3790.19017424105</v>
      </c>
      <c r="S192" t="n">
        <v>4123.22684797869</v>
      </c>
      <c r="T192" t="n">
        <v>4454.42923573282</v>
      </c>
      <c r="U192" t="n">
        <v>4783.6885741564</v>
      </c>
      <c r="V192" t="n">
        <v>5111.66206826436</v>
      </c>
      <c r="W192" t="n">
        <v>3</v>
      </c>
      <c r="AG192" s="223" t="inlineStr">
        <is>
          <t>GDPPCAP</t>
        </is>
      </c>
      <c r="AI192" t="n">
        <v>1</v>
      </c>
      <c r="AJ192" t="n">
        <v>1.02933566406356</v>
      </c>
      <c r="AK192" t="n">
        <v>1.37961979296951</v>
      </c>
      <c r="AL192" t="n">
        <v>1.76002399051752</v>
      </c>
      <c r="AM192" t="n">
        <v>2.15332354403796</v>
      </c>
      <c r="AN192" t="n">
        <v>2.57601244605982</v>
      </c>
      <c r="AO192" t="n">
        <v>3.03680319951847</v>
      </c>
      <c r="AP192" t="n">
        <v>3.54443604986174</v>
      </c>
      <c r="AQ192" t="n">
        <v>4.10376021581973</v>
      </c>
      <c r="AR192" t="n">
        <v>4.71533660182219</v>
      </c>
      <c r="AS192" t="n">
        <v>5.37926722381884</v>
      </c>
      <c r="AT192" t="n">
        <v>6.07996543432466</v>
      </c>
      <c r="AU192" t="n">
        <v>6.82365386888092</v>
      </c>
      <c r="AV192" t="n">
        <v>7.59651566494815</v>
      </c>
      <c r="AW192" t="n">
        <v>8.39351999509641</v>
      </c>
      <c r="AX192" t="n">
        <v>9.21075396537155</v>
      </c>
      <c r="AY192" t="n">
        <v>10.0487034714338</v>
      </c>
      <c r="AZ192" t="n">
        <v>10.909887351219</v>
      </c>
      <c r="BA192" t="n">
        <v>0</v>
      </c>
      <c r="BB192" t="n">
        <v>0</v>
      </c>
      <c r="BC192" t="n">
        <v>0</v>
      </c>
      <c r="BD192" t="n">
        <v>0</v>
      </c>
      <c r="BE192" t="n">
        <v>0</v>
      </c>
      <c r="BF192" t="n">
        <v>0</v>
      </c>
      <c r="BG192" t="n">
        <v>0</v>
      </c>
      <c r="BH192" t="n">
        <v>0</v>
      </c>
      <c r="BJ192" t="inlineStr">
        <is>
          <t>High2</t>
        </is>
      </c>
      <c r="BL192" t="n">
        <v>1</v>
      </c>
      <c r="BM192" t="n">
        <v>0.997560975609757</v>
      </c>
      <c r="BN192" t="n">
        <v>0.985365853658537</v>
      </c>
      <c r="BO192" t="n">
        <v>0.973170731707317</v>
      </c>
      <c r="BP192" t="n">
        <v>0.960975609756098</v>
      </c>
      <c r="BQ192" t="n">
        <v>0.948780487804878</v>
      </c>
      <c r="BR192" t="n">
        <v>0.936585365853658</v>
      </c>
      <c r="BS192" t="n">
        <v>0.924390243902439</v>
      </c>
      <c r="BT192" t="n">
        <v>0.91219512195122</v>
      </c>
      <c r="BU192" t="n">
        <v>0.9</v>
      </c>
      <c r="BV192" t="n">
        <v>0.8875</v>
      </c>
      <c r="BW192" t="n">
        <v>0.875000000000001</v>
      </c>
      <c r="BX192" t="n">
        <v>0.862500000000001</v>
      </c>
      <c r="BY192" t="n">
        <v>0.850000000000001</v>
      </c>
      <c r="BZ192" t="n">
        <v>0.8375</v>
      </c>
      <c r="CA192" t="n">
        <v>0.825000000000001</v>
      </c>
      <c r="CB192" t="n">
        <v>0.812500000000001</v>
      </c>
      <c r="CC192" t="n">
        <v>0.800000000000001</v>
      </c>
      <c r="CD192" t="e">
        <v>#VALUE!</v>
      </c>
      <c r="CE192" t="e">
        <v>#VALUE!</v>
      </c>
      <c r="CF192" t="e">
        <v>#VALUE!</v>
      </c>
      <c r="CG192" t="e">
        <v>#VALUE!</v>
      </c>
      <c r="CH192" t="e">
        <v>#VALUE!</v>
      </c>
      <c r="CI192" t="e">
        <v>#VALUE!</v>
      </c>
      <c r="CJ192" t="e">
        <v>#VALUE!</v>
      </c>
      <c r="CK192" t="e">
        <v>#VALUE!</v>
      </c>
    </row>
    <row r="193" ht="12.5" customHeight="1" s="213">
      <c r="A193" t="inlineStr">
        <is>
          <t>India</t>
        </is>
      </c>
      <c r="B193" t="inlineStr">
        <is>
          <t>Trd_hdt</t>
        </is>
      </c>
      <c r="C193" t="inlineStr">
        <is>
          <t>Trd_hdt</t>
        </is>
      </c>
      <c r="D193" t="n">
        <v>127.3</v>
      </c>
      <c r="E193" t="n">
        <v>132.077839615978</v>
      </c>
      <c r="G193" t="n">
        <v>183.332943765281</v>
      </c>
      <c r="H193" t="n">
        <v>241.38391997778</v>
      </c>
      <c r="I193" t="n">
        <v>301.977046132485</v>
      </c>
      <c r="J193" t="n">
        <v>366.10416060443</v>
      </c>
      <c r="K193" t="n">
        <v>433.566840514055</v>
      </c>
      <c r="L193" t="n">
        <v>504.246720168152</v>
      </c>
      <c r="M193" t="n">
        <v>578.377844535246</v>
      </c>
      <c r="N193" t="n">
        <v>655.036467268197</v>
      </c>
      <c r="O193" t="n">
        <v>732.628461416587</v>
      </c>
      <c r="P193" t="n">
        <v>808.280861870122</v>
      </c>
      <c r="Q193" t="n">
        <v>881.45847153819</v>
      </c>
      <c r="R193" t="n">
        <v>950.099055974585</v>
      </c>
      <c r="S193" t="n">
        <v>1013.87273132779</v>
      </c>
      <c r="T193" t="n">
        <v>1072.91797887784</v>
      </c>
      <c r="U193" t="n">
        <v>1127.54965767977</v>
      </c>
      <c r="V193" t="n">
        <v>1178.4513012891</v>
      </c>
      <c r="W193" t="n">
        <v>3</v>
      </c>
      <c r="AG193" s="223" t="inlineStr">
        <is>
          <t>GDP</t>
        </is>
      </c>
      <c r="AI193" t="n">
        <v>1</v>
      </c>
      <c r="AJ193" t="n">
        <v>1.03762389140165</v>
      </c>
      <c r="AK193" t="n">
        <v>1.44627211766871</v>
      </c>
      <c r="AL193" t="n">
        <v>1.91684835209244</v>
      </c>
      <c r="AM193" t="n">
        <v>2.4175631359905</v>
      </c>
      <c r="AN193" t="n">
        <v>2.95866601655253</v>
      </c>
      <c r="AO193" t="n">
        <v>3.54077928771504</v>
      </c>
      <c r="AP193" t="n">
        <v>4.16520854656052</v>
      </c>
      <c r="AQ193" t="n">
        <v>4.83649287827296</v>
      </c>
      <c r="AR193" t="n">
        <v>5.54875099506021</v>
      </c>
      <c r="AS193" t="n">
        <v>6.28934178872169</v>
      </c>
      <c r="AT193" t="n">
        <v>7.03156762919676</v>
      </c>
      <c r="AU193" t="n">
        <v>7.7696570452703</v>
      </c>
      <c r="AV193" t="n">
        <v>8.48146369390752</v>
      </c>
      <c r="AW193" t="n">
        <v>9.161228305735211</v>
      </c>
      <c r="AX193" t="n">
        <v>9.80792592603439</v>
      </c>
      <c r="AY193" t="n">
        <v>10.422581509524</v>
      </c>
      <c r="AZ193" t="n">
        <v>11.0107224905814</v>
      </c>
      <c r="BA193" t="n">
        <v>0</v>
      </c>
      <c r="BB193" t="n">
        <v>0</v>
      </c>
      <c r="BC193" t="n">
        <v>0</v>
      </c>
      <c r="BD193" t="n">
        <v>0</v>
      </c>
      <c r="BE193" t="n">
        <v>0</v>
      </c>
      <c r="BF193" t="n">
        <v>0</v>
      </c>
      <c r="BG193" t="n">
        <v>0</v>
      </c>
      <c r="BH193" t="n">
        <v>0</v>
      </c>
      <c r="BJ193" t="inlineStr">
        <is>
          <t>High2</t>
        </is>
      </c>
      <c r="BL193" t="n">
        <v>1</v>
      </c>
      <c r="BM193" t="n">
        <v>0.997560975609757</v>
      </c>
      <c r="BN193" t="n">
        <v>0.985365853658537</v>
      </c>
      <c r="BO193" t="n">
        <v>0.973170731707317</v>
      </c>
      <c r="BP193" t="n">
        <v>0.960975609756098</v>
      </c>
      <c r="BQ193" t="n">
        <v>0.948780487804878</v>
      </c>
      <c r="BR193" t="n">
        <v>0.936585365853658</v>
      </c>
      <c r="BS193" t="n">
        <v>0.924390243902439</v>
      </c>
      <c r="BT193" t="n">
        <v>0.91219512195122</v>
      </c>
      <c r="BU193" t="n">
        <v>0.9</v>
      </c>
      <c r="BV193" t="n">
        <v>0.8875</v>
      </c>
      <c r="BW193" t="n">
        <v>0.875000000000001</v>
      </c>
      <c r="BX193" t="n">
        <v>0.862500000000001</v>
      </c>
      <c r="BY193" t="n">
        <v>0.850000000000001</v>
      </c>
      <c r="BZ193" t="n">
        <v>0.8375</v>
      </c>
      <c r="CA193" t="n">
        <v>0.825000000000001</v>
      </c>
      <c r="CB193" t="n">
        <v>0.812500000000001</v>
      </c>
      <c r="CC193" t="n">
        <v>0.800000000000001</v>
      </c>
      <c r="CD193" t="e">
        <v>#VALUE!</v>
      </c>
      <c r="CE193" t="e">
        <v>#VALUE!</v>
      </c>
      <c r="CF193" t="e">
        <v>#VALUE!</v>
      </c>
      <c r="CG193" t="e">
        <v>#VALUE!</v>
      </c>
      <c r="CH193" t="e">
        <v>#VALUE!</v>
      </c>
      <c r="CI193" t="e">
        <v>#VALUE!</v>
      </c>
      <c r="CJ193" t="e">
        <v>#VALUE!</v>
      </c>
      <c r="CK193" t="e">
        <v>#VALUE!</v>
      </c>
    </row>
    <row r="194" ht="12.5" customHeight="1" s="213">
      <c r="A194" t="inlineStr">
        <is>
          <t>India</t>
        </is>
      </c>
      <c r="B194" t="inlineStr">
        <is>
          <t>Trd_lcv</t>
        </is>
      </c>
      <c r="C194" t="inlineStr">
        <is>
          <t>Trd_lcv</t>
        </is>
      </c>
      <c r="D194" t="n">
        <v>179.96</v>
      </c>
      <c r="E194" t="n">
        <v>186.714281361283</v>
      </c>
      <c r="G194" t="n">
        <v>259.172007541241</v>
      </c>
      <c r="H194" t="n">
        <v>341.236843984299</v>
      </c>
      <c r="I194" t="n">
        <v>426.895437721932</v>
      </c>
      <c r="J194" t="n">
        <v>517.549919421628</v>
      </c>
      <c r="K194" t="n">
        <v>612.91978490895</v>
      </c>
      <c r="L194" t="n">
        <v>712.837704331977</v>
      </c>
      <c r="M194" t="n">
        <v>817.634539690204</v>
      </c>
      <c r="N194" t="n">
        <v>926.004419871051</v>
      </c>
      <c r="O194" t="n">
        <v>1035.69377782034</v>
      </c>
      <c r="P194" t="n">
        <v>1142.64119326117</v>
      </c>
      <c r="Q194" t="n">
        <v>1246.09007492547</v>
      </c>
      <c r="R194" t="n">
        <v>1343.12510693783</v>
      </c>
      <c r="S194" t="n">
        <v>1433.27994288884</v>
      </c>
      <c r="T194" t="n">
        <v>1516.75034940185</v>
      </c>
      <c r="U194" t="n">
        <v>1593.9814328048</v>
      </c>
      <c r="V194" t="n">
        <v>1665.93948295354</v>
      </c>
      <c r="W194" t="n">
        <v>3</v>
      </c>
      <c r="AG194" s="223" t="inlineStr">
        <is>
          <t>GDP</t>
        </is>
      </c>
      <c r="AI194" t="n">
        <v>1</v>
      </c>
      <c r="AJ194" t="n">
        <v>1.03762389140165</v>
      </c>
      <c r="AK194" t="n">
        <v>1.44627211766871</v>
      </c>
      <c r="AL194" t="n">
        <v>1.91684835209244</v>
      </c>
      <c r="AM194" t="n">
        <v>2.4175631359905</v>
      </c>
      <c r="AN194" t="n">
        <v>2.95866601655253</v>
      </c>
      <c r="AO194" t="n">
        <v>3.54077928771504</v>
      </c>
      <c r="AP194" t="n">
        <v>4.16520854656052</v>
      </c>
      <c r="AQ194" t="n">
        <v>4.83649287827296</v>
      </c>
      <c r="AR194" t="n">
        <v>5.54875099506021</v>
      </c>
      <c r="AS194" t="n">
        <v>6.28934178872169</v>
      </c>
      <c r="AT194" t="n">
        <v>7.03156762919676</v>
      </c>
      <c r="AU194" t="n">
        <v>7.7696570452703</v>
      </c>
      <c r="AV194" t="n">
        <v>8.48146369390752</v>
      </c>
      <c r="AW194" t="n">
        <v>9.161228305735211</v>
      </c>
      <c r="AX194" t="n">
        <v>9.80792592603439</v>
      </c>
      <c r="AY194" t="n">
        <v>10.422581509524</v>
      </c>
      <c r="AZ194" t="n">
        <v>11.0107224905814</v>
      </c>
      <c r="BA194" t="n">
        <v>0</v>
      </c>
      <c r="BB194" t="n">
        <v>0</v>
      </c>
      <c r="BC194" t="n">
        <v>0</v>
      </c>
      <c r="BD194" t="n">
        <v>0</v>
      </c>
      <c r="BE194" t="n">
        <v>0</v>
      </c>
      <c r="BF194" t="n">
        <v>0</v>
      </c>
      <c r="BG194" t="n">
        <v>0</v>
      </c>
      <c r="BH194" t="n">
        <v>0</v>
      </c>
      <c r="BJ194" t="inlineStr">
        <is>
          <t>High2</t>
        </is>
      </c>
      <c r="BL194" t="n">
        <v>1</v>
      </c>
      <c r="BM194" t="n">
        <v>0.997560975609757</v>
      </c>
      <c r="BN194" t="n">
        <v>0.985365853658537</v>
      </c>
      <c r="BO194" t="n">
        <v>0.973170731707317</v>
      </c>
      <c r="BP194" t="n">
        <v>0.960975609756098</v>
      </c>
      <c r="BQ194" t="n">
        <v>0.948780487804878</v>
      </c>
      <c r="BR194" t="n">
        <v>0.936585365853658</v>
      </c>
      <c r="BS194" t="n">
        <v>0.924390243902439</v>
      </c>
      <c r="BT194" t="n">
        <v>0.91219512195122</v>
      </c>
      <c r="BU194" t="n">
        <v>0.9</v>
      </c>
      <c r="BV194" t="n">
        <v>0.8875</v>
      </c>
      <c r="BW194" t="n">
        <v>0.875000000000001</v>
      </c>
      <c r="BX194" t="n">
        <v>0.862500000000001</v>
      </c>
      <c r="BY194" t="n">
        <v>0.850000000000001</v>
      </c>
      <c r="BZ194" t="n">
        <v>0.8375</v>
      </c>
      <c r="CA194" t="n">
        <v>0.825000000000001</v>
      </c>
      <c r="CB194" t="n">
        <v>0.812500000000001</v>
      </c>
      <c r="CC194" t="n">
        <v>0.800000000000001</v>
      </c>
      <c r="CD194" t="e">
        <v>#VALUE!</v>
      </c>
      <c r="CE194" t="e">
        <v>#VALUE!</v>
      </c>
      <c r="CF194" t="e">
        <v>#VALUE!</v>
      </c>
      <c r="CG194" t="e">
        <v>#VALUE!</v>
      </c>
      <c r="CH194" t="e">
        <v>#VALUE!</v>
      </c>
      <c r="CI194" t="e">
        <v>#VALUE!</v>
      </c>
      <c r="CJ194" t="e">
        <v>#VALUE!</v>
      </c>
      <c r="CK194" t="e">
        <v>#VALUE!</v>
      </c>
    </row>
    <row r="195" ht="12.5" customHeight="1" s="213">
      <c r="A195" t="inlineStr">
        <is>
          <t>Ireland</t>
        </is>
      </c>
      <c r="B195" t="inlineStr">
        <is>
          <t>TAD</t>
        </is>
      </c>
      <c r="C195" t="inlineStr">
        <is>
          <t>TAD</t>
        </is>
      </c>
      <c r="E195" t="n">
        <v>0.256072074981676</v>
      </c>
      <c r="F195">
        <f>E195</f>
        <v/>
      </c>
      <c r="I195">
        <f>F195</f>
        <v/>
      </c>
      <c r="J195">
        <f>I195</f>
        <v/>
      </c>
      <c r="L195">
        <f>J195</f>
        <v/>
      </c>
      <c r="V195">
        <f>L195</f>
        <v/>
      </c>
      <c r="W195" t="n">
        <v>3</v>
      </c>
      <c r="AG195" s="223" t="inlineStr">
        <is>
          <t>GDP</t>
        </is>
      </c>
      <c r="AI195" t="n">
        <v>1</v>
      </c>
      <c r="AJ195" t="n">
        <v>1.05651166418708</v>
      </c>
      <c r="AK195" t="n">
        <v>1.38934575154197</v>
      </c>
      <c r="AL195" t="n">
        <v>1.56808500721045</v>
      </c>
      <c r="AM195" t="n">
        <v>1.74195387975481</v>
      </c>
      <c r="AN195" t="n">
        <v>1.95247666591835</v>
      </c>
      <c r="AO195" t="n">
        <v>2.21129186912367</v>
      </c>
      <c r="AP195" t="n">
        <v>2.49932937107373</v>
      </c>
      <c r="AQ195" t="n">
        <v>2.78080327076667</v>
      </c>
      <c r="AR195" t="n">
        <v>3.05129027102921</v>
      </c>
      <c r="AS195" t="n">
        <v>3.30434567544223</v>
      </c>
      <c r="AT195" t="n">
        <v>3.52586725161997</v>
      </c>
      <c r="AU195" t="n">
        <v>3.71383360031657</v>
      </c>
      <c r="AV195" t="n">
        <v>3.87506991663274</v>
      </c>
      <c r="AW195" t="n">
        <v>4.01942160395414</v>
      </c>
      <c r="AX195" t="n">
        <v>4.15150220879485</v>
      </c>
      <c r="AY195" t="n">
        <v>4.26753052550673</v>
      </c>
      <c r="AZ195" t="n">
        <v>4.35944473827398</v>
      </c>
      <c r="BA195" t="n">
        <v>0</v>
      </c>
      <c r="BB195" t="n">
        <v>0</v>
      </c>
      <c r="BC195" t="n">
        <v>0</v>
      </c>
      <c r="BD195" t="n">
        <v>0</v>
      </c>
      <c r="BE195" t="n">
        <v>0</v>
      </c>
      <c r="BF195" t="n">
        <v>0</v>
      </c>
      <c r="BG195" t="n">
        <v>0</v>
      </c>
      <c r="BH195" t="n">
        <v>0</v>
      </c>
      <c r="BJ195" t="inlineStr">
        <is>
          <t>Med2</t>
        </is>
      </c>
      <c r="BL195" t="n">
        <v>0.8</v>
      </c>
      <c r="BM195" t="n">
        <v>0.797560975609756</v>
      </c>
      <c r="BN195" t="n">
        <v>0.785365853658536</v>
      </c>
      <c r="BO195" t="n">
        <v>0.773170731707317</v>
      </c>
      <c r="BP195" t="n">
        <v>0.760975609756097</v>
      </c>
      <c r="BQ195" t="n">
        <v>0.748780487804878</v>
      </c>
      <c r="BR195" t="n">
        <v>0.736585365853658</v>
      </c>
      <c r="BS195" t="n">
        <v>0.724390243902439</v>
      </c>
      <c r="BT195" t="n">
        <v>0.71219512195122</v>
      </c>
      <c r="BU195" t="n">
        <v>0.699999999999999</v>
      </c>
      <c r="BV195" t="n">
        <v>0.687499999999999</v>
      </c>
      <c r="BW195" t="n">
        <v>0.675</v>
      </c>
      <c r="BX195" t="n">
        <v>0.6625</v>
      </c>
      <c r="BY195" t="n">
        <v>0.649999999999999</v>
      </c>
      <c r="BZ195" t="n">
        <v>0.637499999999999</v>
      </c>
      <c r="CA195" t="n">
        <v>0.625</v>
      </c>
      <c r="CB195" t="n">
        <v>0.6125</v>
      </c>
      <c r="CC195" t="n">
        <v>0.6</v>
      </c>
      <c r="CD195" t="e">
        <v>#VALUE!</v>
      </c>
      <c r="CE195" t="e">
        <v>#VALUE!</v>
      </c>
      <c r="CF195" t="e">
        <v>#VALUE!</v>
      </c>
      <c r="CG195" t="e">
        <v>#VALUE!</v>
      </c>
      <c r="CH195" t="e">
        <v>#VALUE!</v>
      </c>
      <c r="CI195" t="e">
        <v>#VALUE!</v>
      </c>
      <c r="CJ195" t="e">
        <v>#VALUE!</v>
      </c>
      <c r="CK195" t="e">
        <v>#VALUE!</v>
      </c>
    </row>
    <row r="196" ht="12.5" customHeight="1" s="213">
      <c r="A196" t="inlineStr">
        <is>
          <t>Ireland</t>
        </is>
      </c>
      <c r="B196" t="inlineStr">
        <is>
          <t>TAI</t>
        </is>
      </c>
      <c r="C196" t="inlineStr">
        <is>
          <t>TAI</t>
        </is>
      </c>
      <c r="E196" t="n">
        <v>47.3746158946769</v>
      </c>
      <c r="F196">
        <f>E196</f>
        <v/>
      </c>
      <c r="I196">
        <f>F196</f>
        <v/>
      </c>
      <c r="J196">
        <f>I196</f>
        <v/>
      </c>
      <c r="L196">
        <f>J196</f>
        <v/>
      </c>
      <c r="V196">
        <f>L196</f>
        <v/>
      </c>
      <c r="W196" t="n">
        <v>3</v>
      </c>
      <c r="AG196" s="223" t="inlineStr">
        <is>
          <t>GDP</t>
        </is>
      </c>
      <c r="AI196" t="n">
        <v>1</v>
      </c>
      <c r="AJ196" t="n">
        <v>1.05651166418708</v>
      </c>
      <c r="AK196" t="n">
        <v>1.38934575154197</v>
      </c>
      <c r="AL196" t="n">
        <v>1.56808500721045</v>
      </c>
      <c r="AM196" t="n">
        <v>1.74195387975481</v>
      </c>
      <c r="AN196" t="n">
        <v>1.95247666591835</v>
      </c>
      <c r="AO196" t="n">
        <v>2.21129186912367</v>
      </c>
      <c r="AP196" t="n">
        <v>2.49932937107373</v>
      </c>
      <c r="AQ196" t="n">
        <v>2.78080327076667</v>
      </c>
      <c r="AR196" t="n">
        <v>3.05129027102921</v>
      </c>
      <c r="AS196" t="n">
        <v>3.30434567544223</v>
      </c>
      <c r="AT196" t="n">
        <v>3.52586725161997</v>
      </c>
      <c r="AU196" t="n">
        <v>3.71383360031657</v>
      </c>
      <c r="AV196" t="n">
        <v>3.87506991663274</v>
      </c>
      <c r="AW196" t="n">
        <v>4.01942160395414</v>
      </c>
      <c r="AX196" t="n">
        <v>4.15150220879485</v>
      </c>
      <c r="AY196" t="n">
        <v>4.26753052550673</v>
      </c>
      <c r="AZ196" t="n">
        <v>4.35944473827398</v>
      </c>
      <c r="BA196" t="n">
        <v>0</v>
      </c>
      <c r="BB196" t="n">
        <v>0</v>
      </c>
      <c r="BC196" t="n">
        <v>0</v>
      </c>
      <c r="BD196" t="n">
        <v>0</v>
      </c>
      <c r="BE196" t="n">
        <v>0</v>
      </c>
      <c r="BF196" t="n">
        <v>0</v>
      </c>
      <c r="BG196" t="n">
        <v>0</v>
      </c>
      <c r="BH196" t="n">
        <v>0</v>
      </c>
      <c r="BJ196" t="inlineStr">
        <is>
          <t>Med2</t>
        </is>
      </c>
      <c r="BL196" t="n">
        <v>0.8</v>
      </c>
      <c r="BM196" t="n">
        <v>0.797560975609756</v>
      </c>
      <c r="BN196" t="n">
        <v>0.785365853658536</v>
      </c>
      <c r="BO196" t="n">
        <v>0.773170731707317</v>
      </c>
      <c r="BP196" t="n">
        <v>0.760975609756097</v>
      </c>
      <c r="BQ196" t="n">
        <v>0.748780487804878</v>
      </c>
      <c r="BR196" t="n">
        <v>0.736585365853658</v>
      </c>
      <c r="BS196" t="n">
        <v>0.724390243902439</v>
      </c>
      <c r="BT196" t="n">
        <v>0.71219512195122</v>
      </c>
      <c r="BU196" t="n">
        <v>0.699999999999999</v>
      </c>
      <c r="BV196" t="n">
        <v>0.687499999999999</v>
      </c>
      <c r="BW196" t="n">
        <v>0.675</v>
      </c>
      <c r="BX196" t="n">
        <v>0.6625</v>
      </c>
      <c r="BY196" t="n">
        <v>0.649999999999999</v>
      </c>
      <c r="BZ196" t="n">
        <v>0.637499999999999</v>
      </c>
      <c r="CA196" t="n">
        <v>0.625</v>
      </c>
      <c r="CB196" t="n">
        <v>0.6125</v>
      </c>
      <c r="CC196" t="n">
        <v>0.6</v>
      </c>
      <c r="CD196" t="e">
        <v>#VALUE!</v>
      </c>
      <c r="CE196" t="e">
        <v>#VALUE!</v>
      </c>
      <c r="CF196" t="e">
        <v>#VALUE!</v>
      </c>
      <c r="CG196" t="e">
        <v>#VALUE!</v>
      </c>
      <c r="CH196" t="e">
        <v>#VALUE!</v>
      </c>
      <c r="CI196" t="e">
        <v>#VALUE!</v>
      </c>
      <c r="CJ196" t="e">
        <v>#VALUE!</v>
      </c>
      <c r="CK196" t="e">
        <v>#VALUE!</v>
      </c>
    </row>
    <row r="197" ht="12.5" customHeight="1" s="213">
      <c r="A197" t="inlineStr">
        <is>
          <t>Ireland</t>
        </is>
      </c>
      <c r="B197" t="inlineStr">
        <is>
          <t>TTF</t>
        </is>
      </c>
      <c r="C197" t="inlineStr">
        <is>
          <t>TTF</t>
        </is>
      </c>
      <c r="E197" t="n">
        <v>1.54205978731801</v>
      </c>
      <c r="I197" t="n">
        <v>2.2933747443729</v>
      </c>
      <c r="J197" t="n">
        <v>2.50091005576803</v>
      </c>
      <c r="L197" t="n">
        <v>3.00411860431572</v>
      </c>
      <c r="V197" t="n">
        <v>4.38797476185201</v>
      </c>
      <c r="W197" t="n">
        <v>3</v>
      </c>
      <c r="AG197" s="223" t="inlineStr">
        <is>
          <t>GDP</t>
        </is>
      </c>
      <c r="AI197" t="n">
        <v>1</v>
      </c>
      <c r="AJ197" t="n">
        <v>1.05651166418708</v>
      </c>
      <c r="AK197" t="n">
        <v>1.38934575154197</v>
      </c>
      <c r="AL197" t="n">
        <v>1.56808500721045</v>
      </c>
      <c r="AM197" t="n">
        <v>1.74195387975481</v>
      </c>
      <c r="AN197" t="n">
        <v>1.95247666591835</v>
      </c>
      <c r="AO197" t="n">
        <v>2.21129186912367</v>
      </c>
      <c r="AP197" t="n">
        <v>2.49932937107373</v>
      </c>
      <c r="AQ197" t="n">
        <v>2.78080327076667</v>
      </c>
      <c r="AR197" t="n">
        <v>3.05129027102921</v>
      </c>
      <c r="AS197" t="n">
        <v>3.30434567544223</v>
      </c>
      <c r="AT197" t="n">
        <v>3.52586725161997</v>
      </c>
      <c r="AU197" t="n">
        <v>3.71383360031657</v>
      </c>
      <c r="AV197" t="n">
        <v>3.87506991663274</v>
      </c>
      <c r="AW197" t="n">
        <v>4.01942160395414</v>
      </c>
      <c r="AX197" t="n">
        <v>4.15150220879485</v>
      </c>
      <c r="AY197" t="n">
        <v>4.26753052550673</v>
      </c>
      <c r="AZ197" t="n">
        <v>4.35944473827398</v>
      </c>
      <c r="BA197" t="n">
        <v>0</v>
      </c>
      <c r="BB197" t="n">
        <v>0</v>
      </c>
      <c r="BC197" t="n">
        <v>0</v>
      </c>
      <c r="BD197" t="n">
        <v>0</v>
      </c>
      <c r="BE197" t="n">
        <v>0</v>
      </c>
      <c r="BF197" t="n">
        <v>0</v>
      </c>
      <c r="BG197" t="n">
        <v>0</v>
      </c>
      <c r="BH197" t="n">
        <v>0</v>
      </c>
      <c r="BJ197" t="inlineStr">
        <is>
          <t>Med2</t>
        </is>
      </c>
      <c r="BL197" t="n">
        <v>0.8</v>
      </c>
      <c r="BM197" t="n">
        <v>0.797560975609756</v>
      </c>
      <c r="BN197" t="n">
        <v>0.785365853658536</v>
      </c>
      <c r="BO197" t="n">
        <v>0.773170731707317</v>
      </c>
      <c r="BP197" t="n">
        <v>0.760975609756097</v>
      </c>
      <c r="BQ197" t="n">
        <v>0.748780487804878</v>
      </c>
      <c r="BR197" t="n">
        <v>0.736585365853658</v>
      </c>
      <c r="BS197" t="n">
        <v>0.724390243902439</v>
      </c>
      <c r="BT197" t="n">
        <v>0.71219512195122</v>
      </c>
      <c r="BU197" t="n">
        <v>0.699999999999999</v>
      </c>
      <c r="BV197" t="n">
        <v>0.687499999999999</v>
      </c>
      <c r="BW197" t="n">
        <v>0.675</v>
      </c>
      <c r="BX197" t="n">
        <v>0.6625</v>
      </c>
      <c r="BY197" t="n">
        <v>0.649999999999999</v>
      </c>
      <c r="BZ197" t="n">
        <v>0.637499999999999</v>
      </c>
      <c r="CA197" t="n">
        <v>0.625</v>
      </c>
      <c r="CB197" t="n">
        <v>0.6125</v>
      </c>
      <c r="CC197" t="n">
        <v>0.6</v>
      </c>
      <c r="CD197" t="e">
        <v>#VALUE!</v>
      </c>
      <c r="CE197" t="e">
        <v>#VALUE!</v>
      </c>
      <c r="CF197" t="e">
        <v>#VALUE!</v>
      </c>
      <c r="CG197" t="e">
        <v>#VALUE!</v>
      </c>
      <c r="CH197" t="e">
        <v>#VALUE!</v>
      </c>
      <c r="CI197" t="e">
        <v>#VALUE!</v>
      </c>
      <c r="CJ197" t="e">
        <v>#VALUE!</v>
      </c>
      <c r="CK197" t="e">
        <v>#VALUE!</v>
      </c>
    </row>
    <row r="198" ht="12.5" customHeight="1" s="213">
      <c r="A198" t="inlineStr">
        <is>
          <t>Ireland</t>
        </is>
      </c>
      <c r="B198" t="inlineStr">
        <is>
          <t>TTP</t>
        </is>
      </c>
      <c r="C198" t="inlineStr">
        <is>
          <t>TTP</t>
        </is>
      </c>
      <c r="E198" t="n">
        <v>0.352843445576617</v>
      </c>
      <c r="I198" t="n">
        <v>0.380077614067599</v>
      </c>
      <c r="J198" t="n">
        <v>0.388635517829094</v>
      </c>
      <c r="L198" t="n">
        <v>0.405863584509525</v>
      </c>
      <c r="V198" t="n">
        <v>0.439997486713419</v>
      </c>
      <c r="W198" t="n">
        <v>3</v>
      </c>
      <c r="AG198" s="223" t="inlineStr">
        <is>
          <t>POP</t>
        </is>
      </c>
      <c r="AI198" t="n">
        <v>1</v>
      </c>
      <c r="AJ198" t="n">
        <v>1.00816579172873</v>
      </c>
      <c r="AK198" t="n">
        <v>1.04899475037238</v>
      </c>
      <c r="AL198" t="n">
        <v>1.0784349889255</v>
      </c>
      <c r="AM198" t="n">
        <v>1.10934026935236</v>
      </c>
      <c r="AN198" t="n">
        <v>1.14269868123305</v>
      </c>
      <c r="AO198" t="n">
        <v>1.17753196061414</v>
      </c>
      <c r="AP198" t="n">
        <v>1.21231160844976</v>
      </c>
      <c r="AQ198" t="n">
        <v>1.24158501605037</v>
      </c>
      <c r="AR198" t="n">
        <v>1.26536937826259</v>
      </c>
      <c r="AS198" t="n">
        <v>1.28413448286069</v>
      </c>
      <c r="AT198" t="n">
        <v>1.30005506854337</v>
      </c>
      <c r="AU198" t="n">
        <v>1.31457509302719</v>
      </c>
      <c r="AV198" t="n">
        <v>1.3286773236778</v>
      </c>
      <c r="AW198" t="n">
        <v>1.34245141933838</v>
      </c>
      <c r="AX198" t="n">
        <v>1.35458013193606</v>
      </c>
      <c r="AY198" t="n">
        <v>1.36304490929575</v>
      </c>
      <c r="AZ198" t="n">
        <v>1.36655511441676</v>
      </c>
      <c r="BA198" t="n">
        <v>0</v>
      </c>
      <c r="BB198" t="n">
        <v>0</v>
      </c>
      <c r="BC198" t="n">
        <v>0</v>
      </c>
      <c r="BD198" t="n">
        <v>0</v>
      </c>
      <c r="BE198" t="n">
        <v>0</v>
      </c>
      <c r="BF198" t="n">
        <v>0</v>
      </c>
      <c r="BG198" t="n">
        <v>0</v>
      </c>
      <c r="BH198" t="n">
        <v>0</v>
      </c>
      <c r="BJ198" t="inlineStr">
        <is>
          <t>Med2</t>
        </is>
      </c>
      <c r="BL198" t="n">
        <v>0.8</v>
      </c>
      <c r="BM198" t="n">
        <v>0.797560975609756</v>
      </c>
      <c r="BN198" t="n">
        <v>0.785365853658536</v>
      </c>
      <c r="BO198" t="n">
        <v>0.773170731707317</v>
      </c>
      <c r="BP198" t="n">
        <v>0.760975609756097</v>
      </c>
      <c r="BQ198" t="n">
        <v>0.748780487804878</v>
      </c>
      <c r="BR198" t="n">
        <v>0.736585365853658</v>
      </c>
      <c r="BS198" t="n">
        <v>0.724390243902439</v>
      </c>
      <c r="BT198" t="n">
        <v>0.71219512195122</v>
      </c>
      <c r="BU198" t="n">
        <v>0.699999999999999</v>
      </c>
      <c r="BV198" t="n">
        <v>0.687499999999999</v>
      </c>
      <c r="BW198" t="n">
        <v>0.675</v>
      </c>
      <c r="BX198" t="n">
        <v>0.6625</v>
      </c>
      <c r="BY198" t="n">
        <v>0.649999999999999</v>
      </c>
      <c r="BZ198" t="n">
        <v>0.637499999999999</v>
      </c>
      <c r="CA198" t="n">
        <v>0.625</v>
      </c>
      <c r="CB198" t="n">
        <v>0.6125</v>
      </c>
      <c r="CC198" t="n">
        <v>0.6</v>
      </c>
      <c r="CD198" t="e">
        <v>#VALUE!</v>
      </c>
      <c r="CE198" t="e">
        <v>#VALUE!</v>
      </c>
      <c r="CF198" t="e">
        <v>#VALUE!</v>
      </c>
      <c r="CG198" t="e">
        <v>#VALUE!</v>
      </c>
      <c r="CH198" t="e">
        <v>#VALUE!</v>
      </c>
      <c r="CI198" t="e">
        <v>#VALUE!</v>
      </c>
      <c r="CJ198" t="e">
        <v>#VALUE!</v>
      </c>
      <c r="CK198" t="e">
        <v>#VALUE!</v>
      </c>
    </row>
    <row r="199" ht="12.5" customHeight="1" s="213">
      <c r="A199" t="inlineStr">
        <is>
          <t>Ireland</t>
        </is>
      </c>
      <c r="B199" t="inlineStr">
        <is>
          <t>TWD</t>
        </is>
      </c>
      <c r="C199" t="inlineStr">
        <is>
          <t>TWD</t>
        </is>
      </c>
      <c r="E199" t="n">
        <v>3.84648924933516</v>
      </c>
      <c r="F199">
        <f>E199</f>
        <v/>
      </c>
      <c r="I199">
        <f>F199</f>
        <v/>
      </c>
      <c r="J199">
        <f>I199</f>
        <v/>
      </c>
      <c r="L199">
        <f>J199</f>
        <v/>
      </c>
      <c r="V199">
        <f>L199</f>
        <v/>
      </c>
      <c r="W199" t="n">
        <v>3</v>
      </c>
      <c r="AG199" s="223" t="inlineStr">
        <is>
          <t>GDP</t>
        </is>
      </c>
      <c r="AI199" t="n">
        <v>1</v>
      </c>
      <c r="AJ199" t="n">
        <v>1.05651166418708</v>
      </c>
      <c r="AK199" t="n">
        <v>1.38934575154197</v>
      </c>
      <c r="AL199" t="n">
        <v>1.56808500721045</v>
      </c>
      <c r="AM199" t="n">
        <v>1.74195387975481</v>
      </c>
      <c r="AN199" t="n">
        <v>1.95247666591835</v>
      </c>
      <c r="AO199" t="n">
        <v>2.21129186912367</v>
      </c>
      <c r="AP199" t="n">
        <v>2.49932937107373</v>
      </c>
      <c r="AQ199" t="n">
        <v>2.78080327076667</v>
      </c>
      <c r="AR199" t="n">
        <v>3.05129027102921</v>
      </c>
      <c r="AS199" t="n">
        <v>3.30434567544223</v>
      </c>
      <c r="AT199" t="n">
        <v>3.52586725161997</v>
      </c>
      <c r="AU199" t="n">
        <v>3.71383360031657</v>
      </c>
      <c r="AV199" t="n">
        <v>3.87506991663274</v>
      </c>
      <c r="AW199" t="n">
        <v>4.01942160395414</v>
      </c>
      <c r="AX199" t="n">
        <v>4.15150220879485</v>
      </c>
      <c r="AY199" t="n">
        <v>4.26753052550673</v>
      </c>
      <c r="AZ199" t="n">
        <v>4.35944473827398</v>
      </c>
      <c r="BA199" t="n">
        <v>0</v>
      </c>
      <c r="BB199" t="n">
        <v>0</v>
      </c>
      <c r="BC199" t="n">
        <v>0</v>
      </c>
      <c r="BD199" t="n">
        <v>0</v>
      </c>
      <c r="BE199" t="n">
        <v>0</v>
      </c>
      <c r="BF199" t="n">
        <v>0</v>
      </c>
      <c r="BG199" t="n">
        <v>0</v>
      </c>
      <c r="BH199" t="n">
        <v>0</v>
      </c>
      <c r="BJ199" t="inlineStr">
        <is>
          <t>Med2</t>
        </is>
      </c>
      <c r="BL199" t="n">
        <v>0.8</v>
      </c>
      <c r="BM199" t="n">
        <v>0.797560975609756</v>
      </c>
      <c r="BN199" t="n">
        <v>0.785365853658536</v>
      </c>
      <c r="BO199" t="n">
        <v>0.773170731707317</v>
      </c>
      <c r="BP199" t="n">
        <v>0.760975609756097</v>
      </c>
      <c r="BQ199" t="n">
        <v>0.748780487804878</v>
      </c>
      <c r="BR199" t="n">
        <v>0.736585365853658</v>
      </c>
      <c r="BS199" t="n">
        <v>0.724390243902439</v>
      </c>
      <c r="BT199" t="n">
        <v>0.71219512195122</v>
      </c>
      <c r="BU199" t="n">
        <v>0.699999999999999</v>
      </c>
      <c r="BV199" t="n">
        <v>0.687499999999999</v>
      </c>
      <c r="BW199" t="n">
        <v>0.675</v>
      </c>
      <c r="BX199" t="n">
        <v>0.6625</v>
      </c>
      <c r="BY199" t="n">
        <v>0.649999999999999</v>
      </c>
      <c r="BZ199" t="n">
        <v>0.637499999999999</v>
      </c>
      <c r="CA199" t="n">
        <v>0.625</v>
      </c>
      <c r="CB199" t="n">
        <v>0.6125</v>
      </c>
      <c r="CC199" t="n">
        <v>0.6</v>
      </c>
      <c r="CD199" t="e">
        <v>#VALUE!</v>
      </c>
      <c r="CE199" t="e">
        <v>#VALUE!</v>
      </c>
      <c r="CF199" t="e">
        <v>#VALUE!</v>
      </c>
      <c r="CG199" t="e">
        <v>#VALUE!</v>
      </c>
      <c r="CH199" t="e">
        <v>#VALUE!</v>
      </c>
      <c r="CI199" t="e">
        <v>#VALUE!</v>
      </c>
      <c r="CJ199" t="e">
        <v>#VALUE!</v>
      </c>
      <c r="CK199" t="e">
        <v>#VALUE!</v>
      </c>
    </row>
    <row r="200" ht="12.5" customHeight="1" s="213">
      <c r="A200" t="inlineStr">
        <is>
          <t>Ireland</t>
        </is>
      </c>
      <c r="B200" t="inlineStr">
        <is>
          <t>TWI</t>
        </is>
      </c>
      <c r="C200" t="inlineStr">
        <is>
          <t>TWI</t>
        </is>
      </c>
      <c r="E200" t="n">
        <v>6.11048510398272</v>
      </c>
      <c r="F200">
        <f>E200</f>
        <v/>
      </c>
      <c r="I200">
        <f>F200</f>
        <v/>
      </c>
      <c r="J200">
        <f>I200</f>
        <v/>
      </c>
      <c r="L200">
        <f>J200</f>
        <v/>
      </c>
      <c r="V200">
        <f>L200</f>
        <v/>
      </c>
      <c r="W200" t="n">
        <v>3</v>
      </c>
      <c r="AG200" s="223" t="inlineStr">
        <is>
          <t>GDP</t>
        </is>
      </c>
      <c r="AI200" t="n">
        <v>1</v>
      </c>
      <c r="AJ200" t="n">
        <v>1.05651166418708</v>
      </c>
      <c r="AK200" t="n">
        <v>1.38934575154197</v>
      </c>
      <c r="AL200" t="n">
        <v>1.56808500721045</v>
      </c>
      <c r="AM200" t="n">
        <v>1.74195387975481</v>
      </c>
      <c r="AN200" t="n">
        <v>1.95247666591835</v>
      </c>
      <c r="AO200" t="n">
        <v>2.21129186912367</v>
      </c>
      <c r="AP200" t="n">
        <v>2.49932937107373</v>
      </c>
      <c r="AQ200" t="n">
        <v>2.78080327076667</v>
      </c>
      <c r="AR200" t="n">
        <v>3.05129027102921</v>
      </c>
      <c r="AS200" t="n">
        <v>3.30434567544223</v>
      </c>
      <c r="AT200" t="n">
        <v>3.52586725161997</v>
      </c>
      <c r="AU200" t="n">
        <v>3.71383360031657</v>
      </c>
      <c r="AV200" t="n">
        <v>3.87506991663274</v>
      </c>
      <c r="AW200" t="n">
        <v>4.01942160395414</v>
      </c>
      <c r="AX200" t="n">
        <v>4.15150220879485</v>
      </c>
      <c r="AY200" t="n">
        <v>4.26753052550673</v>
      </c>
      <c r="AZ200" t="n">
        <v>4.35944473827398</v>
      </c>
      <c r="BA200" t="n">
        <v>0</v>
      </c>
      <c r="BB200" t="n">
        <v>0</v>
      </c>
      <c r="BC200" t="n">
        <v>0</v>
      </c>
      <c r="BD200" t="n">
        <v>0</v>
      </c>
      <c r="BE200" t="n">
        <v>0</v>
      </c>
      <c r="BF200" t="n">
        <v>0</v>
      </c>
      <c r="BG200" t="n">
        <v>0</v>
      </c>
      <c r="BH200" t="n">
        <v>0</v>
      </c>
      <c r="BJ200" t="inlineStr">
        <is>
          <t>Med2</t>
        </is>
      </c>
      <c r="BL200" t="n">
        <v>0.8</v>
      </c>
      <c r="BM200" t="n">
        <v>0.797560975609756</v>
      </c>
      <c r="BN200" t="n">
        <v>0.785365853658536</v>
      </c>
      <c r="BO200" t="n">
        <v>0.773170731707317</v>
      </c>
      <c r="BP200" t="n">
        <v>0.760975609756097</v>
      </c>
      <c r="BQ200" t="n">
        <v>0.748780487804878</v>
      </c>
      <c r="BR200" t="n">
        <v>0.736585365853658</v>
      </c>
      <c r="BS200" t="n">
        <v>0.724390243902439</v>
      </c>
      <c r="BT200" t="n">
        <v>0.71219512195122</v>
      </c>
      <c r="BU200" t="n">
        <v>0.699999999999999</v>
      </c>
      <c r="BV200" t="n">
        <v>0.687499999999999</v>
      </c>
      <c r="BW200" t="n">
        <v>0.675</v>
      </c>
      <c r="BX200" t="n">
        <v>0.6625</v>
      </c>
      <c r="BY200" t="n">
        <v>0.649999999999999</v>
      </c>
      <c r="BZ200" t="n">
        <v>0.637499999999999</v>
      </c>
      <c r="CA200" t="n">
        <v>0.625</v>
      </c>
      <c r="CB200" t="n">
        <v>0.6125</v>
      </c>
      <c r="CC200" t="n">
        <v>0.6</v>
      </c>
      <c r="CD200" t="e">
        <v>#VALUE!</v>
      </c>
      <c r="CE200" t="e">
        <v>#VALUE!</v>
      </c>
      <c r="CF200" t="e">
        <v>#VALUE!</v>
      </c>
      <c r="CG200" t="e">
        <v>#VALUE!</v>
      </c>
      <c r="CH200" t="e">
        <v>#VALUE!</v>
      </c>
      <c r="CI200" t="e">
        <v>#VALUE!</v>
      </c>
      <c r="CJ200" t="e">
        <v>#VALUE!</v>
      </c>
      <c r="CK200" t="e">
        <v>#VALUE!</v>
      </c>
    </row>
    <row r="201" ht="12.5" customHeight="1" s="213">
      <c r="A201" t="inlineStr">
        <is>
          <t>Ireland</t>
        </is>
      </c>
      <c r="B201" t="inlineStr">
        <is>
          <t>Trd_2w</t>
        </is>
      </c>
      <c r="C201" t="inlineStr">
        <is>
          <t>Trd_2w</t>
        </is>
      </c>
      <c r="D201" t="n">
        <v>0.154</v>
      </c>
      <c r="E201" t="n">
        <v>0.15500295838994</v>
      </c>
      <c r="G201" t="n">
        <v>0.159932974610687</v>
      </c>
      <c r="H201" t="n">
        <v>0.163403389758166</v>
      </c>
      <c r="I201" t="n">
        <v>0.166966838513868</v>
      </c>
      <c r="J201" t="n">
        <v>0.170726297325638</v>
      </c>
      <c r="K201" t="n">
        <v>0.174559715033517</v>
      </c>
      <c r="L201" t="n">
        <v>0.178294530025673</v>
      </c>
      <c r="M201" t="n">
        <v>0.181360698615104</v>
      </c>
      <c r="N201" t="n">
        <v>0.18379265771884</v>
      </c>
      <c r="O201" t="n">
        <v>0.185666506452397</v>
      </c>
      <c r="P201" t="n">
        <v>0.18722027337135</v>
      </c>
      <c r="Q201" t="n">
        <v>0.188605575040553</v>
      </c>
      <c r="R201" t="n">
        <v>0.189920709921746</v>
      </c>
      <c r="S201" t="n">
        <v>0.191175861238099</v>
      </c>
      <c r="T201" t="n">
        <v>0.192255377525974</v>
      </c>
      <c r="U201" t="n">
        <v>0.192991237918255</v>
      </c>
      <c r="V201" t="n">
        <v>0.193289440344469</v>
      </c>
      <c r="W201" t="n">
        <v>3</v>
      </c>
      <c r="AG201" s="223" t="inlineStr">
        <is>
          <t>POP</t>
        </is>
      </c>
      <c r="AI201" t="n">
        <v>1</v>
      </c>
      <c r="AJ201" t="n">
        <v>1.00816579172873</v>
      </c>
      <c r="AK201" t="n">
        <v>1.04899475037238</v>
      </c>
      <c r="AL201" t="n">
        <v>1.0784349889255</v>
      </c>
      <c r="AM201" t="n">
        <v>1.10934026935236</v>
      </c>
      <c r="AN201" t="n">
        <v>1.14269868123305</v>
      </c>
      <c r="AO201" t="n">
        <v>1.17753196061414</v>
      </c>
      <c r="AP201" t="n">
        <v>1.21231160844976</v>
      </c>
      <c r="AQ201" t="n">
        <v>1.24158501605037</v>
      </c>
      <c r="AR201" t="n">
        <v>1.26536937826259</v>
      </c>
      <c r="AS201" t="n">
        <v>1.28413448286069</v>
      </c>
      <c r="AT201" t="n">
        <v>1.30005506854337</v>
      </c>
      <c r="AU201" t="n">
        <v>1.31457509302719</v>
      </c>
      <c r="AV201" t="n">
        <v>1.3286773236778</v>
      </c>
      <c r="AW201" t="n">
        <v>1.34245141933838</v>
      </c>
      <c r="AX201" t="n">
        <v>1.35458013193606</v>
      </c>
      <c r="AY201" t="n">
        <v>1.36304490929575</v>
      </c>
      <c r="AZ201" t="n">
        <v>1.36655511441676</v>
      </c>
      <c r="BA201" t="n">
        <v>0</v>
      </c>
      <c r="BB201" t="n">
        <v>0</v>
      </c>
      <c r="BC201" t="n">
        <v>0</v>
      </c>
      <c r="BD201" t="n">
        <v>0</v>
      </c>
      <c r="BE201" t="n">
        <v>0</v>
      </c>
      <c r="BF201" t="n">
        <v>0</v>
      </c>
      <c r="BG201" t="n">
        <v>0</v>
      </c>
      <c r="BH201" t="n">
        <v>0</v>
      </c>
      <c r="BJ201" t="inlineStr">
        <is>
          <t>Med2</t>
        </is>
      </c>
      <c r="BL201" t="n">
        <v>0.8</v>
      </c>
      <c r="BM201" t="n">
        <v>0.797560975609756</v>
      </c>
      <c r="BN201" t="n">
        <v>0.785365853658536</v>
      </c>
      <c r="BO201" t="n">
        <v>0.773170731707317</v>
      </c>
      <c r="BP201" t="n">
        <v>0.760975609756097</v>
      </c>
      <c r="BQ201" t="n">
        <v>0.748780487804878</v>
      </c>
      <c r="BR201" t="n">
        <v>0.736585365853658</v>
      </c>
      <c r="BS201" t="n">
        <v>0.724390243902439</v>
      </c>
      <c r="BT201" t="n">
        <v>0.71219512195122</v>
      </c>
      <c r="BU201" t="n">
        <v>0.699999999999999</v>
      </c>
      <c r="BV201" t="n">
        <v>0.687499999999999</v>
      </c>
      <c r="BW201" t="n">
        <v>0.675</v>
      </c>
      <c r="BX201" t="n">
        <v>0.6625</v>
      </c>
      <c r="BY201" t="n">
        <v>0.649999999999999</v>
      </c>
      <c r="BZ201" t="n">
        <v>0.637499999999999</v>
      </c>
      <c r="CA201" t="n">
        <v>0.625</v>
      </c>
      <c r="CB201" t="n">
        <v>0.6125</v>
      </c>
      <c r="CC201" t="n">
        <v>0.6</v>
      </c>
      <c r="CD201" t="e">
        <v>#VALUE!</v>
      </c>
      <c r="CE201" t="e">
        <v>#VALUE!</v>
      </c>
      <c r="CF201" t="e">
        <v>#VALUE!</v>
      </c>
      <c r="CG201" t="e">
        <v>#VALUE!</v>
      </c>
      <c r="CH201" t="e">
        <v>#VALUE!</v>
      </c>
      <c r="CI201" t="e">
        <v>#VALUE!</v>
      </c>
      <c r="CJ201" t="e">
        <v>#VALUE!</v>
      </c>
      <c r="CK201" t="e">
        <v>#VALUE!</v>
      </c>
    </row>
    <row r="202" ht="12.5" customHeight="1" s="213">
      <c r="A202" t="inlineStr">
        <is>
          <t>Ireland</t>
        </is>
      </c>
      <c r="B202" t="inlineStr">
        <is>
          <t>Trd_3w</t>
        </is>
      </c>
      <c r="C202" t="inlineStr">
        <is>
          <t>Trd_3w</t>
        </is>
      </c>
      <c r="D202" t="n">
        <v>0.09</v>
      </c>
      <c r="E202" t="n">
        <v>0.09058614451360129</v>
      </c>
      <c r="G202" t="n">
        <v>0.0934673228244276</v>
      </c>
      <c r="H202" t="n">
        <v>0.0954954875210062</v>
      </c>
      <c r="I202" t="n">
        <v>0.09757802250810479</v>
      </c>
      <c r="J202" t="n">
        <v>0.0997751088266713</v>
      </c>
      <c r="K202" t="n">
        <v>0.102015417876731</v>
      </c>
      <c r="L202" t="n">
        <v>0.104198101963055</v>
      </c>
      <c r="M202" t="n">
        <v>0.105990018671165</v>
      </c>
      <c r="N202" t="n">
        <v>0.107411293472049</v>
      </c>
      <c r="O202" t="n">
        <v>0.108506399874778</v>
      </c>
      <c r="P202" t="n">
        <v>0.109414445476763</v>
      </c>
      <c r="Q202" t="n">
        <v>0.110224037361362</v>
      </c>
      <c r="R202" t="n">
        <v>0.11099262268154</v>
      </c>
      <c r="S202" t="n">
        <v>0.111726152671616</v>
      </c>
      <c r="T202" t="n">
        <v>0.112357038813881</v>
      </c>
      <c r="U202" t="n">
        <v>0.112787087095084</v>
      </c>
      <c r="V202" t="n">
        <v>0.112961361240274</v>
      </c>
      <c r="W202" t="n">
        <v>3</v>
      </c>
      <c r="AG202" s="223" t="inlineStr">
        <is>
          <t>POP</t>
        </is>
      </c>
      <c r="AI202" t="n">
        <v>1</v>
      </c>
      <c r="AJ202" t="n">
        <v>1.00816579172873</v>
      </c>
      <c r="AK202" t="n">
        <v>1.04899475037238</v>
      </c>
      <c r="AL202" t="n">
        <v>1.0784349889255</v>
      </c>
      <c r="AM202" t="n">
        <v>1.10934026935236</v>
      </c>
      <c r="AN202" t="n">
        <v>1.14269868123305</v>
      </c>
      <c r="AO202" t="n">
        <v>1.17753196061414</v>
      </c>
      <c r="AP202" t="n">
        <v>1.21231160844976</v>
      </c>
      <c r="AQ202" t="n">
        <v>1.24158501605037</v>
      </c>
      <c r="AR202" t="n">
        <v>1.26536937826259</v>
      </c>
      <c r="AS202" t="n">
        <v>1.28413448286069</v>
      </c>
      <c r="AT202" t="n">
        <v>1.30005506854337</v>
      </c>
      <c r="AU202" t="n">
        <v>1.31457509302719</v>
      </c>
      <c r="AV202" t="n">
        <v>1.3286773236778</v>
      </c>
      <c r="AW202" t="n">
        <v>1.34245141933838</v>
      </c>
      <c r="AX202" t="n">
        <v>1.35458013193606</v>
      </c>
      <c r="AY202" t="n">
        <v>1.36304490929575</v>
      </c>
      <c r="AZ202" t="n">
        <v>1.36655511441676</v>
      </c>
      <c r="BA202" t="n">
        <v>0</v>
      </c>
      <c r="BB202" t="n">
        <v>0</v>
      </c>
      <c r="BC202" t="n">
        <v>0</v>
      </c>
      <c r="BD202" t="n">
        <v>0</v>
      </c>
      <c r="BE202" t="n">
        <v>0</v>
      </c>
      <c r="BF202" t="n">
        <v>0</v>
      </c>
      <c r="BG202" t="n">
        <v>0</v>
      </c>
      <c r="BH202" t="n">
        <v>0</v>
      </c>
      <c r="BJ202" t="inlineStr">
        <is>
          <t>Med2</t>
        </is>
      </c>
      <c r="BL202" t="n">
        <v>0.8</v>
      </c>
      <c r="BM202" t="n">
        <v>0.797560975609756</v>
      </c>
      <c r="BN202" t="n">
        <v>0.785365853658536</v>
      </c>
      <c r="BO202" t="n">
        <v>0.773170731707317</v>
      </c>
      <c r="BP202" t="n">
        <v>0.760975609756097</v>
      </c>
      <c r="BQ202" t="n">
        <v>0.748780487804878</v>
      </c>
      <c r="BR202" t="n">
        <v>0.736585365853658</v>
      </c>
      <c r="BS202" t="n">
        <v>0.724390243902439</v>
      </c>
      <c r="BT202" t="n">
        <v>0.71219512195122</v>
      </c>
      <c r="BU202" t="n">
        <v>0.699999999999999</v>
      </c>
      <c r="BV202" t="n">
        <v>0.687499999999999</v>
      </c>
      <c r="BW202" t="n">
        <v>0.675</v>
      </c>
      <c r="BX202" t="n">
        <v>0.6625</v>
      </c>
      <c r="BY202" t="n">
        <v>0.649999999999999</v>
      </c>
      <c r="BZ202" t="n">
        <v>0.637499999999999</v>
      </c>
      <c r="CA202" t="n">
        <v>0.625</v>
      </c>
      <c r="CB202" t="n">
        <v>0.6125</v>
      </c>
      <c r="CC202" t="n">
        <v>0.6</v>
      </c>
      <c r="CD202" t="e">
        <v>#VALUE!</v>
      </c>
      <c r="CE202" t="e">
        <v>#VALUE!</v>
      </c>
      <c r="CF202" t="e">
        <v>#VALUE!</v>
      </c>
      <c r="CG202" t="e">
        <v>#VALUE!</v>
      </c>
      <c r="CH202" t="e">
        <v>#VALUE!</v>
      </c>
      <c r="CI202" t="e">
        <v>#VALUE!</v>
      </c>
      <c r="CJ202" t="e">
        <v>#VALUE!</v>
      </c>
      <c r="CK202" t="e">
        <v>#VALUE!</v>
      </c>
    </row>
    <row r="203" ht="12.5" customHeight="1" s="213">
      <c r="A203" t="inlineStr">
        <is>
          <t>Ireland</t>
        </is>
      </c>
      <c r="B203" t="inlineStr">
        <is>
          <t>Trd_bus</t>
        </is>
      </c>
      <c r="C203" t="inlineStr">
        <is>
          <t>Trd_bus</t>
        </is>
      </c>
      <c r="D203" t="n">
        <v>0.385</v>
      </c>
      <c r="E203" t="n">
        <v>0.38750739597485</v>
      </c>
      <c r="G203" t="n">
        <v>0.399832436526718</v>
      </c>
      <c r="H203" t="n">
        <v>0.408508474395415</v>
      </c>
      <c r="I203" t="n">
        <v>0.417417096284671</v>
      </c>
      <c r="J203" t="n">
        <v>0.426815743314094</v>
      </c>
      <c r="K203" t="n">
        <v>0.436399287583793</v>
      </c>
      <c r="L203" t="n">
        <v>0.445736325064182</v>
      </c>
      <c r="M203" t="n">
        <v>0.45340174653776</v>
      </c>
      <c r="N203" t="n">
        <v>0.459481644297101</v>
      </c>
      <c r="O203" t="n">
        <v>0.464166266130993</v>
      </c>
      <c r="P203" t="n">
        <v>0.468050683428376</v>
      </c>
      <c r="Q203" t="n">
        <v>0.471513937601381</v>
      </c>
      <c r="R203" t="n">
        <v>0.474801774804365</v>
      </c>
      <c r="S203" t="n">
        <v>0.477939653095246</v>
      </c>
      <c r="T203" t="n">
        <v>0.480638443814934</v>
      </c>
      <c r="U203" t="n">
        <v>0.482478094795638</v>
      </c>
      <c r="V203" t="n">
        <v>0.483223600861173</v>
      </c>
      <c r="W203" t="n">
        <v>3</v>
      </c>
      <c r="AG203" s="223" t="inlineStr">
        <is>
          <t>POP</t>
        </is>
      </c>
      <c r="AI203" t="n">
        <v>1</v>
      </c>
      <c r="AJ203" t="n">
        <v>1.00816579172873</v>
      </c>
      <c r="AK203" t="n">
        <v>1.04899475037238</v>
      </c>
      <c r="AL203" t="n">
        <v>1.0784349889255</v>
      </c>
      <c r="AM203" t="n">
        <v>1.10934026935236</v>
      </c>
      <c r="AN203" t="n">
        <v>1.14269868123305</v>
      </c>
      <c r="AO203" t="n">
        <v>1.17753196061414</v>
      </c>
      <c r="AP203" t="n">
        <v>1.21231160844976</v>
      </c>
      <c r="AQ203" t="n">
        <v>1.24158501605037</v>
      </c>
      <c r="AR203" t="n">
        <v>1.26536937826259</v>
      </c>
      <c r="AS203" t="n">
        <v>1.28413448286069</v>
      </c>
      <c r="AT203" t="n">
        <v>1.30005506854337</v>
      </c>
      <c r="AU203" t="n">
        <v>1.31457509302719</v>
      </c>
      <c r="AV203" t="n">
        <v>1.3286773236778</v>
      </c>
      <c r="AW203" t="n">
        <v>1.34245141933838</v>
      </c>
      <c r="AX203" t="n">
        <v>1.35458013193606</v>
      </c>
      <c r="AY203" t="n">
        <v>1.36304490929575</v>
      </c>
      <c r="AZ203" t="n">
        <v>1.36655511441676</v>
      </c>
      <c r="BA203" t="n">
        <v>0</v>
      </c>
      <c r="BB203" t="n">
        <v>0</v>
      </c>
      <c r="BC203" t="n">
        <v>0</v>
      </c>
      <c r="BD203" t="n">
        <v>0</v>
      </c>
      <c r="BE203" t="n">
        <v>0</v>
      </c>
      <c r="BF203" t="n">
        <v>0</v>
      </c>
      <c r="BG203" t="n">
        <v>0</v>
      </c>
      <c r="BH203" t="n">
        <v>0</v>
      </c>
      <c r="BJ203" t="inlineStr">
        <is>
          <t>Med2</t>
        </is>
      </c>
      <c r="BL203" t="n">
        <v>0.8</v>
      </c>
      <c r="BM203" t="n">
        <v>0.797560975609756</v>
      </c>
      <c r="BN203" t="n">
        <v>0.785365853658536</v>
      </c>
      <c r="BO203" t="n">
        <v>0.773170731707317</v>
      </c>
      <c r="BP203" t="n">
        <v>0.760975609756097</v>
      </c>
      <c r="BQ203" t="n">
        <v>0.748780487804878</v>
      </c>
      <c r="BR203" t="n">
        <v>0.736585365853658</v>
      </c>
      <c r="BS203" t="n">
        <v>0.724390243902439</v>
      </c>
      <c r="BT203" t="n">
        <v>0.71219512195122</v>
      </c>
      <c r="BU203" t="n">
        <v>0.699999999999999</v>
      </c>
      <c r="BV203" t="n">
        <v>0.687499999999999</v>
      </c>
      <c r="BW203" t="n">
        <v>0.675</v>
      </c>
      <c r="BX203" t="n">
        <v>0.6625</v>
      </c>
      <c r="BY203" t="n">
        <v>0.649999999999999</v>
      </c>
      <c r="BZ203" t="n">
        <v>0.637499999999999</v>
      </c>
      <c r="CA203" t="n">
        <v>0.625</v>
      </c>
      <c r="CB203" t="n">
        <v>0.6125</v>
      </c>
      <c r="CC203" t="n">
        <v>0.6</v>
      </c>
      <c r="CD203" t="e">
        <v>#VALUE!</v>
      </c>
      <c r="CE203" t="e">
        <v>#VALUE!</v>
      </c>
      <c r="CF203" t="e">
        <v>#VALUE!</v>
      </c>
      <c r="CG203" t="e">
        <v>#VALUE!</v>
      </c>
      <c r="CH203" t="e">
        <v>#VALUE!</v>
      </c>
      <c r="CI203" t="e">
        <v>#VALUE!</v>
      </c>
      <c r="CJ203" t="e">
        <v>#VALUE!</v>
      </c>
      <c r="CK203" t="e">
        <v>#VALUE!</v>
      </c>
    </row>
    <row r="204" ht="12.5" customHeight="1" s="213">
      <c r="A204" t="inlineStr">
        <is>
          <t>Ireland</t>
        </is>
      </c>
      <c r="B204" t="inlineStr">
        <is>
          <t>Trd_car</t>
        </is>
      </c>
      <c r="C204" t="inlineStr">
        <is>
          <t>Trd_car</t>
        </is>
      </c>
      <c r="D204" t="n">
        <v>28.296</v>
      </c>
      <c r="E204" t="n">
        <v>29.3782220729134</v>
      </c>
      <c r="G204" t="n">
        <v>35.4658844104725</v>
      </c>
      <c r="H204" t="n">
        <v>38.1487425196904</v>
      </c>
      <c r="I204" t="n">
        <v>40.4691772860081</v>
      </c>
      <c r="J204" t="n">
        <v>43.1398507371754</v>
      </c>
      <c r="K204" t="n">
        <v>46.2874254743419</v>
      </c>
      <c r="L204" t="n">
        <v>49.5677461734989</v>
      </c>
      <c r="M204" t="n">
        <v>52.6173732246464</v>
      </c>
      <c r="N204" t="n">
        <v>55.4403626436467</v>
      </c>
      <c r="O204" t="n">
        <v>57.9982369150633</v>
      </c>
      <c r="P204" t="n">
        <v>60.1111925864411</v>
      </c>
      <c r="Q204" t="n">
        <v>61.7709003704825</v>
      </c>
      <c r="R204" t="n">
        <v>63.0694077404931</v>
      </c>
      <c r="S204" t="n">
        <v>64.13925930045239</v>
      </c>
      <c r="T204" t="n">
        <v>65.0858151410128</v>
      </c>
      <c r="U204" t="n">
        <v>65.9454952735247</v>
      </c>
      <c r="V204" t="n">
        <v>66.6938733764835</v>
      </c>
      <c r="W204" t="n">
        <v>3</v>
      </c>
      <c r="AG204" s="223" t="inlineStr">
        <is>
          <t>GDPPCAP</t>
        </is>
      </c>
      <c r="AI204" t="n">
        <v>1</v>
      </c>
      <c r="AJ204" t="n">
        <v>1.04795428773223</v>
      </c>
      <c r="AK204" t="n">
        <v>1.32445443702056</v>
      </c>
      <c r="AL204" t="n">
        <v>1.45403758530945</v>
      </c>
      <c r="AM204" t="n">
        <v>1.57026110732623</v>
      </c>
      <c r="AN204" t="n">
        <v>1.70865399425464</v>
      </c>
      <c r="AO204" t="n">
        <v>1.87790390671891</v>
      </c>
      <c r="AP204" t="n">
        <v>2.06162289765561</v>
      </c>
      <c r="AQ204" t="n">
        <v>2.23972038548978</v>
      </c>
      <c r="AR204" t="n">
        <v>2.41138305023531</v>
      </c>
      <c r="AS204" t="n">
        <v>2.57320842913671</v>
      </c>
      <c r="AT204" t="n">
        <v>2.71209069287387</v>
      </c>
      <c r="AU204" t="n">
        <v>2.82512092311471</v>
      </c>
      <c r="AV204" t="n">
        <v>2.91648683060721</v>
      </c>
      <c r="AW204" t="n">
        <v>2.99409091908524</v>
      </c>
      <c r="AX204" t="n">
        <v>3.06478894154548</v>
      </c>
      <c r="AY204" t="n">
        <v>3.13088035207267</v>
      </c>
      <c r="AZ204" t="n">
        <v>3.19009800064636</v>
      </c>
      <c r="BA204" t="n">
        <v>0</v>
      </c>
      <c r="BB204" t="n">
        <v>0</v>
      </c>
      <c r="BC204" t="n">
        <v>0</v>
      </c>
      <c r="BD204" t="n">
        <v>0</v>
      </c>
      <c r="BE204" t="n">
        <v>0</v>
      </c>
      <c r="BF204" t="n">
        <v>0</v>
      </c>
      <c r="BG204" t="n">
        <v>0</v>
      </c>
      <c r="BH204" t="n">
        <v>0</v>
      </c>
      <c r="BJ204" t="inlineStr">
        <is>
          <t>Med2</t>
        </is>
      </c>
      <c r="BL204" t="n">
        <v>0.8</v>
      </c>
      <c r="BM204" t="n">
        <v>0.797560975609756</v>
      </c>
      <c r="BN204" t="n">
        <v>0.785365853658536</v>
      </c>
      <c r="BO204" t="n">
        <v>0.773170731707317</v>
      </c>
      <c r="BP204" t="n">
        <v>0.760975609756097</v>
      </c>
      <c r="BQ204" t="n">
        <v>0.748780487804878</v>
      </c>
      <c r="BR204" t="n">
        <v>0.736585365853658</v>
      </c>
      <c r="BS204" t="n">
        <v>0.724390243902439</v>
      </c>
      <c r="BT204" t="n">
        <v>0.71219512195122</v>
      </c>
      <c r="BU204" t="n">
        <v>0.699999999999999</v>
      </c>
      <c r="BV204" t="n">
        <v>0.687499999999999</v>
      </c>
      <c r="BW204" t="n">
        <v>0.675</v>
      </c>
      <c r="BX204" t="n">
        <v>0.6625</v>
      </c>
      <c r="BY204" t="n">
        <v>0.649999999999999</v>
      </c>
      <c r="BZ204" t="n">
        <v>0.637499999999999</v>
      </c>
      <c r="CA204" t="n">
        <v>0.625</v>
      </c>
      <c r="CB204" t="n">
        <v>0.6125</v>
      </c>
      <c r="CC204" t="n">
        <v>0.6</v>
      </c>
      <c r="CD204" t="e">
        <v>#VALUE!</v>
      </c>
      <c r="CE204" t="e">
        <v>#VALUE!</v>
      </c>
      <c r="CF204" t="e">
        <v>#VALUE!</v>
      </c>
      <c r="CG204" t="e">
        <v>#VALUE!</v>
      </c>
      <c r="CH204" t="e">
        <v>#VALUE!</v>
      </c>
      <c r="CI204" t="e">
        <v>#VALUE!</v>
      </c>
      <c r="CJ204" t="e">
        <v>#VALUE!</v>
      </c>
      <c r="CK204" t="e">
        <v>#VALUE!</v>
      </c>
    </row>
    <row r="205" ht="12.5" customHeight="1" s="213">
      <c r="A205" t="inlineStr">
        <is>
          <t>Ireland</t>
        </is>
      </c>
      <c r="B205" t="inlineStr">
        <is>
          <t>Trd_hdt</t>
        </is>
      </c>
      <c r="C205" t="inlineStr">
        <is>
          <t>Trd_hdt</t>
        </is>
      </c>
      <c r="D205" t="n">
        <v>11.6</v>
      </c>
      <c r="E205" t="n">
        <v>12.1228293770596</v>
      </c>
      <c r="G205" t="n">
        <v>15.122195693321</v>
      </c>
      <c r="H205" t="n">
        <v>16.6263758913102</v>
      </c>
      <c r="I205" t="n">
        <v>18.0292560329613</v>
      </c>
      <c r="J205" t="n">
        <v>19.6607849726621</v>
      </c>
      <c r="K205" t="n">
        <v>21.5804606891795</v>
      </c>
      <c r="L205" t="n">
        <v>23.616734946386</v>
      </c>
      <c r="M205" t="n">
        <v>25.51096833517</v>
      </c>
      <c r="N205" t="n">
        <v>27.2479735235339</v>
      </c>
      <c r="O205" t="n">
        <v>28.801572776158</v>
      </c>
      <c r="P205" t="n">
        <v>30.1048912048269</v>
      </c>
      <c r="Q205" t="n">
        <v>31.1681453700938</v>
      </c>
      <c r="R205" t="n">
        <v>32.0477038981183</v>
      </c>
      <c r="S205" t="n">
        <v>32.8087648332491</v>
      </c>
      <c r="T205" t="n">
        <v>33.4825871406348</v>
      </c>
      <c r="U205" t="n">
        <v>34.0557576264471</v>
      </c>
      <c r="V205" t="n">
        <v>34.4958540429181</v>
      </c>
      <c r="W205" t="n">
        <v>3</v>
      </c>
      <c r="AG205" s="223" t="inlineStr">
        <is>
          <t>GDP</t>
        </is>
      </c>
      <c r="AI205" t="n">
        <v>1</v>
      </c>
      <c r="AJ205" t="n">
        <v>1.05651166418708</v>
      </c>
      <c r="AK205" t="n">
        <v>1.38934575154197</v>
      </c>
      <c r="AL205" t="n">
        <v>1.56808500721045</v>
      </c>
      <c r="AM205" t="n">
        <v>1.74195387975481</v>
      </c>
      <c r="AN205" t="n">
        <v>1.95247666591835</v>
      </c>
      <c r="AO205" t="n">
        <v>2.21129186912367</v>
      </c>
      <c r="AP205" t="n">
        <v>2.49932937107373</v>
      </c>
      <c r="AQ205" t="n">
        <v>2.78080327076667</v>
      </c>
      <c r="AR205" t="n">
        <v>3.05129027102921</v>
      </c>
      <c r="AS205" t="n">
        <v>3.30434567544223</v>
      </c>
      <c r="AT205" t="n">
        <v>3.52586725161997</v>
      </c>
      <c r="AU205" t="n">
        <v>3.71383360031657</v>
      </c>
      <c r="AV205" t="n">
        <v>3.87506991663274</v>
      </c>
      <c r="AW205" t="n">
        <v>4.01942160395414</v>
      </c>
      <c r="AX205" t="n">
        <v>4.15150220879485</v>
      </c>
      <c r="AY205" t="n">
        <v>4.26753052550673</v>
      </c>
      <c r="AZ205" t="n">
        <v>4.35944473827398</v>
      </c>
      <c r="BA205" t="n">
        <v>0</v>
      </c>
      <c r="BB205" t="n">
        <v>0</v>
      </c>
      <c r="BC205" t="n">
        <v>0</v>
      </c>
      <c r="BD205" t="n">
        <v>0</v>
      </c>
      <c r="BE205" t="n">
        <v>0</v>
      </c>
      <c r="BF205" t="n">
        <v>0</v>
      </c>
      <c r="BG205" t="n">
        <v>0</v>
      </c>
      <c r="BH205" t="n">
        <v>0</v>
      </c>
      <c r="BJ205" t="inlineStr">
        <is>
          <t>Med2</t>
        </is>
      </c>
      <c r="BL205" t="n">
        <v>0.8</v>
      </c>
      <c r="BM205" t="n">
        <v>0.797560975609756</v>
      </c>
      <c r="BN205" t="n">
        <v>0.785365853658536</v>
      </c>
      <c r="BO205" t="n">
        <v>0.773170731707317</v>
      </c>
      <c r="BP205" t="n">
        <v>0.760975609756097</v>
      </c>
      <c r="BQ205" t="n">
        <v>0.748780487804878</v>
      </c>
      <c r="BR205" t="n">
        <v>0.736585365853658</v>
      </c>
      <c r="BS205" t="n">
        <v>0.724390243902439</v>
      </c>
      <c r="BT205" t="n">
        <v>0.71219512195122</v>
      </c>
      <c r="BU205" t="n">
        <v>0.699999999999999</v>
      </c>
      <c r="BV205" t="n">
        <v>0.687499999999999</v>
      </c>
      <c r="BW205" t="n">
        <v>0.675</v>
      </c>
      <c r="BX205" t="n">
        <v>0.6625</v>
      </c>
      <c r="BY205" t="n">
        <v>0.649999999999999</v>
      </c>
      <c r="BZ205" t="n">
        <v>0.637499999999999</v>
      </c>
      <c r="CA205" t="n">
        <v>0.625</v>
      </c>
      <c r="CB205" t="n">
        <v>0.6125</v>
      </c>
      <c r="CC205" t="n">
        <v>0.6</v>
      </c>
      <c r="CD205" t="e">
        <v>#VALUE!</v>
      </c>
      <c r="CE205" t="e">
        <v>#VALUE!</v>
      </c>
      <c r="CF205" t="e">
        <v>#VALUE!</v>
      </c>
      <c r="CG205" t="e">
        <v>#VALUE!</v>
      </c>
      <c r="CH205" t="e">
        <v>#VALUE!</v>
      </c>
      <c r="CI205" t="e">
        <v>#VALUE!</v>
      </c>
      <c r="CJ205" t="e">
        <v>#VALUE!</v>
      </c>
      <c r="CK205" t="e">
        <v>#VALUE!</v>
      </c>
    </row>
    <row r="206" ht="12.5" customHeight="1" s="213">
      <c r="A206" t="inlineStr">
        <is>
          <t>Ireland</t>
        </is>
      </c>
      <c r="B206" t="inlineStr">
        <is>
          <t>Trd_lcv</t>
        </is>
      </c>
      <c r="C206" t="inlineStr">
        <is>
          <t>Trd_lcv</t>
        </is>
      </c>
      <c r="D206" t="n">
        <v>6.28</v>
      </c>
      <c r="E206" t="n">
        <v>6.56304900758054</v>
      </c>
      <c r="G206" t="n">
        <v>8.18684387534964</v>
      </c>
      <c r="H206" t="n">
        <v>9.00117591357138</v>
      </c>
      <c r="I206" t="n">
        <v>9.760666197154899</v>
      </c>
      <c r="J206" t="n">
        <v>10.6439422093377</v>
      </c>
      <c r="K206" t="n">
        <v>11.6832149248316</v>
      </c>
      <c r="L206" t="n">
        <v>12.785611677871</v>
      </c>
      <c r="M206" t="n">
        <v>13.8111104435231</v>
      </c>
      <c r="N206" t="n">
        <v>14.7514891144649</v>
      </c>
      <c r="O206" t="n">
        <v>15.5925756064028</v>
      </c>
      <c r="P206" t="n">
        <v>16.2981652384753</v>
      </c>
      <c r="Q206" t="n">
        <v>16.8737890451887</v>
      </c>
      <c r="R206" t="n">
        <v>17.3499638344985</v>
      </c>
      <c r="S206" t="n">
        <v>17.76198647869</v>
      </c>
      <c r="T206" t="n">
        <v>18.1267799347575</v>
      </c>
      <c r="U206" t="n">
        <v>18.4370825770765</v>
      </c>
      <c r="V206" t="n">
        <v>18.6753416715109</v>
      </c>
      <c r="W206" t="n">
        <v>3</v>
      </c>
      <c r="AG206" s="223" t="inlineStr">
        <is>
          <t>GDP</t>
        </is>
      </c>
      <c r="AI206" t="n">
        <v>1</v>
      </c>
      <c r="AJ206" t="n">
        <v>1.05651166418708</v>
      </c>
      <c r="AK206" t="n">
        <v>1.38934575154197</v>
      </c>
      <c r="AL206" t="n">
        <v>1.56808500721045</v>
      </c>
      <c r="AM206" t="n">
        <v>1.74195387975481</v>
      </c>
      <c r="AN206" t="n">
        <v>1.95247666591835</v>
      </c>
      <c r="AO206" t="n">
        <v>2.21129186912367</v>
      </c>
      <c r="AP206" t="n">
        <v>2.49932937107373</v>
      </c>
      <c r="AQ206" t="n">
        <v>2.78080327076667</v>
      </c>
      <c r="AR206" t="n">
        <v>3.05129027102921</v>
      </c>
      <c r="AS206" t="n">
        <v>3.30434567544223</v>
      </c>
      <c r="AT206" t="n">
        <v>3.52586725161997</v>
      </c>
      <c r="AU206" t="n">
        <v>3.71383360031657</v>
      </c>
      <c r="AV206" t="n">
        <v>3.87506991663274</v>
      </c>
      <c r="AW206" t="n">
        <v>4.01942160395414</v>
      </c>
      <c r="AX206" t="n">
        <v>4.15150220879485</v>
      </c>
      <c r="AY206" t="n">
        <v>4.26753052550673</v>
      </c>
      <c r="AZ206" t="n">
        <v>4.35944473827398</v>
      </c>
      <c r="BA206" t="n">
        <v>0</v>
      </c>
      <c r="BB206" t="n">
        <v>0</v>
      </c>
      <c r="BC206" t="n">
        <v>0</v>
      </c>
      <c r="BD206" t="n">
        <v>0</v>
      </c>
      <c r="BE206" t="n">
        <v>0</v>
      </c>
      <c r="BF206" t="n">
        <v>0</v>
      </c>
      <c r="BG206" t="n">
        <v>0</v>
      </c>
      <c r="BH206" t="n">
        <v>0</v>
      </c>
      <c r="BJ206" t="inlineStr">
        <is>
          <t>Med2</t>
        </is>
      </c>
      <c r="BL206" t="n">
        <v>0.8</v>
      </c>
      <c r="BM206" t="n">
        <v>0.797560975609756</v>
      </c>
      <c r="BN206" t="n">
        <v>0.785365853658536</v>
      </c>
      <c r="BO206" t="n">
        <v>0.773170731707317</v>
      </c>
      <c r="BP206" t="n">
        <v>0.760975609756097</v>
      </c>
      <c r="BQ206" t="n">
        <v>0.748780487804878</v>
      </c>
      <c r="BR206" t="n">
        <v>0.736585365853658</v>
      </c>
      <c r="BS206" t="n">
        <v>0.724390243902439</v>
      </c>
      <c r="BT206" t="n">
        <v>0.71219512195122</v>
      </c>
      <c r="BU206" t="n">
        <v>0.699999999999999</v>
      </c>
      <c r="BV206" t="n">
        <v>0.687499999999999</v>
      </c>
      <c r="BW206" t="n">
        <v>0.675</v>
      </c>
      <c r="BX206" t="n">
        <v>0.6625</v>
      </c>
      <c r="BY206" t="n">
        <v>0.649999999999999</v>
      </c>
      <c r="BZ206" t="n">
        <v>0.637499999999999</v>
      </c>
      <c r="CA206" t="n">
        <v>0.625</v>
      </c>
      <c r="CB206" t="n">
        <v>0.6125</v>
      </c>
      <c r="CC206" t="n">
        <v>0.6</v>
      </c>
      <c r="CD206" t="e">
        <v>#VALUE!</v>
      </c>
      <c r="CE206" t="e">
        <v>#VALUE!</v>
      </c>
      <c r="CF206" t="e">
        <v>#VALUE!</v>
      </c>
      <c r="CG206" t="e">
        <v>#VALUE!</v>
      </c>
      <c r="CH206" t="e">
        <v>#VALUE!</v>
      </c>
      <c r="CI206" t="e">
        <v>#VALUE!</v>
      </c>
      <c r="CJ206" t="e">
        <v>#VALUE!</v>
      </c>
      <c r="CK206" t="e">
        <v>#VALUE!</v>
      </c>
    </row>
    <row r="207" ht="12.5" customHeight="1" s="213">
      <c r="A207" t="inlineStr">
        <is>
          <t>ItalyMal</t>
        </is>
      </c>
      <c r="B207" t="inlineStr">
        <is>
          <t>TAD</t>
        </is>
      </c>
      <c r="C207" t="inlineStr">
        <is>
          <t>TAD</t>
        </is>
      </c>
      <c r="E207" t="n">
        <v>37.6862690821027</v>
      </c>
      <c r="F207">
        <f>E207</f>
        <v/>
      </c>
      <c r="I207">
        <f>F207</f>
        <v/>
      </c>
      <c r="J207">
        <f>I207</f>
        <v/>
      </c>
      <c r="L207">
        <f>J207</f>
        <v/>
      </c>
      <c r="V207">
        <f>L207</f>
        <v/>
      </c>
      <c r="W207" t="n">
        <v>3</v>
      </c>
      <c r="AG207" s="223" t="inlineStr">
        <is>
          <t>GDP</t>
        </is>
      </c>
      <c r="AI207" t="n">
        <v>1</v>
      </c>
      <c r="AJ207" t="n">
        <v>0.99015492820676</v>
      </c>
      <c r="AK207" t="n">
        <v>1.14419479487314</v>
      </c>
      <c r="AL207" t="n">
        <v>1.2043160297901</v>
      </c>
      <c r="AM207" t="n">
        <v>1.28055143077042</v>
      </c>
      <c r="AN207" t="n">
        <v>1.3580064173029</v>
      </c>
      <c r="AO207" t="n">
        <v>1.43639707786436</v>
      </c>
      <c r="AP207" t="n">
        <v>1.51233848353564</v>
      </c>
      <c r="AQ207" t="n">
        <v>1.58431705345552</v>
      </c>
      <c r="AR207" t="n">
        <v>1.65118632103046</v>
      </c>
      <c r="AS207" t="n">
        <v>1.71349946709724</v>
      </c>
      <c r="AT207" t="n">
        <v>1.76981137924015</v>
      </c>
      <c r="AU207" t="n">
        <v>1.82082248919626</v>
      </c>
      <c r="AV207" t="n">
        <v>1.86823700281963</v>
      </c>
      <c r="AW207" t="n">
        <v>1.9122383160877</v>
      </c>
      <c r="AX207" t="n">
        <v>1.95140645698237</v>
      </c>
      <c r="AY207" t="n">
        <v>1.98389917768614</v>
      </c>
      <c r="AZ207" t="n">
        <v>2.00724360238581</v>
      </c>
      <c r="BA207" t="n">
        <v>0</v>
      </c>
      <c r="BB207" t="n">
        <v>0</v>
      </c>
      <c r="BC207" t="n">
        <v>0</v>
      </c>
      <c r="BD207" t="n">
        <v>0</v>
      </c>
      <c r="BE207" t="n">
        <v>0</v>
      </c>
      <c r="BF207" t="n">
        <v>0</v>
      </c>
      <c r="BG207" t="n">
        <v>0</v>
      </c>
      <c r="BH207" t="n">
        <v>0</v>
      </c>
      <c r="BJ207" t="inlineStr">
        <is>
          <t>Med2</t>
        </is>
      </c>
      <c r="BL207" t="n">
        <v>0.8</v>
      </c>
      <c r="BM207" t="n">
        <v>0.797560975609756</v>
      </c>
      <c r="BN207" t="n">
        <v>0.785365853658536</v>
      </c>
      <c r="BO207" t="n">
        <v>0.773170731707317</v>
      </c>
      <c r="BP207" t="n">
        <v>0.760975609756097</v>
      </c>
      <c r="BQ207" t="n">
        <v>0.748780487804878</v>
      </c>
      <c r="BR207" t="n">
        <v>0.736585365853658</v>
      </c>
      <c r="BS207" t="n">
        <v>0.724390243902439</v>
      </c>
      <c r="BT207" t="n">
        <v>0.71219512195122</v>
      </c>
      <c r="BU207" t="n">
        <v>0.699999999999999</v>
      </c>
      <c r="BV207" t="n">
        <v>0.687499999999999</v>
      </c>
      <c r="BW207" t="n">
        <v>0.675</v>
      </c>
      <c r="BX207" t="n">
        <v>0.6625</v>
      </c>
      <c r="BY207" t="n">
        <v>0.649999999999999</v>
      </c>
      <c r="BZ207" t="n">
        <v>0.637499999999999</v>
      </c>
      <c r="CA207" t="n">
        <v>0.625</v>
      </c>
      <c r="CB207" t="n">
        <v>0.6125</v>
      </c>
      <c r="CC207" t="n">
        <v>0.6</v>
      </c>
      <c r="CD207" t="e">
        <v>#VALUE!</v>
      </c>
      <c r="CE207" t="e">
        <v>#VALUE!</v>
      </c>
      <c r="CF207" t="e">
        <v>#VALUE!</v>
      </c>
      <c r="CG207" t="e">
        <v>#VALUE!</v>
      </c>
      <c r="CH207" t="e">
        <v>#VALUE!</v>
      </c>
      <c r="CI207" t="e">
        <v>#VALUE!</v>
      </c>
      <c r="CJ207" t="e">
        <v>#VALUE!</v>
      </c>
      <c r="CK207" t="e">
        <v>#VALUE!</v>
      </c>
    </row>
    <row r="208" ht="12.5" customHeight="1" s="213">
      <c r="A208" t="inlineStr">
        <is>
          <t>ItalyMal</t>
        </is>
      </c>
      <c r="B208" t="inlineStr">
        <is>
          <t>TAI</t>
        </is>
      </c>
      <c r="C208" t="inlineStr">
        <is>
          <t>TAI</t>
        </is>
      </c>
      <c r="E208" t="n">
        <v>171.695546898346</v>
      </c>
      <c r="F208">
        <f>E208</f>
        <v/>
      </c>
      <c r="I208">
        <f>F208</f>
        <v/>
      </c>
      <c r="J208">
        <f>I208</f>
        <v/>
      </c>
      <c r="L208">
        <f>J208</f>
        <v/>
      </c>
      <c r="V208">
        <f>L208</f>
        <v/>
      </c>
      <c r="W208" t="n">
        <v>3</v>
      </c>
      <c r="AG208" s="223" t="inlineStr">
        <is>
          <t>GDP</t>
        </is>
      </c>
      <c r="AI208" t="n">
        <v>1</v>
      </c>
      <c r="AJ208" t="n">
        <v>0.99015492820676</v>
      </c>
      <c r="AK208" t="n">
        <v>1.14419479487314</v>
      </c>
      <c r="AL208" t="n">
        <v>1.2043160297901</v>
      </c>
      <c r="AM208" t="n">
        <v>1.28055143077042</v>
      </c>
      <c r="AN208" t="n">
        <v>1.3580064173029</v>
      </c>
      <c r="AO208" t="n">
        <v>1.43639707786436</v>
      </c>
      <c r="AP208" t="n">
        <v>1.51233848353564</v>
      </c>
      <c r="AQ208" t="n">
        <v>1.58431705345552</v>
      </c>
      <c r="AR208" t="n">
        <v>1.65118632103046</v>
      </c>
      <c r="AS208" t="n">
        <v>1.71349946709724</v>
      </c>
      <c r="AT208" t="n">
        <v>1.76981137924015</v>
      </c>
      <c r="AU208" t="n">
        <v>1.82082248919626</v>
      </c>
      <c r="AV208" t="n">
        <v>1.86823700281963</v>
      </c>
      <c r="AW208" t="n">
        <v>1.9122383160877</v>
      </c>
      <c r="AX208" t="n">
        <v>1.95140645698237</v>
      </c>
      <c r="AY208" t="n">
        <v>1.98389917768614</v>
      </c>
      <c r="AZ208" t="n">
        <v>2.00724360238581</v>
      </c>
      <c r="BA208" t="n">
        <v>0</v>
      </c>
      <c r="BB208" t="n">
        <v>0</v>
      </c>
      <c r="BC208" t="n">
        <v>0</v>
      </c>
      <c r="BD208" t="n">
        <v>0</v>
      </c>
      <c r="BE208" t="n">
        <v>0</v>
      </c>
      <c r="BF208" t="n">
        <v>0</v>
      </c>
      <c r="BG208" t="n">
        <v>0</v>
      </c>
      <c r="BH208" t="n">
        <v>0</v>
      </c>
      <c r="BJ208" t="inlineStr">
        <is>
          <t>Med2</t>
        </is>
      </c>
      <c r="BL208" t="n">
        <v>0.8</v>
      </c>
      <c r="BM208" t="n">
        <v>0.797560975609756</v>
      </c>
      <c r="BN208" t="n">
        <v>0.785365853658536</v>
      </c>
      <c r="BO208" t="n">
        <v>0.773170731707317</v>
      </c>
      <c r="BP208" t="n">
        <v>0.760975609756097</v>
      </c>
      <c r="BQ208" t="n">
        <v>0.748780487804878</v>
      </c>
      <c r="BR208" t="n">
        <v>0.736585365853658</v>
      </c>
      <c r="BS208" t="n">
        <v>0.724390243902439</v>
      </c>
      <c r="BT208" t="n">
        <v>0.71219512195122</v>
      </c>
      <c r="BU208" t="n">
        <v>0.699999999999999</v>
      </c>
      <c r="BV208" t="n">
        <v>0.687499999999999</v>
      </c>
      <c r="BW208" t="n">
        <v>0.675</v>
      </c>
      <c r="BX208" t="n">
        <v>0.6625</v>
      </c>
      <c r="BY208" t="n">
        <v>0.649999999999999</v>
      </c>
      <c r="BZ208" t="n">
        <v>0.637499999999999</v>
      </c>
      <c r="CA208" t="n">
        <v>0.625</v>
      </c>
      <c r="CB208" t="n">
        <v>0.6125</v>
      </c>
      <c r="CC208" t="n">
        <v>0.6</v>
      </c>
      <c r="CD208" t="e">
        <v>#VALUE!</v>
      </c>
      <c r="CE208" t="e">
        <v>#VALUE!</v>
      </c>
      <c r="CF208" t="e">
        <v>#VALUE!</v>
      </c>
      <c r="CG208" t="e">
        <v>#VALUE!</v>
      </c>
      <c r="CH208" t="e">
        <v>#VALUE!</v>
      </c>
      <c r="CI208" t="e">
        <v>#VALUE!</v>
      </c>
      <c r="CJ208" t="e">
        <v>#VALUE!</v>
      </c>
      <c r="CK208" t="e">
        <v>#VALUE!</v>
      </c>
    </row>
    <row r="209" ht="12.5" customHeight="1" s="213">
      <c r="A209" t="inlineStr">
        <is>
          <t>ItalyMal</t>
        </is>
      </c>
      <c r="B209" t="inlineStr">
        <is>
          <t>TTF</t>
        </is>
      </c>
      <c r="C209" t="inlineStr">
        <is>
          <t>TTF</t>
        </is>
      </c>
      <c r="E209" t="n">
        <v>1.63567528506496</v>
      </c>
      <c r="I209" t="n">
        <v>2.00210413796029</v>
      </c>
      <c r="J209" t="n">
        <v>2.09278038542612</v>
      </c>
      <c r="L209" t="n">
        <v>2.26532114634834</v>
      </c>
      <c r="V209" t="n">
        <v>2.74074096644458</v>
      </c>
      <c r="W209" t="n">
        <v>3</v>
      </c>
      <c r="AG209" s="223" t="inlineStr">
        <is>
          <t>GDP</t>
        </is>
      </c>
      <c r="AI209" t="n">
        <v>1</v>
      </c>
      <c r="AJ209" t="n">
        <v>0.99015492820676</v>
      </c>
      <c r="AK209" t="n">
        <v>1.14419479487314</v>
      </c>
      <c r="AL209" t="n">
        <v>1.2043160297901</v>
      </c>
      <c r="AM209" t="n">
        <v>1.28055143077042</v>
      </c>
      <c r="AN209" t="n">
        <v>1.3580064173029</v>
      </c>
      <c r="AO209" t="n">
        <v>1.43639707786436</v>
      </c>
      <c r="AP209" t="n">
        <v>1.51233848353564</v>
      </c>
      <c r="AQ209" t="n">
        <v>1.58431705345552</v>
      </c>
      <c r="AR209" t="n">
        <v>1.65118632103046</v>
      </c>
      <c r="AS209" t="n">
        <v>1.71349946709724</v>
      </c>
      <c r="AT209" t="n">
        <v>1.76981137924015</v>
      </c>
      <c r="AU209" t="n">
        <v>1.82082248919626</v>
      </c>
      <c r="AV209" t="n">
        <v>1.86823700281963</v>
      </c>
      <c r="AW209" t="n">
        <v>1.9122383160877</v>
      </c>
      <c r="AX209" t="n">
        <v>1.95140645698237</v>
      </c>
      <c r="AY209" t="n">
        <v>1.98389917768614</v>
      </c>
      <c r="AZ209" t="n">
        <v>2.00724360238581</v>
      </c>
      <c r="BA209" t="n">
        <v>0</v>
      </c>
      <c r="BB209" t="n">
        <v>0</v>
      </c>
      <c r="BC209" t="n">
        <v>0</v>
      </c>
      <c r="BD209" t="n">
        <v>0</v>
      </c>
      <c r="BE209" t="n">
        <v>0</v>
      </c>
      <c r="BF209" t="n">
        <v>0</v>
      </c>
      <c r="BG209" t="n">
        <v>0</v>
      </c>
      <c r="BH209" t="n">
        <v>0</v>
      </c>
      <c r="BJ209" t="inlineStr">
        <is>
          <t>Med2</t>
        </is>
      </c>
      <c r="BL209" t="n">
        <v>0.8</v>
      </c>
      <c r="BM209" t="n">
        <v>0.797560975609756</v>
      </c>
      <c r="BN209" t="n">
        <v>0.785365853658536</v>
      </c>
      <c r="BO209" t="n">
        <v>0.773170731707317</v>
      </c>
      <c r="BP209" t="n">
        <v>0.760975609756097</v>
      </c>
      <c r="BQ209" t="n">
        <v>0.748780487804878</v>
      </c>
      <c r="BR209" t="n">
        <v>0.736585365853658</v>
      </c>
      <c r="BS209" t="n">
        <v>0.724390243902439</v>
      </c>
      <c r="BT209" t="n">
        <v>0.71219512195122</v>
      </c>
      <c r="BU209" t="n">
        <v>0.699999999999999</v>
      </c>
      <c r="BV209" t="n">
        <v>0.687499999999999</v>
      </c>
      <c r="BW209" t="n">
        <v>0.675</v>
      </c>
      <c r="BX209" t="n">
        <v>0.6625</v>
      </c>
      <c r="BY209" t="n">
        <v>0.649999999999999</v>
      </c>
      <c r="BZ209" t="n">
        <v>0.637499999999999</v>
      </c>
      <c r="CA209" t="n">
        <v>0.625</v>
      </c>
      <c r="CB209" t="n">
        <v>0.6125</v>
      </c>
      <c r="CC209" t="n">
        <v>0.6</v>
      </c>
      <c r="CD209" t="e">
        <v>#VALUE!</v>
      </c>
      <c r="CE209" t="e">
        <v>#VALUE!</v>
      </c>
      <c r="CF209" t="e">
        <v>#VALUE!</v>
      </c>
      <c r="CG209" t="e">
        <v>#VALUE!</v>
      </c>
      <c r="CH209" t="e">
        <v>#VALUE!</v>
      </c>
      <c r="CI209" t="e">
        <v>#VALUE!</v>
      </c>
      <c r="CJ209" t="e">
        <v>#VALUE!</v>
      </c>
      <c r="CK209" t="e">
        <v>#VALUE!</v>
      </c>
    </row>
    <row r="210" ht="12.5" customHeight="1" s="213">
      <c r="A210" t="inlineStr">
        <is>
          <t>ItalyMal</t>
        </is>
      </c>
      <c r="B210" t="inlineStr">
        <is>
          <t>TTP</t>
        </is>
      </c>
      <c r="C210" t="inlineStr">
        <is>
          <t>TTP</t>
        </is>
      </c>
      <c r="E210" t="n">
        <v>20.1251585840136</v>
      </c>
      <c r="I210" t="n">
        <v>19.5799173646443</v>
      </c>
      <c r="J210" t="n">
        <v>19.4340318121154</v>
      </c>
      <c r="L210" t="n">
        <v>19.1689954097244</v>
      </c>
      <c r="V210" t="n">
        <v>17.2937393473289</v>
      </c>
      <c r="W210" t="n">
        <v>3</v>
      </c>
      <c r="AG210" s="223" t="inlineStr">
        <is>
          <t>POP</t>
        </is>
      </c>
      <c r="AI210" t="n">
        <v>1</v>
      </c>
      <c r="AJ210" t="n">
        <v>0.997668689508291</v>
      </c>
      <c r="AK210" t="n">
        <v>0.986012137049744</v>
      </c>
      <c r="AL210" t="n">
        <v>0.97374127083826</v>
      </c>
      <c r="AM210" t="n">
        <v>0.962810294293591</v>
      </c>
      <c r="AN210" t="n">
        <v>0.953229806181516</v>
      </c>
      <c r="AO210" t="n">
        <v>0.9442899379922109</v>
      </c>
      <c r="AP210" t="n">
        <v>0.9354563394309841</v>
      </c>
      <c r="AQ210" t="n">
        <v>0.9231460803107</v>
      </c>
      <c r="AR210" t="n">
        <v>0.907886312390298</v>
      </c>
      <c r="AS210" t="n">
        <v>0.8905953299867509</v>
      </c>
      <c r="AT210" t="n">
        <v>0.87401194374418</v>
      </c>
      <c r="AU210" t="n">
        <v>0.8599637026606129</v>
      </c>
      <c r="AV210" t="n">
        <v>0.8485952077377</v>
      </c>
      <c r="AW210" t="n">
        <v>0.838394816226259</v>
      </c>
      <c r="AX210" t="n">
        <v>0.827402486262789</v>
      </c>
      <c r="AY210" t="n">
        <v>0.814508150557037</v>
      </c>
      <c r="AZ210" t="n">
        <v>0.799364007043897</v>
      </c>
      <c r="BA210" t="n">
        <v>0</v>
      </c>
      <c r="BB210" t="n">
        <v>0</v>
      </c>
      <c r="BC210" t="n">
        <v>0</v>
      </c>
      <c r="BD210" t="n">
        <v>0</v>
      </c>
      <c r="BE210" t="n">
        <v>0</v>
      </c>
      <c r="BF210" t="n">
        <v>0</v>
      </c>
      <c r="BG210" t="n">
        <v>0</v>
      </c>
      <c r="BH210" t="n">
        <v>0</v>
      </c>
      <c r="BJ210" t="inlineStr">
        <is>
          <t>Med2</t>
        </is>
      </c>
      <c r="BL210" t="n">
        <v>0.8</v>
      </c>
      <c r="BM210" t="n">
        <v>0.797560975609756</v>
      </c>
      <c r="BN210" t="n">
        <v>0.785365853658536</v>
      </c>
      <c r="BO210" t="n">
        <v>0.773170731707317</v>
      </c>
      <c r="BP210" t="n">
        <v>0.760975609756097</v>
      </c>
      <c r="BQ210" t="n">
        <v>0.748780487804878</v>
      </c>
      <c r="BR210" t="n">
        <v>0.736585365853658</v>
      </c>
      <c r="BS210" t="n">
        <v>0.724390243902439</v>
      </c>
      <c r="BT210" t="n">
        <v>0.71219512195122</v>
      </c>
      <c r="BU210" t="n">
        <v>0.699999999999999</v>
      </c>
      <c r="BV210" t="n">
        <v>0.687499999999999</v>
      </c>
      <c r="BW210" t="n">
        <v>0.675</v>
      </c>
      <c r="BX210" t="n">
        <v>0.6625</v>
      </c>
      <c r="BY210" t="n">
        <v>0.649999999999999</v>
      </c>
      <c r="BZ210" t="n">
        <v>0.637499999999999</v>
      </c>
      <c r="CA210" t="n">
        <v>0.625</v>
      </c>
      <c r="CB210" t="n">
        <v>0.6125</v>
      </c>
      <c r="CC210" t="n">
        <v>0.6</v>
      </c>
      <c r="CD210" t="e">
        <v>#VALUE!</v>
      </c>
      <c r="CE210" t="e">
        <v>#VALUE!</v>
      </c>
      <c r="CF210" t="e">
        <v>#VALUE!</v>
      </c>
      <c r="CG210" t="e">
        <v>#VALUE!</v>
      </c>
      <c r="CH210" t="e">
        <v>#VALUE!</v>
      </c>
      <c r="CI210" t="e">
        <v>#VALUE!</v>
      </c>
      <c r="CJ210" t="e">
        <v>#VALUE!</v>
      </c>
      <c r="CK210" t="e">
        <v>#VALUE!</v>
      </c>
    </row>
    <row r="211" ht="12.5" customHeight="1" s="213">
      <c r="A211" t="inlineStr">
        <is>
          <t>ItalyMal</t>
        </is>
      </c>
      <c r="B211" t="inlineStr">
        <is>
          <t>TWD</t>
        </is>
      </c>
      <c r="C211" t="inlineStr">
        <is>
          <t>TWD</t>
        </is>
      </c>
      <c r="E211" t="n">
        <v>25.7362823995911</v>
      </c>
      <c r="F211">
        <f>E211</f>
        <v/>
      </c>
      <c r="I211">
        <f>F211</f>
        <v/>
      </c>
      <c r="J211">
        <f>I211</f>
        <v/>
      </c>
      <c r="L211">
        <f>J211</f>
        <v/>
      </c>
      <c r="V211">
        <f>L211</f>
        <v/>
      </c>
      <c r="W211" t="n">
        <v>3</v>
      </c>
      <c r="AG211" s="223" t="inlineStr">
        <is>
          <t>GDP</t>
        </is>
      </c>
      <c r="AI211" t="n">
        <v>1</v>
      </c>
      <c r="AJ211" t="n">
        <v>0.99015492820676</v>
      </c>
      <c r="AK211" t="n">
        <v>1.14419479487314</v>
      </c>
      <c r="AL211" t="n">
        <v>1.2043160297901</v>
      </c>
      <c r="AM211" t="n">
        <v>1.28055143077042</v>
      </c>
      <c r="AN211" t="n">
        <v>1.3580064173029</v>
      </c>
      <c r="AO211" t="n">
        <v>1.43639707786436</v>
      </c>
      <c r="AP211" t="n">
        <v>1.51233848353564</v>
      </c>
      <c r="AQ211" t="n">
        <v>1.58431705345552</v>
      </c>
      <c r="AR211" t="n">
        <v>1.65118632103046</v>
      </c>
      <c r="AS211" t="n">
        <v>1.71349946709724</v>
      </c>
      <c r="AT211" t="n">
        <v>1.76981137924015</v>
      </c>
      <c r="AU211" t="n">
        <v>1.82082248919626</v>
      </c>
      <c r="AV211" t="n">
        <v>1.86823700281963</v>
      </c>
      <c r="AW211" t="n">
        <v>1.9122383160877</v>
      </c>
      <c r="AX211" t="n">
        <v>1.95140645698237</v>
      </c>
      <c r="AY211" t="n">
        <v>1.98389917768614</v>
      </c>
      <c r="AZ211" t="n">
        <v>2.00724360238581</v>
      </c>
      <c r="BA211" t="n">
        <v>0</v>
      </c>
      <c r="BB211" t="n">
        <v>0</v>
      </c>
      <c r="BC211" t="n">
        <v>0</v>
      </c>
      <c r="BD211" t="n">
        <v>0</v>
      </c>
      <c r="BE211" t="n">
        <v>0</v>
      </c>
      <c r="BF211" t="n">
        <v>0</v>
      </c>
      <c r="BG211" t="n">
        <v>0</v>
      </c>
      <c r="BH211" t="n">
        <v>0</v>
      </c>
      <c r="BJ211" t="inlineStr">
        <is>
          <t>Med2</t>
        </is>
      </c>
      <c r="BL211" t="n">
        <v>0.8</v>
      </c>
      <c r="BM211" t="n">
        <v>0.797560975609756</v>
      </c>
      <c r="BN211" t="n">
        <v>0.785365853658536</v>
      </c>
      <c r="BO211" t="n">
        <v>0.773170731707317</v>
      </c>
      <c r="BP211" t="n">
        <v>0.760975609756097</v>
      </c>
      <c r="BQ211" t="n">
        <v>0.748780487804878</v>
      </c>
      <c r="BR211" t="n">
        <v>0.736585365853658</v>
      </c>
      <c r="BS211" t="n">
        <v>0.724390243902439</v>
      </c>
      <c r="BT211" t="n">
        <v>0.71219512195122</v>
      </c>
      <c r="BU211" t="n">
        <v>0.699999999999999</v>
      </c>
      <c r="BV211" t="n">
        <v>0.687499999999999</v>
      </c>
      <c r="BW211" t="n">
        <v>0.675</v>
      </c>
      <c r="BX211" t="n">
        <v>0.6625</v>
      </c>
      <c r="BY211" t="n">
        <v>0.649999999999999</v>
      </c>
      <c r="BZ211" t="n">
        <v>0.637499999999999</v>
      </c>
      <c r="CA211" t="n">
        <v>0.625</v>
      </c>
      <c r="CB211" t="n">
        <v>0.6125</v>
      </c>
      <c r="CC211" t="n">
        <v>0.6</v>
      </c>
      <c r="CD211" t="e">
        <v>#VALUE!</v>
      </c>
      <c r="CE211" t="e">
        <v>#VALUE!</v>
      </c>
      <c r="CF211" t="e">
        <v>#VALUE!</v>
      </c>
      <c r="CG211" t="e">
        <v>#VALUE!</v>
      </c>
      <c r="CH211" t="e">
        <v>#VALUE!</v>
      </c>
      <c r="CI211" t="e">
        <v>#VALUE!</v>
      </c>
      <c r="CJ211" t="e">
        <v>#VALUE!</v>
      </c>
      <c r="CK211" t="e">
        <v>#VALUE!</v>
      </c>
    </row>
    <row r="212" ht="12.5" customHeight="1" s="213">
      <c r="A212" t="inlineStr">
        <is>
          <t>ItalyMal</t>
        </is>
      </c>
      <c r="B212" t="inlineStr">
        <is>
          <t>TWI</t>
        </is>
      </c>
      <c r="C212" t="inlineStr">
        <is>
          <t>TWI</t>
        </is>
      </c>
      <c r="E212" t="n">
        <v>204.212343478537</v>
      </c>
      <c r="F212">
        <f>E212</f>
        <v/>
      </c>
      <c r="I212">
        <f>F212</f>
        <v/>
      </c>
      <c r="J212">
        <f>I212</f>
        <v/>
      </c>
      <c r="L212">
        <f>J212</f>
        <v/>
      </c>
      <c r="V212">
        <f>L212</f>
        <v/>
      </c>
      <c r="W212" t="n">
        <v>3</v>
      </c>
      <c r="AG212" s="223" t="inlineStr">
        <is>
          <t>GDP</t>
        </is>
      </c>
      <c r="AI212" t="n">
        <v>1</v>
      </c>
      <c r="AJ212" t="n">
        <v>0.99015492820676</v>
      </c>
      <c r="AK212" t="n">
        <v>1.14419479487314</v>
      </c>
      <c r="AL212" t="n">
        <v>1.2043160297901</v>
      </c>
      <c r="AM212" t="n">
        <v>1.28055143077042</v>
      </c>
      <c r="AN212" t="n">
        <v>1.3580064173029</v>
      </c>
      <c r="AO212" t="n">
        <v>1.43639707786436</v>
      </c>
      <c r="AP212" t="n">
        <v>1.51233848353564</v>
      </c>
      <c r="AQ212" t="n">
        <v>1.58431705345552</v>
      </c>
      <c r="AR212" t="n">
        <v>1.65118632103046</v>
      </c>
      <c r="AS212" t="n">
        <v>1.71349946709724</v>
      </c>
      <c r="AT212" t="n">
        <v>1.76981137924015</v>
      </c>
      <c r="AU212" t="n">
        <v>1.82082248919626</v>
      </c>
      <c r="AV212" t="n">
        <v>1.86823700281963</v>
      </c>
      <c r="AW212" t="n">
        <v>1.9122383160877</v>
      </c>
      <c r="AX212" t="n">
        <v>1.95140645698237</v>
      </c>
      <c r="AY212" t="n">
        <v>1.98389917768614</v>
      </c>
      <c r="AZ212" t="n">
        <v>2.00724360238581</v>
      </c>
      <c r="BA212" t="n">
        <v>0</v>
      </c>
      <c r="BB212" t="n">
        <v>0</v>
      </c>
      <c r="BC212" t="n">
        <v>0</v>
      </c>
      <c r="BD212" t="n">
        <v>0</v>
      </c>
      <c r="BE212" t="n">
        <v>0</v>
      </c>
      <c r="BF212" t="n">
        <v>0</v>
      </c>
      <c r="BG212" t="n">
        <v>0</v>
      </c>
      <c r="BH212" t="n">
        <v>0</v>
      </c>
      <c r="BJ212" t="inlineStr">
        <is>
          <t>Med2</t>
        </is>
      </c>
      <c r="BL212" t="n">
        <v>0.8</v>
      </c>
      <c r="BM212" t="n">
        <v>0.797560975609756</v>
      </c>
      <c r="BN212" t="n">
        <v>0.785365853658536</v>
      </c>
      <c r="BO212" t="n">
        <v>0.773170731707317</v>
      </c>
      <c r="BP212" t="n">
        <v>0.760975609756097</v>
      </c>
      <c r="BQ212" t="n">
        <v>0.748780487804878</v>
      </c>
      <c r="BR212" t="n">
        <v>0.736585365853658</v>
      </c>
      <c r="BS212" t="n">
        <v>0.724390243902439</v>
      </c>
      <c r="BT212" t="n">
        <v>0.71219512195122</v>
      </c>
      <c r="BU212" t="n">
        <v>0.699999999999999</v>
      </c>
      <c r="BV212" t="n">
        <v>0.687499999999999</v>
      </c>
      <c r="BW212" t="n">
        <v>0.675</v>
      </c>
      <c r="BX212" t="n">
        <v>0.6625</v>
      </c>
      <c r="BY212" t="n">
        <v>0.649999999999999</v>
      </c>
      <c r="BZ212" t="n">
        <v>0.637499999999999</v>
      </c>
      <c r="CA212" t="n">
        <v>0.625</v>
      </c>
      <c r="CB212" t="n">
        <v>0.6125</v>
      </c>
      <c r="CC212" t="n">
        <v>0.6</v>
      </c>
      <c r="CD212" t="e">
        <v>#VALUE!</v>
      </c>
      <c r="CE212" t="e">
        <v>#VALUE!</v>
      </c>
      <c r="CF212" t="e">
        <v>#VALUE!</v>
      </c>
      <c r="CG212" t="e">
        <v>#VALUE!</v>
      </c>
      <c r="CH212" t="e">
        <v>#VALUE!</v>
      </c>
      <c r="CI212" t="e">
        <v>#VALUE!</v>
      </c>
      <c r="CJ212" t="e">
        <v>#VALUE!</v>
      </c>
      <c r="CK212" t="e">
        <v>#VALUE!</v>
      </c>
    </row>
    <row r="213" ht="12.5" customHeight="1" s="213">
      <c r="A213" t="inlineStr">
        <is>
          <t>ItalyMal</t>
        </is>
      </c>
      <c r="B213" t="inlineStr">
        <is>
          <t>Trd_2w</t>
        </is>
      </c>
      <c r="C213" t="inlineStr">
        <is>
          <t>Trd_2w</t>
        </is>
      </c>
      <c r="D213" t="n">
        <v>1.568</v>
      </c>
      <c r="E213" t="n">
        <v>1.5650845199603</v>
      </c>
      <c r="G213" t="n">
        <v>1.55072322537602</v>
      </c>
      <c r="H213" t="n">
        <v>1.53580206297745</v>
      </c>
      <c r="I213" t="n">
        <v>1.52268243957336</v>
      </c>
      <c r="J213" t="n">
        <v>1.51133727580754</v>
      </c>
      <c r="K213" t="n">
        <v>1.50089685551557</v>
      </c>
      <c r="L213" t="n">
        <v>1.49072604092576</v>
      </c>
      <c r="M213" t="n">
        <v>1.47675462232438</v>
      </c>
      <c r="N213" t="n">
        <v>1.4596669118256</v>
      </c>
      <c r="O213" t="n">
        <v>1.44055453646726</v>
      </c>
      <c r="P213" t="n">
        <v>1.42244837955489</v>
      </c>
      <c r="Q213" t="n">
        <v>1.40730136713245</v>
      </c>
      <c r="R213" t="n">
        <v>1.39520866605851</v>
      </c>
      <c r="S213" t="n">
        <v>1.38451724039829</v>
      </c>
      <c r="T213" t="n">
        <v>1.37317184705554</v>
      </c>
      <c r="U213" t="n">
        <v>1.36006455020624</v>
      </c>
      <c r="V213" t="n">
        <v>1.34489194863949</v>
      </c>
      <c r="W213" t="n">
        <v>3</v>
      </c>
      <c r="AG213" s="223" t="inlineStr">
        <is>
          <t>POP</t>
        </is>
      </c>
      <c r="AI213" t="n">
        <v>1</v>
      </c>
      <c r="AJ213" t="n">
        <v>0.997668689508291</v>
      </c>
      <c r="AK213" t="n">
        <v>0.986012137049744</v>
      </c>
      <c r="AL213" t="n">
        <v>0.97374127083826</v>
      </c>
      <c r="AM213" t="n">
        <v>0.962810294293591</v>
      </c>
      <c r="AN213" t="n">
        <v>0.953229806181516</v>
      </c>
      <c r="AO213" t="n">
        <v>0.9442899379922109</v>
      </c>
      <c r="AP213" t="n">
        <v>0.9354563394309841</v>
      </c>
      <c r="AQ213" t="n">
        <v>0.9231460803107</v>
      </c>
      <c r="AR213" t="n">
        <v>0.907886312390298</v>
      </c>
      <c r="AS213" t="n">
        <v>0.8905953299867509</v>
      </c>
      <c r="AT213" t="n">
        <v>0.87401194374418</v>
      </c>
      <c r="AU213" t="n">
        <v>0.8599637026606129</v>
      </c>
      <c r="AV213" t="n">
        <v>0.8485952077377</v>
      </c>
      <c r="AW213" t="n">
        <v>0.838394816226259</v>
      </c>
      <c r="AX213" t="n">
        <v>0.827402486262789</v>
      </c>
      <c r="AY213" t="n">
        <v>0.814508150557037</v>
      </c>
      <c r="AZ213" t="n">
        <v>0.799364007043897</v>
      </c>
      <c r="BA213" t="n">
        <v>0</v>
      </c>
      <c r="BB213" t="n">
        <v>0</v>
      </c>
      <c r="BC213" t="n">
        <v>0</v>
      </c>
      <c r="BD213" t="n">
        <v>0</v>
      </c>
      <c r="BE213" t="n">
        <v>0</v>
      </c>
      <c r="BF213" t="n">
        <v>0</v>
      </c>
      <c r="BG213" t="n">
        <v>0</v>
      </c>
      <c r="BH213" t="n">
        <v>0</v>
      </c>
      <c r="BJ213" t="inlineStr">
        <is>
          <t>Med2</t>
        </is>
      </c>
      <c r="BL213" t="n">
        <v>0.8</v>
      </c>
      <c r="BM213" t="n">
        <v>0.797560975609756</v>
      </c>
      <c r="BN213" t="n">
        <v>0.785365853658536</v>
      </c>
      <c r="BO213" t="n">
        <v>0.773170731707317</v>
      </c>
      <c r="BP213" t="n">
        <v>0.760975609756097</v>
      </c>
      <c r="BQ213" t="n">
        <v>0.748780487804878</v>
      </c>
      <c r="BR213" t="n">
        <v>0.736585365853658</v>
      </c>
      <c r="BS213" t="n">
        <v>0.724390243902439</v>
      </c>
      <c r="BT213" t="n">
        <v>0.71219512195122</v>
      </c>
      <c r="BU213" t="n">
        <v>0.699999999999999</v>
      </c>
      <c r="BV213" t="n">
        <v>0.687499999999999</v>
      </c>
      <c r="BW213" t="n">
        <v>0.675</v>
      </c>
      <c r="BX213" t="n">
        <v>0.6625</v>
      </c>
      <c r="BY213" t="n">
        <v>0.649999999999999</v>
      </c>
      <c r="BZ213" t="n">
        <v>0.637499999999999</v>
      </c>
      <c r="CA213" t="n">
        <v>0.625</v>
      </c>
      <c r="CB213" t="n">
        <v>0.6125</v>
      </c>
      <c r="CC213" t="n">
        <v>0.6</v>
      </c>
      <c r="CD213" t="e">
        <v>#VALUE!</v>
      </c>
      <c r="CE213" t="e">
        <v>#VALUE!</v>
      </c>
      <c r="CF213" t="e">
        <v>#VALUE!</v>
      </c>
      <c r="CG213" t="e">
        <v>#VALUE!</v>
      </c>
      <c r="CH213" t="e">
        <v>#VALUE!</v>
      </c>
      <c r="CI213" t="e">
        <v>#VALUE!</v>
      </c>
      <c r="CJ213" t="e">
        <v>#VALUE!</v>
      </c>
      <c r="CK213" t="e">
        <v>#VALUE!</v>
      </c>
    </row>
    <row r="214" ht="12.5" customHeight="1" s="213">
      <c r="A214" t="inlineStr">
        <is>
          <t>ItalyMal</t>
        </is>
      </c>
      <c r="B214" t="inlineStr">
        <is>
          <t>Trd_3w</t>
        </is>
      </c>
      <c r="C214" t="inlineStr">
        <is>
          <t>Trd_3w</t>
        </is>
      </c>
      <c r="D214" t="n">
        <v>0.93</v>
      </c>
      <c r="E214" t="n">
        <v>0.928270793088699</v>
      </c>
      <c r="G214" t="n">
        <v>0.919752933418177</v>
      </c>
      <c r="H214" t="n">
        <v>0.9109030092914711</v>
      </c>
      <c r="I214" t="n">
        <v>0.903121600002058</v>
      </c>
      <c r="J214" t="n">
        <v>0.896392644452174</v>
      </c>
      <c r="K214" t="n">
        <v>0.890200303335125</v>
      </c>
      <c r="L214" t="n">
        <v>0.884167868661323</v>
      </c>
      <c r="M214" t="n">
        <v>0.875881249210251</v>
      </c>
      <c r="N214" t="n">
        <v>0.8657463188761511</v>
      </c>
      <c r="O214" t="n">
        <v>0.854410535022036</v>
      </c>
      <c r="P214" t="n">
        <v>0.843671551649266</v>
      </c>
      <c r="Q214" t="n">
        <v>0.834687673107893</v>
      </c>
      <c r="R214" t="n">
        <v>0.827515344027047</v>
      </c>
      <c r="S214" t="n">
        <v>0.821174128552556</v>
      </c>
      <c r="T214" t="n">
        <v>0.814445036837789</v>
      </c>
      <c r="U214" t="n">
        <v>0.806670938578958</v>
      </c>
      <c r="V214" t="n">
        <v>0.797671882802759</v>
      </c>
      <c r="W214" t="n">
        <v>3</v>
      </c>
      <c r="AG214" s="223" t="inlineStr">
        <is>
          <t>POP</t>
        </is>
      </c>
      <c r="AI214" t="n">
        <v>1</v>
      </c>
      <c r="AJ214" t="n">
        <v>0.997668689508291</v>
      </c>
      <c r="AK214" t="n">
        <v>0.986012137049744</v>
      </c>
      <c r="AL214" t="n">
        <v>0.97374127083826</v>
      </c>
      <c r="AM214" t="n">
        <v>0.962810294293591</v>
      </c>
      <c r="AN214" t="n">
        <v>0.953229806181516</v>
      </c>
      <c r="AO214" t="n">
        <v>0.9442899379922109</v>
      </c>
      <c r="AP214" t="n">
        <v>0.9354563394309841</v>
      </c>
      <c r="AQ214" t="n">
        <v>0.9231460803107</v>
      </c>
      <c r="AR214" t="n">
        <v>0.907886312390298</v>
      </c>
      <c r="AS214" t="n">
        <v>0.8905953299867509</v>
      </c>
      <c r="AT214" t="n">
        <v>0.87401194374418</v>
      </c>
      <c r="AU214" t="n">
        <v>0.8599637026606129</v>
      </c>
      <c r="AV214" t="n">
        <v>0.8485952077377</v>
      </c>
      <c r="AW214" t="n">
        <v>0.838394816226259</v>
      </c>
      <c r="AX214" t="n">
        <v>0.827402486262789</v>
      </c>
      <c r="AY214" t="n">
        <v>0.814508150557037</v>
      </c>
      <c r="AZ214" t="n">
        <v>0.799364007043897</v>
      </c>
      <c r="BA214" t="n">
        <v>0</v>
      </c>
      <c r="BB214" t="n">
        <v>0</v>
      </c>
      <c r="BC214" t="n">
        <v>0</v>
      </c>
      <c r="BD214" t="n">
        <v>0</v>
      </c>
      <c r="BE214" t="n">
        <v>0</v>
      </c>
      <c r="BF214" t="n">
        <v>0</v>
      </c>
      <c r="BG214" t="n">
        <v>0</v>
      </c>
      <c r="BH214" t="n">
        <v>0</v>
      </c>
      <c r="BJ214" t="inlineStr">
        <is>
          <t>Med2</t>
        </is>
      </c>
      <c r="BL214" t="n">
        <v>0.8</v>
      </c>
      <c r="BM214" t="n">
        <v>0.797560975609756</v>
      </c>
      <c r="BN214" t="n">
        <v>0.785365853658536</v>
      </c>
      <c r="BO214" t="n">
        <v>0.773170731707317</v>
      </c>
      <c r="BP214" t="n">
        <v>0.760975609756097</v>
      </c>
      <c r="BQ214" t="n">
        <v>0.748780487804878</v>
      </c>
      <c r="BR214" t="n">
        <v>0.736585365853658</v>
      </c>
      <c r="BS214" t="n">
        <v>0.724390243902439</v>
      </c>
      <c r="BT214" t="n">
        <v>0.71219512195122</v>
      </c>
      <c r="BU214" t="n">
        <v>0.699999999999999</v>
      </c>
      <c r="BV214" t="n">
        <v>0.687499999999999</v>
      </c>
      <c r="BW214" t="n">
        <v>0.675</v>
      </c>
      <c r="BX214" t="n">
        <v>0.6625</v>
      </c>
      <c r="BY214" t="n">
        <v>0.649999999999999</v>
      </c>
      <c r="BZ214" t="n">
        <v>0.637499999999999</v>
      </c>
      <c r="CA214" t="n">
        <v>0.625</v>
      </c>
      <c r="CB214" t="n">
        <v>0.6125</v>
      </c>
      <c r="CC214" t="n">
        <v>0.6</v>
      </c>
      <c r="CD214" t="e">
        <v>#VALUE!</v>
      </c>
      <c r="CE214" t="e">
        <v>#VALUE!</v>
      </c>
      <c r="CF214" t="e">
        <v>#VALUE!</v>
      </c>
      <c r="CG214" t="e">
        <v>#VALUE!</v>
      </c>
      <c r="CH214" t="e">
        <v>#VALUE!</v>
      </c>
      <c r="CI214" t="e">
        <v>#VALUE!</v>
      </c>
      <c r="CJ214" t="e">
        <v>#VALUE!</v>
      </c>
      <c r="CK214" t="e">
        <v>#VALUE!</v>
      </c>
    </row>
    <row r="215" ht="12.5" customHeight="1" s="213">
      <c r="A215" t="inlineStr">
        <is>
          <t>ItalyMal</t>
        </is>
      </c>
      <c r="B215" t="inlineStr">
        <is>
          <t>Trd_bus</t>
        </is>
      </c>
      <c r="C215" t="inlineStr">
        <is>
          <t>Trd_bus</t>
        </is>
      </c>
      <c r="D215" t="n">
        <v>3.535</v>
      </c>
      <c r="E215" t="n">
        <v>3.52842715437478</v>
      </c>
      <c r="G215" t="n">
        <v>3.49605012863791</v>
      </c>
      <c r="H215" t="n">
        <v>3.46241090090898</v>
      </c>
      <c r="I215" t="n">
        <v>3.43283317850244</v>
      </c>
      <c r="J215" t="n">
        <v>3.40725591197681</v>
      </c>
      <c r="K215" t="n">
        <v>3.38371835730072</v>
      </c>
      <c r="L215" t="n">
        <v>3.36078861905137</v>
      </c>
      <c r="M215" t="n">
        <v>3.3292905547938</v>
      </c>
      <c r="N215" t="n">
        <v>3.29076692174967</v>
      </c>
      <c r="O215" t="n">
        <v>3.24767875408914</v>
      </c>
      <c r="P215" t="n">
        <v>3.20685906997866</v>
      </c>
      <c r="Q215" t="n">
        <v>3.17271067143699</v>
      </c>
      <c r="R215" t="n">
        <v>3.14544810874797</v>
      </c>
      <c r="S215" t="n">
        <v>3.12134467143364</v>
      </c>
      <c r="T215" t="n">
        <v>3.09576688733504</v>
      </c>
      <c r="U215" t="n">
        <v>3.06621695470604</v>
      </c>
      <c r="V215" t="n">
        <v>3.03201086635242</v>
      </c>
      <c r="W215" t="n">
        <v>3</v>
      </c>
      <c r="AG215" s="223" t="inlineStr">
        <is>
          <t>POP</t>
        </is>
      </c>
      <c r="AI215" t="n">
        <v>1</v>
      </c>
      <c r="AJ215" t="n">
        <v>0.997668689508291</v>
      </c>
      <c r="AK215" t="n">
        <v>0.986012137049744</v>
      </c>
      <c r="AL215" t="n">
        <v>0.97374127083826</v>
      </c>
      <c r="AM215" t="n">
        <v>0.962810294293591</v>
      </c>
      <c r="AN215" t="n">
        <v>0.953229806181516</v>
      </c>
      <c r="AO215" t="n">
        <v>0.9442899379922109</v>
      </c>
      <c r="AP215" t="n">
        <v>0.9354563394309841</v>
      </c>
      <c r="AQ215" t="n">
        <v>0.9231460803107</v>
      </c>
      <c r="AR215" t="n">
        <v>0.907886312390298</v>
      </c>
      <c r="AS215" t="n">
        <v>0.8905953299867509</v>
      </c>
      <c r="AT215" t="n">
        <v>0.87401194374418</v>
      </c>
      <c r="AU215" t="n">
        <v>0.8599637026606129</v>
      </c>
      <c r="AV215" t="n">
        <v>0.8485952077377</v>
      </c>
      <c r="AW215" t="n">
        <v>0.838394816226259</v>
      </c>
      <c r="AX215" t="n">
        <v>0.827402486262789</v>
      </c>
      <c r="AY215" t="n">
        <v>0.814508150557037</v>
      </c>
      <c r="AZ215" t="n">
        <v>0.799364007043897</v>
      </c>
      <c r="BA215" t="n">
        <v>0</v>
      </c>
      <c r="BB215" t="n">
        <v>0</v>
      </c>
      <c r="BC215" t="n">
        <v>0</v>
      </c>
      <c r="BD215" t="n">
        <v>0</v>
      </c>
      <c r="BE215" t="n">
        <v>0</v>
      </c>
      <c r="BF215" t="n">
        <v>0</v>
      </c>
      <c r="BG215" t="n">
        <v>0</v>
      </c>
      <c r="BH215" t="n">
        <v>0</v>
      </c>
      <c r="BJ215" t="inlineStr">
        <is>
          <t>Med2</t>
        </is>
      </c>
      <c r="BL215" t="n">
        <v>0.8</v>
      </c>
      <c r="BM215" t="n">
        <v>0.797560975609756</v>
      </c>
      <c r="BN215" t="n">
        <v>0.785365853658536</v>
      </c>
      <c r="BO215" t="n">
        <v>0.773170731707317</v>
      </c>
      <c r="BP215" t="n">
        <v>0.760975609756097</v>
      </c>
      <c r="BQ215" t="n">
        <v>0.748780487804878</v>
      </c>
      <c r="BR215" t="n">
        <v>0.736585365853658</v>
      </c>
      <c r="BS215" t="n">
        <v>0.724390243902439</v>
      </c>
      <c r="BT215" t="n">
        <v>0.71219512195122</v>
      </c>
      <c r="BU215" t="n">
        <v>0.699999999999999</v>
      </c>
      <c r="BV215" t="n">
        <v>0.687499999999999</v>
      </c>
      <c r="BW215" t="n">
        <v>0.675</v>
      </c>
      <c r="BX215" t="n">
        <v>0.6625</v>
      </c>
      <c r="BY215" t="n">
        <v>0.649999999999999</v>
      </c>
      <c r="BZ215" t="n">
        <v>0.637499999999999</v>
      </c>
      <c r="CA215" t="n">
        <v>0.625</v>
      </c>
      <c r="CB215" t="n">
        <v>0.6125</v>
      </c>
      <c r="CC215" t="n">
        <v>0.6</v>
      </c>
      <c r="CD215" t="e">
        <v>#VALUE!</v>
      </c>
      <c r="CE215" t="e">
        <v>#VALUE!</v>
      </c>
      <c r="CF215" t="e">
        <v>#VALUE!</v>
      </c>
      <c r="CG215" t="e">
        <v>#VALUE!</v>
      </c>
      <c r="CH215" t="e">
        <v>#VALUE!</v>
      </c>
      <c r="CI215" t="e">
        <v>#VALUE!</v>
      </c>
      <c r="CJ215" t="e">
        <v>#VALUE!</v>
      </c>
      <c r="CK215" t="e">
        <v>#VALUE!</v>
      </c>
    </row>
    <row r="216" ht="12.5" customHeight="1" s="213">
      <c r="A216" t="inlineStr">
        <is>
          <t>ItalyMal</t>
        </is>
      </c>
      <c r="B216" t="inlineStr">
        <is>
          <t>Trd_car</t>
        </is>
      </c>
      <c r="C216" t="inlineStr">
        <is>
          <t>Trd_car</t>
        </is>
      </c>
      <c r="D216" t="n">
        <v>286.14</v>
      </c>
      <c r="E216" t="n">
        <v>284.42124679791</v>
      </c>
      <c r="G216" t="n">
        <v>322.223522358212</v>
      </c>
      <c r="H216" t="n">
        <v>338.618645699635</v>
      </c>
      <c r="I216" t="n">
        <v>358.040980828836</v>
      </c>
      <c r="J216" t="n">
        <v>377.114299539649</v>
      </c>
      <c r="K216" t="n">
        <v>395.930515511062</v>
      </c>
      <c r="L216" t="n">
        <v>413.945428692573</v>
      </c>
      <c r="M216" t="n">
        <v>432.09510895213</v>
      </c>
      <c r="N216" t="n">
        <v>450.159753040063</v>
      </c>
      <c r="O216" t="n">
        <v>468.074649904867</v>
      </c>
      <c r="P216" t="n">
        <v>484.649756814105</v>
      </c>
      <c r="Q216" t="n">
        <v>499.300532511694</v>
      </c>
      <c r="R216" t="n">
        <v>512.212847990834</v>
      </c>
      <c r="S216" t="n">
        <v>523.9699099954749</v>
      </c>
      <c r="T216" t="n">
        <v>535.11748328382</v>
      </c>
      <c r="U216" t="n">
        <v>545.850080339668</v>
      </c>
      <c r="V216" t="n">
        <v>555.981639472807</v>
      </c>
      <c r="W216" t="n">
        <v>3</v>
      </c>
      <c r="AG216" s="223" t="inlineStr">
        <is>
          <t>GDPPCAP</t>
        </is>
      </c>
      <c r="AI216" t="n">
        <v>1</v>
      </c>
      <c r="AJ216" t="n">
        <v>0.992468680855131</v>
      </c>
      <c r="AK216" t="n">
        <v>1.16042668429691</v>
      </c>
      <c r="AL216" t="n">
        <v>1.23679263255767</v>
      </c>
      <c r="AM216" t="n">
        <v>1.33001427005924</v>
      </c>
      <c r="AN216" t="n">
        <v>1.42463696424145</v>
      </c>
      <c r="AO216" t="n">
        <v>1.5211398746009</v>
      </c>
      <c r="AP216" t="n">
        <v>1.61668526877006</v>
      </c>
      <c r="AQ216" t="n">
        <v>1.7162148951792</v>
      </c>
      <c r="AR216" t="n">
        <v>1.8187148528357</v>
      </c>
      <c r="AS216" t="n">
        <v>1.92399332154901</v>
      </c>
      <c r="AT216" t="n">
        <v>2.02492813960695</v>
      </c>
      <c r="AU216" t="n">
        <v>2.11732481680666</v>
      </c>
      <c r="AV216" t="n">
        <v>2.20156440406991</v>
      </c>
      <c r="AW216" t="n">
        <v>2.28083270444701</v>
      </c>
      <c r="AX216" t="n">
        <v>2.35847303988229</v>
      </c>
      <c r="AY216" t="n">
        <v>2.43570205691541</v>
      </c>
      <c r="AZ216" t="n">
        <v>2.51105076623193</v>
      </c>
      <c r="BA216" t="n">
        <v>0</v>
      </c>
      <c r="BB216" t="n">
        <v>0</v>
      </c>
      <c r="BC216" t="n">
        <v>0</v>
      </c>
      <c r="BD216" t="n">
        <v>0</v>
      </c>
      <c r="BE216" t="n">
        <v>0</v>
      </c>
      <c r="BF216" t="n">
        <v>0</v>
      </c>
      <c r="BG216" t="n">
        <v>0</v>
      </c>
      <c r="BH216" t="n">
        <v>0</v>
      </c>
      <c r="BJ216" t="inlineStr">
        <is>
          <t>Med2</t>
        </is>
      </c>
      <c r="BL216" t="n">
        <v>0.8</v>
      </c>
      <c r="BM216" t="n">
        <v>0.797560975609756</v>
      </c>
      <c r="BN216" t="n">
        <v>0.785365853658536</v>
      </c>
      <c r="BO216" t="n">
        <v>0.773170731707317</v>
      </c>
      <c r="BP216" t="n">
        <v>0.760975609756097</v>
      </c>
      <c r="BQ216" t="n">
        <v>0.748780487804878</v>
      </c>
      <c r="BR216" t="n">
        <v>0.736585365853658</v>
      </c>
      <c r="BS216" t="n">
        <v>0.724390243902439</v>
      </c>
      <c r="BT216" t="n">
        <v>0.71219512195122</v>
      </c>
      <c r="BU216" t="n">
        <v>0.699999999999999</v>
      </c>
      <c r="BV216" t="n">
        <v>0.687499999999999</v>
      </c>
      <c r="BW216" t="n">
        <v>0.675</v>
      </c>
      <c r="BX216" t="n">
        <v>0.6625</v>
      </c>
      <c r="BY216" t="n">
        <v>0.649999999999999</v>
      </c>
      <c r="BZ216" t="n">
        <v>0.637499999999999</v>
      </c>
      <c r="CA216" t="n">
        <v>0.625</v>
      </c>
      <c r="CB216" t="n">
        <v>0.6125</v>
      </c>
      <c r="CC216" t="n">
        <v>0.6</v>
      </c>
      <c r="CD216" t="e">
        <v>#VALUE!</v>
      </c>
      <c r="CE216" t="e">
        <v>#VALUE!</v>
      </c>
      <c r="CF216" t="e">
        <v>#VALUE!</v>
      </c>
      <c r="CG216" t="e">
        <v>#VALUE!</v>
      </c>
      <c r="CH216" t="e">
        <v>#VALUE!</v>
      </c>
      <c r="CI216" t="e">
        <v>#VALUE!</v>
      </c>
      <c r="CJ216" t="e">
        <v>#VALUE!</v>
      </c>
      <c r="CK216" t="e">
        <v>#VALUE!</v>
      </c>
    </row>
    <row r="217" ht="12.5" customHeight="1" s="213">
      <c r="A217" t="inlineStr">
        <is>
          <t>ItalyMal</t>
        </is>
      </c>
      <c r="B217" t="inlineStr">
        <is>
          <t>Trd_hdt</t>
        </is>
      </c>
      <c r="C217" t="inlineStr">
        <is>
          <t>Trd_hdt</t>
        </is>
      </c>
      <c r="D217" t="n">
        <v>85</v>
      </c>
      <c r="E217" t="n">
        <v>84.33257616952901</v>
      </c>
      <c r="G217" t="n">
        <v>94.6363748068302</v>
      </c>
      <c r="H217" t="n">
        <v>98.4810656733052</v>
      </c>
      <c r="I217" t="n">
        <v>103.225011257145</v>
      </c>
      <c r="J217" t="n">
        <v>107.90012105186</v>
      </c>
      <c r="K217" t="n">
        <v>112.487953196844</v>
      </c>
      <c r="L217" t="n">
        <v>116.796022943685</v>
      </c>
      <c r="M217" t="n">
        <v>120.754984273842</v>
      </c>
      <c r="N217" t="n">
        <v>124.322678085988</v>
      </c>
      <c r="O217" t="n">
        <v>127.548249456382</v>
      </c>
      <c r="P217" t="n">
        <v>130.37765093553</v>
      </c>
      <c r="Q217" t="n">
        <v>132.867235168787</v>
      </c>
      <c r="R217" t="n">
        <v>135.116160031097</v>
      </c>
      <c r="S217" t="n">
        <v>137.144875554629</v>
      </c>
      <c r="T217" t="n">
        <v>138.90057650581</v>
      </c>
      <c r="U217" t="n">
        <v>140.317180562531</v>
      </c>
      <c r="V217" t="n">
        <v>141.307842958853</v>
      </c>
      <c r="W217" t="n">
        <v>3</v>
      </c>
      <c r="AG217" s="223" t="inlineStr">
        <is>
          <t>GDP</t>
        </is>
      </c>
      <c r="AI217" t="n">
        <v>1</v>
      </c>
      <c r="AJ217" t="n">
        <v>0.99015492820676</v>
      </c>
      <c r="AK217" t="n">
        <v>1.14419479487314</v>
      </c>
      <c r="AL217" t="n">
        <v>1.2043160297901</v>
      </c>
      <c r="AM217" t="n">
        <v>1.28055143077042</v>
      </c>
      <c r="AN217" t="n">
        <v>1.3580064173029</v>
      </c>
      <c r="AO217" t="n">
        <v>1.43639707786436</v>
      </c>
      <c r="AP217" t="n">
        <v>1.51233848353564</v>
      </c>
      <c r="AQ217" t="n">
        <v>1.58431705345552</v>
      </c>
      <c r="AR217" t="n">
        <v>1.65118632103046</v>
      </c>
      <c r="AS217" t="n">
        <v>1.71349946709724</v>
      </c>
      <c r="AT217" t="n">
        <v>1.76981137924015</v>
      </c>
      <c r="AU217" t="n">
        <v>1.82082248919626</v>
      </c>
      <c r="AV217" t="n">
        <v>1.86823700281963</v>
      </c>
      <c r="AW217" t="n">
        <v>1.9122383160877</v>
      </c>
      <c r="AX217" t="n">
        <v>1.95140645698237</v>
      </c>
      <c r="AY217" t="n">
        <v>1.98389917768614</v>
      </c>
      <c r="AZ217" t="n">
        <v>2.00724360238581</v>
      </c>
      <c r="BA217" t="n">
        <v>0</v>
      </c>
      <c r="BB217" t="n">
        <v>0</v>
      </c>
      <c r="BC217" t="n">
        <v>0</v>
      </c>
      <c r="BD217" t="n">
        <v>0</v>
      </c>
      <c r="BE217" t="n">
        <v>0</v>
      </c>
      <c r="BF217" t="n">
        <v>0</v>
      </c>
      <c r="BG217" t="n">
        <v>0</v>
      </c>
      <c r="BH217" t="n">
        <v>0</v>
      </c>
      <c r="BJ217" t="inlineStr">
        <is>
          <t>Med2</t>
        </is>
      </c>
      <c r="BL217" t="n">
        <v>0.8</v>
      </c>
      <c r="BM217" t="n">
        <v>0.797560975609756</v>
      </c>
      <c r="BN217" t="n">
        <v>0.785365853658536</v>
      </c>
      <c r="BO217" t="n">
        <v>0.773170731707317</v>
      </c>
      <c r="BP217" t="n">
        <v>0.760975609756097</v>
      </c>
      <c r="BQ217" t="n">
        <v>0.748780487804878</v>
      </c>
      <c r="BR217" t="n">
        <v>0.736585365853658</v>
      </c>
      <c r="BS217" t="n">
        <v>0.724390243902439</v>
      </c>
      <c r="BT217" t="n">
        <v>0.71219512195122</v>
      </c>
      <c r="BU217" t="n">
        <v>0.699999999999999</v>
      </c>
      <c r="BV217" t="n">
        <v>0.687499999999999</v>
      </c>
      <c r="BW217" t="n">
        <v>0.675</v>
      </c>
      <c r="BX217" t="n">
        <v>0.6625</v>
      </c>
      <c r="BY217" t="n">
        <v>0.649999999999999</v>
      </c>
      <c r="BZ217" t="n">
        <v>0.637499999999999</v>
      </c>
      <c r="CA217" t="n">
        <v>0.625</v>
      </c>
      <c r="CB217" t="n">
        <v>0.6125</v>
      </c>
      <c r="CC217" t="n">
        <v>0.6</v>
      </c>
      <c r="CD217" t="e">
        <v>#VALUE!</v>
      </c>
      <c r="CE217" t="e">
        <v>#VALUE!</v>
      </c>
      <c r="CF217" t="e">
        <v>#VALUE!</v>
      </c>
      <c r="CG217" t="e">
        <v>#VALUE!</v>
      </c>
      <c r="CH217" t="e">
        <v>#VALUE!</v>
      </c>
      <c r="CI217" t="e">
        <v>#VALUE!</v>
      </c>
      <c r="CJ217" t="e">
        <v>#VALUE!</v>
      </c>
      <c r="CK217" t="e">
        <v>#VALUE!</v>
      </c>
    </row>
    <row r="218" ht="12.5" customHeight="1" s="213">
      <c r="A218" t="inlineStr">
        <is>
          <t>ItalyMal</t>
        </is>
      </c>
      <c r="B218" t="inlineStr">
        <is>
          <t>Trd_lcv</t>
        </is>
      </c>
      <c r="C218" t="inlineStr">
        <is>
          <t>Trd_lcv</t>
        </is>
      </c>
      <c r="D218" t="n">
        <v>55.28</v>
      </c>
      <c r="E218" t="n">
        <v>54.8459389488419</v>
      </c>
      <c r="G218" t="n">
        <v>61.5470446979009</v>
      </c>
      <c r="H218" t="n">
        <v>64.04745071082711</v>
      </c>
      <c r="I218" t="n">
        <v>67.1326896740587</v>
      </c>
      <c r="J218" t="n">
        <v>70.1731610793741</v>
      </c>
      <c r="K218" t="n">
        <v>73.1568712084886</v>
      </c>
      <c r="L218" t="n">
        <v>75.9586370391402</v>
      </c>
      <c r="M218" t="n">
        <v>78.53335918421131</v>
      </c>
      <c r="N218" t="n">
        <v>80.85361934815759</v>
      </c>
      <c r="O218" t="n">
        <v>82.9513791758681</v>
      </c>
      <c r="P218" t="n">
        <v>84.7914887496012</v>
      </c>
      <c r="Q218" t="n">
        <v>86.4105971780066</v>
      </c>
      <c r="R218" t="n">
        <v>87.87319207669481</v>
      </c>
      <c r="S218" t="n">
        <v>89.19257318423369</v>
      </c>
      <c r="T218" t="n">
        <v>90.3343984616609</v>
      </c>
      <c r="U218" t="n">
        <v>91.2556910764319</v>
      </c>
      <c r="V218" t="n">
        <v>91.89997127959261</v>
      </c>
      <c r="W218" t="n">
        <v>3</v>
      </c>
      <c r="AG218" s="223" t="inlineStr">
        <is>
          <t>GDP</t>
        </is>
      </c>
      <c r="AI218" t="n">
        <v>1</v>
      </c>
      <c r="AJ218" t="n">
        <v>0.99015492820676</v>
      </c>
      <c r="AK218" t="n">
        <v>1.14419479487314</v>
      </c>
      <c r="AL218" t="n">
        <v>1.2043160297901</v>
      </c>
      <c r="AM218" t="n">
        <v>1.28055143077042</v>
      </c>
      <c r="AN218" t="n">
        <v>1.3580064173029</v>
      </c>
      <c r="AO218" t="n">
        <v>1.43639707786436</v>
      </c>
      <c r="AP218" t="n">
        <v>1.51233848353564</v>
      </c>
      <c r="AQ218" t="n">
        <v>1.58431705345552</v>
      </c>
      <c r="AR218" t="n">
        <v>1.65118632103046</v>
      </c>
      <c r="AS218" t="n">
        <v>1.71349946709724</v>
      </c>
      <c r="AT218" t="n">
        <v>1.76981137924015</v>
      </c>
      <c r="AU218" t="n">
        <v>1.82082248919626</v>
      </c>
      <c r="AV218" t="n">
        <v>1.86823700281963</v>
      </c>
      <c r="AW218" t="n">
        <v>1.9122383160877</v>
      </c>
      <c r="AX218" t="n">
        <v>1.95140645698237</v>
      </c>
      <c r="AY218" t="n">
        <v>1.98389917768614</v>
      </c>
      <c r="AZ218" t="n">
        <v>2.00724360238581</v>
      </c>
      <c r="BA218" t="n">
        <v>0</v>
      </c>
      <c r="BB218" t="n">
        <v>0</v>
      </c>
      <c r="BC218" t="n">
        <v>0</v>
      </c>
      <c r="BD218" t="n">
        <v>0</v>
      </c>
      <c r="BE218" t="n">
        <v>0</v>
      </c>
      <c r="BF218" t="n">
        <v>0</v>
      </c>
      <c r="BG218" t="n">
        <v>0</v>
      </c>
      <c r="BH218" t="n">
        <v>0</v>
      </c>
      <c r="BJ218" t="inlineStr">
        <is>
          <t>Med2</t>
        </is>
      </c>
      <c r="BL218" t="n">
        <v>0.8</v>
      </c>
      <c r="BM218" t="n">
        <v>0.797560975609756</v>
      </c>
      <c r="BN218" t="n">
        <v>0.785365853658536</v>
      </c>
      <c r="BO218" t="n">
        <v>0.773170731707317</v>
      </c>
      <c r="BP218" t="n">
        <v>0.760975609756097</v>
      </c>
      <c r="BQ218" t="n">
        <v>0.748780487804878</v>
      </c>
      <c r="BR218" t="n">
        <v>0.736585365853658</v>
      </c>
      <c r="BS218" t="n">
        <v>0.724390243902439</v>
      </c>
      <c r="BT218" t="n">
        <v>0.71219512195122</v>
      </c>
      <c r="BU218" t="n">
        <v>0.699999999999999</v>
      </c>
      <c r="BV218" t="n">
        <v>0.687499999999999</v>
      </c>
      <c r="BW218" t="n">
        <v>0.675</v>
      </c>
      <c r="BX218" t="n">
        <v>0.6625</v>
      </c>
      <c r="BY218" t="n">
        <v>0.649999999999999</v>
      </c>
      <c r="BZ218" t="n">
        <v>0.637499999999999</v>
      </c>
      <c r="CA218" t="n">
        <v>0.625</v>
      </c>
      <c r="CB218" t="n">
        <v>0.6125</v>
      </c>
      <c r="CC218" t="n">
        <v>0.6</v>
      </c>
      <c r="CD218" t="e">
        <v>#VALUE!</v>
      </c>
      <c r="CE218" t="e">
        <v>#VALUE!</v>
      </c>
      <c r="CF218" t="e">
        <v>#VALUE!</v>
      </c>
      <c r="CG218" t="e">
        <v>#VALUE!</v>
      </c>
      <c r="CH218" t="e">
        <v>#VALUE!</v>
      </c>
      <c r="CI218" t="e">
        <v>#VALUE!</v>
      </c>
      <c r="CJ218" t="e">
        <v>#VALUE!</v>
      </c>
      <c r="CK218" t="e">
        <v>#VALUE!</v>
      </c>
    </row>
    <row r="219" ht="12.5" customHeight="1" s="213">
      <c r="A219" t="inlineStr">
        <is>
          <t>Japan</t>
        </is>
      </c>
      <c r="B219" t="inlineStr">
        <is>
          <t>TAD</t>
        </is>
      </c>
      <c r="C219" t="inlineStr">
        <is>
          <t>TAD</t>
        </is>
      </c>
      <c r="E219" t="n">
        <v>147.201253049397</v>
      </c>
      <c r="F219">
        <f>E219</f>
        <v/>
      </c>
      <c r="I219">
        <f>F219</f>
        <v/>
      </c>
      <c r="J219">
        <f>I219</f>
        <v/>
      </c>
      <c r="L219">
        <f>J219</f>
        <v/>
      </c>
      <c r="V219">
        <f>L219</f>
        <v/>
      </c>
      <c r="W219" t="n">
        <v>3</v>
      </c>
      <c r="AG219" s="223" t="inlineStr">
        <is>
          <t>GDP</t>
        </is>
      </c>
      <c r="AI219" t="n">
        <v>1</v>
      </c>
      <c r="AJ219" t="n">
        <v>0.996614713987383</v>
      </c>
      <c r="AK219" t="n">
        <v>1.06924009217147</v>
      </c>
      <c r="AL219" t="n">
        <v>1.11202981109995</v>
      </c>
      <c r="AM219" t="n">
        <v>1.15950139149913</v>
      </c>
      <c r="AN219" t="n">
        <v>1.20010416264654</v>
      </c>
      <c r="AO219" t="n">
        <v>1.24188617034257</v>
      </c>
      <c r="AP219" t="n">
        <v>1.28616699003087</v>
      </c>
      <c r="AQ219" t="n">
        <v>1.32846552282671</v>
      </c>
      <c r="AR219" t="n">
        <v>1.3659418552568</v>
      </c>
      <c r="AS219" t="n">
        <v>1.39824319093224</v>
      </c>
      <c r="AT219" t="n">
        <v>1.42420588651495</v>
      </c>
      <c r="AU219" t="n">
        <v>1.44492536504681</v>
      </c>
      <c r="AV219" t="n">
        <v>1.46353391269907</v>
      </c>
      <c r="AW219" t="n">
        <v>1.48171169790961</v>
      </c>
      <c r="AX219" t="n">
        <v>1.49833016206414</v>
      </c>
      <c r="AY219" t="n">
        <v>1.51097625582845</v>
      </c>
      <c r="AZ219" t="n">
        <v>1.51698354019676</v>
      </c>
      <c r="BA219" t="n">
        <v>0</v>
      </c>
      <c r="BB219" t="n">
        <v>0</v>
      </c>
      <c r="BC219" t="n">
        <v>0</v>
      </c>
      <c r="BD219" t="n">
        <v>0</v>
      </c>
      <c r="BE219" t="n">
        <v>0</v>
      </c>
      <c r="BF219" t="n">
        <v>0</v>
      </c>
      <c r="BG219" t="n">
        <v>0</v>
      </c>
      <c r="BH219" t="n">
        <v>0</v>
      </c>
      <c r="BJ219" t="inlineStr">
        <is>
          <t>Med2</t>
        </is>
      </c>
      <c r="BL219" t="n">
        <v>0.8</v>
      </c>
      <c r="BM219" t="n">
        <v>0.797560975609756</v>
      </c>
      <c r="BN219" t="n">
        <v>0.785365853658536</v>
      </c>
      <c r="BO219" t="n">
        <v>0.773170731707317</v>
      </c>
      <c r="BP219" t="n">
        <v>0.760975609756097</v>
      </c>
      <c r="BQ219" t="n">
        <v>0.748780487804878</v>
      </c>
      <c r="BR219" t="n">
        <v>0.736585365853658</v>
      </c>
      <c r="BS219" t="n">
        <v>0.724390243902439</v>
      </c>
      <c r="BT219" t="n">
        <v>0.71219512195122</v>
      </c>
      <c r="BU219" t="n">
        <v>0.699999999999999</v>
      </c>
      <c r="BV219" t="n">
        <v>0.687499999999999</v>
      </c>
      <c r="BW219" t="n">
        <v>0.675</v>
      </c>
      <c r="BX219" t="n">
        <v>0.6625</v>
      </c>
      <c r="BY219" t="n">
        <v>0.649999999999999</v>
      </c>
      <c r="BZ219" t="n">
        <v>0.637499999999999</v>
      </c>
      <c r="CA219" t="n">
        <v>0.625</v>
      </c>
      <c r="CB219" t="n">
        <v>0.6125</v>
      </c>
      <c r="CC219" t="n">
        <v>0.6</v>
      </c>
      <c r="CD219" t="e">
        <v>#VALUE!</v>
      </c>
      <c r="CE219" t="e">
        <v>#VALUE!</v>
      </c>
      <c r="CF219" t="e">
        <v>#VALUE!</v>
      </c>
      <c r="CG219" t="e">
        <v>#VALUE!</v>
      </c>
      <c r="CH219" t="e">
        <v>#VALUE!</v>
      </c>
      <c r="CI219" t="e">
        <v>#VALUE!</v>
      </c>
      <c r="CJ219" t="e">
        <v>#VALUE!</v>
      </c>
      <c r="CK219" t="e">
        <v>#VALUE!</v>
      </c>
    </row>
    <row r="220" ht="12.5" customHeight="1" s="213">
      <c r="A220" t="inlineStr">
        <is>
          <t>Japan</t>
        </is>
      </c>
      <c r="B220" t="inlineStr">
        <is>
          <t>TAI</t>
        </is>
      </c>
      <c r="C220" t="inlineStr">
        <is>
          <t>TAI</t>
        </is>
      </c>
      <c r="E220" t="n">
        <v>304.698744172512</v>
      </c>
      <c r="F220">
        <f>E220</f>
        <v/>
      </c>
      <c r="I220">
        <f>F220</f>
        <v/>
      </c>
      <c r="J220">
        <f>I220</f>
        <v/>
      </c>
      <c r="L220">
        <f>J220</f>
        <v/>
      </c>
      <c r="V220">
        <f>L220</f>
        <v/>
      </c>
      <c r="W220" t="n">
        <v>3</v>
      </c>
      <c r="AG220" s="223" t="inlineStr">
        <is>
          <t>GDP</t>
        </is>
      </c>
      <c r="AI220" t="n">
        <v>1</v>
      </c>
      <c r="AJ220" t="n">
        <v>0.996614713987383</v>
      </c>
      <c r="AK220" t="n">
        <v>1.06924009217147</v>
      </c>
      <c r="AL220" t="n">
        <v>1.11202981109995</v>
      </c>
      <c r="AM220" t="n">
        <v>1.15950139149913</v>
      </c>
      <c r="AN220" t="n">
        <v>1.20010416264654</v>
      </c>
      <c r="AO220" t="n">
        <v>1.24188617034257</v>
      </c>
      <c r="AP220" t="n">
        <v>1.28616699003087</v>
      </c>
      <c r="AQ220" t="n">
        <v>1.32846552282671</v>
      </c>
      <c r="AR220" t="n">
        <v>1.3659418552568</v>
      </c>
      <c r="AS220" t="n">
        <v>1.39824319093224</v>
      </c>
      <c r="AT220" t="n">
        <v>1.42420588651495</v>
      </c>
      <c r="AU220" t="n">
        <v>1.44492536504681</v>
      </c>
      <c r="AV220" t="n">
        <v>1.46353391269907</v>
      </c>
      <c r="AW220" t="n">
        <v>1.48171169790961</v>
      </c>
      <c r="AX220" t="n">
        <v>1.49833016206414</v>
      </c>
      <c r="AY220" t="n">
        <v>1.51097625582845</v>
      </c>
      <c r="AZ220" t="n">
        <v>1.51698354019676</v>
      </c>
      <c r="BA220" t="n">
        <v>0</v>
      </c>
      <c r="BB220" t="n">
        <v>0</v>
      </c>
      <c r="BC220" t="n">
        <v>0</v>
      </c>
      <c r="BD220" t="n">
        <v>0</v>
      </c>
      <c r="BE220" t="n">
        <v>0</v>
      </c>
      <c r="BF220" t="n">
        <v>0</v>
      </c>
      <c r="BG220" t="n">
        <v>0</v>
      </c>
      <c r="BH220" t="n">
        <v>0</v>
      </c>
      <c r="BJ220" t="inlineStr">
        <is>
          <t>Med2</t>
        </is>
      </c>
      <c r="BL220" t="n">
        <v>0.8</v>
      </c>
      <c r="BM220" t="n">
        <v>0.797560975609756</v>
      </c>
      <c r="BN220" t="n">
        <v>0.785365853658536</v>
      </c>
      <c r="BO220" t="n">
        <v>0.773170731707317</v>
      </c>
      <c r="BP220" t="n">
        <v>0.760975609756097</v>
      </c>
      <c r="BQ220" t="n">
        <v>0.748780487804878</v>
      </c>
      <c r="BR220" t="n">
        <v>0.736585365853658</v>
      </c>
      <c r="BS220" t="n">
        <v>0.724390243902439</v>
      </c>
      <c r="BT220" t="n">
        <v>0.71219512195122</v>
      </c>
      <c r="BU220" t="n">
        <v>0.699999999999999</v>
      </c>
      <c r="BV220" t="n">
        <v>0.687499999999999</v>
      </c>
      <c r="BW220" t="n">
        <v>0.675</v>
      </c>
      <c r="BX220" t="n">
        <v>0.6625</v>
      </c>
      <c r="BY220" t="n">
        <v>0.649999999999999</v>
      </c>
      <c r="BZ220" t="n">
        <v>0.637499999999999</v>
      </c>
      <c r="CA220" t="n">
        <v>0.625</v>
      </c>
      <c r="CB220" t="n">
        <v>0.6125</v>
      </c>
      <c r="CC220" t="n">
        <v>0.6</v>
      </c>
      <c r="CD220" t="e">
        <v>#VALUE!</v>
      </c>
      <c r="CE220" t="e">
        <v>#VALUE!</v>
      </c>
      <c r="CF220" t="e">
        <v>#VALUE!</v>
      </c>
      <c r="CG220" t="e">
        <v>#VALUE!</v>
      </c>
      <c r="CH220" t="e">
        <v>#VALUE!</v>
      </c>
      <c r="CI220" t="e">
        <v>#VALUE!</v>
      </c>
      <c r="CJ220" t="e">
        <v>#VALUE!</v>
      </c>
      <c r="CK220" t="e">
        <v>#VALUE!</v>
      </c>
    </row>
    <row r="221" ht="12.5" customHeight="1" s="213">
      <c r="A221" t="inlineStr">
        <is>
          <t>Japan</t>
        </is>
      </c>
      <c r="B221" t="inlineStr">
        <is>
          <t>TTF</t>
        </is>
      </c>
      <c r="C221" t="inlineStr">
        <is>
          <t>TTF</t>
        </is>
      </c>
      <c r="E221" t="n">
        <v>2.00415370193619</v>
      </c>
      <c r="I221" t="n">
        <v>2.25537567940657</v>
      </c>
      <c r="J221" t="n">
        <v>2.31451247838056</v>
      </c>
      <c r="L221" t="n">
        <v>2.43518133307239</v>
      </c>
      <c r="V221" t="n">
        <v>2.7227704244893</v>
      </c>
      <c r="W221" t="n">
        <v>3</v>
      </c>
      <c r="AG221" s="223" t="inlineStr">
        <is>
          <t>GDP</t>
        </is>
      </c>
      <c r="AI221" t="n">
        <v>1</v>
      </c>
      <c r="AJ221" t="n">
        <v>0.996614713987383</v>
      </c>
      <c r="AK221" t="n">
        <v>1.06924009217147</v>
      </c>
      <c r="AL221" t="n">
        <v>1.11202981109995</v>
      </c>
      <c r="AM221" t="n">
        <v>1.15950139149913</v>
      </c>
      <c r="AN221" t="n">
        <v>1.20010416264654</v>
      </c>
      <c r="AO221" t="n">
        <v>1.24188617034257</v>
      </c>
      <c r="AP221" t="n">
        <v>1.28616699003087</v>
      </c>
      <c r="AQ221" t="n">
        <v>1.32846552282671</v>
      </c>
      <c r="AR221" t="n">
        <v>1.3659418552568</v>
      </c>
      <c r="AS221" t="n">
        <v>1.39824319093224</v>
      </c>
      <c r="AT221" t="n">
        <v>1.42420588651495</v>
      </c>
      <c r="AU221" t="n">
        <v>1.44492536504681</v>
      </c>
      <c r="AV221" t="n">
        <v>1.46353391269907</v>
      </c>
      <c r="AW221" t="n">
        <v>1.48171169790961</v>
      </c>
      <c r="AX221" t="n">
        <v>1.49833016206414</v>
      </c>
      <c r="AY221" t="n">
        <v>1.51097625582845</v>
      </c>
      <c r="AZ221" t="n">
        <v>1.51698354019676</v>
      </c>
      <c r="BA221" t="n">
        <v>0</v>
      </c>
      <c r="BB221" t="n">
        <v>0</v>
      </c>
      <c r="BC221" t="n">
        <v>0</v>
      </c>
      <c r="BD221" t="n">
        <v>0</v>
      </c>
      <c r="BE221" t="n">
        <v>0</v>
      </c>
      <c r="BF221" t="n">
        <v>0</v>
      </c>
      <c r="BG221" t="n">
        <v>0</v>
      </c>
      <c r="BH221" t="n">
        <v>0</v>
      </c>
      <c r="BJ221" t="inlineStr">
        <is>
          <t>Med2</t>
        </is>
      </c>
      <c r="BL221" t="n">
        <v>0.8</v>
      </c>
      <c r="BM221" t="n">
        <v>0.797560975609756</v>
      </c>
      <c r="BN221" t="n">
        <v>0.785365853658536</v>
      </c>
      <c r="BO221" t="n">
        <v>0.773170731707317</v>
      </c>
      <c r="BP221" t="n">
        <v>0.760975609756097</v>
      </c>
      <c r="BQ221" t="n">
        <v>0.748780487804878</v>
      </c>
      <c r="BR221" t="n">
        <v>0.736585365853658</v>
      </c>
      <c r="BS221" t="n">
        <v>0.724390243902439</v>
      </c>
      <c r="BT221" t="n">
        <v>0.71219512195122</v>
      </c>
      <c r="BU221" t="n">
        <v>0.699999999999999</v>
      </c>
      <c r="BV221" t="n">
        <v>0.687499999999999</v>
      </c>
      <c r="BW221" t="n">
        <v>0.675</v>
      </c>
      <c r="BX221" t="n">
        <v>0.6625</v>
      </c>
      <c r="BY221" t="n">
        <v>0.649999999999999</v>
      </c>
      <c r="BZ221" t="n">
        <v>0.637499999999999</v>
      </c>
      <c r="CA221" t="n">
        <v>0.625</v>
      </c>
      <c r="CB221" t="n">
        <v>0.6125</v>
      </c>
      <c r="CC221" t="n">
        <v>0.6</v>
      </c>
      <c r="CD221" t="e">
        <v>#VALUE!</v>
      </c>
      <c r="CE221" t="e">
        <v>#VALUE!</v>
      </c>
      <c r="CF221" t="e">
        <v>#VALUE!</v>
      </c>
      <c r="CG221" t="e">
        <v>#VALUE!</v>
      </c>
      <c r="CH221" t="e">
        <v>#VALUE!</v>
      </c>
      <c r="CI221" t="e">
        <v>#VALUE!</v>
      </c>
      <c r="CJ221" t="e">
        <v>#VALUE!</v>
      </c>
      <c r="CK221" t="e">
        <v>#VALUE!</v>
      </c>
    </row>
    <row r="222" ht="12.5" customHeight="1" s="213">
      <c r="A222" t="inlineStr">
        <is>
          <t>Japan</t>
        </is>
      </c>
      <c r="B222" t="inlineStr">
        <is>
          <t>TTP</t>
        </is>
      </c>
      <c r="C222" t="inlineStr">
        <is>
          <t>TTP</t>
        </is>
      </c>
      <c r="E222" t="n">
        <v>66.75069947320461</v>
      </c>
      <c r="I222" t="n">
        <v>62.8279897332199</v>
      </c>
      <c r="J222" t="n">
        <v>61.4557974881527</v>
      </c>
      <c r="L222" t="n">
        <v>58.7814507762721</v>
      </c>
      <c r="V222" t="n">
        <v>46.9474788673513</v>
      </c>
      <c r="W222" t="n">
        <v>3</v>
      </c>
      <c r="AG222" s="223" t="inlineStr">
        <is>
          <t>POP</t>
        </is>
      </c>
      <c r="AI222" t="n">
        <v>1</v>
      </c>
      <c r="AJ222" t="n">
        <v>0.995133044285661</v>
      </c>
      <c r="AK222" t="n">
        <v>0.970798265713964</v>
      </c>
      <c r="AL222" t="n">
        <v>0.946027767353842</v>
      </c>
      <c r="AM222" t="n">
        <v>0.919892593887119</v>
      </c>
      <c r="AN222" t="n">
        <v>0.893061128007311</v>
      </c>
      <c r="AO222" t="n">
        <v>0.866088900752858</v>
      </c>
      <c r="AP222" t="n">
        <v>0.84007934876746</v>
      </c>
      <c r="AQ222" t="n">
        <v>0.815271745778737</v>
      </c>
      <c r="AR222" t="n">
        <v>0.790553143168125</v>
      </c>
      <c r="AS222" t="n">
        <v>0.7644456416216</v>
      </c>
      <c r="AT222" t="n">
        <v>0.736819759381374</v>
      </c>
      <c r="AU222" t="n">
        <v>0.708925060804943</v>
      </c>
      <c r="AV222" t="n">
        <v>0.682867116647441</v>
      </c>
      <c r="AW222" t="n">
        <v>0.659280478678467</v>
      </c>
      <c r="AX222" t="n">
        <v>0.637398679890398</v>
      </c>
      <c r="AY222" t="n">
        <v>0.616176156079915</v>
      </c>
      <c r="AZ222" t="n">
        <v>0.594822628595666</v>
      </c>
      <c r="BA222" t="n">
        <v>0</v>
      </c>
      <c r="BB222" t="n">
        <v>0</v>
      </c>
      <c r="BC222" t="n">
        <v>0</v>
      </c>
      <c r="BD222" t="n">
        <v>0</v>
      </c>
      <c r="BE222" t="n">
        <v>0</v>
      </c>
      <c r="BF222" t="n">
        <v>0</v>
      </c>
      <c r="BG222" t="n">
        <v>0</v>
      </c>
      <c r="BH222" t="n">
        <v>0</v>
      </c>
      <c r="BJ222" t="inlineStr">
        <is>
          <t>Med2</t>
        </is>
      </c>
      <c r="BL222" t="n">
        <v>0.8</v>
      </c>
      <c r="BM222" t="n">
        <v>0.797560975609756</v>
      </c>
      <c r="BN222" t="n">
        <v>0.785365853658536</v>
      </c>
      <c r="BO222" t="n">
        <v>0.773170731707317</v>
      </c>
      <c r="BP222" t="n">
        <v>0.760975609756097</v>
      </c>
      <c r="BQ222" t="n">
        <v>0.748780487804878</v>
      </c>
      <c r="BR222" t="n">
        <v>0.736585365853658</v>
      </c>
      <c r="BS222" t="n">
        <v>0.724390243902439</v>
      </c>
      <c r="BT222" t="n">
        <v>0.71219512195122</v>
      </c>
      <c r="BU222" t="n">
        <v>0.699999999999999</v>
      </c>
      <c r="BV222" t="n">
        <v>0.687499999999999</v>
      </c>
      <c r="BW222" t="n">
        <v>0.675</v>
      </c>
      <c r="BX222" t="n">
        <v>0.6625</v>
      </c>
      <c r="BY222" t="n">
        <v>0.649999999999999</v>
      </c>
      <c r="BZ222" t="n">
        <v>0.637499999999999</v>
      </c>
      <c r="CA222" t="n">
        <v>0.625</v>
      </c>
      <c r="CB222" t="n">
        <v>0.6125</v>
      </c>
      <c r="CC222" t="n">
        <v>0.6</v>
      </c>
      <c r="CD222" t="e">
        <v>#VALUE!</v>
      </c>
      <c r="CE222" t="e">
        <v>#VALUE!</v>
      </c>
      <c r="CF222" t="e">
        <v>#VALUE!</v>
      </c>
      <c r="CG222" t="e">
        <v>#VALUE!</v>
      </c>
      <c r="CH222" t="e">
        <v>#VALUE!</v>
      </c>
      <c r="CI222" t="e">
        <v>#VALUE!</v>
      </c>
      <c r="CJ222" t="e">
        <v>#VALUE!</v>
      </c>
      <c r="CK222" t="e">
        <v>#VALUE!</v>
      </c>
    </row>
    <row r="223" ht="12.5" customHeight="1" s="213">
      <c r="A223" t="inlineStr">
        <is>
          <t>Japan</t>
        </is>
      </c>
      <c r="B223" t="inlineStr">
        <is>
          <t>TWD</t>
        </is>
      </c>
      <c r="C223" t="inlineStr">
        <is>
          <t>TWD</t>
        </is>
      </c>
      <c r="E223" t="n">
        <v>130.648113917981</v>
      </c>
      <c r="F223">
        <f>E223</f>
        <v/>
      </c>
      <c r="I223">
        <f>F223</f>
        <v/>
      </c>
      <c r="J223">
        <f>I223</f>
        <v/>
      </c>
      <c r="L223">
        <f>J223</f>
        <v/>
      </c>
      <c r="V223">
        <f>L223</f>
        <v/>
      </c>
      <c r="W223" t="n">
        <v>3</v>
      </c>
      <c r="AG223" s="223" t="inlineStr">
        <is>
          <t>GDP</t>
        </is>
      </c>
      <c r="AI223" t="n">
        <v>1</v>
      </c>
      <c r="AJ223" t="n">
        <v>0.996614713987383</v>
      </c>
      <c r="AK223" t="n">
        <v>1.06924009217147</v>
      </c>
      <c r="AL223" t="n">
        <v>1.11202981109995</v>
      </c>
      <c r="AM223" t="n">
        <v>1.15950139149913</v>
      </c>
      <c r="AN223" t="n">
        <v>1.20010416264654</v>
      </c>
      <c r="AO223" t="n">
        <v>1.24188617034257</v>
      </c>
      <c r="AP223" t="n">
        <v>1.28616699003087</v>
      </c>
      <c r="AQ223" t="n">
        <v>1.32846552282671</v>
      </c>
      <c r="AR223" t="n">
        <v>1.3659418552568</v>
      </c>
      <c r="AS223" t="n">
        <v>1.39824319093224</v>
      </c>
      <c r="AT223" t="n">
        <v>1.42420588651495</v>
      </c>
      <c r="AU223" t="n">
        <v>1.44492536504681</v>
      </c>
      <c r="AV223" t="n">
        <v>1.46353391269907</v>
      </c>
      <c r="AW223" t="n">
        <v>1.48171169790961</v>
      </c>
      <c r="AX223" t="n">
        <v>1.49833016206414</v>
      </c>
      <c r="AY223" t="n">
        <v>1.51097625582845</v>
      </c>
      <c r="AZ223" t="n">
        <v>1.51698354019676</v>
      </c>
      <c r="BA223" t="n">
        <v>0</v>
      </c>
      <c r="BB223" t="n">
        <v>0</v>
      </c>
      <c r="BC223" t="n">
        <v>0</v>
      </c>
      <c r="BD223" t="n">
        <v>0</v>
      </c>
      <c r="BE223" t="n">
        <v>0</v>
      </c>
      <c r="BF223" t="n">
        <v>0</v>
      </c>
      <c r="BG223" t="n">
        <v>0</v>
      </c>
      <c r="BH223" t="n">
        <v>0</v>
      </c>
      <c r="BJ223" t="inlineStr">
        <is>
          <t>Med2</t>
        </is>
      </c>
      <c r="BL223" t="n">
        <v>0.8</v>
      </c>
      <c r="BM223" t="n">
        <v>0.797560975609756</v>
      </c>
      <c r="BN223" t="n">
        <v>0.785365853658536</v>
      </c>
      <c r="BO223" t="n">
        <v>0.773170731707317</v>
      </c>
      <c r="BP223" t="n">
        <v>0.760975609756097</v>
      </c>
      <c r="BQ223" t="n">
        <v>0.748780487804878</v>
      </c>
      <c r="BR223" t="n">
        <v>0.736585365853658</v>
      </c>
      <c r="BS223" t="n">
        <v>0.724390243902439</v>
      </c>
      <c r="BT223" t="n">
        <v>0.71219512195122</v>
      </c>
      <c r="BU223" t="n">
        <v>0.699999999999999</v>
      </c>
      <c r="BV223" t="n">
        <v>0.687499999999999</v>
      </c>
      <c r="BW223" t="n">
        <v>0.675</v>
      </c>
      <c r="BX223" t="n">
        <v>0.6625</v>
      </c>
      <c r="BY223" t="n">
        <v>0.649999999999999</v>
      </c>
      <c r="BZ223" t="n">
        <v>0.637499999999999</v>
      </c>
      <c r="CA223" t="n">
        <v>0.625</v>
      </c>
      <c r="CB223" t="n">
        <v>0.6125</v>
      </c>
      <c r="CC223" t="n">
        <v>0.6</v>
      </c>
      <c r="CD223" t="e">
        <v>#VALUE!</v>
      </c>
      <c r="CE223" t="e">
        <v>#VALUE!</v>
      </c>
      <c r="CF223" t="e">
        <v>#VALUE!</v>
      </c>
      <c r="CG223" t="e">
        <v>#VALUE!</v>
      </c>
      <c r="CH223" t="e">
        <v>#VALUE!</v>
      </c>
      <c r="CI223" t="e">
        <v>#VALUE!</v>
      </c>
      <c r="CJ223" t="e">
        <v>#VALUE!</v>
      </c>
      <c r="CK223" t="e">
        <v>#VALUE!</v>
      </c>
    </row>
    <row r="224" ht="12.5" customHeight="1" s="213">
      <c r="A224" t="inlineStr">
        <is>
          <t>Japan</t>
        </is>
      </c>
      <c r="B224" t="inlineStr">
        <is>
          <t>TWI</t>
        </is>
      </c>
      <c r="C224" t="inlineStr">
        <is>
          <t>TWI</t>
        </is>
      </c>
      <c r="E224" t="n">
        <v>187.66044154924</v>
      </c>
      <c r="F224">
        <f>E224</f>
        <v/>
      </c>
      <c r="I224">
        <f>F224</f>
        <v/>
      </c>
      <c r="J224">
        <f>I224</f>
        <v/>
      </c>
      <c r="L224">
        <f>J224</f>
        <v/>
      </c>
      <c r="V224">
        <f>L224</f>
        <v/>
      </c>
      <c r="W224" t="n">
        <v>3</v>
      </c>
      <c r="AG224" s="223" t="inlineStr">
        <is>
          <t>GDP</t>
        </is>
      </c>
      <c r="AI224" t="n">
        <v>1</v>
      </c>
      <c r="AJ224" t="n">
        <v>0.996614713987383</v>
      </c>
      <c r="AK224" t="n">
        <v>1.06924009217147</v>
      </c>
      <c r="AL224" t="n">
        <v>1.11202981109995</v>
      </c>
      <c r="AM224" t="n">
        <v>1.15950139149913</v>
      </c>
      <c r="AN224" t="n">
        <v>1.20010416264654</v>
      </c>
      <c r="AO224" t="n">
        <v>1.24188617034257</v>
      </c>
      <c r="AP224" t="n">
        <v>1.28616699003087</v>
      </c>
      <c r="AQ224" t="n">
        <v>1.32846552282671</v>
      </c>
      <c r="AR224" t="n">
        <v>1.3659418552568</v>
      </c>
      <c r="AS224" t="n">
        <v>1.39824319093224</v>
      </c>
      <c r="AT224" t="n">
        <v>1.42420588651495</v>
      </c>
      <c r="AU224" t="n">
        <v>1.44492536504681</v>
      </c>
      <c r="AV224" t="n">
        <v>1.46353391269907</v>
      </c>
      <c r="AW224" t="n">
        <v>1.48171169790961</v>
      </c>
      <c r="AX224" t="n">
        <v>1.49833016206414</v>
      </c>
      <c r="AY224" t="n">
        <v>1.51097625582845</v>
      </c>
      <c r="AZ224" t="n">
        <v>1.51698354019676</v>
      </c>
      <c r="BA224" t="n">
        <v>0</v>
      </c>
      <c r="BB224" t="n">
        <v>0</v>
      </c>
      <c r="BC224" t="n">
        <v>0</v>
      </c>
      <c r="BD224" t="n">
        <v>0</v>
      </c>
      <c r="BE224" t="n">
        <v>0</v>
      </c>
      <c r="BF224" t="n">
        <v>0</v>
      </c>
      <c r="BG224" t="n">
        <v>0</v>
      </c>
      <c r="BH224" t="n">
        <v>0</v>
      </c>
      <c r="BJ224" t="inlineStr">
        <is>
          <t>Med2</t>
        </is>
      </c>
      <c r="BL224" t="n">
        <v>0.8</v>
      </c>
      <c r="BM224" t="n">
        <v>0.797560975609756</v>
      </c>
      <c r="BN224" t="n">
        <v>0.785365853658536</v>
      </c>
      <c r="BO224" t="n">
        <v>0.773170731707317</v>
      </c>
      <c r="BP224" t="n">
        <v>0.760975609756097</v>
      </c>
      <c r="BQ224" t="n">
        <v>0.748780487804878</v>
      </c>
      <c r="BR224" t="n">
        <v>0.736585365853658</v>
      </c>
      <c r="BS224" t="n">
        <v>0.724390243902439</v>
      </c>
      <c r="BT224" t="n">
        <v>0.71219512195122</v>
      </c>
      <c r="BU224" t="n">
        <v>0.699999999999999</v>
      </c>
      <c r="BV224" t="n">
        <v>0.687499999999999</v>
      </c>
      <c r="BW224" t="n">
        <v>0.675</v>
      </c>
      <c r="BX224" t="n">
        <v>0.6625</v>
      </c>
      <c r="BY224" t="n">
        <v>0.649999999999999</v>
      </c>
      <c r="BZ224" t="n">
        <v>0.637499999999999</v>
      </c>
      <c r="CA224" t="n">
        <v>0.625</v>
      </c>
      <c r="CB224" t="n">
        <v>0.6125</v>
      </c>
      <c r="CC224" t="n">
        <v>0.6</v>
      </c>
      <c r="CD224" t="e">
        <v>#VALUE!</v>
      </c>
      <c r="CE224" t="e">
        <v>#VALUE!</v>
      </c>
      <c r="CF224" t="e">
        <v>#VALUE!</v>
      </c>
      <c r="CG224" t="e">
        <v>#VALUE!</v>
      </c>
      <c r="CH224" t="e">
        <v>#VALUE!</v>
      </c>
      <c r="CI224" t="e">
        <v>#VALUE!</v>
      </c>
      <c r="CJ224" t="e">
        <v>#VALUE!</v>
      </c>
      <c r="CK224" t="e">
        <v>#VALUE!</v>
      </c>
    </row>
    <row r="225" ht="12.5" customHeight="1" s="213">
      <c r="A225" t="inlineStr">
        <is>
          <t>Japan</t>
        </is>
      </c>
      <c r="B225" t="inlineStr">
        <is>
          <t>Trd_2w</t>
        </is>
      </c>
      <c r="C225" t="inlineStr">
        <is>
          <t>Trd_2w</t>
        </is>
      </c>
      <c r="D225" t="n">
        <v>14.12</v>
      </c>
      <c r="E225" t="n">
        <v>14.0651904814574</v>
      </c>
      <c r="G225" t="n">
        <v>13.7950660385097</v>
      </c>
      <c r="H225" t="n">
        <v>13.5229181671294</v>
      </c>
      <c r="I225" t="n">
        <v>13.2386274621664</v>
      </c>
      <c r="J225" t="n">
        <v>12.9494897384218</v>
      </c>
      <c r="K225" t="n">
        <v>12.6614108942813</v>
      </c>
      <c r="L225" t="n">
        <v>12.3859721091996</v>
      </c>
      <c r="M225" t="n">
        <v>12.1254805911524</v>
      </c>
      <c r="N225" t="n">
        <v>11.868133937815</v>
      </c>
      <c r="O225" t="n">
        <v>11.598676991281</v>
      </c>
      <c r="P225" t="n">
        <v>11.3157451837085</v>
      </c>
      <c r="Q225" t="n">
        <v>11.031934035467</v>
      </c>
      <c r="R225" t="n">
        <v>10.7683586605644</v>
      </c>
      <c r="S225" t="n">
        <v>10.5312433799373</v>
      </c>
      <c r="T225" t="n">
        <v>10.3127831076399</v>
      </c>
      <c r="U225" t="n">
        <v>10.102469270594</v>
      </c>
      <c r="V225" t="n">
        <v>9.89240918978777</v>
      </c>
      <c r="W225" t="n">
        <v>3</v>
      </c>
      <c r="AG225" s="223" t="inlineStr">
        <is>
          <t>POP</t>
        </is>
      </c>
      <c r="AI225" t="n">
        <v>1</v>
      </c>
      <c r="AJ225" t="n">
        <v>0.995133044285661</v>
      </c>
      <c r="AK225" t="n">
        <v>0.970798265713964</v>
      </c>
      <c r="AL225" t="n">
        <v>0.946027767353842</v>
      </c>
      <c r="AM225" t="n">
        <v>0.919892593887119</v>
      </c>
      <c r="AN225" t="n">
        <v>0.893061128007311</v>
      </c>
      <c r="AO225" t="n">
        <v>0.866088900752858</v>
      </c>
      <c r="AP225" t="n">
        <v>0.84007934876746</v>
      </c>
      <c r="AQ225" t="n">
        <v>0.815271745778737</v>
      </c>
      <c r="AR225" t="n">
        <v>0.790553143168125</v>
      </c>
      <c r="AS225" t="n">
        <v>0.7644456416216</v>
      </c>
      <c r="AT225" t="n">
        <v>0.736819759381374</v>
      </c>
      <c r="AU225" t="n">
        <v>0.708925060804943</v>
      </c>
      <c r="AV225" t="n">
        <v>0.682867116647441</v>
      </c>
      <c r="AW225" t="n">
        <v>0.659280478678467</v>
      </c>
      <c r="AX225" t="n">
        <v>0.637398679890398</v>
      </c>
      <c r="AY225" t="n">
        <v>0.616176156079915</v>
      </c>
      <c r="AZ225" t="n">
        <v>0.594822628595666</v>
      </c>
      <c r="BA225" t="n">
        <v>0</v>
      </c>
      <c r="BB225" t="n">
        <v>0</v>
      </c>
      <c r="BC225" t="n">
        <v>0</v>
      </c>
      <c r="BD225" t="n">
        <v>0</v>
      </c>
      <c r="BE225" t="n">
        <v>0</v>
      </c>
      <c r="BF225" t="n">
        <v>0</v>
      </c>
      <c r="BG225" t="n">
        <v>0</v>
      </c>
      <c r="BH225" t="n">
        <v>0</v>
      </c>
      <c r="BJ225" t="inlineStr">
        <is>
          <t>Med2</t>
        </is>
      </c>
      <c r="BL225" t="n">
        <v>0.8</v>
      </c>
      <c r="BM225" t="n">
        <v>0.797560975609756</v>
      </c>
      <c r="BN225" t="n">
        <v>0.785365853658536</v>
      </c>
      <c r="BO225" t="n">
        <v>0.773170731707317</v>
      </c>
      <c r="BP225" t="n">
        <v>0.760975609756097</v>
      </c>
      <c r="BQ225" t="n">
        <v>0.748780487804878</v>
      </c>
      <c r="BR225" t="n">
        <v>0.736585365853658</v>
      </c>
      <c r="BS225" t="n">
        <v>0.724390243902439</v>
      </c>
      <c r="BT225" t="n">
        <v>0.71219512195122</v>
      </c>
      <c r="BU225" t="n">
        <v>0.699999999999999</v>
      </c>
      <c r="BV225" t="n">
        <v>0.687499999999999</v>
      </c>
      <c r="BW225" t="n">
        <v>0.675</v>
      </c>
      <c r="BX225" t="n">
        <v>0.6625</v>
      </c>
      <c r="BY225" t="n">
        <v>0.649999999999999</v>
      </c>
      <c r="BZ225" t="n">
        <v>0.637499999999999</v>
      </c>
      <c r="CA225" t="n">
        <v>0.625</v>
      </c>
      <c r="CB225" t="n">
        <v>0.6125</v>
      </c>
      <c r="CC225" t="n">
        <v>0.6</v>
      </c>
      <c r="CD225" t="e">
        <v>#VALUE!</v>
      </c>
      <c r="CE225" t="e">
        <v>#VALUE!</v>
      </c>
      <c r="CF225" t="e">
        <v>#VALUE!</v>
      </c>
      <c r="CG225" t="e">
        <v>#VALUE!</v>
      </c>
      <c r="CH225" t="e">
        <v>#VALUE!</v>
      </c>
      <c r="CI225" t="e">
        <v>#VALUE!</v>
      </c>
      <c r="CJ225" t="e">
        <v>#VALUE!</v>
      </c>
      <c r="CK225" t="e">
        <v>#VALUE!</v>
      </c>
    </row>
    <row r="226" ht="12.5" customHeight="1" s="213">
      <c r="A226" t="inlineStr">
        <is>
          <t>Japan</t>
        </is>
      </c>
      <c r="B226" t="inlineStr">
        <is>
          <t>Trd_3w</t>
        </is>
      </c>
      <c r="C226" t="inlineStr">
        <is>
          <t>Trd_3w</t>
        </is>
      </c>
      <c r="D226" t="n">
        <v>4.455</v>
      </c>
      <c r="E226" t="n">
        <v>4.43770705346265</v>
      </c>
      <c r="G226" t="n">
        <v>4.35248011342497</v>
      </c>
      <c r="H226" t="n">
        <v>4.26661476165448</v>
      </c>
      <c r="I226" t="n">
        <v>4.17691822549232</v>
      </c>
      <c r="J226" t="n">
        <v>4.08569240684624</v>
      </c>
      <c r="K226" t="n">
        <v>3.9948006752141</v>
      </c>
      <c r="L226" t="n">
        <v>3.90789700754138</v>
      </c>
      <c r="M226" t="n">
        <v>3.82570935082041</v>
      </c>
      <c r="N226" t="n">
        <v>3.74451393009671</v>
      </c>
      <c r="O226" t="n">
        <v>3.65949759179581</v>
      </c>
      <c r="P226" t="n">
        <v>3.57022980123381</v>
      </c>
      <c r="Q226" t="n">
        <v>3.48068456997207</v>
      </c>
      <c r="R226" t="n">
        <v>3.39752392583671</v>
      </c>
      <c r="S226" t="n">
        <v>3.32271170379751</v>
      </c>
      <c r="T226" t="n">
        <v>3.25378532185098</v>
      </c>
      <c r="U226" t="n">
        <v>3.18742922099833</v>
      </c>
      <c r="V226" t="n">
        <v>3.12115318275528</v>
      </c>
      <c r="W226" t="n">
        <v>3</v>
      </c>
      <c r="AG226" s="223" t="inlineStr">
        <is>
          <t>POP</t>
        </is>
      </c>
      <c r="AI226" t="n">
        <v>1</v>
      </c>
      <c r="AJ226" t="n">
        <v>0.995133044285661</v>
      </c>
      <c r="AK226" t="n">
        <v>0.970798265713964</v>
      </c>
      <c r="AL226" t="n">
        <v>0.946027767353842</v>
      </c>
      <c r="AM226" t="n">
        <v>0.919892593887119</v>
      </c>
      <c r="AN226" t="n">
        <v>0.893061128007311</v>
      </c>
      <c r="AO226" t="n">
        <v>0.866088900752858</v>
      </c>
      <c r="AP226" t="n">
        <v>0.84007934876746</v>
      </c>
      <c r="AQ226" t="n">
        <v>0.815271745778737</v>
      </c>
      <c r="AR226" t="n">
        <v>0.790553143168125</v>
      </c>
      <c r="AS226" t="n">
        <v>0.7644456416216</v>
      </c>
      <c r="AT226" t="n">
        <v>0.736819759381374</v>
      </c>
      <c r="AU226" t="n">
        <v>0.708925060804943</v>
      </c>
      <c r="AV226" t="n">
        <v>0.682867116647441</v>
      </c>
      <c r="AW226" t="n">
        <v>0.659280478678467</v>
      </c>
      <c r="AX226" t="n">
        <v>0.637398679890398</v>
      </c>
      <c r="AY226" t="n">
        <v>0.616176156079915</v>
      </c>
      <c r="AZ226" t="n">
        <v>0.594822628595666</v>
      </c>
      <c r="BA226" t="n">
        <v>0</v>
      </c>
      <c r="BB226" t="n">
        <v>0</v>
      </c>
      <c r="BC226" t="n">
        <v>0</v>
      </c>
      <c r="BD226" t="n">
        <v>0</v>
      </c>
      <c r="BE226" t="n">
        <v>0</v>
      </c>
      <c r="BF226" t="n">
        <v>0</v>
      </c>
      <c r="BG226" t="n">
        <v>0</v>
      </c>
      <c r="BH226" t="n">
        <v>0</v>
      </c>
      <c r="BJ226" t="inlineStr">
        <is>
          <t>Med2</t>
        </is>
      </c>
      <c r="BL226" t="n">
        <v>0.8</v>
      </c>
      <c r="BM226" t="n">
        <v>0.797560975609756</v>
      </c>
      <c r="BN226" t="n">
        <v>0.785365853658536</v>
      </c>
      <c r="BO226" t="n">
        <v>0.773170731707317</v>
      </c>
      <c r="BP226" t="n">
        <v>0.760975609756097</v>
      </c>
      <c r="BQ226" t="n">
        <v>0.748780487804878</v>
      </c>
      <c r="BR226" t="n">
        <v>0.736585365853658</v>
      </c>
      <c r="BS226" t="n">
        <v>0.724390243902439</v>
      </c>
      <c r="BT226" t="n">
        <v>0.71219512195122</v>
      </c>
      <c r="BU226" t="n">
        <v>0.699999999999999</v>
      </c>
      <c r="BV226" t="n">
        <v>0.687499999999999</v>
      </c>
      <c r="BW226" t="n">
        <v>0.675</v>
      </c>
      <c r="BX226" t="n">
        <v>0.6625</v>
      </c>
      <c r="BY226" t="n">
        <v>0.649999999999999</v>
      </c>
      <c r="BZ226" t="n">
        <v>0.637499999999999</v>
      </c>
      <c r="CA226" t="n">
        <v>0.625</v>
      </c>
      <c r="CB226" t="n">
        <v>0.6125</v>
      </c>
      <c r="CC226" t="n">
        <v>0.6</v>
      </c>
      <c r="CD226" t="e">
        <v>#VALUE!</v>
      </c>
      <c r="CE226" t="e">
        <v>#VALUE!</v>
      </c>
      <c r="CF226" t="e">
        <v>#VALUE!</v>
      </c>
      <c r="CG226" t="e">
        <v>#VALUE!</v>
      </c>
      <c r="CH226" t="e">
        <v>#VALUE!</v>
      </c>
      <c r="CI226" t="e">
        <v>#VALUE!</v>
      </c>
      <c r="CJ226" t="e">
        <v>#VALUE!</v>
      </c>
      <c r="CK226" t="e">
        <v>#VALUE!</v>
      </c>
    </row>
    <row r="227" ht="12.5" customHeight="1" s="213">
      <c r="A227" t="inlineStr">
        <is>
          <t>Japan</t>
        </is>
      </c>
      <c r="B227" t="inlineStr">
        <is>
          <t>Trd_bus</t>
        </is>
      </c>
      <c r="C227" t="inlineStr">
        <is>
          <t>Trd_bus</t>
        </is>
      </c>
      <c r="D227" t="n">
        <v>3.115</v>
      </c>
      <c r="E227" t="n">
        <v>3.10290852335267</v>
      </c>
      <c r="G227" t="n">
        <v>3.04331662251825</v>
      </c>
      <c r="H227" t="n">
        <v>2.98327833502889</v>
      </c>
      <c r="I227" t="n">
        <v>2.92056122837454</v>
      </c>
      <c r="J227" t="n">
        <v>2.85677482543794</v>
      </c>
      <c r="K227" t="n">
        <v>2.79322202094095</v>
      </c>
      <c r="L227" t="n">
        <v>2.73245772805643</v>
      </c>
      <c r="M227" t="n">
        <v>2.67499093777903</v>
      </c>
      <c r="N227" t="n">
        <v>2.61821793316527</v>
      </c>
      <c r="O227" t="n">
        <v>2.55877328809067</v>
      </c>
      <c r="P227" t="n">
        <v>2.49635596651927</v>
      </c>
      <c r="Q227" t="n">
        <v>2.43374465442491</v>
      </c>
      <c r="R227" t="n">
        <v>2.37559753736955</v>
      </c>
      <c r="S227" t="n">
        <v>2.32328775697626</v>
      </c>
      <c r="T227" t="n">
        <v>2.27509344053104</v>
      </c>
      <c r="U227" t="n">
        <v>2.22869630155102</v>
      </c>
      <c r="V227" t="n">
        <v>2.1823551434978</v>
      </c>
      <c r="W227" t="n">
        <v>3</v>
      </c>
      <c r="AG227" s="223" t="inlineStr">
        <is>
          <t>POP</t>
        </is>
      </c>
      <c r="AI227" t="n">
        <v>1</v>
      </c>
      <c r="AJ227" t="n">
        <v>0.995133044285661</v>
      </c>
      <c r="AK227" t="n">
        <v>0.970798265713964</v>
      </c>
      <c r="AL227" t="n">
        <v>0.946027767353842</v>
      </c>
      <c r="AM227" t="n">
        <v>0.919892593887119</v>
      </c>
      <c r="AN227" t="n">
        <v>0.893061128007311</v>
      </c>
      <c r="AO227" t="n">
        <v>0.866088900752858</v>
      </c>
      <c r="AP227" t="n">
        <v>0.84007934876746</v>
      </c>
      <c r="AQ227" t="n">
        <v>0.815271745778737</v>
      </c>
      <c r="AR227" t="n">
        <v>0.790553143168125</v>
      </c>
      <c r="AS227" t="n">
        <v>0.7644456416216</v>
      </c>
      <c r="AT227" t="n">
        <v>0.736819759381374</v>
      </c>
      <c r="AU227" t="n">
        <v>0.708925060804943</v>
      </c>
      <c r="AV227" t="n">
        <v>0.682867116647441</v>
      </c>
      <c r="AW227" t="n">
        <v>0.659280478678467</v>
      </c>
      <c r="AX227" t="n">
        <v>0.637398679890398</v>
      </c>
      <c r="AY227" t="n">
        <v>0.616176156079915</v>
      </c>
      <c r="AZ227" t="n">
        <v>0.594822628595666</v>
      </c>
      <c r="BA227" t="n">
        <v>0</v>
      </c>
      <c r="BB227" t="n">
        <v>0</v>
      </c>
      <c r="BC227" t="n">
        <v>0</v>
      </c>
      <c r="BD227" t="n">
        <v>0</v>
      </c>
      <c r="BE227" t="n">
        <v>0</v>
      </c>
      <c r="BF227" t="n">
        <v>0</v>
      </c>
      <c r="BG227" t="n">
        <v>0</v>
      </c>
      <c r="BH227" t="n">
        <v>0</v>
      </c>
      <c r="BJ227" t="inlineStr">
        <is>
          <t>Med2</t>
        </is>
      </c>
      <c r="BL227" t="n">
        <v>0.8</v>
      </c>
      <c r="BM227" t="n">
        <v>0.797560975609756</v>
      </c>
      <c r="BN227" t="n">
        <v>0.785365853658536</v>
      </c>
      <c r="BO227" t="n">
        <v>0.773170731707317</v>
      </c>
      <c r="BP227" t="n">
        <v>0.760975609756097</v>
      </c>
      <c r="BQ227" t="n">
        <v>0.748780487804878</v>
      </c>
      <c r="BR227" t="n">
        <v>0.736585365853658</v>
      </c>
      <c r="BS227" t="n">
        <v>0.724390243902439</v>
      </c>
      <c r="BT227" t="n">
        <v>0.71219512195122</v>
      </c>
      <c r="BU227" t="n">
        <v>0.699999999999999</v>
      </c>
      <c r="BV227" t="n">
        <v>0.687499999999999</v>
      </c>
      <c r="BW227" t="n">
        <v>0.675</v>
      </c>
      <c r="BX227" t="n">
        <v>0.6625</v>
      </c>
      <c r="BY227" t="n">
        <v>0.649999999999999</v>
      </c>
      <c r="BZ227" t="n">
        <v>0.637499999999999</v>
      </c>
      <c r="CA227" t="n">
        <v>0.625</v>
      </c>
      <c r="CB227" t="n">
        <v>0.6125</v>
      </c>
      <c r="CC227" t="n">
        <v>0.6</v>
      </c>
      <c r="CD227" t="e">
        <v>#VALUE!</v>
      </c>
      <c r="CE227" t="e">
        <v>#VALUE!</v>
      </c>
      <c r="CF227" t="e">
        <v>#VALUE!</v>
      </c>
      <c r="CG227" t="e">
        <v>#VALUE!</v>
      </c>
      <c r="CH227" t="e">
        <v>#VALUE!</v>
      </c>
      <c r="CI227" t="e">
        <v>#VALUE!</v>
      </c>
      <c r="CJ227" t="e">
        <v>#VALUE!</v>
      </c>
      <c r="CK227" t="e">
        <v>#VALUE!</v>
      </c>
    </row>
    <row r="228" ht="12.5" customHeight="1" s="213">
      <c r="A228" t="inlineStr">
        <is>
          <t>Japan</t>
        </is>
      </c>
      <c r="B228" t="inlineStr">
        <is>
          <t>Trd_car</t>
        </is>
      </c>
      <c r="C228" t="inlineStr">
        <is>
          <t>Trd_car</t>
        </is>
      </c>
      <c r="D228" t="n">
        <v>687.192</v>
      </c>
      <c r="E228" t="n">
        <v>688.008041496291</v>
      </c>
      <c r="G228" t="n">
        <v>741.9151401003789</v>
      </c>
      <c r="H228" t="n">
        <v>780.491757693345</v>
      </c>
      <c r="I228" t="n">
        <v>823.441043931532</v>
      </c>
      <c r="J228" t="n">
        <v>864.205324003525</v>
      </c>
      <c r="K228" t="n">
        <v>906.881721231787</v>
      </c>
      <c r="L228" t="n">
        <v>951.370018315786</v>
      </c>
      <c r="M228" t="n">
        <v>994.948460502842</v>
      </c>
      <c r="N228" t="n">
        <v>1036.98687065624</v>
      </c>
      <c r="O228" t="n">
        <v>1078.76981652578</v>
      </c>
      <c r="P228" t="n">
        <v>1120.09902746409</v>
      </c>
      <c r="Q228" t="n">
        <v>1160.5181605889</v>
      </c>
      <c r="R228" t="n">
        <v>1199.38883839739</v>
      </c>
      <c r="S228" t="n">
        <v>1236.58037923435</v>
      </c>
      <c r="T228" t="n">
        <v>1272.07842908439</v>
      </c>
      <c r="U228" t="n">
        <v>1305.71668230536</v>
      </c>
      <c r="V228" t="n">
        <v>1337.06757119091</v>
      </c>
      <c r="W228" t="n">
        <v>3</v>
      </c>
      <c r="AG228" s="223" t="inlineStr">
        <is>
          <t>GDPPCAP</t>
        </is>
      </c>
      <c r="AI228" t="n">
        <v>1</v>
      </c>
      <c r="AJ228" t="n">
        <v>1.00148891619088</v>
      </c>
      <c r="AK228" t="n">
        <v>1.10140296901448</v>
      </c>
      <c r="AL228" t="n">
        <v>1.17547269697002</v>
      </c>
      <c r="AM228" t="n">
        <v>1.2604747545575</v>
      </c>
      <c r="AN228" t="n">
        <v>1.34380965088508</v>
      </c>
      <c r="AO228" t="n">
        <v>1.43390149586613</v>
      </c>
      <c r="AP228" t="n">
        <v>1.53100655541396</v>
      </c>
      <c r="AQ228" t="n">
        <v>1.62947572966333</v>
      </c>
      <c r="AR228" t="n">
        <v>1.72783052861294</v>
      </c>
      <c r="AS228" t="n">
        <v>1.82909433294194</v>
      </c>
      <c r="AT228" t="n">
        <v>1.93290946446754</v>
      </c>
      <c r="AU228" t="n">
        <v>2.03819196828248</v>
      </c>
      <c r="AV228" t="n">
        <v>2.14321919597526</v>
      </c>
      <c r="AW228" t="n">
        <v>2.24746787722233</v>
      </c>
      <c r="AX228" t="n">
        <v>2.35069542710973</v>
      </c>
      <c r="AY228" t="n">
        <v>2.45218228735304</v>
      </c>
      <c r="AZ228" t="n">
        <v>2.55031242469414</v>
      </c>
      <c r="BA228" t="n">
        <v>0</v>
      </c>
      <c r="BB228" t="n">
        <v>0</v>
      </c>
      <c r="BC228" t="n">
        <v>0</v>
      </c>
      <c r="BD228" t="n">
        <v>0</v>
      </c>
      <c r="BE228" t="n">
        <v>0</v>
      </c>
      <c r="BF228" t="n">
        <v>0</v>
      </c>
      <c r="BG228" t="n">
        <v>0</v>
      </c>
      <c r="BH228" t="n">
        <v>0</v>
      </c>
      <c r="BJ228" t="inlineStr">
        <is>
          <t>Med2</t>
        </is>
      </c>
      <c r="BL228" t="n">
        <v>0.8</v>
      </c>
      <c r="BM228" t="n">
        <v>0.797560975609756</v>
      </c>
      <c r="BN228" t="n">
        <v>0.785365853658536</v>
      </c>
      <c r="BO228" t="n">
        <v>0.773170731707317</v>
      </c>
      <c r="BP228" t="n">
        <v>0.760975609756097</v>
      </c>
      <c r="BQ228" t="n">
        <v>0.748780487804878</v>
      </c>
      <c r="BR228" t="n">
        <v>0.736585365853658</v>
      </c>
      <c r="BS228" t="n">
        <v>0.724390243902439</v>
      </c>
      <c r="BT228" t="n">
        <v>0.71219512195122</v>
      </c>
      <c r="BU228" t="n">
        <v>0.699999999999999</v>
      </c>
      <c r="BV228" t="n">
        <v>0.687499999999999</v>
      </c>
      <c r="BW228" t="n">
        <v>0.675</v>
      </c>
      <c r="BX228" t="n">
        <v>0.6625</v>
      </c>
      <c r="BY228" t="n">
        <v>0.649999999999999</v>
      </c>
      <c r="BZ228" t="n">
        <v>0.637499999999999</v>
      </c>
      <c r="CA228" t="n">
        <v>0.625</v>
      </c>
      <c r="CB228" t="n">
        <v>0.6125</v>
      </c>
      <c r="CC228" t="n">
        <v>0.6</v>
      </c>
      <c r="CD228" t="e">
        <v>#VALUE!</v>
      </c>
      <c r="CE228" t="e">
        <v>#VALUE!</v>
      </c>
      <c r="CF228" t="e">
        <v>#VALUE!</v>
      </c>
      <c r="CG228" t="e">
        <v>#VALUE!</v>
      </c>
      <c r="CH228" t="e">
        <v>#VALUE!</v>
      </c>
      <c r="CI228" t="e">
        <v>#VALUE!</v>
      </c>
      <c r="CJ228" t="e">
        <v>#VALUE!</v>
      </c>
      <c r="CK228" t="e">
        <v>#VALUE!</v>
      </c>
    </row>
    <row r="229" ht="12.5" customHeight="1" s="213">
      <c r="A229" t="inlineStr">
        <is>
          <t>Japan</t>
        </is>
      </c>
      <c r="B229" t="inlineStr">
        <is>
          <t>Trd_hdt</t>
        </is>
      </c>
      <c r="C229" t="inlineStr">
        <is>
          <t>Trd_hdt</t>
        </is>
      </c>
      <c r="D229" t="n">
        <v>96.8</v>
      </c>
      <c r="E229" t="n">
        <v>96.5386427089537</v>
      </c>
      <c r="G229" t="n">
        <v>102.063668575959</v>
      </c>
      <c r="H229" t="n">
        <v>105.221658784552</v>
      </c>
      <c r="I229" t="n">
        <v>108.639824719206</v>
      </c>
      <c r="J229" t="n">
        <v>111.488401802683</v>
      </c>
      <c r="K229" t="n">
        <v>114.347460941356</v>
      </c>
      <c r="L229" t="n">
        <v>117.300933764647</v>
      </c>
      <c r="M229" t="n">
        <v>120.048374975677</v>
      </c>
      <c r="N229" t="n">
        <v>122.41899048032</v>
      </c>
      <c r="O229" t="n">
        <v>124.409250249737</v>
      </c>
      <c r="P229" t="n">
        <v>125.9685281144</v>
      </c>
      <c r="Q229" t="n">
        <v>127.182626780273</v>
      </c>
      <c r="R229" t="n">
        <v>128.247280096181</v>
      </c>
      <c r="S229" t="n">
        <v>129.262748768029</v>
      </c>
      <c r="T229" t="n">
        <v>130.168858050265</v>
      </c>
      <c r="U229" t="n">
        <v>130.841775922966</v>
      </c>
      <c r="V229" t="n">
        <v>131.153893503448</v>
      </c>
      <c r="W229" t="n">
        <v>3</v>
      </c>
      <c r="AG229" s="223" t="inlineStr">
        <is>
          <t>GDP</t>
        </is>
      </c>
      <c r="AI229" t="n">
        <v>1</v>
      </c>
      <c r="AJ229" t="n">
        <v>0.996614713987383</v>
      </c>
      <c r="AK229" t="n">
        <v>1.06924009217147</v>
      </c>
      <c r="AL229" t="n">
        <v>1.11202981109995</v>
      </c>
      <c r="AM229" t="n">
        <v>1.15950139149913</v>
      </c>
      <c r="AN229" t="n">
        <v>1.20010416264654</v>
      </c>
      <c r="AO229" t="n">
        <v>1.24188617034257</v>
      </c>
      <c r="AP229" t="n">
        <v>1.28616699003087</v>
      </c>
      <c r="AQ229" t="n">
        <v>1.32846552282671</v>
      </c>
      <c r="AR229" t="n">
        <v>1.3659418552568</v>
      </c>
      <c r="AS229" t="n">
        <v>1.39824319093224</v>
      </c>
      <c r="AT229" t="n">
        <v>1.42420588651495</v>
      </c>
      <c r="AU229" t="n">
        <v>1.44492536504681</v>
      </c>
      <c r="AV229" t="n">
        <v>1.46353391269907</v>
      </c>
      <c r="AW229" t="n">
        <v>1.48171169790961</v>
      </c>
      <c r="AX229" t="n">
        <v>1.49833016206414</v>
      </c>
      <c r="AY229" t="n">
        <v>1.51097625582845</v>
      </c>
      <c r="AZ229" t="n">
        <v>1.51698354019676</v>
      </c>
      <c r="BA229" t="n">
        <v>0</v>
      </c>
      <c r="BB229" t="n">
        <v>0</v>
      </c>
      <c r="BC229" t="n">
        <v>0</v>
      </c>
      <c r="BD229" t="n">
        <v>0</v>
      </c>
      <c r="BE229" t="n">
        <v>0</v>
      </c>
      <c r="BF229" t="n">
        <v>0</v>
      </c>
      <c r="BG229" t="n">
        <v>0</v>
      </c>
      <c r="BH229" t="n">
        <v>0</v>
      </c>
      <c r="BJ229" t="inlineStr">
        <is>
          <t>Med2</t>
        </is>
      </c>
      <c r="BL229" t="n">
        <v>0.8</v>
      </c>
      <c r="BM229" t="n">
        <v>0.797560975609756</v>
      </c>
      <c r="BN229" t="n">
        <v>0.785365853658536</v>
      </c>
      <c r="BO229" t="n">
        <v>0.773170731707317</v>
      </c>
      <c r="BP229" t="n">
        <v>0.760975609756097</v>
      </c>
      <c r="BQ229" t="n">
        <v>0.748780487804878</v>
      </c>
      <c r="BR229" t="n">
        <v>0.736585365853658</v>
      </c>
      <c r="BS229" t="n">
        <v>0.724390243902439</v>
      </c>
      <c r="BT229" t="n">
        <v>0.71219512195122</v>
      </c>
      <c r="BU229" t="n">
        <v>0.699999999999999</v>
      </c>
      <c r="BV229" t="n">
        <v>0.687499999999999</v>
      </c>
      <c r="BW229" t="n">
        <v>0.675</v>
      </c>
      <c r="BX229" t="n">
        <v>0.6625</v>
      </c>
      <c r="BY229" t="n">
        <v>0.649999999999999</v>
      </c>
      <c r="BZ229" t="n">
        <v>0.637499999999999</v>
      </c>
      <c r="CA229" t="n">
        <v>0.625</v>
      </c>
      <c r="CB229" t="n">
        <v>0.6125</v>
      </c>
      <c r="CC229" t="n">
        <v>0.6</v>
      </c>
      <c r="CD229" t="e">
        <v>#VALUE!</v>
      </c>
      <c r="CE229" t="e">
        <v>#VALUE!</v>
      </c>
      <c r="CF229" t="e">
        <v>#VALUE!</v>
      </c>
      <c r="CG229" t="e">
        <v>#VALUE!</v>
      </c>
      <c r="CH229" t="e">
        <v>#VALUE!</v>
      </c>
      <c r="CI229" t="e">
        <v>#VALUE!</v>
      </c>
      <c r="CJ229" t="e">
        <v>#VALUE!</v>
      </c>
      <c r="CK229" t="e">
        <v>#VALUE!</v>
      </c>
    </row>
    <row r="230" ht="12.5" customHeight="1" s="213">
      <c r="A230" t="inlineStr">
        <is>
          <t>Japan</t>
        </is>
      </c>
      <c r="B230" t="inlineStr">
        <is>
          <t>Trd_lcv</t>
        </is>
      </c>
      <c r="C230" t="inlineStr">
        <is>
          <t>Trd_lcv</t>
        </is>
      </c>
      <c r="D230" t="n">
        <v>114.16</v>
      </c>
      <c r="E230" t="n">
        <v>113.851771194774</v>
      </c>
      <c r="G230" t="n">
        <v>120.367648808176</v>
      </c>
      <c r="H230" t="n">
        <v>124.091989326906</v>
      </c>
      <c r="I230" t="n">
        <v>128.123165185377</v>
      </c>
      <c r="J230" t="n">
        <v>131.482602787131</v>
      </c>
      <c r="K230" t="n">
        <v>134.854402283732</v>
      </c>
      <c r="L230" t="n">
        <v>138.337547505911</v>
      </c>
      <c r="M230" t="n">
        <v>141.577711644868</v>
      </c>
      <c r="N230" t="n">
        <v>144.373470591253</v>
      </c>
      <c r="O230" t="n">
        <v>146.720661244937</v>
      </c>
      <c r="P230" t="n">
        <v>148.559578197727</v>
      </c>
      <c r="Q230" t="n">
        <v>149.991411913595</v>
      </c>
      <c r="R230" t="n">
        <v>151.246998923348</v>
      </c>
      <c r="S230" t="n">
        <v>152.444580571883</v>
      </c>
      <c r="T230" t="n">
        <v>153.513190444404</v>
      </c>
      <c r="U230" t="n">
        <v>154.306788629812</v>
      </c>
      <c r="V230" t="n">
        <v>154.674881016049</v>
      </c>
      <c r="W230" t="n">
        <v>3</v>
      </c>
      <c r="AG230" s="223" t="inlineStr">
        <is>
          <t>GDP</t>
        </is>
      </c>
      <c r="AI230" t="n">
        <v>1</v>
      </c>
      <c r="AJ230" t="n">
        <v>0.996614713987383</v>
      </c>
      <c r="AK230" t="n">
        <v>1.06924009217147</v>
      </c>
      <c r="AL230" t="n">
        <v>1.11202981109995</v>
      </c>
      <c r="AM230" t="n">
        <v>1.15950139149913</v>
      </c>
      <c r="AN230" t="n">
        <v>1.20010416264654</v>
      </c>
      <c r="AO230" t="n">
        <v>1.24188617034257</v>
      </c>
      <c r="AP230" t="n">
        <v>1.28616699003087</v>
      </c>
      <c r="AQ230" t="n">
        <v>1.32846552282671</v>
      </c>
      <c r="AR230" t="n">
        <v>1.3659418552568</v>
      </c>
      <c r="AS230" t="n">
        <v>1.39824319093224</v>
      </c>
      <c r="AT230" t="n">
        <v>1.42420588651495</v>
      </c>
      <c r="AU230" t="n">
        <v>1.44492536504681</v>
      </c>
      <c r="AV230" t="n">
        <v>1.46353391269907</v>
      </c>
      <c r="AW230" t="n">
        <v>1.48171169790961</v>
      </c>
      <c r="AX230" t="n">
        <v>1.49833016206414</v>
      </c>
      <c r="AY230" t="n">
        <v>1.51097625582845</v>
      </c>
      <c r="AZ230" t="n">
        <v>1.51698354019676</v>
      </c>
      <c r="BA230" t="n">
        <v>0</v>
      </c>
      <c r="BB230" t="n">
        <v>0</v>
      </c>
      <c r="BC230" t="n">
        <v>0</v>
      </c>
      <c r="BD230" t="n">
        <v>0</v>
      </c>
      <c r="BE230" t="n">
        <v>0</v>
      </c>
      <c r="BF230" t="n">
        <v>0</v>
      </c>
      <c r="BG230" t="n">
        <v>0</v>
      </c>
      <c r="BH230" t="n">
        <v>0</v>
      </c>
      <c r="BJ230" t="inlineStr">
        <is>
          <t>Med2</t>
        </is>
      </c>
      <c r="BL230" t="n">
        <v>0.8</v>
      </c>
      <c r="BM230" t="n">
        <v>0.797560975609756</v>
      </c>
      <c r="BN230" t="n">
        <v>0.785365853658536</v>
      </c>
      <c r="BO230" t="n">
        <v>0.773170731707317</v>
      </c>
      <c r="BP230" t="n">
        <v>0.760975609756097</v>
      </c>
      <c r="BQ230" t="n">
        <v>0.748780487804878</v>
      </c>
      <c r="BR230" t="n">
        <v>0.736585365853658</v>
      </c>
      <c r="BS230" t="n">
        <v>0.724390243902439</v>
      </c>
      <c r="BT230" t="n">
        <v>0.71219512195122</v>
      </c>
      <c r="BU230" t="n">
        <v>0.699999999999999</v>
      </c>
      <c r="BV230" t="n">
        <v>0.687499999999999</v>
      </c>
      <c r="BW230" t="n">
        <v>0.675</v>
      </c>
      <c r="BX230" t="n">
        <v>0.6625</v>
      </c>
      <c r="BY230" t="n">
        <v>0.649999999999999</v>
      </c>
      <c r="BZ230" t="n">
        <v>0.637499999999999</v>
      </c>
      <c r="CA230" t="n">
        <v>0.625</v>
      </c>
      <c r="CB230" t="n">
        <v>0.6125</v>
      </c>
      <c r="CC230" t="n">
        <v>0.6</v>
      </c>
      <c r="CD230" t="e">
        <v>#VALUE!</v>
      </c>
      <c r="CE230" t="e">
        <v>#VALUE!</v>
      </c>
      <c r="CF230" t="e">
        <v>#VALUE!</v>
      </c>
      <c r="CG230" t="e">
        <v>#VALUE!</v>
      </c>
      <c r="CH230" t="e">
        <v>#VALUE!</v>
      </c>
      <c r="CI230" t="e">
        <v>#VALUE!</v>
      </c>
      <c r="CJ230" t="e">
        <v>#VALUE!</v>
      </c>
      <c r="CK230" t="e">
        <v>#VALUE!</v>
      </c>
    </row>
    <row r="231" ht="12.5" customHeight="1" s="213">
      <c r="A231" t="inlineStr">
        <is>
          <t>LatAm</t>
        </is>
      </c>
      <c r="B231" t="inlineStr">
        <is>
          <t>TAD</t>
        </is>
      </c>
      <c r="C231" t="inlineStr">
        <is>
          <t>TAD</t>
        </is>
      </c>
      <c r="E231" t="n">
        <v>90.136915586846</v>
      </c>
      <c r="F231">
        <f>E231</f>
        <v/>
      </c>
      <c r="I231">
        <f>F231</f>
        <v/>
      </c>
      <c r="J231">
        <f>I231</f>
        <v/>
      </c>
      <c r="L231">
        <f>J231</f>
        <v/>
      </c>
      <c r="V231">
        <f>L231</f>
        <v/>
      </c>
      <c r="W231" t="n">
        <v>3</v>
      </c>
      <c r="AG231" s="223" t="inlineStr">
        <is>
          <t>GDP</t>
        </is>
      </c>
      <c r="AI231" t="n">
        <v>1</v>
      </c>
      <c r="AJ231" t="n">
        <v>1.00078941646338</v>
      </c>
      <c r="AK231" t="n">
        <v>1.21581050640933</v>
      </c>
      <c r="AL231" t="n">
        <v>1.40669245927961</v>
      </c>
      <c r="AM231" t="n">
        <v>1.63133174234812</v>
      </c>
      <c r="AN231" t="n">
        <v>1.8882728451538</v>
      </c>
      <c r="AO231" t="n">
        <v>2.17187201987731</v>
      </c>
      <c r="AP231" t="n">
        <v>2.4767316393066</v>
      </c>
      <c r="AQ231" t="n">
        <v>2.80352684491355</v>
      </c>
      <c r="AR231" t="n">
        <v>3.15394057256684</v>
      </c>
      <c r="AS231" t="n">
        <v>3.53248082243297</v>
      </c>
      <c r="AT231" t="n">
        <v>3.93194269688489</v>
      </c>
      <c r="AU231" t="n">
        <v>4.34651397012136</v>
      </c>
      <c r="AV231" t="n">
        <v>4.7681845383142</v>
      </c>
      <c r="AW231" t="n">
        <v>5.19480310825725</v>
      </c>
      <c r="AX231" t="n">
        <v>5.62658057118297</v>
      </c>
      <c r="AY231" t="n">
        <v>6.06334183892459</v>
      </c>
      <c r="AZ231" t="n">
        <v>6.50553932545227</v>
      </c>
      <c r="BA231" t="n">
        <v>0</v>
      </c>
      <c r="BB231" t="n">
        <v>0</v>
      </c>
      <c r="BC231" t="n">
        <v>0</v>
      </c>
      <c r="BD231" t="n">
        <v>0</v>
      </c>
      <c r="BE231" t="n">
        <v>0</v>
      </c>
      <c r="BF231" t="n">
        <v>0</v>
      </c>
      <c r="BG231" t="n">
        <v>0</v>
      </c>
      <c r="BH231" t="n">
        <v>0</v>
      </c>
      <c r="BJ231" t="inlineStr">
        <is>
          <t>High2</t>
        </is>
      </c>
      <c r="BL231" t="n">
        <v>1</v>
      </c>
      <c r="BM231" t="n">
        <v>0.997560975609757</v>
      </c>
      <c r="BN231" t="n">
        <v>0.985365853658537</v>
      </c>
      <c r="BO231" t="n">
        <v>0.973170731707317</v>
      </c>
      <c r="BP231" t="n">
        <v>0.960975609756098</v>
      </c>
      <c r="BQ231" t="n">
        <v>0.948780487804878</v>
      </c>
      <c r="BR231" t="n">
        <v>0.936585365853658</v>
      </c>
      <c r="BS231" t="n">
        <v>0.924390243902439</v>
      </c>
      <c r="BT231" t="n">
        <v>0.91219512195122</v>
      </c>
      <c r="BU231" t="n">
        <v>0.9</v>
      </c>
      <c r="BV231" t="n">
        <v>0.8875</v>
      </c>
      <c r="BW231" t="n">
        <v>0.875000000000001</v>
      </c>
      <c r="BX231" t="n">
        <v>0.862500000000001</v>
      </c>
      <c r="BY231" t="n">
        <v>0.850000000000001</v>
      </c>
      <c r="BZ231" t="n">
        <v>0.8375</v>
      </c>
      <c r="CA231" t="n">
        <v>0.825000000000001</v>
      </c>
      <c r="CB231" t="n">
        <v>0.812500000000001</v>
      </c>
      <c r="CC231" t="n">
        <v>0.800000000000001</v>
      </c>
      <c r="CD231" t="e">
        <v>#VALUE!</v>
      </c>
      <c r="CE231" t="e">
        <v>#VALUE!</v>
      </c>
      <c r="CF231" t="e">
        <v>#VALUE!</v>
      </c>
      <c r="CG231" t="e">
        <v>#VALUE!</v>
      </c>
      <c r="CH231" t="e">
        <v>#VALUE!</v>
      </c>
      <c r="CI231" t="e">
        <v>#VALUE!</v>
      </c>
      <c r="CJ231" t="e">
        <v>#VALUE!</v>
      </c>
      <c r="CK231" t="e">
        <v>#VALUE!</v>
      </c>
    </row>
    <row r="232" ht="12.5" customHeight="1" s="213">
      <c r="A232" t="inlineStr">
        <is>
          <t>LatAm</t>
        </is>
      </c>
      <c r="B232" t="inlineStr">
        <is>
          <t>TAI</t>
        </is>
      </c>
      <c r="C232" t="inlineStr">
        <is>
          <t>TAI</t>
        </is>
      </c>
      <c r="E232" t="n">
        <v>322.671564831785</v>
      </c>
      <c r="F232">
        <f>E232</f>
        <v/>
      </c>
      <c r="I232">
        <f>F232</f>
        <v/>
      </c>
      <c r="J232">
        <f>I232</f>
        <v/>
      </c>
      <c r="L232">
        <f>J232</f>
        <v/>
      </c>
      <c r="V232">
        <f>L232</f>
        <v/>
      </c>
      <c r="W232" t="n">
        <v>3</v>
      </c>
      <c r="AG232" s="223" t="inlineStr">
        <is>
          <t>GDP</t>
        </is>
      </c>
      <c r="AI232" t="n">
        <v>1</v>
      </c>
      <c r="AJ232" t="n">
        <v>1.00078941646338</v>
      </c>
      <c r="AK232" t="n">
        <v>1.21581050640933</v>
      </c>
      <c r="AL232" t="n">
        <v>1.40669245927961</v>
      </c>
      <c r="AM232" t="n">
        <v>1.63133174234812</v>
      </c>
      <c r="AN232" t="n">
        <v>1.8882728451538</v>
      </c>
      <c r="AO232" t="n">
        <v>2.17187201987731</v>
      </c>
      <c r="AP232" t="n">
        <v>2.4767316393066</v>
      </c>
      <c r="AQ232" t="n">
        <v>2.80352684491355</v>
      </c>
      <c r="AR232" t="n">
        <v>3.15394057256684</v>
      </c>
      <c r="AS232" t="n">
        <v>3.53248082243297</v>
      </c>
      <c r="AT232" t="n">
        <v>3.93194269688489</v>
      </c>
      <c r="AU232" t="n">
        <v>4.34651397012136</v>
      </c>
      <c r="AV232" t="n">
        <v>4.7681845383142</v>
      </c>
      <c r="AW232" t="n">
        <v>5.19480310825725</v>
      </c>
      <c r="AX232" t="n">
        <v>5.62658057118297</v>
      </c>
      <c r="AY232" t="n">
        <v>6.06334183892459</v>
      </c>
      <c r="AZ232" t="n">
        <v>6.50553932545227</v>
      </c>
      <c r="BA232" t="n">
        <v>0</v>
      </c>
      <c r="BB232" t="n">
        <v>0</v>
      </c>
      <c r="BC232" t="n">
        <v>0</v>
      </c>
      <c r="BD232" t="n">
        <v>0</v>
      </c>
      <c r="BE232" t="n">
        <v>0</v>
      </c>
      <c r="BF232" t="n">
        <v>0</v>
      </c>
      <c r="BG232" t="n">
        <v>0</v>
      </c>
      <c r="BH232" t="n">
        <v>0</v>
      </c>
      <c r="BJ232" t="inlineStr">
        <is>
          <t>High2</t>
        </is>
      </c>
      <c r="BL232" t="n">
        <v>1</v>
      </c>
      <c r="BM232" t="n">
        <v>0.997560975609757</v>
      </c>
      <c r="BN232" t="n">
        <v>0.985365853658537</v>
      </c>
      <c r="BO232" t="n">
        <v>0.973170731707317</v>
      </c>
      <c r="BP232" t="n">
        <v>0.960975609756098</v>
      </c>
      <c r="BQ232" t="n">
        <v>0.948780487804878</v>
      </c>
      <c r="BR232" t="n">
        <v>0.936585365853658</v>
      </c>
      <c r="BS232" t="n">
        <v>0.924390243902439</v>
      </c>
      <c r="BT232" t="n">
        <v>0.91219512195122</v>
      </c>
      <c r="BU232" t="n">
        <v>0.9</v>
      </c>
      <c r="BV232" t="n">
        <v>0.8875</v>
      </c>
      <c r="BW232" t="n">
        <v>0.875000000000001</v>
      </c>
      <c r="BX232" t="n">
        <v>0.862500000000001</v>
      </c>
      <c r="BY232" t="n">
        <v>0.850000000000001</v>
      </c>
      <c r="BZ232" t="n">
        <v>0.8375</v>
      </c>
      <c r="CA232" t="n">
        <v>0.825000000000001</v>
      </c>
      <c r="CB232" t="n">
        <v>0.812500000000001</v>
      </c>
      <c r="CC232" t="n">
        <v>0.800000000000001</v>
      </c>
      <c r="CD232" t="e">
        <v>#VALUE!</v>
      </c>
      <c r="CE232" t="e">
        <v>#VALUE!</v>
      </c>
      <c r="CF232" t="e">
        <v>#VALUE!</v>
      </c>
      <c r="CG232" t="e">
        <v>#VALUE!</v>
      </c>
      <c r="CH232" t="e">
        <v>#VALUE!</v>
      </c>
      <c r="CI232" t="e">
        <v>#VALUE!</v>
      </c>
      <c r="CJ232" t="e">
        <v>#VALUE!</v>
      </c>
      <c r="CK232" t="e">
        <v>#VALUE!</v>
      </c>
    </row>
    <row r="233" ht="12.5" customHeight="1" s="213">
      <c r="A233" t="inlineStr">
        <is>
          <t>LatAm</t>
        </is>
      </c>
      <c r="B233" t="inlineStr">
        <is>
          <t>TTF</t>
        </is>
      </c>
      <c r="C233" t="inlineStr">
        <is>
          <t>TTF</t>
        </is>
      </c>
      <c r="E233" t="n">
        <v>1.84646348307184</v>
      </c>
      <c r="I233" t="n">
        <v>2.9750260287217</v>
      </c>
      <c r="J233" t="n">
        <v>3.41960386866863</v>
      </c>
      <c r="L233" t="n">
        <v>4.40674604488185</v>
      </c>
      <c r="V233" t="n">
        <v>10.1928288864832</v>
      </c>
      <c r="W233" t="n">
        <v>3</v>
      </c>
      <c r="AG233" s="223" t="inlineStr">
        <is>
          <t>GDP</t>
        </is>
      </c>
      <c r="AI233" t="n">
        <v>1</v>
      </c>
      <c r="AJ233" t="n">
        <v>1.00078941646338</v>
      </c>
      <c r="AK233" t="n">
        <v>1.21581050640933</v>
      </c>
      <c r="AL233" t="n">
        <v>1.40669245927961</v>
      </c>
      <c r="AM233" t="n">
        <v>1.63133174234812</v>
      </c>
      <c r="AN233" t="n">
        <v>1.8882728451538</v>
      </c>
      <c r="AO233" t="n">
        <v>2.17187201987731</v>
      </c>
      <c r="AP233" t="n">
        <v>2.4767316393066</v>
      </c>
      <c r="AQ233" t="n">
        <v>2.80352684491355</v>
      </c>
      <c r="AR233" t="n">
        <v>3.15394057256684</v>
      </c>
      <c r="AS233" t="n">
        <v>3.53248082243297</v>
      </c>
      <c r="AT233" t="n">
        <v>3.93194269688489</v>
      </c>
      <c r="AU233" t="n">
        <v>4.34651397012136</v>
      </c>
      <c r="AV233" t="n">
        <v>4.7681845383142</v>
      </c>
      <c r="AW233" t="n">
        <v>5.19480310825725</v>
      </c>
      <c r="AX233" t="n">
        <v>5.62658057118297</v>
      </c>
      <c r="AY233" t="n">
        <v>6.06334183892459</v>
      </c>
      <c r="AZ233" t="n">
        <v>6.50553932545227</v>
      </c>
      <c r="BA233" t="n">
        <v>0</v>
      </c>
      <c r="BB233" t="n">
        <v>0</v>
      </c>
      <c r="BC233" t="n">
        <v>0</v>
      </c>
      <c r="BD233" t="n">
        <v>0</v>
      </c>
      <c r="BE233" t="n">
        <v>0</v>
      </c>
      <c r="BF233" t="n">
        <v>0</v>
      </c>
      <c r="BG233" t="n">
        <v>0</v>
      </c>
      <c r="BH233" t="n">
        <v>0</v>
      </c>
      <c r="BJ233" t="inlineStr">
        <is>
          <t>High2</t>
        </is>
      </c>
      <c r="BL233" t="n">
        <v>1</v>
      </c>
      <c r="BM233" t="n">
        <v>0.997560975609757</v>
      </c>
      <c r="BN233" t="n">
        <v>0.985365853658537</v>
      </c>
      <c r="BO233" t="n">
        <v>0.973170731707317</v>
      </c>
      <c r="BP233" t="n">
        <v>0.960975609756098</v>
      </c>
      <c r="BQ233" t="n">
        <v>0.948780487804878</v>
      </c>
      <c r="BR233" t="n">
        <v>0.936585365853658</v>
      </c>
      <c r="BS233" t="n">
        <v>0.924390243902439</v>
      </c>
      <c r="BT233" t="n">
        <v>0.91219512195122</v>
      </c>
      <c r="BU233" t="n">
        <v>0.9</v>
      </c>
      <c r="BV233" t="n">
        <v>0.8875</v>
      </c>
      <c r="BW233" t="n">
        <v>0.875000000000001</v>
      </c>
      <c r="BX233" t="n">
        <v>0.862500000000001</v>
      </c>
      <c r="BY233" t="n">
        <v>0.850000000000001</v>
      </c>
      <c r="BZ233" t="n">
        <v>0.8375</v>
      </c>
      <c r="CA233" t="n">
        <v>0.825000000000001</v>
      </c>
      <c r="CB233" t="n">
        <v>0.812500000000001</v>
      </c>
      <c r="CC233" t="n">
        <v>0.800000000000001</v>
      </c>
      <c r="CD233" t="e">
        <v>#VALUE!</v>
      </c>
      <c r="CE233" t="e">
        <v>#VALUE!</v>
      </c>
      <c r="CF233" t="e">
        <v>#VALUE!</v>
      </c>
      <c r="CG233" t="e">
        <v>#VALUE!</v>
      </c>
      <c r="CH233" t="e">
        <v>#VALUE!</v>
      </c>
      <c r="CI233" t="e">
        <v>#VALUE!</v>
      </c>
      <c r="CJ233" t="e">
        <v>#VALUE!</v>
      </c>
      <c r="CK233" t="e">
        <v>#VALUE!</v>
      </c>
    </row>
    <row r="234" ht="12.5" customHeight="1" s="213">
      <c r="A234" t="inlineStr">
        <is>
          <t>LatAm</t>
        </is>
      </c>
      <c r="B234" t="inlineStr">
        <is>
          <t>TTP</t>
        </is>
      </c>
      <c r="C234" t="inlineStr">
        <is>
          <t>TTP</t>
        </is>
      </c>
      <c r="E234" t="n">
        <v>5.37764191828844</v>
      </c>
      <c r="I234" t="n">
        <v>5.9759908455789</v>
      </c>
      <c r="J234" t="n">
        <v>6.11874641816906</v>
      </c>
      <c r="L234" t="n">
        <v>6.30184396491898</v>
      </c>
      <c r="V234" t="n">
        <v>5.931543434921</v>
      </c>
      <c r="W234" t="n">
        <v>3</v>
      </c>
      <c r="AG234" s="223" t="inlineStr">
        <is>
          <t>POP</t>
        </is>
      </c>
      <c r="AI234" t="n">
        <v>1</v>
      </c>
      <c r="AJ234" t="n">
        <v>1.0080441712141</v>
      </c>
      <c r="AK234" t="n">
        <v>1.04826224486976</v>
      </c>
      <c r="AL234" t="n">
        <v>1.08852385986843</v>
      </c>
      <c r="AM234" t="n">
        <v>1.12330523906063</v>
      </c>
      <c r="AN234" t="n">
        <v>1.15158756914341</v>
      </c>
      <c r="AO234" t="n">
        <v>1.17323383829214</v>
      </c>
      <c r="AP234" t="n">
        <v>1.18859875487242</v>
      </c>
      <c r="AQ234" t="n">
        <v>1.19815163673558</v>
      </c>
      <c r="AR234" t="n">
        <v>1.20231513639837</v>
      </c>
      <c r="AS234" t="n">
        <v>1.20193154441986</v>
      </c>
      <c r="AT234" t="n">
        <v>1.19737190464594</v>
      </c>
      <c r="AU234" t="n">
        <v>1.18889761547766</v>
      </c>
      <c r="AV234" t="n">
        <v>1.17658460638582</v>
      </c>
      <c r="AW234" t="n">
        <v>1.16115844981834</v>
      </c>
      <c r="AX234" t="n">
        <v>1.14334280329392</v>
      </c>
      <c r="AY234" t="n">
        <v>1.12380721355103</v>
      </c>
      <c r="AZ234" t="n">
        <v>1.10337480273967</v>
      </c>
      <c r="BA234" t="n">
        <v>0</v>
      </c>
      <c r="BB234" t="n">
        <v>0</v>
      </c>
      <c r="BC234" t="n">
        <v>0</v>
      </c>
      <c r="BD234" t="n">
        <v>0</v>
      </c>
      <c r="BE234" t="n">
        <v>0</v>
      </c>
      <c r="BF234" t="n">
        <v>0</v>
      </c>
      <c r="BG234" t="n">
        <v>0</v>
      </c>
      <c r="BH234" t="n">
        <v>0</v>
      </c>
      <c r="BJ234" t="inlineStr">
        <is>
          <t>High2</t>
        </is>
      </c>
      <c r="BL234" t="n">
        <v>1</v>
      </c>
      <c r="BM234" t="n">
        <v>0.997560975609757</v>
      </c>
      <c r="BN234" t="n">
        <v>0.985365853658537</v>
      </c>
      <c r="BO234" t="n">
        <v>0.973170731707317</v>
      </c>
      <c r="BP234" t="n">
        <v>0.960975609756098</v>
      </c>
      <c r="BQ234" t="n">
        <v>0.948780487804878</v>
      </c>
      <c r="BR234" t="n">
        <v>0.936585365853658</v>
      </c>
      <c r="BS234" t="n">
        <v>0.924390243902439</v>
      </c>
      <c r="BT234" t="n">
        <v>0.91219512195122</v>
      </c>
      <c r="BU234" t="n">
        <v>0.9</v>
      </c>
      <c r="BV234" t="n">
        <v>0.8875</v>
      </c>
      <c r="BW234" t="n">
        <v>0.875000000000001</v>
      </c>
      <c r="BX234" t="n">
        <v>0.862500000000001</v>
      </c>
      <c r="BY234" t="n">
        <v>0.850000000000001</v>
      </c>
      <c r="BZ234" t="n">
        <v>0.8375</v>
      </c>
      <c r="CA234" t="n">
        <v>0.825000000000001</v>
      </c>
      <c r="CB234" t="n">
        <v>0.812500000000001</v>
      </c>
      <c r="CC234" t="n">
        <v>0.800000000000001</v>
      </c>
      <c r="CD234" t="e">
        <v>#VALUE!</v>
      </c>
      <c r="CE234" t="e">
        <v>#VALUE!</v>
      </c>
      <c r="CF234" t="e">
        <v>#VALUE!</v>
      </c>
      <c r="CG234" t="e">
        <v>#VALUE!</v>
      </c>
      <c r="CH234" t="e">
        <v>#VALUE!</v>
      </c>
      <c r="CI234" t="e">
        <v>#VALUE!</v>
      </c>
      <c r="CJ234" t="e">
        <v>#VALUE!</v>
      </c>
      <c r="CK234" t="e">
        <v>#VALUE!</v>
      </c>
    </row>
    <row r="235" ht="12.5" customHeight="1" s="213">
      <c r="A235" t="inlineStr">
        <is>
          <t>LatAm</t>
        </is>
      </c>
      <c r="B235" t="inlineStr">
        <is>
          <t>TWD</t>
        </is>
      </c>
      <c r="C235" t="inlineStr">
        <is>
          <t>TWD</t>
        </is>
      </c>
      <c r="E235" t="n">
        <v>51.9865510775928</v>
      </c>
      <c r="F235">
        <f>E235</f>
        <v/>
      </c>
      <c r="I235">
        <f>F235</f>
        <v/>
      </c>
      <c r="J235">
        <f>I235</f>
        <v/>
      </c>
      <c r="L235">
        <f>J235</f>
        <v/>
      </c>
      <c r="V235">
        <f>L235</f>
        <v/>
      </c>
      <c r="W235" t="n">
        <v>3</v>
      </c>
      <c r="AG235" s="223" t="inlineStr">
        <is>
          <t>GDP</t>
        </is>
      </c>
      <c r="AI235" t="n">
        <v>1</v>
      </c>
      <c r="AJ235" t="n">
        <v>1.00078941646338</v>
      </c>
      <c r="AK235" t="n">
        <v>1.21581050640933</v>
      </c>
      <c r="AL235" t="n">
        <v>1.40669245927961</v>
      </c>
      <c r="AM235" t="n">
        <v>1.63133174234812</v>
      </c>
      <c r="AN235" t="n">
        <v>1.8882728451538</v>
      </c>
      <c r="AO235" t="n">
        <v>2.17187201987731</v>
      </c>
      <c r="AP235" t="n">
        <v>2.4767316393066</v>
      </c>
      <c r="AQ235" t="n">
        <v>2.80352684491355</v>
      </c>
      <c r="AR235" t="n">
        <v>3.15394057256684</v>
      </c>
      <c r="AS235" t="n">
        <v>3.53248082243297</v>
      </c>
      <c r="AT235" t="n">
        <v>3.93194269688489</v>
      </c>
      <c r="AU235" t="n">
        <v>4.34651397012136</v>
      </c>
      <c r="AV235" t="n">
        <v>4.7681845383142</v>
      </c>
      <c r="AW235" t="n">
        <v>5.19480310825725</v>
      </c>
      <c r="AX235" t="n">
        <v>5.62658057118297</v>
      </c>
      <c r="AY235" t="n">
        <v>6.06334183892459</v>
      </c>
      <c r="AZ235" t="n">
        <v>6.50553932545227</v>
      </c>
      <c r="BA235" t="n">
        <v>0</v>
      </c>
      <c r="BB235" t="n">
        <v>0</v>
      </c>
      <c r="BC235" t="n">
        <v>0</v>
      </c>
      <c r="BD235" t="n">
        <v>0</v>
      </c>
      <c r="BE235" t="n">
        <v>0</v>
      </c>
      <c r="BF235" t="n">
        <v>0</v>
      </c>
      <c r="BG235" t="n">
        <v>0</v>
      </c>
      <c r="BH235" t="n">
        <v>0</v>
      </c>
      <c r="BJ235" t="inlineStr">
        <is>
          <t>High2</t>
        </is>
      </c>
      <c r="BL235" t="n">
        <v>1</v>
      </c>
      <c r="BM235" t="n">
        <v>0.997560975609757</v>
      </c>
      <c r="BN235" t="n">
        <v>0.985365853658537</v>
      </c>
      <c r="BO235" t="n">
        <v>0.973170731707317</v>
      </c>
      <c r="BP235" t="n">
        <v>0.960975609756098</v>
      </c>
      <c r="BQ235" t="n">
        <v>0.948780487804878</v>
      </c>
      <c r="BR235" t="n">
        <v>0.936585365853658</v>
      </c>
      <c r="BS235" t="n">
        <v>0.924390243902439</v>
      </c>
      <c r="BT235" t="n">
        <v>0.91219512195122</v>
      </c>
      <c r="BU235" t="n">
        <v>0.9</v>
      </c>
      <c r="BV235" t="n">
        <v>0.8875</v>
      </c>
      <c r="BW235" t="n">
        <v>0.875000000000001</v>
      </c>
      <c r="BX235" t="n">
        <v>0.862500000000001</v>
      </c>
      <c r="BY235" t="n">
        <v>0.850000000000001</v>
      </c>
      <c r="BZ235" t="n">
        <v>0.8375</v>
      </c>
      <c r="CA235" t="n">
        <v>0.825000000000001</v>
      </c>
      <c r="CB235" t="n">
        <v>0.812500000000001</v>
      </c>
      <c r="CC235" t="n">
        <v>0.800000000000001</v>
      </c>
      <c r="CD235" t="e">
        <v>#VALUE!</v>
      </c>
      <c r="CE235" t="e">
        <v>#VALUE!</v>
      </c>
      <c r="CF235" t="e">
        <v>#VALUE!</v>
      </c>
      <c r="CG235" t="e">
        <v>#VALUE!</v>
      </c>
      <c r="CH235" t="e">
        <v>#VALUE!</v>
      </c>
      <c r="CI235" t="e">
        <v>#VALUE!</v>
      </c>
      <c r="CJ235" t="e">
        <v>#VALUE!</v>
      </c>
      <c r="CK235" t="e">
        <v>#VALUE!</v>
      </c>
    </row>
    <row r="236" ht="12.5" customHeight="1" s="213">
      <c r="A236" t="inlineStr">
        <is>
          <t>LatAm</t>
        </is>
      </c>
      <c r="B236" t="inlineStr">
        <is>
          <t>TWI</t>
        </is>
      </c>
      <c r="C236" t="inlineStr">
        <is>
          <t>TWI</t>
        </is>
      </c>
      <c r="E236" t="n">
        <v>361.380565652376</v>
      </c>
      <c r="F236">
        <f>E236</f>
        <v/>
      </c>
      <c r="I236">
        <f>F236</f>
        <v/>
      </c>
      <c r="J236">
        <f>I236</f>
        <v/>
      </c>
      <c r="L236">
        <f>J236</f>
        <v/>
      </c>
      <c r="V236">
        <f>L236</f>
        <v/>
      </c>
      <c r="W236" t="n">
        <v>3</v>
      </c>
      <c r="AG236" s="223" t="inlineStr">
        <is>
          <t>GDP</t>
        </is>
      </c>
      <c r="AI236" t="n">
        <v>1</v>
      </c>
      <c r="AJ236" t="n">
        <v>1.00078941646338</v>
      </c>
      <c r="AK236" t="n">
        <v>1.21581050640933</v>
      </c>
      <c r="AL236" t="n">
        <v>1.40669245927961</v>
      </c>
      <c r="AM236" t="n">
        <v>1.63133174234812</v>
      </c>
      <c r="AN236" t="n">
        <v>1.8882728451538</v>
      </c>
      <c r="AO236" t="n">
        <v>2.17187201987731</v>
      </c>
      <c r="AP236" t="n">
        <v>2.4767316393066</v>
      </c>
      <c r="AQ236" t="n">
        <v>2.80352684491355</v>
      </c>
      <c r="AR236" t="n">
        <v>3.15394057256684</v>
      </c>
      <c r="AS236" t="n">
        <v>3.53248082243297</v>
      </c>
      <c r="AT236" t="n">
        <v>3.93194269688489</v>
      </c>
      <c r="AU236" t="n">
        <v>4.34651397012136</v>
      </c>
      <c r="AV236" t="n">
        <v>4.7681845383142</v>
      </c>
      <c r="AW236" t="n">
        <v>5.19480310825725</v>
      </c>
      <c r="AX236" t="n">
        <v>5.62658057118297</v>
      </c>
      <c r="AY236" t="n">
        <v>6.06334183892459</v>
      </c>
      <c r="AZ236" t="n">
        <v>6.50553932545227</v>
      </c>
      <c r="BA236" t="n">
        <v>0</v>
      </c>
      <c r="BB236" t="n">
        <v>0</v>
      </c>
      <c r="BC236" t="n">
        <v>0</v>
      </c>
      <c r="BD236" t="n">
        <v>0</v>
      </c>
      <c r="BE236" t="n">
        <v>0</v>
      </c>
      <c r="BF236" t="n">
        <v>0</v>
      </c>
      <c r="BG236" t="n">
        <v>0</v>
      </c>
      <c r="BH236" t="n">
        <v>0</v>
      </c>
      <c r="BJ236" t="inlineStr">
        <is>
          <t>High2</t>
        </is>
      </c>
      <c r="BL236" t="n">
        <v>1</v>
      </c>
      <c r="BM236" t="n">
        <v>0.997560975609757</v>
      </c>
      <c r="BN236" t="n">
        <v>0.985365853658537</v>
      </c>
      <c r="BO236" t="n">
        <v>0.973170731707317</v>
      </c>
      <c r="BP236" t="n">
        <v>0.960975609756098</v>
      </c>
      <c r="BQ236" t="n">
        <v>0.948780487804878</v>
      </c>
      <c r="BR236" t="n">
        <v>0.936585365853658</v>
      </c>
      <c r="BS236" t="n">
        <v>0.924390243902439</v>
      </c>
      <c r="BT236" t="n">
        <v>0.91219512195122</v>
      </c>
      <c r="BU236" t="n">
        <v>0.9</v>
      </c>
      <c r="BV236" t="n">
        <v>0.8875</v>
      </c>
      <c r="BW236" t="n">
        <v>0.875000000000001</v>
      </c>
      <c r="BX236" t="n">
        <v>0.862500000000001</v>
      </c>
      <c r="BY236" t="n">
        <v>0.850000000000001</v>
      </c>
      <c r="BZ236" t="n">
        <v>0.8375</v>
      </c>
      <c r="CA236" t="n">
        <v>0.825000000000001</v>
      </c>
      <c r="CB236" t="n">
        <v>0.812500000000001</v>
      </c>
      <c r="CC236" t="n">
        <v>0.800000000000001</v>
      </c>
      <c r="CD236" t="e">
        <v>#VALUE!</v>
      </c>
      <c r="CE236" t="e">
        <v>#VALUE!</v>
      </c>
      <c r="CF236" t="e">
        <v>#VALUE!</v>
      </c>
      <c r="CG236" t="e">
        <v>#VALUE!</v>
      </c>
      <c r="CH236" t="e">
        <v>#VALUE!</v>
      </c>
      <c r="CI236" t="e">
        <v>#VALUE!</v>
      </c>
      <c r="CJ236" t="e">
        <v>#VALUE!</v>
      </c>
      <c r="CK236" t="e">
        <v>#VALUE!</v>
      </c>
    </row>
    <row r="237" ht="12.5" customHeight="1" s="213">
      <c r="A237" t="inlineStr">
        <is>
          <t>LatAm</t>
        </is>
      </c>
      <c r="B237" t="inlineStr">
        <is>
          <t>Trd_2w</t>
        </is>
      </c>
      <c r="C237" t="inlineStr">
        <is>
          <t>Trd_2w</t>
        </is>
      </c>
      <c r="D237" t="n">
        <v>22.827</v>
      </c>
      <c r="E237" t="n">
        <v>23.0101764321669</v>
      </c>
      <c r="G237" t="n">
        <v>23.9147817978553</v>
      </c>
      <c r="H237" t="n">
        <v>24.8086566291136</v>
      </c>
      <c r="I237" t="n">
        <v>25.5704276713073</v>
      </c>
      <c r="J237" t="n">
        <v>26.1812587682614</v>
      </c>
      <c r="K237" t="n">
        <v>26.6421770951213</v>
      </c>
      <c r="L237" t="n">
        <v>26.9647075212705</v>
      </c>
      <c r="M237" t="n">
        <v>27.1623965626716</v>
      </c>
      <c r="N237" t="n">
        <v>27.2473453812649</v>
      </c>
      <c r="O237" t="n">
        <v>27.2396302421622</v>
      </c>
      <c r="P237" t="n">
        <v>27.149211166884</v>
      </c>
      <c r="Q237" t="n">
        <v>26.9834852100969</v>
      </c>
      <c r="R237" t="n">
        <v>26.745945231686</v>
      </c>
      <c r="S237" t="n">
        <v>26.452263224649</v>
      </c>
      <c r="T237" t="n">
        <v>26.1174312803521</v>
      </c>
      <c r="U237" t="n">
        <v>25.7548512390089</v>
      </c>
      <c r="V237" t="n">
        <v>25.3802434275939</v>
      </c>
      <c r="W237" t="n">
        <v>3</v>
      </c>
      <c r="AG237" s="223" t="inlineStr">
        <is>
          <t>POP</t>
        </is>
      </c>
      <c r="AI237" t="n">
        <v>1</v>
      </c>
      <c r="AJ237" t="n">
        <v>1.0080441712141</v>
      </c>
      <c r="AK237" t="n">
        <v>1.04826224486976</v>
      </c>
      <c r="AL237" t="n">
        <v>1.08852385986843</v>
      </c>
      <c r="AM237" t="n">
        <v>1.12330523906063</v>
      </c>
      <c r="AN237" t="n">
        <v>1.15158756914341</v>
      </c>
      <c r="AO237" t="n">
        <v>1.17323383829214</v>
      </c>
      <c r="AP237" t="n">
        <v>1.18859875487242</v>
      </c>
      <c r="AQ237" t="n">
        <v>1.19815163673558</v>
      </c>
      <c r="AR237" t="n">
        <v>1.20231513639837</v>
      </c>
      <c r="AS237" t="n">
        <v>1.20193154441986</v>
      </c>
      <c r="AT237" t="n">
        <v>1.19737190464594</v>
      </c>
      <c r="AU237" t="n">
        <v>1.18889761547766</v>
      </c>
      <c r="AV237" t="n">
        <v>1.17658460638582</v>
      </c>
      <c r="AW237" t="n">
        <v>1.16115844981834</v>
      </c>
      <c r="AX237" t="n">
        <v>1.14334280329392</v>
      </c>
      <c r="AY237" t="n">
        <v>1.12380721355103</v>
      </c>
      <c r="AZ237" t="n">
        <v>1.10337480273967</v>
      </c>
      <c r="BA237" t="n">
        <v>0</v>
      </c>
      <c r="BB237" t="n">
        <v>0</v>
      </c>
      <c r="BC237" t="n">
        <v>0</v>
      </c>
      <c r="BD237" t="n">
        <v>0</v>
      </c>
      <c r="BE237" t="n">
        <v>0</v>
      </c>
      <c r="BF237" t="n">
        <v>0</v>
      </c>
      <c r="BG237" t="n">
        <v>0</v>
      </c>
      <c r="BH237" t="n">
        <v>0</v>
      </c>
      <c r="BJ237" t="inlineStr">
        <is>
          <t>High2</t>
        </is>
      </c>
      <c r="BL237" t="n">
        <v>1</v>
      </c>
      <c r="BM237" t="n">
        <v>0.997560975609757</v>
      </c>
      <c r="BN237" t="n">
        <v>0.985365853658537</v>
      </c>
      <c r="BO237" t="n">
        <v>0.973170731707317</v>
      </c>
      <c r="BP237" t="n">
        <v>0.960975609756098</v>
      </c>
      <c r="BQ237" t="n">
        <v>0.948780487804878</v>
      </c>
      <c r="BR237" t="n">
        <v>0.936585365853658</v>
      </c>
      <c r="BS237" t="n">
        <v>0.924390243902439</v>
      </c>
      <c r="BT237" t="n">
        <v>0.91219512195122</v>
      </c>
      <c r="BU237" t="n">
        <v>0.9</v>
      </c>
      <c r="BV237" t="n">
        <v>0.8875</v>
      </c>
      <c r="BW237" t="n">
        <v>0.875000000000001</v>
      </c>
      <c r="BX237" t="n">
        <v>0.862500000000001</v>
      </c>
      <c r="BY237" t="n">
        <v>0.850000000000001</v>
      </c>
      <c r="BZ237" t="n">
        <v>0.8375</v>
      </c>
      <c r="CA237" t="n">
        <v>0.825000000000001</v>
      </c>
      <c r="CB237" t="n">
        <v>0.812500000000001</v>
      </c>
      <c r="CC237" t="n">
        <v>0.800000000000001</v>
      </c>
      <c r="CD237" t="e">
        <v>#VALUE!</v>
      </c>
      <c r="CE237" t="e">
        <v>#VALUE!</v>
      </c>
      <c r="CF237" t="e">
        <v>#VALUE!</v>
      </c>
      <c r="CG237" t="e">
        <v>#VALUE!</v>
      </c>
      <c r="CH237" t="e">
        <v>#VALUE!</v>
      </c>
      <c r="CI237" t="e">
        <v>#VALUE!</v>
      </c>
      <c r="CJ237" t="e">
        <v>#VALUE!</v>
      </c>
      <c r="CK237" t="e">
        <v>#VALUE!</v>
      </c>
    </row>
    <row r="238" ht="12.5" customHeight="1" s="213">
      <c r="A238" t="inlineStr">
        <is>
          <t>LatAm</t>
        </is>
      </c>
      <c r="B238" t="inlineStr">
        <is>
          <t>Trd_3w</t>
        </is>
      </c>
      <c r="C238" t="inlineStr">
        <is>
          <t>Trd_3w</t>
        </is>
      </c>
      <c r="D238" t="n">
        <v>5.145</v>
      </c>
      <c r="E238" t="n">
        <v>5.18628631635777</v>
      </c>
      <c r="G238" t="n">
        <v>5.39017621018817</v>
      </c>
      <c r="H238" t="n">
        <v>5.59164753830068</v>
      </c>
      <c r="I238" t="n">
        <v>5.76334386335814</v>
      </c>
      <c r="J238" t="n">
        <v>5.9010196855787</v>
      </c>
      <c r="K238" t="n">
        <v>6.00490652097951</v>
      </c>
      <c r="L238" t="n">
        <v>6.07760197121553</v>
      </c>
      <c r="M238" t="n">
        <v>6.12215929885421</v>
      </c>
      <c r="N238" t="n">
        <v>6.14130599669723</v>
      </c>
      <c r="O238" t="n">
        <v>6.13956707390041</v>
      </c>
      <c r="P238" t="n">
        <v>6.11918742951848</v>
      </c>
      <c r="Q238" t="n">
        <v>6.08183429298411</v>
      </c>
      <c r="R238" t="n">
        <v>6.0282949234251</v>
      </c>
      <c r="S238" t="n">
        <v>5.96210164677002</v>
      </c>
      <c r="T238" t="n">
        <v>5.88663354524954</v>
      </c>
      <c r="U238" t="n">
        <v>5.80491127282168</v>
      </c>
      <c r="V238" t="n">
        <v>5.72047804945768</v>
      </c>
      <c r="W238" t="n">
        <v>3</v>
      </c>
      <c r="AG238" s="223" t="inlineStr">
        <is>
          <t>POP</t>
        </is>
      </c>
      <c r="AI238" t="n">
        <v>1</v>
      </c>
      <c r="AJ238" t="n">
        <v>1.0080441712141</v>
      </c>
      <c r="AK238" t="n">
        <v>1.04826224486976</v>
      </c>
      <c r="AL238" t="n">
        <v>1.08852385986843</v>
      </c>
      <c r="AM238" t="n">
        <v>1.12330523906063</v>
      </c>
      <c r="AN238" t="n">
        <v>1.15158756914341</v>
      </c>
      <c r="AO238" t="n">
        <v>1.17323383829214</v>
      </c>
      <c r="AP238" t="n">
        <v>1.18859875487242</v>
      </c>
      <c r="AQ238" t="n">
        <v>1.19815163673558</v>
      </c>
      <c r="AR238" t="n">
        <v>1.20231513639837</v>
      </c>
      <c r="AS238" t="n">
        <v>1.20193154441986</v>
      </c>
      <c r="AT238" t="n">
        <v>1.19737190464594</v>
      </c>
      <c r="AU238" t="n">
        <v>1.18889761547766</v>
      </c>
      <c r="AV238" t="n">
        <v>1.17658460638582</v>
      </c>
      <c r="AW238" t="n">
        <v>1.16115844981834</v>
      </c>
      <c r="AX238" t="n">
        <v>1.14334280329392</v>
      </c>
      <c r="AY238" t="n">
        <v>1.12380721355103</v>
      </c>
      <c r="AZ238" t="n">
        <v>1.10337480273967</v>
      </c>
      <c r="BA238" t="n">
        <v>0</v>
      </c>
      <c r="BB238" t="n">
        <v>0</v>
      </c>
      <c r="BC238" t="n">
        <v>0</v>
      </c>
      <c r="BD238" t="n">
        <v>0</v>
      </c>
      <c r="BE238" t="n">
        <v>0</v>
      </c>
      <c r="BF238" t="n">
        <v>0</v>
      </c>
      <c r="BG238" t="n">
        <v>0</v>
      </c>
      <c r="BH238" t="n">
        <v>0</v>
      </c>
      <c r="BJ238" t="inlineStr">
        <is>
          <t>High2</t>
        </is>
      </c>
      <c r="BL238" t="n">
        <v>1</v>
      </c>
      <c r="BM238" t="n">
        <v>0.997560975609757</v>
      </c>
      <c r="BN238" t="n">
        <v>0.985365853658537</v>
      </c>
      <c r="BO238" t="n">
        <v>0.973170731707317</v>
      </c>
      <c r="BP238" t="n">
        <v>0.960975609756098</v>
      </c>
      <c r="BQ238" t="n">
        <v>0.948780487804878</v>
      </c>
      <c r="BR238" t="n">
        <v>0.936585365853658</v>
      </c>
      <c r="BS238" t="n">
        <v>0.924390243902439</v>
      </c>
      <c r="BT238" t="n">
        <v>0.91219512195122</v>
      </c>
      <c r="BU238" t="n">
        <v>0.9</v>
      </c>
      <c r="BV238" t="n">
        <v>0.8875</v>
      </c>
      <c r="BW238" t="n">
        <v>0.875000000000001</v>
      </c>
      <c r="BX238" t="n">
        <v>0.862500000000001</v>
      </c>
      <c r="BY238" t="n">
        <v>0.850000000000001</v>
      </c>
      <c r="BZ238" t="n">
        <v>0.8375</v>
      </c>
      <c r="CA238" t="n">
        <v>0.825000000000001</v>
      </c>
      <c r="CB238" t="n">
        <v>0.812500000000001</v>
      </c>
      <c r="CC238" t="n">
        <v>0.800000000000001</v>
      </c>
      <c r="CD238" t="e">
        <v>#VALUE!</v>
      </c>
      <c r="CE238" t="e">
        <v>#VALUE!</v>
      </c>
      <c r="CF238" t="e">
        <v>#VALUE!</v>
      </c>
      <c r="CG238" t="e">
        <v>#VALUE!</v>
      </c>
      <c r="CH238" t="e">
        <v>#VALUE!</v>
      </c>
      <c r="CI238" t="e">
        <v>#VALUE!</v>
      </c>
      <c r="CJ238" t="e">
        <v>#VALUE!</v>
      </c>
      <c r="CK238" t="e">
        <v>#VALUE!</v>
      </c>
    </row>
    <row r="239" ht="12.5" customHeight="1" s="213">
      <c r="A239" t="inlineStr">
        <is>
          <t>LatAm</t>
        </is>
      </c>
      <c r="B239" t="inlineStr">
        <is>
          <t>Trd_bus</t>
        </is>
      </c>
      <c r="C239" t="inlineStr">
        <is>
          <t>Trd_bus</t>
        </is>
      </c>
      <c r="D239" t="n">
        <v>16.765</v>
      </c>
      <c r="E239" t="n">
        <v>16.8995316022814</v>
      </c>
      <c r="G239" t="n">
        <v>17.5639075148308</v>
      </c>
      <c r="H239" t="n">
        <v>18.2204025227621</v>
      </c>
      <c r="I239" t="n">
        <v>18.7798755819629</v>
      </c>
      <c r="J239" t="n">
        <v>19.2284927169537</v>
      </c>
      <c r="K239" t="n">
        <v>19.5670083234638</v>
      </c>
      <c r="L239" t="n">
        <v>19.8038866953213</v>
      </c>
      <c r="M239" t="n">
        <v>19.9490768989875</v>
      </c>
      <c r="N239" t="n">
        <v>20.0114664790338</v>
      </c>
      <c r="O239" t="n">
        <v>20.0058001931857</v>
      </c>
      <c r="P239" t="n">
        <v>19.9393930526486</v>
      </c>
      <c r="Q239" t="n">
        <v>19.8176777301999</v>
      </c>
      <c r="R239" t="n">
        <v>19.6432195123852</v>
      </c>
      <c r="S239" t="n">
        <v>19.4275284952574</v>
      </c>
      <c r="T239" t="n">
        <v>19.1816154297587</v>
      </c>
      <c r="U239" t="n">
        <v>18.9153231270856</v>
      </c>
      <c r="V239" t="n">
        <v>18.6401971815662</v>
      </c>
      <c r="W239" t="n">
        <v>3</v>
      </c>
      <c r="AG239" s="223" t="inlineStr">
        <is>
          <t>POP</t>
        </is>
      </c>
      <c r="AI239" t="n">
        <v>1</v>
      </c>
      <c r="AJ239" t="n">
        <v>1.0080441712141</v>
      </c>
      <c r="AK239" t="n">
        <v>1.04826224486976</v>
      </c>
      <c r="AL239" t="n">
        <v>1.08852385986843</v>
      </c>
      <c r="AM239" t="n">
        <v>1.12330523906063</v>
      </c>
      <c r="AN239" t="n">
        <v>1.15158756914341</v>
      </c>
      <c r="AO239" t="n">
        <v>1.17323383829214</v>
      </c>
      <c r="AP239" t="n">
        <v>1.18859875487242</v>
      </c>
      <c r="AQ239" t="n">
        <v>1.19815163673558</v>
      </c>
      <c r="AR239" t="n">
        <v>1.20231513639837</v>
      </c>
      <c r="AS239" t="n">
        <v>1.20193154441986</v>
      </c>
      <c r="AT239" t="n">
        <v>1.19737190464594</v>
      </c>
      <c r="AU239" t="n">
        <v>1.18889761547766</v>
      </c>
      <c r="AV239" t="n">
        <v>1.17658460638582</v>
      </c>
      <c r="AW239" t="n">
        <v>1.16115844981834</v>
      </c>
      <c r="AX239" t="n">
        <v>1.14334280329392</v>
      </c>
      <c r="AY239" t="n">
        <v>1.12380721355103</v>
      </c>
      <c r="AZ239" t="n">
        <v>1.10337480273967</v>
      </c>
      <c r="BA239" t="n">
        <v>0</v>
      </c>
      <c r="BB239" t="n">
        <v>0</v>
      </c>
      <c r="BC239" t="n">
        <v>0</v>
      </c>
      <c r="BD239" t="n">
        <v>0</v>
      </c>
      <c r="BE239" t="n">
        <v>0</v>
      </c>
      <c r="BF239" t="n">
        <v>0</v>
      </c>
      <c r="BG239" t="n">
        <v>0</v>
      </c>
      <c r="BH239" t="n">
        <v>0</v>
      </c>
      <c r="BJ239" t="inlineStr">
        <is>
          <t>High2</t>
        </is>
      </c>
      <c r="BL239" t="n">
        <v>1</v>
      </c>
      <c r="BM239" t="n">
        <v>0.997560975609757</v>
      </c>
      <c r="BN239" t="n">
        <v>0.985365853658537</v>
      </c>
      <c r="BO239" t="n">
        <v>0.973170731707317</v>
      </c>
      <c r="BP239" t="n">
        <v>0.960975609756098</v>
      </c>
      <c r="BQ239" t="n">
        <v>0.948780487804878</v>
      </c>
      <c r="BR239" t="n">
        <v>0.936585365853658</v>
      </c>
      <c r="BS239" t="n">
        <v>0.924390243902439</v>
      </c>
      <c r="BT239" t="n">
        <v>0.91219512195122</v>
      </c>
      <c r="BU239" t="n">
        <v>0.9</v>
      </c>
      <c r="BV239" t="n">
        <v>0.8875</v>
      </c>
      <c r="BW239" t="n">
        <v>0.875000000000001</v>
      </c>
      <c r="BX239" t="n">
        <v>0.862500000000001</v>
      </c>
      <c r="BY239" t="n">
        <v>0.850000000000001</v>
      </c>
      <c r="BZ239" t="n">
        <v>0.8375</v>
      </c>
      <c r="CA239" t="n">
        <v>0.825000000000001</v>
      </c>
      <c r="CB239" t="n">
        <v>0.812500000000001</v>
      </c>
      <c r="CC239" t="n">
        <v>0.800000000000001</v>
      </c>
      <c r="CD239" t="e">
        <v>#VALUE!</v>
      </c>
      <c r="CE239" t="e">
        <v>#VALUE!</v>
      </c>
      <c r="CF239" t="e">
        <v>#VALUE!</v>
      </c>
      <c r="CG239" t="e">
        <v>#VALUE!</v>
      </c>
      <c r="CH239" t="e">
        <v>#VALUE!</v>
      </c>
      <c r="CI239" t="e">
        <v>#VALUE!</v>
      </c>
      <c r="CJ239" t="e">
        <v>#VALUE!</v>
      </c>
      <c r="CK239" t="e">
        <v>#VALUE!</v>
      </c>
    </row>
    <row r="240" ht="12.5" customHeight="1" s="213">
      <c r="A240" t="inlineStr">
        <is>
          <t>LatAm</t>
        </is>
      </c>
      <c r="B240" t="inlineStr">
        <is>
          <t>Trd_car</t>
        </is>
      </c>
      <c r="C240" t="inlineStr">
        <is>
          <t>Trd_car</t>
        </is>
      </c>
      <c r="D240" t="n">
        <v>803.328</v>
      </c>
      <c r="E240" t="n">
        <v>797.560660349608</v>
      </c>
      <c r="G240" t="n">
        <v>929.780185258728</v>
      </c>
      <c r="H240" t="n">
        <v>1033.11721180092</v>
      </c>
      <c r="I240" t="n">
        <v>1156.0111815092</v>
      </c>
      <c r="J240" t="n">
        <v>1297.58213678564</v>
      </c>
      <c r="K240" t="n">
        <v>1454.31724085563</v>
      </c>
      <c r="L240" t="n">
        <v>1623.2030962136</v>
      </c>
      <c r="M240" t="n">
        <v>1805.20969663489</v>
      </c>
      <c r="N240" t="n">
        <v>2001.95071552467</v>
      </c>
      <c r="O240" t="n">
        <v>2215.83151876672</v>
      </c>
      <c r="P240" t="n">
        <v>2443.30001861929</v>
      </c>
      <c r="Q240" t="n">
        <v>2682.09637551408</v>
      </c>
      <c r="R240" t="n">
        <v>2929.43858405422</v>
      </c>
      <c r="S240" t="n">
        <v>3184.45946218753</v>
      </c>
      <c r="T240" t="n">
        <v>3447.16266069794</v>
      </c>
      <c r="U240" t="n">
        <v>3717.04240420908</v>
      </c>
      <c r="V240" t="n">
        <v>3992.99054474614</v>
      </c>
      <c r="W240" t="n">
        <v>3</v>
      </c>
      <c r="AG240" s="223" t="inlineStr">
        <is>
          <t>GDPPCAP</t>
        </is>
      </c>
      <c r="AI240" t="n">
        <v>1</v>
      </c>
      <c r="AJ240" t="n">
        <v>0.992803138039093</v>
      </c>
      <c r="AK240" t="n">
        <v>1.15983429944134</v>
      </c>
      <c r="AL240" t="n">
        <v>1.29229363833112</v>
      </c>
      <c r="AM240" t="n">
        <v>1.45226042363368</v>
      </c>
      <c r="AN240" t="n">
        <v>1.63971277195912</v>
      </c>
      <c r="AO240" t="n">
        <v>1.85118426437382</v>
      </c>
      <c r="AP240" t="n">
        <v>2.08374073181024</v>
      </c>
      <c r="AQ240" t="n">
        <v>2.3398764888824</v>
      </c>
      <c r="AR240" t="n">
        <v>2.62322287816713</v>
      </c>
      <c r="AS240" t="n">
        <v>2.93900333911114</v>
      </c>
      <c r="AT240" t="n">
        <v>3.28381072048585</v>
      </c>
      <c r="AU240" t="n">
        <v>3.65591949511571</v>
      </c>
      <c r="AV240" t="n">
        <v>4.05256410158288</v>
      </c>
      <c r="AW240" t="n">
        <v>4.47381070952889</v>
      </c>
      <c r="AX240" t="n">
        <v>4.92116673579703</v>
      </c>
      <c r="AY240" t="n">
        <v>5.39535764302982</v>
      </c>
      <c r="AZ240" t="n">
        <v>5.89603760145609</v>
      </c>
      <c r="BA240" t="n">
        <v>0</v>
      </c>
      <c r="BB240" t="n">
        <v>0</v>
      </c>
      <c r="BC240" t="n">
        <v>0</v>
      </c>
      <c r="BD240" t="n">
        <v>0</v>
      </c>
      <c r="BE240" t="n">
        <v>0</v>
      </c>
      <c r="BF240" t="n">
        <v>0</v>
      </c>
      <c r="BG240" t="n">
        <v>0</v>
      </c>
      <c r="BH240" t="n">
        <v>0</v>
      </c>
      <c r="BJ240" t="inlineStr">
        <is>
          <t>High2</t>
        </is>
      </c>
      <c r="BL240" t="n">
        <v>1</v>
      </c>
      <c r="BM240" t="n">
        <v>0.997560975609757</v>
      </c>
      <c r="BN240" t="n">
        <v>0.985365853658537</v>
      </c>
      <c r="BO240" t="n">
        <v>0.973170731707317</v>
      </c>
      <c r="BP240" t="n">
        <v>0.960975609756098</v>
      </c>
      <c r="BQ240" t="n">
        <v>0.948780487804878</v>
      </c>
      <c r="BR240" t="n">
        <v>0.936585365853658</v>
      </c>
      <c r="BS240" t="n">
        <v>0.924390243902439</v>
      </c>
      <c r="BT240" t="n">
        <v>0.91219512195122</v>
      </c>
      <c r="BU240" t="n">
        <v>0.9</v>
      </c>
      <c r="BV240" t="n">
        <v>0.8875</v>
      </c>
      <c r="BW240" t="n">
        <v>0.875000000000001</v>
      </c>
      <c r="BX240" t="n">
        <v>0.862500000000001</v>
      </c>
      <c r="BY240" t="n">
        <v>0.850000000000001</v>
      </c>
      <c r="BZ240" t="n">
        <v>0.8375</v>
      </c>
      <c r="CA240" t="n">
        <v>0.825000000000001</v>
      </c>
      <c r="CB240" t="n">
        <v>0.812500000000001</v>
      </c>
      <c r="CC240" t="n">
        <v>0.800000000000001</v>
      </c>
      <c r="CD240" t="e">
        <v>#VALUE!</v>
      </c>
      <c r="CE240" t="e">
        <v>#VALUE!</v>
      </c>
      <c r="CF240" t="e">
        <v>#VALUE!</v>
      </c>
      <c r="CG240" t="e">
        <v>#VALUE!</v>
      </c>
      <c r="CH240" t="e">
        <v>#VALUE!</v>
      </c>
      <c r="CI240" t="e">
        <v>#VALUE!</v>
      </c>
      <c r="CJ240" t="e">
        <v>#VALUE!</v>
      </c>
      <c r="CK240" t="e">
        <v>#VALUE!</v>
      </c>
    </row>
    <row r="241" ht="12.5" customHeight="1" s="213">
      <c r="A241" t="inlineStr">
        <is>
          <t>LatAm</t>
        </is>
      </c>
      <c r="B241" t="inlineStr">
        <is>
          <t>Trd_hdt</t>
        </is>
      </c>
      <c r="C241" t="inlineStr">
        <is>
          <t>Trd_hdt</t>
        </is>
      </c>
      <c r="D241" t="n">
        <v>167.7</v>
      </c>
      <c r="E241" t="n">
        <v>167.832062250321</v>
      </c>
      <c r="G241" t="n">
        <v>203.36333745473</v>
      </c>
      <c r="H241" t="n">
        <v>234.434727091288</v>
      </c>
      <c r="I241" t="n">
        <v>270.411388162459</v>
      </c>
      <c r="J241" t="n">
        <v>310.820752546398</v>
      </c>
      <c r="K241" t="n">
        <v>354.542507947354</v>
      </c>
      <c r="L241" t="n">
        <v>400.545845236838</v>
      </c>
      <c r="M241" t="n">
        <v>448.755797451494</v>
      </c>
      <c r="N241" t="n">
        <v>499.236916570675</v>
      </c>
      <c r="O241" t="n">
        <v>552.41511404419</v>
      </c>
      <c r="P241" t="n">
        <v>607.075051216112</v>
      </c>
      <c r="Q241" t="n">
        <v>662.28197069296</v>
      </c>
      <c r="R241" t="n">
        <v>716.894723414988</v>
      </c>
      <c r="S241" t="n">
        <v>770.61359731093</v>
      </c>
      <c r="T241" t="n">
        <v>823.455870835527</v>
      </c>
      <c r="U241" t="n">
        <v>875.391246280586</v>
      </c>
      <c r="V241" t="n">
        <v>926.464838252404</v>
      </c>
      <c r="W241" t="n">
        <v>3</v>
      </c>
      <c r="AG241" s="223" t="inlineStr">
        <is>
          <t>GDP</t>
        </is>
      </c>
      <c r="AI241" t="n">
        <v>1</v>
      </c>
      <c r="AJ241" t="n">
        <v>1.00078941646338</v>
      </c>
      <c r="AK241" t="n">
        <v>1.21581050640933</v>
      </c>
      <c r="AL241" t="n">
        <v>1.40669245927961</v>
      </c>
      <c r="AM241" t="n">
        <v>1.63133174234812</v>
      </c>
      <c r="AN241" t="n">
        <v>1.8882728451538</v>
      </c>
      <c r="AO241" t="n">
        <v>2.17187201987731</v>
      </c>
      <c r="AP241" t="n">
        <v>2.4767316393066</v>
      </c>
      <c r="AQ241" t="n">
        <v>2.80352684491355</v>
      </c>
      <c r="AR241" t="n">
        <v>3.15394057256684</v>
      </c>
      <c r="AS241" t="n">
        <v>3.53248082243297</v>
      </c>
      <c r="AT241" t="n">
        <v>3.93194269688489</v>
      </c>
      <c r="AU241" t="n">
        <v>4.34651397012136</v>
      </c>
      <c r="AV241" t="n">
        <v>4.7681845383142</v>
      </c>
      <c r="AW241" t="n">
        <v>5.19480310825725</v>
      </c>
      <c r="AX241" t="n">
        <v>5.62658057118297</v>
      </c>
      <c r="AY241" t="n">
        <v>6.06334183892459</v>
      </c>
      <c r="AZ241" t="n">
        <v>6.50553932545227</v>
      </c>
      <c r="BA241" t="n">
        <v>0</v>
      </c>
      <c r="BB241" t="n">
        <v>0</v>
      </c>
      <c r="BC241" t="n">
        <v>0</v>
      </c>
      <c r="BD241" t="n">
        <v>0</v>
      </c>
      <c r="BE241" t="n">
        <v>0</v>
      </c>
      <c r="BF241" t="n">
        <v>0</v>
      </c>
      <c r="BG241" t="n">
        <v>0</v>
      </c>
      <c r="BH241" t="n">
        <v>0</v>
      </c>
      <c r="BJ241" t="inlineStr">
        <is>
          <t>High2</t>
        </is>
      </c>
      <c r="BL241" t="n">
        <v>1</v>
      </c>
      <c r="BM241" t="n">
        <v>0.997560975609757</v>
      </c>
      <c r="BN241" t="n">
        <v>0.985365853658537</v>
      </c>
      <c r="BO241" t="n">
        <v>0.973170731707317</v>
      </c>
      <c r="BP241" t="n">
        <v>0.960975609756098</v>
      </c>
      <c r="BQ241" t="n">
        <v>0.948780487804878</v>
      </c>
      <c r="BR241" t="n">
        <v>0.936585365853658</v>
      </c>
      <c r="BS241" t="n">
        <v>0.924390243902439</v>
      </c>
      <c r="BT241" t="n">
        <v>0.91219512195122</v>
      </c>
      <c r="BU241" t="n">
        <v>0.9</v>
      </c>
      <c r="BV241" t="n">
        <v>0.8875</v>
      </c>
      <c r="BW241" t="n">
        <v>0.875000000000001</v>
      </c>
      <c r="BX241" t="n">
        <v>0.862500000000001</v>
      </c>
      <c r="BY241" t="n">
        <v>0.850000000000001</v>
      </c>
      <c r="BZ241" t="n">
        <v>0.8375</v>
      </c>
      <c r="CA241" t="n">
        <v>0.825000000000001</v>
      </c>
      <c r="CB241" t="n">
        <v>0.812500000000001</v>
      </c>
      <c r="CC241" t="n">
        <v>0.800000000000001</v>
      </c>
      <c r="CD241" t="e">
        <v>#VALUE!</v>
      </c>
      <c r="CE241" t="e">
        <v>#VALUE!</v>
      </c>
      <c r="CF241" t="e">
        <v>#VALUE!</v>
      </c>
      <c r="CG241" t="e">
        <v>#VALUE!</v>
      </c>
      <c r="CH241" t="e">
        <v>#VALUE!</v>
      </c>
      <c r="CI241" t="e">
        <v>#VALUE!</v>
      </c>
      <c r="CJ241" t="e">
        <v>#VALUE!</v>
      </c>
      <c r="CK241" t="e">
        <v>#VALUE!</v>
      </c>
    </row>
    <row r="242" ht="12.5" customHeight="1" s="213">
      <c r="A242" t="inlineStr">
        <is>
          <t>LatAm</t>
        </is>
      </c>
      <c r="B242" t="inlineStr">
        <is>
          <t>Trd_lcv</t>
        </is>
      </c>
      <c r="C242" t="inlineStr">
        <is>
          <t>Trd_lcv</t>
        </is>
      </c>
      <c r="D242" t="n">
        <v>102.28</v>
      </c>
      <c r="E242" t="n">
        <v>102.360544585348</v>
      </c>
      <c r="G242" t="n">
        <v>124.031020601489</v>
      </c>
      <c r="H242" t="n">
        <v>142.981418526517</v>
      </c>
      <c r="I242" t="n">
        <v>164.923534771952</v>
      </c>
      <c r="J242" t="n">
        <v>189.569150688405</v>
      </c>
      <c r="K242" t="n">
        <v>216.234989343204</v>
      </c>
      <c r="L242" t="n">
        <v>244.292361662634</v>
      </c>
      <c r="M242" t="n">
        <v>273.695545398562</v>
      </c>
      <c r="N242" t="n">
        <v>304.483910714661</v>
      </c>
      <c r="O242" t="n">
        <v>336.917220420034</v>
      </c>
      <c r="P242" t="n">
        <v>370.254241135265</v>
      </c>
      <c r="Q242" t="n">
        <v>403.924865608086</v>
      </c>
      <c r="R242" t="n">
        <v>437.233108592039</v>
      </c>
      <c r="S242" t="n">
        <v>469.996176105915</v>
      </c>
      <c r="T242" t="n">
        <v>502.224606255562</v>
      </c>
      <c r="U242" t="n">
        <v>533.899920510307</v>
      </c>
      <c r="V242" t="n">
        <v>565.049634206655</v>
      </c>
      <c r="W242" t="n">
        <v>3</v>
      </c>
      <c r="AG242" s="223" t="inlineStr">
        <is>
          <t>GDP</t>
        </is>
      </c>
      <c r="AI242" t="n">
        <v>1</v>
      </c>
      <c r="AJ242" t="n">
        <v>1.00078941646338</v>
      </c>
      <c r="AK242" t="n">
        <v>1.21581050640933</v>
      </c>
      <c r="AL242" t="n">
        <v>1.40669245927961</v>
      </c>
      <c r="AM242" t="n">
        <v>1.63133174234812</v>
      </c>
      <c r="AN242" t="n">
        <v>1.8882728451538</v>
      </c>
      <c r="AO242" t="n">
        <v>2.17187201987731</v>
      </c>
      <c r="AP242" t="n">
        <v>2.4767316393066</v>
      </c>
      <c r="AQ242" t="n">
        <v>2.80352684491355</v>
      </c>
      <c r="AR242" t="n">
        <v>3.15394057256684</v>
      </c>
      <c r="AS242" t="n">
        <v>3.53248082243297</v>
      </c>
      <c r="AT242" t="n">
        <v>3.93194269688489</v>
      </c>
      <c r="AU242" t="n">
        <v>4.34651397012136</v>
      </c>
      <c r="AV242" t="n">
        <v>4.7681845383142</v>
      </c>
      <c r="AW242" t="n">
        <v>5.19480310825725</v>
      </c>
      <c r="AX242" t="n">
        <v>5.62658057118297</v>
      </c>
      <c r="AY242" t="n">
        <v>6.06334183892459</v>
      </c>
      <c r="AZ242" t="n">
        <v>6.50553932545227</v>
      </c>
      <c r="BA242" t="n">
        <v>0</v>
      </c>
      <c r="BB242" t="n">
        <v>0</v>
      </c>
      <c r="BC242" t="n">
        <v>0</v>
      </c>
      <c r="BD242" t="n">
        <v>0</v>
      </c>
      <c r="BE242" t="n">
        <v>0</v>
      </c>
      <c r="BF242" t="n">
        <v>0</v>
      </c>
      <c r="BG242" t="n">
        <v>0</v>
      </c>
      <c r="BH242" t="n">
        <v>0</v>
      </c>
      <c r="BJ242" t="inlineStr">
        <is>
          <t>High2</t>
        </is>
      </c>
      <c r="BL242" t="n">
        <v>1</v>
      </c>
      <c r="BM242" t="n">
        <v>0.997560975609757</v>
      </c>
      <c r="BN242" t="n">
        <v>0.985365853658537</v>
      </c>
      <c r="BO242" t="n">
        <v>0.973170731707317</v>
      </c>
      <c r="BP242" t="n">
        <v>0.960975609756098</v>
      </c>
      <c r="BQ242" t="n">
        <v>0.948780487804878</v>
      </c>
      <c r="BR242" t="n">
        <v>0.936585365853658</v>
      </c>
      <c r="BS242" t="n">
        <v>0.924390243902439</v>
      </c>
      <c r="BT242" t="n">
        <v>0.91219512195122</v>
      </c>
      <c r="BU242" t="n">
        <v>0.9</v>
      </c>
      <c r="BV242" t="n">
        <v>0.8875</v>
      </c>
      <c r="BW242" t="n">
        <v>0.875000000000001</v>
      </c>
      <c r="BX242" t="n">
        <v>0.862500000000001</v>
      </c>
      <c r="BY242" t="n">
        <v>0.850000000000001</v>
      </c>
      <c r="BZ242" t="n">
        <v>0.8375</v>
      </c>
      <c r="CA242" t="n">
        <v>0.825000000000001</v>
      </c>
      <c r="CB242" t="n">
        <v>0.812500000000001</v>
      </c>
      <c r="CC242" t="n">
        <v>0.800000000000001</v>
      </c>
      <c r="CD242" t="e">
        <v>#VALUE!</v>
      </c>
      <c r="CE242" t="e">
        <v>#VALUE!</v>
      </c>
      <c r="CF242" t="e">
        <v>#VALUE!</v>
      </c>
      <c r="CG242" t="e">
        <v>#VALUE!</v>
      </c>
      <c r="CH242" t="e">
        <v>#VALUE!</v>
      </c>
      <c r="CI242" t="e">
        <v>#VALUE!</v>
      </c>
      <c r="CJ242" t="e">
        <v>#VALUE!</v>
      </c>
      <c r="CK242" t="e">
        <v>#VALUE!</v>
      </c>
    </row>
    <row r="243" ht="12.5" customHeight="1" s="213">
      <c r="A243" t="inlineStr">
        <is>
          <t>MidEast</t>
        </is>
      </c>
      <c r="B243" t="inlineStr">
        <is>
          <t>TAD</t>
        </is>
      </c>
      <c r="C243" t="inlineStr">
        <is>
          <t>TAD</t>
        </is>
      </c>
      <c r="E243" t="n">
        <v>60.7568958307909</v>
      </c>
      <c r="F243">
        <f>E243</f>
        <v/>
      </c>
      <c r="I243">
        <f>F243</f>
        <v/>
      </c>
      <c r="J243">
        <f>I243</f>
        <v/>
      </c>
      <c r="L243">
        <f>J243</f>
        <v/>
      </c>
      <c r="V243">
        <f>L243</f>
        <v/>
      </c>
      <c r="W243" t="n">
        <v>3</v>
      </c>
      <c r="AG243" s="223" t="inlineStr">
        <is>
          <t>GDP</t>
        </is>
      </c>
      <c r="AI243" t="n">
        <v>1</v>
      </c>
      <c r="AJ243" t="n">
        <v>1.00926204934455</v>
      </c>
      <c r="AK243" t="n">
        <v>1.19408534707007</v>
      </c>
      <c r="AL243" t="n">
        <v>1.39091045519109</v>
      </c>
      <c r="AM243" t="n">
        <v>1.61974613571711</v>
      </c>
      <c r="AN243" t="n">
        <v>1.87985703090013</v>
      </c>
      <c r="AO243" t="n">
        <v>2.15678013005784</v>
      </c>
      <c r="AP243" t="n">
        <v>2.44665686965823</v>
      </c>
      <c r="AQ243" t="n">
        <v>2.75644223598284</v>
      </c>
      <c r="AR243" t="n">
        <v>3.09330341494414</v>
      </c>
      <c r="AS243" t="n">
        <v>3.45321148111724</v>
      </c>
      <c r="AT243" t="n">
        <v>3.81847644094604</v>
      </c>
      <c r="AU243" t="n">
        <v>4.1852827156616</v>
      </c>
      <c r="AV243" t="n">
        <v>4.55373697859188</v>
      </c>
      <c r="AW243" t="n">
        <v>4.92750196742035</v>
      </c>
      <c r="AX243" t="n">
        <v>5.31300360313253</v>
      </c>
      <c r="AY243" t="n">
        <v>5.71361528634754</v>
      </c>
      <c r="AZ243" t="n">
        <v>6.12711494282215</v>
      </c>
      <c r="BA243" t="n">
        <v>0</v>
      </c>
      <c r="BB243" t="n">
        <v>0</v>
      </c>
      <c r="BC243" t="n">
        <v>0</v>
      </c>
      <c r="BD243" t="n">
        <v>0</v>
      </c>
      <c r="BE243" t="n">
        <v>0</v>
      </c>
      <c r="BF243" t="n">
        <v>0</v>
      </c>
      <c r="BG243" t="n">
        <v>0</v>
      </c>
      <c r="BH243" t="n">
        <v>0</v>
      </c>
      <c r="BJ243" t="inlineStr">
        <is>
          <t>High2</t>
        </is>
      </c>
      <c r="BL243" t="n">
        <v>1</v>
      </c>
      <c r="BM243" t="n">
        <v>0.997560975609757</v>
      </c>
      <c r="BN243" t="n">
        <v>0.985365853658537</v>
      </c>
      <c r="BO243" t="n">
        <v>0.973170731707317</v>
      </c>
      <c r="BP243" t="n">
        <v>0.960975609756098</v>
      </c>
      <c r="BQ243" t="n">
        <v>0.948780487804878</v>
      </c>
      <c r="BR243" t="n">
        <v>0.936585365853658</v>
      </c>
      <c r="BS243" t="n">
        <v>0.924390243902439</v>
      </c>
      <c r="BT243" t="n">
        <v>0.91219512195122</v>
      </c>
      <c r="BU243" t="n">
        <v>0.9</v>
      </c>
      <c r="BV243" t="n">
        <v>0.8875</v>
      </c>
      <c r="BW243" t="n">
        <v>0.875000000000001</v>
      </c>
      <c r="BX243" t="n">
        <v>0.862500000000001</v>
      </c>
      <c r="BY243" t="n">
        <v>0.850000000000001</v>
      </c>
      <c r="BZ243" t="n">
        <v>0.8375</v>
      </c>
      <c r="CA243" t="n">
        <v>0.825000000000001</v>
      </c>
      <c r="CB243" t="n">
        <v>0.812500000000001</v>
      </c>
      <c r="CC243" t="n">
        <v>0.800000000000001</v>
      </c>
      <c r="CD243" t="e">
        <v>#VALUE!</v>
      </c>
      <c r="CE243" t="e">
        <v>#VALUE!</v>
      </c>
      <c r="CF243" t="e">
        <v>#VALUE!</v>
      </c>
      <c r="CG243" t="e">
        <v>#VALUE!</v>
      </c>
      <c r="CH243" t="e">
        <v>#VALUE!</v>
      </c>
      <c r="CI243" t="e">
        <v>#VALUE!</v>
      </c>
      <c r="CJ243" t="e">
        <v>#VALUE!</v>
      </c>
      <c r="CK243" t="e">
        <v>#VALUE!</v>
      </c>
    </row>
    <row r="244" ht="12.5" customHeight="1" s="213">
      <c r="A244" t="inlineStr">
        <is>
          <t>MidEast</t>
        </is>
      </c>
      <c r="B244" t="inlineStr">
        <is>
          <t>TAI</t>
        </is>
      </c>
      <c r="C244" t="inlineStr">
        <is>
          <t>TAI</t>
        </is>
      </c>
      <c r="E244" t="n">
        <v>769.872325083212</v>
      </c>
      <c r="F244">
        <f>E244</f>
        <v/>
      </c>
      <c r="I244">
        <f>F244</f>
        <v/>
      </c>
      <c r="J244">
        <f>I244</f>
        <v/>
      </c>
      <c r="L244">
        <f>J244</f>
        <v/>
      </c>
      <c r="V244">
        <f>L244</f>
        <v/>
      </c>
      <c r="W244" t="n">
        <v>3</v>
      </c>
      <c r="AG244" s="223" t="inlineStr">
        <is>
          <t>GDP</t>
        </is>
      </c>
      <c r="AI244" t="n">
        <v>1</v>
      </c>
      <c r="AJ244" t="n">
        <v>1.00926204934455</v>
      </c>
      <c r="AK244" t="n">
        <v>1.19408534707007</v>
      </c>
      <c r="AL244" t="n">
        <v>1.39091045519109</v>
      </c>
      <c r="AM244" t="n">
        <v>1.61974613571711</v>
      </c>
      <c r="AN244" t="n">
        <v>1.87985703090013</v>
      </c>
      <c r="AO244" t="n">
        <v>2.15678013005784</v>
      </c>
      <c r="AP244" t="n">
        <v>2.44665686965823</v>
      </c>
      <c r="AQ244" t="n">
        <v>2.75644223598284</v>
      </c>
      <c r="AR244" t="n">
        <v>3.09330341494414</v>
      </c>
      <c r="AS244" t="n">
        <v>3.45321148111724</v>
      </c>
      <c r="AT244" t="n">
        <v>3.81847644094604</v>
      </c>
      <c r="AU244" t="n">
        <v>4.1852827156616</v>
      </c>
      <c r="AV244" t="n">
        <v>4.55373697859188</v>
      </c>
      <c r="AW244" t="n">
        <v>4.92750196742035</v>
      </c>
      <c r="AX244" t="n">
        <v>5.31300360313253</v>
      </c>
      <c r="AY244" t="n">
        <v>5.71361528634754</v>
      </c>
      <c r="AZ244" t="n">
        <v>6.12711494282215</v>
      </c>
      <c r="BA244" t="n">
        <v>0</v>
      </c>
      <c r="BB244" t="n">
        <v>0</v>
      </c>
      <c r="BC244" t="n">
        <v>0</v>
      </c>
      <c r="BD244" t="n">
        <v>0</v>
      </c>
      <c r="BE244" t="n">
        <v>0</v>
      </c>
      <c r="BF244" t="n">
        <v>0</v>
      </c>
      <c r="BG244" t="n">
        <v>0</v>
      </c>
      <c r="BH244" t="n">
        <v>0</v>
      </c>
      <c r="BJ244" t="inlineStr">
        <is>
          <t>High2</t>
        </is>
      </c>
      <c r="BL244" t="n">
        <v>1</v>
      </c>
      <c r="BM244" t="n">
        <v>0.997560975609757</v>
      </c>
      <c r="BN244" t="n">
        <v>0.985365853658537</v>
      </c>
      <c r="BO244" t="n">
        <v>0.973170731707317</v>
      </c>
      <c r="BP244" t="n">
        <v>0.960975609756098</v>
      </c>
      <c r="BQ244" t="n">
        <v>0.948780487804878</v>
      </c>
      <c r="BR244" t="n">
        <v>0.936585365853658</v>
      </c>
      <c r="BS244" t="n">
        <v>0.924390243902439</v>
      </c>
      <c r="BT244" t="n">
        <v>0.91219512195122</v>
      </c>
      <c r="BU244" t="n">
        <v>0.9</v>
      </c>
      <c r="BV244" t="n">
        <v>0.8875</v>
      </c>
      <c r="BW244" t="n">
        <v>0.875000000000001</v>
      </c>
      <c r="BX244" t="n">
        <v>0.862500000000001</v>
      </c>
      <c r="BY244" t="n">
        <v>0.850000000000001</v>
      </c>
      <c r="BZ244" t="n">
        <v>0.8375</v>
      </c>
      <c r="CA244" t="n">
        <v>0.825000000000001</v>
      </c>
      <c r="CB244" t="n">
        <v>0.812500000000001</v>
      </c>
      <c r="CC244" t="n">
        <v>0.800000000000001</v>
      </c>
      <c r="CD244" t="e">
        <v>#VALUE!</v>
      </c>
      <c r="CE244" t="e">
        <v>#VALUE!</v>
      </c>
      <c r="CF244" t="e">
        <v>#VALUE!</v>
      </c>
      <c r="CG244" t="e">
        <v>#VALUE!</v>
      </c>
      <c r="CH244" t="e">
        <v>#VALUE!</v>
      </c>
      <c r="CI244" t="e">
        <v>#VALUE!</v>
      </c>
      <c r="CJ244" t="e">
        <v>#VALUE!</v>
      </c>
      <c r="CK244" t="e">
        <v>#VALUE!</v>
      </c>
    </row>
    <row r="245" ht="12.5" customHeight="1" s="213">
      <c r="A245" t="inlineStr">
        <is>
          <t>MidEast</t>
        </is>
      </c>
      <c r="B245" t="inlineStr">
        <is>
          <t>TTF</t>
        </is>
      </c>
      <c r="C245" t="inlineStr">
        <is>
          <t>TTF</t>
        </is>
      </c>
      <c r="E245" t="n">
        <v>2.42303774855836</v>
      </c>
      <c r="I245" t="n">
        <v>3.84384051393692</v>
      </c>
      <c r="J245" t="n">
        <v>4.4294966471537</v>
      </c>
      <c r="L245" t="n">
        <v>5.66688008820451</v>
      </c>
      <c r="V245" t="n">
        <v>12.5737312548675</v>
      </c>
      <c r="W245" t="n">
        <v>3</v>
      </c>
      <c r="AG245" s="223" t="inlineStr">
        <is>
          <t>GDP</t>
        </is>
      </c>
      <c r="AI245" t="n">
        <v>1</v>
      </c>
      <c r="AJ245" t="n">
        <v>1.00926204934455</v>
      </c>
      <c r="AK245" t="n">
        <v>1.19408534707007</v>
      </c>
      <c r="AL245" t="n">
        <v>1.39091045519109</v>
      </c>
      <c r="AM245" t="n">
        <v>1.61974613571711</v>
      </c>
      <c r="AN245" t="n">
        <v>1.87985703090013</v>
      </c>
      <c r="AO245" t="n">
        <v>2.15678013005784</v>
      </c>
      <c r="AP245" t="n">
        <v>2.44665686965823</v>
      </c>
      <c r="AQ245" t="n">
        <v>2.75644223598284</v>
      </c>
      <c r="AR245" t="n">
        <v>3.09330341494414</v>
      </c>
      <c r="AS245" t="n">
        <v>3.45321148111724</v>
      </c>
      <c r="AT245" t="n">
        <v>3.81847644094604</v>
      </c>
      <c r="AU245" t="n">
        <v>4.1852827156616</v>
      </c>
      <c r="AV245" t="n">
        <v>4.55373697859188</v>
      </c>
      <c r="AW245" t="n">
        <v>4.92750196742035</v>
      </c>
      <c r="AX245" t="n">
        <v>5.31300360313253</v>
      </c>
      <c r="AY245" t="n">
        <v>5.71361528634754</v>
      </c>
      <c r="AZ245" t="n">
        <v>6.12711494282215</v>
      </c>
      <c r="BA245" t="n">
        <v>0</v>
      </c>
      <c r="BB245" t="n">
        <v>0</v>
      </c>
      <c r="BC245" t="n">
        <v>0</v>
      </c>
      <c r="BD245" t="n">
        <v>0</v>
      </c>
      <c r="BE245" t="n">
        <v>0</v>
      </c>
      <c r="BF245" t="n">
        <v>0</v>
      </c>
      <c r="BG245" t="n">
        <v>0</v>
      </c>
      <c r="BH245" t="n">
        <v>0</v>
      </c>
      <c r="BJ245" t="inlineStr">
        <is>
          <t>High2</t>
        </is>
      </c>
      <c r="BL245" t="n">
        <v>1</v>
      </c>
      <c r="BM245" t="n">
        <v>0.997560975609757</v>
      </c>
      <c r="BN245" t="n">
        <v>0.985365853658537</v>
      </c>
      <c r="BO245" t="n">
        <v>0.973170731707317</v>
      </c>
      <c r="BP245" t="n">
        <v>0.960975609756098</v>
      </c>
      <c r="BQ245" t="n">
        <v>0.948780487804878</v>
      </c>
      <c r="BR245" t="n">
        <v>0.936585365853658</v>
      </c>
      <c r="BS245" t="n">
        <v>0.924390243902439</v>
      </c>
      <c r="BT245" t="n">
        <v>0.91219512195122</v>
      </c>
      <c r="BU245" t="n">
        <v>0.9</v>
      </c>
      <c r="BV245" t="n">
        <v>0.8875</v>
      </c>
      <c r="BW245" t="n">
        <v>0.875000000000001</v>
      </c>
      <c r="BX245" t="n">
        <v>0.862500000000001</v>
      </c>
      <c r="BY245" t="n">
        <v>0.850000000000001</v>
      </c>
      <c r="BZ245" t="n">
        <v>0.8375</v>
      </c>
      <c r="CA245" t="n">
        <v>0.825000000000001</v>
      </c>
      <c r="CB245" t="n">
        <v>0.812500000000001</v>
      </c>
      <c r="CC245" t="n">
        <v>0.800000000000001</v>
      </c>
      <c r="CD245" t="e">
        <v>#VALUE!</v>
      </c>
      <c r="CE245" t="e">
        <v>#VALUE!</v>
      </c>
      <c r="CF245" t="e">
        <v>#VALUE!</v>
      </c>
      <c r="CG245" t="e">
        <v>#VALUE!</v>
      </c>
      <c r="CH245" t="e">
        <v>#VALUE!</v>
      </c>
      <c r="CI245" t="e">
        <v>#VALUE!</v>
      </c>
      <c r="CJ245" t="e">
        <v>#VALUE!</v>
      </c>
      <c r="CK245" t="e">
        <v>#VALUE!</v>
      </c>
    </row>
    <row r="246" ht="12.5" customHeight="1" s="213">
      <c r="A246" t="inlineStr">
        <is>
          <t>MidEast</t>
        </is>
      </c>
      <c r="B246" t="inlineStr">
        <is>
          <t>TTP</t>
        </is>
      </c>
      <c r="C246" t="inlineStr">
        <is>
          <t>TTP</t>
        </is>
      </c>
      <c r="E246" t="n">
        <v>1.04527510225683</v>
      </c>
      <c r="I246" t="n">
        <v>1.28003974811183</v>
      </c>
      <c r="J246" t="n">
        <v>1.34969977903957</v>
      </c>
      <c r="L246" t="n">
        <v>1.46831105505433</v>
      </c>
      <c r="V246" t="n">
        <v>1.60221331092418</v>
      </c>
      <c r="W246" t="n">
        <v>3</v>
      </c>
      <c r="AG246" s="223" t="inlineStr">
        <is>
          <t>POP</t>
        </is>
      </c>
      <c r="AI246" t="n">
        <v>1</v>
      </c>
      <c r="AJ246" t="n">
        <v>1.01591653536649</v>
      </c>
      <c r="AK246" t="n">
        <v>1.09549921219896</v>
      </c>
      <c r="AL246" t="n">
        <v>1.17481554148819</v>
      </c>
      <c r="AM246" t="n">
        <v>1.25062993622811</v>
      </c>
      <c r="AN246" t="n">
        <v>1.32236364458965</v>
      </c>
      <c r="AO246" t="n">
        <v>1.38868171499029</v>
      </c>
      <c r="AP246" t="n">
        <v>1.44738070594757</v>
      </c>
      <c r="AQ246" t="n">
        <v>1.49769547006135</v>
      </c>
      <c r="AR246" t="n">
        <v>1.53858957231577</v>
      </c>
      <c r="AS246" t="n">
        <v>1.5694064167895</v>
      </c>
      <c r="AT246" t="n">
        <v>1.59070257052599</v>
      </c>
      <c r="AU246" t="n">
        <v>1.60375329654095</v>
      </c>
      <c r="AV246" t="n">
        <v>1.61005634327467</v>
      </c>
      <c r="AW246" t="n">
        <v>1.61132735149569</v>
      </c>
      <c r="AX246" t="n">
        <v>1.60900541766864</v>
      </c>
      <c r="AY246" t="n">
        <v>1.60342321382187</v>
      </c>
      <c r="AZ246" t="n">
        <v>1.59406486453626</v>
      </c>
      <c r="BA246" t="n">
        <v>0</v>
      </c>
      <c r="BB246" t="n">
        <v>0</v>
      </c>
      <c r="BC246" t="n">
        <v>0</v>
      </c>
      <c r="BD246" t="n">
        <v>0</v>
      </c>
      <c r="BE246" t="n">
        <v>0</v>
      </c>
      <c r="BF246" t="n">
        <v>0</v>
      </c>
      <c r="BG246" t="n">
        <v>0</v>
      </c>
      <c r="BH246" t="n">
        <v>0</v>
      </c>
      <c r="BJ246" t="inlineStr">
        <is>
          <t>High2</t>
        </is>
      </c>
      <c r="BL246" t="n">
        <v>1</v>
      </c>
      <c r="BM246" t="n">
        <v>0.997560975609757</v>
      </c>
      <c r="BN246" t="n">
        <v>0.985365853658537</v>
      </c>
      <c r="BO246" t="n">
        <v>0.973170731707317</v>
      </c>
      <c r="BP246" t="n">
        <v>0.960975609756098</v>
      </c>
      <c r="BQ246" t="n">
        <v>0.948780487804878</v>
      </c>
      <c r="BR246" t="n">
        <v>0.936585365853658</v>
      </c>
      <c r="BS246" t="n">
        <v>0.924390243902439</v>
      </c>
      <c r="BT246" t="n">
        <v>0.91219512195122</v>
      </c>
      <c r="BU246" t="n">
        <v>0.9</v>
      </c>
      <c r="BV246" t="n">
        <v>0.8875</v>
      </c>
      <c r="BW246" t="n">
        <v>0.875000000000001</v>
      </c>
      <c r="BX246" t="n">
        <v>0.862500000000001</v>
      </c>
      <c r="BY246" t="n">
        <v>0.850000000000001</v>
      </c>
      <c r="BZ246" t="n">
        <v>0.8375</v>
      </c>
      <c r="CA246" t="n">
        <v>0.825000000000001</v>
      </c>
      <c r="CB246" t="n">
        <v>0.812500000000001</v>
      </c>
      <c r="CC246" t="n">
        <v>0.800000000000001</v>
      </c>
      <c r="CD246" t="e">
        <v>#VALUE!</v>
      </c>
      <c r="CE246" t="e">
        <v>#VALUE!</v>
      </c>
      <c r="CF246" t="e">
        <v>#VALUE!</v>
      </c>
      <c r="CG246" t="e">
        <v>#VALUE!</v>
      </c>
      <c r="CH246" t="e">
        <v>#VALUE!</v>
      </c>
      <c r="CI246" t="e">
        <v>#VALUE!</v>
      </c>
      <c r="CJ246" t="e">
        <v>#VALUE!</v>
      </c>
      <c r="CK246" t="e">
        <v>#VALUE!</v>
      </c>
    </row>
    <row r="247" ht="12.5" customHeight="1" s="213">
      <c r="A247" t="inlineStr">
        <is>
          <t>MidEast</t>
        </is>
      </c>
      <c r="B247" t="inlineStr">
        <is>
          <t>TWD</t>
        </is>
      </c>
      <c r="C247" t="inlineStr">
        <is>
          <t>TWD</t>
        </is>
      </c>
      <c r="E247" t="n">
        <v>0</v>
      </c>
      <c r="F247">
        <f>E247</f>
        <v/>
      </c>
      <c r="I247">
        <f>F247</f>
        <v/>
      </c>
      <c r="J247">
        <f>I247</f>
        <v/>
      </c>
      <c r="L247">
        <f>J247</f>
        <v/>
      </c>
      <c r="V247">
        <f>L247</f>
        <v/>
      </c>
      <c r="W247" t="n">
        <v>3</v>
      </c>
      <c r="AG247" s="223" t="inlineStr">
        <is>
          <t>GDP</t>
        </is>
      </c>
      <c r="AI247" t="n">
        <v>1</v>
      </c>
      <c r="AJ247" t="n">
        <v>1.00926204934455</v>
      </c>
      <c r="AK247" t="n">
        <v>1.19408534707007</v>
      </c>
      <c r="AL247" t="n">
        <v>1.39091045519109</v>
      </c>
      <c r="AM247" t="n">
        <v>1.61974613571711</v>
      </c>
      <c r="AN247" t="n">
        <v>1.87985703090013</v>
      </c>
      <c r="AO247" t="n">
        <v>2.15678013005784</v>
      </c>
      <c r="AP247" t="n">
        <v>2.44665686965823</v>
      </c>
      <c r="AQ247" t="n">
        <v>2.75644223598284</v>
      </c>
      <c r="AR247" t="n">
        <v>3.09330341494414</v>
      </c>
      <c r="AS247" t="n">
        <v>3.45321148111724</v>
      </c>
      <c r="AT247" t="n">
        <v>3.81847644094604</v>
      </c>
      <c r="AU247" t="n">
        <v>4.1852827156616</v>
      </c>
      <c r="AV247" t="n">
        <v>4.55373697859188</v>
      </c>
      <c r="AW247" t="n">
        <v>4.92750196742035</v>
      </c>
      <c r="AX247" t="n">
        <v>5.31300360313253</v>
      </c>
      <c r="AY247" t="n">
        <v>5.71361528634754</v>
      </c>
      <c r="AZ247" t="n">
        <v>6.12711494282215</v>
      </c>
      <c r="BA247" t="n">
        <v>0</v>
      </c>
      <c r="BB247" t="n">
        <v>0</v>
      </c>
      <c r="BC247" t="n">
        <v>0</v>
      </c>
      <c r="BD247" t="n">
        <v>0</v>
      </c>
      <c r="BE247" t="n">
        <v>0</v>
      </c>
      <c r="BF247" t="n">
        <v>0</v>
      </c>
      <c r="BG247" t="n">
        <v>0</v>
      </c>
      <c r="BH247" t="n">
        <v>0</v>
      </c>
      <c r="BJ247" t="inlineStr">
        <is>
          <t>High2</t>
        </is>
      </c>
      <c r="BL247" t="n">
        <v>1</v>
      </c>
      <c r="BM247" t="n">
        <v>0.997560975609757</v>
      </c>
      <c r="BN247" t="n">
        <v>0.985365853658537</v>
      </c>
      <c r="BO247" t="n">
        <v>0.973170731707317</v>
      </c>
      <c r="BP247" t="n">
        <v>0.960975609756098</v>
      </c>
      <c r="BQ247" t="n">
        <v>0.948780487804878</v>
      </c>
      <c r="BR247" t="n">
        <v>0.936585365853658</v>
      </c>
      <c r="BS247" t="n">
        <v>0.924390243902439</v>
      </c>
      <c r="BT247" t="n">
        <v>0.91219512195122</v>
      </c>
      <c r="BU247" t="n">
        <v>0.9</v>
      </c>
      <c r="BV247" t="n">
        <v>0.8875</v>
      </c>
      <c r="BW247" t="n">
        <v>0.875000000000001</v>
      </c>
      <c r="BX247" t="n">
        <v>0.862500000000001</v>
      </c>
      <c r="BY247" t="n">
        <v>0.850000000000001</v>
      </c>
      <c r="BZ247" t="n">
        <v>0.8375</v>
      </c>
      <c r="CA247" t="n">
        <v>0.825000000000001</v>
      </c>
      <c r="CB247" t="n">
        <v>0.812500000000001</v>
      </c>
      <c r="CC247" t="n">
        <v>0.800000000000001</v>
      </c>
      <c r="CD247" t="e">
        <v>#VALUE!</v>
      </c>
      <c r="CE247" t="e">
        <v>#VALUE!</v>
      </c>
      <c r="CF247" t="e">
        <v>#VALUE!</v>
      </c>
      <c r="CG247" t="e">
        <v>#VALUE!</v>
      </c>
      <c r="CH247" t="e">
        <v>#VALUE!</v>
      </c>
      <c r="CI247" t="e">
        <v>#VALUE!</v>
      </c>
      <c r="CJ247" t="e">
        <v>#VALUE!</v>
      </c>
      <c r="CK247" t="e">
        <v>#VALUE!</v>
      </c>
    </row>
    <row r="248" ht="12.5" customHeight="1" s="213">
      <c r="A248" t="inlineStr">
        <is>
          <t>MidEast</t>
        </is>
      </c>
      <c r="B248" t="inlineStr">
        <is>
          <t>TWI</t>
        </is>
      </c>
      <c r="C248" t="inlineStr">
        <is>
          <t>TWI</t>
        </is>
      </c>
      <c r="E248" t="n">
        <v>877.3408664582651</v>
      </c>
      <c r="F248">
        <f>E248</f>
        <v/>
      </c>
      <c r="I248">
        <f>F248</f>
        <v/>
      </c>
      <c r="J248">
        <f>I248</f>
        <v/>
      </c>
      <c r="L248">
        <f>J248</f>
        <v/>
      </c>
      <c r="V248">
        <f>L248</f>
        <v/>
      </c>
      <c r="W248" t="n">
        <v>3</v>
      </c>
      <c r="AG248" s="223" t="inlineStr">
        <is>
          <t>GDP</t>
        </is>
      </c>
      <c r="AI248" t="n">
        <v>1</v>
      </c>
      <c r="AJ248" t="n">
        <v>1.00926204934455</v>
      </c>
      <c r="AK248" t="n">
        <v>1.19408534707007</v>
      </c>
      <c r="AL248" t="n">
        <v>1.39091045519109</v>
      </c>
      <c r="AM248" t="n">
        <v>1.61974613571711</v>
      </c>
      <c r="AN248" t="n">
        <v>1.87985703090013</v>
      </c>
      <c r="AO248" t="n">
        <v>2.15678013005784</v>
      </c>
      <c r="AP248" t="n">
        <v>2.44665686965823</v>
      </c>
      <c r="AQ248" t="n">
        <v>2.75644223598284</v>
      </c>
      <c r="AR248" t="n">
        <v>3.09330341494414</v>
      </c>
      <c r="AS248" t="n">
        <v>3.45321148111724</v>
      </c>
      <c r="AT248" t="n">
        <v>3.81847644094604</v>
      </c>
      <c r="AU248" t="n">
        <v>4.1852827156616</v>
      </c>
      <c r="AV248" t="n">
        <v>4.55373697859188</v>
      </c>
      <c r="AW248" t="n">
        <v>4.92750196742035</v>
      </c>
      <c r="AX248" t="n">
        <v>5.31300360313253</v>
      </c>
      <c r="AY248" t="n">
        <v>5.71361528634754</v>
      </c>
      <c r="AZ248" t="n">
        <v>6.12711494282215</v>
      </c>
      <c r="BA248" t="n">
        <v>0</v>
      </c>
      <c r="BB248" t="n">
        <v>0</v>
      </c>
      <c r="BC248" t="n">
        <v>0</v>
      </c>
      <c r="BD248" t="n">
        <v>0</v>
      </c>
      <c r="BE248" t="n">
        <v>0</v>
      </c>
      <c r="BF248" t="n">
        <v>0</v>
      </c>
      <c r="BG248" t="n">
        <v>0</v>
      </c>
      <c r="BH248" t="n">
        <v>0</v>
      </c>
      <c r="BJ248" t="inlineStr">
        <is>
          <t>High2</t>
        </is>
      </c>
      <c r="BL248" t="n">
        <v>1</v>
      </c>
      <c r="BM248" t="n">
        <v>0.997560975609757</v>
      </c>
      <c r="BN248" t="n">
        <v>0.985365853658537</v>
      </c>
      <c r="BO248" t="n">
        <v>0.973170731707317</v>
      </c>
      <c r="BP248" t="n">
        <v>0.960975609756098</v>
      </c>
      <c r="BQ248" t="n">
        <v>0.948780487804878</v>
      </c>
      <c r="BR248" t="n">
        <v>0.936585365853658</v>
      </c>
      <c r="BS248" t="n">
        <v>0.924390243902439</v>
      </c>
      <c r="BT248" t="n">
        <v>0.91219512195122</v>
      </c>
      <c r="BU248" t="n">
        <v>0.9</v>
      </c>
      <c r="BV248" t="n">
        <v>0.8875</v>
      </c>
      <c r="BW248" t="n">
        <v>0.875000000000001</v>
      </c>
      <c r="BX248" t="n">
        <v>0.862500000000001</v>
      </c>
      <c r="BY248" t="n">
        <v>0.850000000000001</v>
      </c>
      <c r="BZ248" t="n">
        <v>0.8375</v>
      </c>
      <c r="CA248" t="n">
        <v>0.825000000000001</v>
      </c>
      <c r="CB248" t="n">
        <v>0.812500000000001</v>
      </c>
      <c r="CC248" t="n">
        <v>0.800000000000001</v>
      </c>
      <c r="CD248" t="e">
        <v>#VALUE!</v>
      </c>
      <c r="CE248" t="e">
        <v>#VALUE!</v>
      </c>
      <c r="CF248" t="e">
        <v>#VALUE!</v>
      </c>
      <c r="CG248" t="e">
        <v>#VALUE!</v>
      </c>
      <c r="CH248" t="e">
        <v>#VALUE!</v>
      </c>
      <c r="CI248" t="e">
        <v>#VALUE!</v>
      </c>
      <c r="CJ248" t="e">
        <v>#VALUE!</v>
      </c>
      <c r="CK248" t="e">
        <v>#VALUE!</v>
      </c>
    </row>
    <row r="249" ht="12.5" customHeight="1" s="213">
      <c r="A249" t="inlineStr">
        <is>
          <t>MidEast</t>
        </is>
      </c>
      <c r="B249" t="inlineStr">
        <is>
          <t>Trd_2w</t>
        </is>
      </c>
      <c r="C249" t="inlineStr">
        <is>
          <t>Trd_2w</t>
        </is>
      </c>
      <c r="D249" t="n">
        <v>32.705</v>
      </c>
      <c r="E249" t="n">
        <v>33.2242806543094</v>
      </c>
      <c r="G249" t="n">
        <v>35.788845052134</v>
      </c>
      <c r="H249" t="n">
        <v>38.3105092934072</v>
      </c>
      <c r="I249" t="n">
        <v>40.6863224314029</v>
      </c>
      <c r="J249" t="n">
        <v>42.900480611325</v>
      </c>
      <c r="K249" t="n">
        <v>44.9155523212205</v>
      </c>
      <c r="L249" t="n">
        <v>46.6705640224498</v>
      </c>
      <c r="M249" t="n">
        <v>48.1505018018178</v>
      </c>
      <c r="N249" t="n">
        <v>49.3337626350659</v>
      </c>
      <c r="O249" t="n">
        <v>50.2107189979149</v>
      </c>
      <c r="P249" t="n">
        <v>50.8068891690796</v>
      </c>
      <c r="Q249" t="n">
        <v>51.1664127639739</v>
      </c>
      <c r="R249" t="n">
        <v>51.3373422004478</v>
      </c>
      <c r="S249" t="n">
        <v>51.3712832667424</v>
      </c>
      <c r="T249" t="n">
        <v>51.3102115086031</v>
      </c>
      <c r="U249" t="n">
        <v>51.165575855892</v>
      </c>
      <c r="V249" t="n">
        <v>50.9266743226567</v>
      </c>
      <c r="W249" t="n">
        <v>3</v>
      </c>
      <c r="AG249" s="223" t="inlineStr">
        <is>
          <t>POP</t>
        </is>
      </c>
      <c r="AI249" t="n">
        <v>1</v>
      </c>
      <c r="AJ249" t="n">
        <v>1.01591653536649</v>
      </c>
      <c r="AK249" t="n">
        <v>1.09549921219896</v>
      </c>
      <c r="AL249" t="n">
        <v>1.17481554148819</v>
      </c>
      <c r="AM249" t="n">
        <v>1.25062993622811</v>
      </c>
      <c r="AN249" t="n">
        <v>1.32236364458965</v>
      </c>
      <c r="AO249" t="n">
        <v>1.38868171499029</v>
      </c>
      <c r="AP249" t="n">
        <v>1.44738070594757</v>
      </c>
      <c r="AQ249" t="n">
        <v>1.49769547006135</v>
      </c>
      <c r="AR249" t="n">
        <v>1.53858957231577</v>
      </c>
      <c r="AS249" t="n">
        <v>1.5694064167895</v>
      </c>
      <c r="AT249" t="n">
        <v>1.59070257052599</v>
      </c>
      <c r="AU249" t="n">
        <v>1.60375329654095</v>
      </c>
      <c r="AV249" t="n">
        <v>1.61005634327467</v>
      </c>
      <c r="AW249" t="n">
        <v>1.61132735149569</v>
      </c>
      <c r="AX249" t="n">
        <v>1.60900541766864</v>
      </c>
      <c r="AY249" t="n">
        <v>1.60342321382187</v>
      </c>
      <c r="AZ249" t="n">
        <v>1.59406486453626</v>
      </c>
      <c r="BA249" t="n">
        <v>0</v>
      </c>
      <c r="BB249" t="n">
        <v>0</v>
      </c>
      <c r="BC249" t="n">
        <v>0</v>
      </c>
      <c r="BD249" t="n">
        <v>0</v>
      </c>
      <c r="BE249" t="n">
        <v>0</v>
      </c>
      <c r="BF249" t="n">
        <v>0</v>
      </c>
      <c r="BG249" t="n">
        <v>0</v>
      </c>
      <c r="BH249" t="n">
        <v>0</v>
      </c>
      <c r="BJ249" t="inlineStr">
        <is>
          <t>High2</t>
        </is>
      </c>
      <c r="BL249" t="n">
        <v>1</v>
      </c>
      <c r="BM249" t="n">
        <v>0.997560975609757</v>
      </c>
      <c r="BN249" t="n">
        <v>0.985365853658537</v>
      </c>
      <c r="BO249" t="n">
        <v>0.973170731707317</v>
      </c>
      <c r="BP249" t="n">
        <v>0.960975609756098</v>
      </c>
      <c r="BQ249" t="n">
        <v>0.948780487804878</v>
      </c>
      <c r="BR249" t="n">
        <v>0.936585365853658</v>
      </c>
      <c r="BS249" t="n">
        <v>0.924390243902439</v>
      </c>
      <c r="BT249" t="n">
        <v>0.91219512195122</v>
      </c>
      <c r="BU249" t="n">
        <v>0.9</v>
      </c>
      <c r="BV249" t="n">
        <v>0.8875</v>
      </c>
      <c r="BW249" t="n">
        <v>0.875000000000001</v>
      </c>
      <c r="BX249" t="n">
        <v>0.862500000000001</v>
      </c>
      <c r="BY249" t="n">
        <v>0.850000000000001</v>
      </c>
      <c r="BZ249" t="n">
        <v>0.8375</v>
      </c>
      <c r="CA249" t="n">
        <v>0.825000000000001</v>
      </c>
      <c r="CB249" t="n">
        <v>0.812500000000001</v>
      </c>
      <c r="CC249" t="n">
        <v>0.800000000000001</v>
      </c>
      <c r="CD249" t="e">
        <v>#VALUE!</v>
      </c>
      <c r="CE249" t="e">
        <v>#VALUE!</v>
      </c>
      <c r="CF249" t="e">
        <v>#VALUE!</v>
      </c>
      <c r="CG249" t="e">
        <v>#VALUE!</v>
      </c>
      <c r="CH249" t="e">
        <v>#VALUE!</v>
      </c>
      <c r="CI249" t="e">
        <v>#VALUE!</v>
      </c>
      <c r="CJ249" t="e">
        <v>#VALUE!</v>
      </c>
      <c r="CK249" t="e">
        <v>#VALUE!</v>
      </c>
    </row>
    <row r="250" ht="12.5" customHeight="1" s="213">
      <c r="A250" t="inlineStr">
        <is>
          <t>MidEast</t>
        </is>
      </c>
      <c r="B250" t="inlineStr">
        <is>
          <t>Trd_3w</t>
        </is>
      </c>
      <c r="C250" t="inlineStr">
        <is>
          <t>Trd_3w</t>
        </is>
      </c>
      <c r="D250" t="n">
        <v>9.69</v>
      </c>
      <c r="E250" t="n">
        <v>9.84385505397519</v>
      </c>
      <c r="G250" t="n">
        <v>10.6036969440507</v>
      </c>
      <c r="H250" t="n">
        <v>11.3508281624558</v>
      </c>
      <c r="I250" t="n">
        <v>12.0547458908514</v>
      </c>
      <c r="J250" t="n">
        <v>12.7107676845663</v>
      </c>
      <c r="K250" t="n">
        <v>13.3078031491401</v>
      </c>
      <c r="L250" t="n">
        <v>13.8277867414016</v>
      </c>
      <c r="M250" t="n">
        <v>14.2662700645043</v>
      </c>
      <c r="N250" t="n">
        <v>14.6168524670169</v>
      </c>
      <c r="O250" t="n">
        <v>14.8766814581806</v>
      </c>
      <c r="P250" t="n">
        <v>15.0533177204826</v>
      </c>
      <c r="Q250" t="n">
        <v>15.1598391586274</v>
      </c>
      <c r="R250" t="n">
        <v>15.2104829818786</v>
      </c>
      <c r="S250" t="n">
        <v>15.2205392097457</v>
      </c>
      <c r="T250" t="n">
        <v>15.2024445656127</v>
      </c>
      <c r="U250" t="n">
        <v>15.15959119534</v>
      </c>
      <c r="V250" t="n">
        <v>15.0888082613222</v>
      </c>
      <c r="W250" t="n">
        <v>3</v>
      </c>
      <c r="AG250" s="223" t="inlineStr">
        <is>
          <t>POP</t>
        </is>
      </c>
      <c r="AI250" t="n">
        <v>1</v>
      </c>
      <c r="AJ250" t="n">
        <v>1.01591653536649</v>
      </c>
      <c r="AK250" t="n">
        <v>1.09549921219896</v>
      </c>
      <c r="AL250" t="n">
        <v>1.17481554148819</v>
      </c>
      <c r="AM250" t="n">
        <v>1.25062993622811</v>
      </c>
      <c r="AN250" t="n">
        <v>1.32236364458965</v>
      </c>
      <c r="AO250" t="n">
        <v>1.38868171499029</v>
      </c>
      <c r="AP250" t="n">
        <v>1.44738070594757</v>
      </c>
      <c r="AQ250" t="n">
        <v>1.49769547006135</v>
      </c>
      <c r="AR250" t="n">
        <v>1.53858957231577</v>
      </c>
      <c r="AS250" t="n">
        <v>1.5694064167895</v>
      </c>
      <c r="AT250" t="n">
        <v>1.59070257052599</v>
      </c>
      <c r="AU250" t="n">
        <v>1.60375329654095</v>
      </c>
      <c r="AV250" t="n">
        <v>1.61005634327467</v>
      </c>
      <c r="AW250" t="n">
        <v>1.61132735149569</v>
      </c>
      <c r="AX250" t="n">
        <v>1.60900541766864</v>
      </c>
      <c r="AY250" t="n">
        <v>1.60342321382187</v>
      </c>
      <c r="AZ250" t="n">
        <v>1.59406486453626</v>
      </c>
      <c r="BA250" t="n">
        <v>0</v>
      </c>
      <c r="BB250" t="n">
        <v>0</v>
      </c>
      <c r="BC250" t="n">
        <v>0</v>
      </c>
      <c r="BD250" t="n">
        <v>0</v>
      </c>
      <c r="BE250" t="n">
        <v>0</v>
      </c>
      <c r="BF250" t="n">
        <v>0</v>
      </c>
      <c r="BG250" t="n">
        <v>0</v>
      </c>
      <c r="BH250" t="n">
        <v>0</v>
      </c>
      <c r="BJ250" t="inlineStr">
        <is>
          <t>High2</t>
        </is>
      </c>
      <c r="BL250" t="n">
        <v>1</v>
      </c>
      <c r="BM250" t="n">
        <v>0.997560975609757</v>
      </c>
      <c r="BN250" t="n">
        <v>0.985365853658537</v>
      </c>
      <c r="BO250" t="n">
        <v>0.973170731707317</v>
      </c>
      <c r="BP250" t="n">
        <v>0.960975609756098</v>
      </c>
      <c r="BQ250" t="n">
        <v>0.948780487804878</v>
      </c>
      <c r="BR250" t="n">
        <v>0.936585365853658</v>
      </c>
      <c r="BS250" t="n">
        <v>0.924390243902439</v>
      </c>
      <c r="BT250" t="n">
        <v>0.91219512195122</v>
      </c>
      <c r="BU250" t="n">
        <v>0.9</v>
      </c>
      <c r="BV250" t="n">
        <v>0.8875</v>
      </c>
      <c r="BW250" t="n">
        <v>0.875000000000001</v>
      </c>
      <c r="BX250" t="n">
        <v>0.862500000000001</v>
      </c>
      <c r="BY250" t="n">
        <v>0.850000000000001</v>
      </c>
      <c r="BZ250" t="n">
        <v>0.8375</v>
      </c>
      <c r="CA250" t="n">
        <v>0.825000000000001</v>
      </c>
      <c r="CB250" t="n">
        <v>0.812500000000001</v>
      </c>
      <c r="CC250" t="n">
        <v>0.800000000000001</v>
      </c>
      <c r="CD250" t="e">
        <v>#VALUE!</v>
      </c>
      <c r="CE250" t="e">
        <v>#VALUE!</v>
      </c>
      <c r="CF250" t="e">
        <v>#VALUE!</v>
      </c>
      <c r="CG250" t="e">
        <v>#VALUE!</v>
      </c>
      <c r="CH250" t="e">
        <v>#VALUE!</v>
      </c>
      <c r="CI250" t="e">
        <v>#VALUE!</v>
      </c>
      <c r="CJ250" t="e">
        <v>#VALUE!</v>
      </c>
      <c r="CK250" t="e">
        <v>#VALUE!</v>
      </c>
    </row>
    <row r="251" ht="12.5" customHeight="1" s="213">
      <c r="A251" t="inlineStr">
        <is>
          <t>MidEast</t>
        </is>
      </c>
      <c r="B251" t="inlineStr">
        <is>
          <t>Trd_bus</t>
        </is>
      </c>
      <c r="C251" t="inlineStr">
        <is>
          <t>Trd_bus</t>
        </is>
      </c>
      <c r="D251" t="n">
        <v>20.86</v>
      </c>
      <c r="E251" t="n">
        <v>21.1912091254822</v>
      </c>
      <c r="G251" t="n">
        <v>22.8269471881215</v>
      </c>
      <c r="H251" t="n">
        <v>24.4353225458026</v>
      </c>
      <c r="I251" t="n">
        <v>25.9506707206563</v>
      </c>
      <c r="J251" t="n">
        <v>27.3629116511922</v>
      </c>
      <c r="K251" t="n">
        <v>28.6481706595524</v>
      </c>
      <c r="L251" t="n">
        <v>29.7675574226664</v>
      </c>
      <c r="M251" t="n">
        <v>30.7114957219361</v>
      </c>
      <c r="N251" t="n">
        <v>31.4662066524224</v>
      </c>
      <c r="O251" t="n">
        <v>32.0255495580647</v>
      </c>
      <c r="P251" t="n">
        <v>32.4058005829996</v>
      </c>
      <c r="Q251" t="n">
        <v>32.6351129875095</v>
      </c>
      <c r="R251" t="n">
        <v>32.7441357071195</v>
      </c>
      <c r="S251" t="n">
        <v>32.7657840985857</v>
      </c>
      <c r="T251" t="n">
        <v>32.7268311288629</v>
      </c>
      <c r="U251" t="n">
        <v>32.634579188317</v>
      </c>
      <c r="V251" t="n">
        <v>32.4822023045595</v>
      </c>
      <c r="W251" t="n">
        <v>3</v>
      </c>
      <c r="AG251" s="223" t="inlineStr">
        <is>
          <t>POP</t>
        </is>
      </c>
      <c r="AI251" t="n">
        <v>1</v>
      </c>
      <c r="AJ251" t="n">
        <v>1.01591653536649</v>
      </c>
      <c r="AK251" t="n">
        <v>1.09549921219896</v>
      </c>
      <c r="AL251" t="n">
        <v>1.17481554148819</v>
      </c>
      <c r="AM251" t="n">
        <v>1.25062993622811</v>
      </c>
      <c r="AN251" t="n">
        <v>1.32236364458965</v>
      </c>
      <c r="AO251" t="n">
        <v>1.38868171499029</v>
      </c>
      <c r="AP251" t="n">
        <v>1.44738070594757</v>
      </c>
      <c r="AQ251" t="n">
        <v>1.49769547006135</v>
      </c>
      <c r="AR251" t="n">
        <v>1.53858957231577</v>
      </c>
      <c r="AS251" t="n">
        <v>1.5694064167895</v>
      </c>
      <c r="AT251" t="n">
        <v>1.59070257052599</v>
      </c>
      <c r="AU251" t="n">
        <v>1.60375329654095</v>
      </c>
      <c r="AV251" t="n">
        <v>1.61005634327467</v>
      </c>
      <c r="AW251" t="n">
        <v>1.61132735149569</v>
      </c>
      <c r="AX251" t="n">
        <v>1.60900541766864</v>
      </c>
      <c r="AY251" t="n">
        <v>1.60342321382187</v>
      </c>
      <c r="AZ251" t="n">
        <v>1.59406486453626</v>
      </c>
      <c r="BA251" t="n">
        <v>0</v>
      </c>
      <c r="BB251" t="n">
        <v>0</v>
      </c>
      <c r="BC251" t="n">
        <v>0</v>
      </c>
      <c r="BD251" t="n">
        <v>0</v>
      </c>
      <c r="BE251" t="n">
        <v>0</v>
      </c>
      <c r="BF251" t="n">
        <v>0</v>
      </c>
      <c r="BG251" t="n">
        <v>0</v>
      </c>
      <c r="BH251" t="n">
        <v>0</v>
      </c>
      <c r="BJ251" t="inlineStr">
        <is>
          <t>High2</t>
        </is>
      </c>
      <c r="BL251" t="n">
        <v>1</v>
      </c>
      <c r="BM251" t="n">
        <v>0.997560975609757</v>
      </c>
      <c r="BN251" t="n">
        <v>0.985365853658537</v>
      </c>
      <c r="BO251" t="n">
        <v>0.973170731707317</v>
      </c>
      <c r="BP251" t="n">
        <v>0.960975609756098</v>
      </c>
      <c r="BQ251" t="n">
        <v>0.948780487804878</v>
      </c>
      <c r="BR251" t="n">
        <v>0.936585365853658</v>
      </c>
      <c r="BS251" t="n">
        <v>0.924390243902439</v>
      </c>
      <c r="BT251" t="n">
        <v>0.91219512195122</v>
      </c>
      <c r="BU251" t="n">
        <v>0.9</v>
      </c>
      <c r="BV251" t="n">
        <v>0.8875</v>
      </c>
      <c r="BW251" t="n">
        <v>0.875000000000001</v>
      </c>
      <c r="BX251" t="n">
        <v>0.862500000000001</v>
      </c>
      <c r="BY251" t="n">
        <v>0.850000000000001</v>
      </c>
      <c r="BZ251" t="n">
        <v>0.8375</v>
      </c>
      <c r="CA251" t="n">
        <v>0.825000000000001</v>
      </c>
      <c r="CB251" t="n">
        <v>0.812500000000001</v>
      </c>
      <c r="CC251" t="n">
        <v>0.800000000000001</v>
      </c>
      <c r="CD251" t="e">
        <v>#VALUE!</v>
      </c>
      <c r="CE251" t="e">
        <v>#VALUE!</v>
      </c>
      <c r="CF251" t="e">
        <v>#VALUE!</v>
      </c>
      <c r="CG251" t="e">
        <v>#VALUE!</v>
      </c>
      <c r="CH251" t="e">
        <v>#VALUE!</v>
      </c>
      <c r="CI251" t="e">
        <v>#VALUE!</v>
      </c>
      <c r="CJ251" t="e">
        <v>#VALUE!</v>
      </c>
      <c r="CK251" t="e">
        <v>#VALUE!</v>
      </c>
    </row>
    <row r="252" ht="12.5" customHeight="1" s="213">
      <c r="A252" t="inlineStr">
        <is>
          <t>MidEast</t>
        </is>
      </c>
      <c r="B252" t="inlineStr">
        <is>
          <t>Trd_car</t>
        </is>
      </c>
      <c r="C252" t="inlineStr">
        <is>
          <t>Trd_car</t>
        </is>
      </c>
      <c r="D252" t="n">
        <v>908.376</v>
      </c>
      <c r="E252" t="n">
        <v>902.440441486943</v>
      </c>
      <c r="G252" t="n">
        <v>988.855084793077</v>
      </c>
      <c r="H252" t="n">
        <v>1071.79879765823</v>
      </c>
      <c r="I252" t="n">
        <v>1168.54180908552</v>
      </c>
      <c r="J252" t="n">
        <v>1276.78267529446</v>
      </c>
      <c r="K252" t="n">
        <v>1387.41908863122</v>
      </c>
      <c r="L252" t="n">
        <v>1500.78905382446</v>
      </c>
      <c r="M252" t="n">
        <v>1622.31267426371</v>
      </c>
      <c r="N252" t="n">
        <v>1757.19725879159</v>
      </c>
      <c r="O252" t="n">
        <v>1904.46213532516</v>
      </c>
      <c r="P252" t="n">
        <v>2056.05733538462</v>
      </c>
      <c r="Q252" t="n">
        <v>2210.58980261323</v>
      </c>
      <c r="R252" t="n">
        <v>2368.00549133872</v>
      </c>
      <c r="S252" t="n">
        <v>2529.09168119291</v>
      </c>
      <c r="T252" t="n">
        <v>2695.57499695125</v>
      </c>
      <c r="U252" t="n">
        <v>2868.91708072059</v>
      </c>
      <c r="V252" t="n">
        <v>3049.46732265809</v>
      </c>
      <c r="W252" t="n">
        <v>3</v>
      </c>
      <c r="AG252" s="223" t="inlineStr">
        <is>
          <t>GDPPCAP</t>
        </is>
      </c>
      <c r="AI252" t="n">
        <v>1</v>
      </c>
      <c r="AJ252" t="n">
        <v>0.993449770930694</v>
      </c>
      <c r="AK252" t="n">
        <v>1.08999197240245</v>
      </c>
      <c r="AL252" t="n">
        <v>1.18393944076461</v>
      </c>
      <c r="AM252" t="n">
        <v>1.29514422196086</v>
      </c>
      <c r="AN252" t="n">
        <v>1.42158856120358</v>
      </c>
      <c r="AO252" t="n">
        <v>1.55311336411808</v>
      </c>
      <c r="AP252" t="n">
        <v>1.69040312587037</v>
      </c>
      <c r="AQ252" t="n">
        <v>1.84045574756925</v>
      </c>
      <c r="AR252" t="n">
        <v>2.01047990354461</v>
      </c>
      <c r="AS252" t="n">
        <v>2.20032965596088</v>
      </c>
      <c r="AT252" t="n">
        <v>2.40049680669303</v>
      </c>
      <c r="AU252" t="n">
        <v>2.60967988323928</v>
      </c>
      <c r="AV252" t="n">
        <v>2.8283090822338</v>
      </c>
      <c r="AW252" t="n">
        <v>3.05803905261489</v>
      </c>
      <c r="AX252" t="n">
        <v>3.30204208437705</v>
      </c>
      <c r="AY252" t="n">
        <v>3.56338565956566</v>
      </c>
      <c r="AZ252" t="n">
        <v>3.84370490758206</v>
      </c>
      <c r="BA252" t="n">
        <v>0</v>
      </c>
      <c r="BB252" t="n">
        <v>0</v>
      </c>
      <c r="BC252" t="n">
        <v>0</v>
      </c>
      <c r="BD252" t="n">
        <v>0</v>
      </c>
      <c r="BE252" t="n">
        <v>0</v>
      </c>
      <c r="BF252" t="n">
        <v>0</v>
      </c>
      <c r="BG252" t="n">
        <v>0</v>
      </c>
      <c r="BH252" t="n">
        <v>0</v>
      </c>
      <c r="BJ252" t="inlineStr">
        <is>
          <t>High2</t>
        </is>
      </c>
      <c r="BL252" t="n">
        <v>1</v>
      </c>
      <c r="BM252" t="n">
        <v>0.997560975609757</v>
      </c>
      <c r="BN252" t="n">
        <v>0.985365853658537</v>
      </c>
      <c r="BO252" t="n">
        <v>0.973170731707317</v>
      </c>
      <c r="BP252" t="n">
        <v>0.960975609756098</v>
      </c>
      <c r="BQ252" t="n">
        <v>0.948780487804878</v>
      </c>
      <c r="BR252" t="n">
        <v>0.936585365853658</v>
      </c>
      <c r="BS252" t="n">
        <v>0.924390243902439</v>
      </c>
      <c r="BT252" t="n">
        <v>0.91219512195122</v>
      </c>
      <c r="BU252" t="n">
        <v>0.9</v>
      </c>
      <c r="BV252" t="n">
        <v>0.8875</v>
      </c>
      <c r="BW252" t="n">
        <v>0.875000000000001</v>
      </c>
      <c r="BX252" t="n">
        <v>0.862500000000001</v>
      </c>
      <c r="BY252" t="n">
        <v>0.850000000000001</v>
      </c>
      <c r="BZ252" t="n">
        <v>0.8375</v>
      </c>
      <c r="CA252" t="n">
        <v>0.825000000000001</v>
      </c>
      <c r="CB252" t="n">
        <v>0.812500000000001</v>
      </c>
      <c r="CC252" t="n">
        <v>0.800000000000001</v>
      </c>
      <c r="CD252" t="e">
        <v>#VALUE!</v>
      </c>
      <c r="CE252" t="e">
        <v>#VALUE!</v>
      </c>
      <c r="CF252" t="e">
        <v>#VALUE!</v>
      </c>
      <c r="CG252" t="e">
        <v>#VALUE!</v>
      </c>
      <c r="CH252" t="e">
        <v>#VALUE!</v>
      </c>
      <c r="CI252" t="e">
        <v>#VALUE!</v>
      </c>
      <c r="CJ252" t="e">
        <v>#VALUE!</v>
      </c>
      <c r="CK252" t="e">
        <v>#VALUE!</v>
      </c>
    </row>
    <row r="253" ht="12.5" customHeight="1" s="213">
      <c r="A253" t="inlineStr">
        <is>
          <t>MidEast</t>
        </is>
      </c>
      <c r="B253" t="inlineStr">
        <is>
          <t>Trd_hdt</t>
        </is>
      </c>
      <c r="C253" t="inlineStr">
        <is>
          <t>Trd_hdt</t>
        </is>
      </c>
      <c r="D253" t="n">
        <v>175.4</v>
      </c>
      <c r="E253" t="n">
        <v>177.020601105144</v>
      </c>
      <c r="G253" t="n">
        <v>208.963482680974</v>
      </c>
      <c r="H253" t="n">
        <v>242.483525630238</v>
      </c>
      <c r="I253" t="n">
        <v>280.820618141117</v>
      </c>
      <c r="J253" t="n">
        <v>323.607075266942</v>
      </c>
      <c r="K253" t="n">
        <v>368.254841772835</v>
      </c>
      <c r="L253" t="n">
        <v>414.006971291133</v>
      </c>
      <c r="M253" t="n">
        <v>461.824071120916</v>
      </c>
      <c r="N253" t="n">
        <v>512.619092012593</v>
      </c>
      <c r="O253" t="n">
        <v>565.552785443223</v>
      </c>
      <c r="P253" t="n">
        <v>617.896680253137</v>
      </c>
      <c r="Q253" t="n">
        <v>669.090979941143</v>
      </c>
      <c r="R253" t="n">
        <v>719.159284642815</v>
      </c>
      <c r="S253" t="n">
        <v>768.594972677784</v>
      </c>
      <c r="T253" t="n">
        <v>818.20287997632</v>
      </c>
      <c r="U253" t="n">
        <v>868.329436755221</v>
      </c>
      <c r="V253" t="n">
        <v>918.602884414608</v>
      </c>
      <c r="W253" t="n">
        <v>3</v>
      </c>
      <c r="AG253" s="223" t="inlineStr">
        <is>
          <t>GDP</t>
        </is>
      </c>
      <c r="AI253" t="n">
        <v>1</v>
      </c>
      <c r="AJ253" t="n">
        <v>1.00926204934455</v>
      </c>
      <c r="AK253" t="n">
        <v>1.19408534707007</v>
      </c>
      <c r="AL253" t="n">
        <v>1.39091045519109</v>
      </c>
      <c r="AM253" t="n">
        <v>1.61974613571711</v>
      </c>
      <c r="AN253" t="n">
        <v>1.87985703090013</v>
      </c>
      <c r="AO253" t="n">
        <v>2.15678013005784</v>
      </c>
      <c r="AP253" t="n">
        <v>2.44665686965823</v>
      </c>
      <c r="AQ253" t="n">
        <v>2.75644223598284</v>
      </c>
      <c r="AR253" t="n">
        <v>3.09330341494414</v>
      </c>
      <c r="AS253" t="n">
        <v>3.45321148111724</v>
      </c>
      <c r="AT253" t="n">
        <v>3.81847644094604</v>
      </c>
      <c r="AU253" t="n">
        <v>4.1852827156616</v>
      </c>
      <c r="AV253" t="n">
        <v>4.55373697859188</v>
      </c>
      <c r="AW253" t="n">
        <v>4.92750196742035</v>
      </c>
      <c r="AX253" t="n">
        <v>5.31300360313253</v>
      </c>
      <c r="AY253" t="n">
        <v>5.71361528634754</v>
      </c>
      <c r="AZ253" t="n">
        <v>6.12711494282215</v>
      </c>
      <c r="BA253" t="n">
        <v>0</v>
      </c>
      <c r="BB253" t="n">
        <v>0</v>
      </c>
      <c r="BC253" t="n">
        <v>0</v>
      </c>
      <c r="BD253" t="n">
        <v>0</v>
      </c>
      <c r="BE253" t="n">
        <v>0</v>
      </c>
      <c r="BF253" t="n">
        <v>0</v>
      </c>
      <c r="BG253" t="n">
        <v>0</v>
      </c>
      <c r="BH253" t="n">
        <v>0</v>
      </c>
      <c r="BJ253" t="inlineStr">
        <is>
          <t>High2</t>
        </is>
      </c>
      <c r="BL253" t="n">
        <v>1</v>
      </c>
      <c r="BM253" t="n">
        <v>0.997560975609757</v>
      </c>
      <c r="BN253" t="n">
        <v>0.985365853658537</v>
      </c>
      <c r="BO253" t="n">
        <v>0.973170731707317</v>
      </c>
      <c r="BP253" t="n">
        <v>0.960975609756098</v>
      </c>
      <c r="BQ253" t="n">
        <v>0.948780487804878</v>
      </c>
      <c r="BR253" t="n">
        <v>0.936585365853658</v>
      </c>
      <c r="BS253" t="n">
        <v>0.924390243902439</v>
      </c>
      <c r="BT253" t="n">
        <v>0.91219512195122</v>
      </c>
      <c r="BU253" t="n">
        <v>0.9</v>
      </c>
      <c r="BV253" t="n">
        <v>0.8875</v>
      </c>
      <c r="BW253" t="n">
        <v>0.875000000000001</v>
      </c>
      <c r="BX253" t="n">
        <v>0.862500000000001</v>
      </c>
      <c r="BY253" t="n">
        <v>0.850000000000001</v>
      </c>
      <c r="BZ253" t="n">
        <v>0.8375</v>
      </c>
      <c r="CA253" t="n">
        <v>0.825000000000001</v>
      </c>
      <c r="CB253" t="n">
        <v>0.812500000000001</v>
      </c>
      <c r="CC253" t="n">
        <v>0.800000000000001</v>
      </c>
      <c r="CD253" t="e">
        <v>#VALUE!</v>
      </c>
      <c r="CE253" t="e">
        <v>#VALUE!</v>
      </c>
      <c r="CF253" t="e">
        <v>#VALUE!</v>
      </c>
      <c r="CG253" t="e">
        <v>#VALUE!</v>
      </c>
      <c r="CH253" t="e">
        <v>#VALUE!</v>
      </c>
      <c r="CI253" t="e">
        <v>#VALUE!</v>
      </c>
      <c r="CJ253" t="e">
        <v>#VALUE!</v>
      </c>
      <c r="CK253" t="e">
        <v>#VALUE!</v>
      </c>
    </row>
    <row r="254" ht="12.5" customHeight="1" s="213">
      <c r="A254" t="inlineStr">
        <is>
          <t>MidEast</t>
        </is>
      </c>
      <c r="B254" t="inlineStr">
        <is>
          <t>Trd_lcv</t>
        </is>
      </c>
      <c r="C254" t="inlineStr">
        <is>
          <t>Trd_lcv</t>
        </is>
      </c>
      <c r="D254" t="n">
        <v>222.24</v>
      </c>
      <c r="E254" t="n">
        <v>224.293377363781</v>
      </c>
      <c r="G254" t="n">
        <v>264.766501659177</v>
      </c>
      <c r="H254" t="n">
        <v>307.237963147458</v>
      </c>
      <c r="I254" t="n">
        <v>355.812851628745</v>
      </c>
      <c r="J254" t="n">
        <v>410.025293086233</v>
      </c>
      <c r="K254" t="n">
        <v>466.596100545011</v>
      </c>
      <c r="L254" t="n">
        <v>524.566187569792</v>
      </c>
      <c r="M254" t="n">
        <v>585.1526885171741</v>
      </c>
      <c r="N254" t="n">
        <v>649.512354668635</v>
      </c>
      <c r="O254" t="n">
        <v>716.5818189105011</v>
      </c>
      <c r="P254" t="n">
        <v>782.903980726666</v>
      </c>
      <c r="Q254" t="n">
        <v>847.769551779474</v>
      </c>
      <c r="R254" t="n">
        <v>911.2084345440099</v>
      </c>
      <c r="S254" t="n">
        <v>973.845762416824</v>
      </c>
      <c r="T254" t="n">
        <v>1036.70130014788</v>
      </c>
      <c r="U254" t="n">
        <v>1100.21399101756</v>
      </c>
      <c r="V254" t="n">
        <v>1163.91279950001</v>
      </c>
      <c r="W254" t="n">
        <v>3</v>
      </c>
      <c r="AG254" s="223" t="inlineStr">
        <is>
          <t>GDP</t>
        </is>
      </c>
      <c r="AI254" t="n">
        <v>1</v>
      </c>
      <c r="AJ254" t="n">
        <v>1.00926204934455</v>
      </c>
      <c r="AK254" t="n">
        <v>1.19408534707007</v>
      </c>
      <c r="AL254" t="n">
        <v>1.39091045519109</v>
      </c>
      <c r="AM254" t="n">
        <v>1.61974613571711</v>
      </c>
      <c r="AN254" t="n">
        <v>1.87985703090013</v>
      </c>
      <c r="AO254" t="n">
        <v>2.15678013005784</v>
      </c>
      <c r="AP254" t="n">
        <v>2.44665686965823</v>
      </c>
      <c r="AQ254" t="n">
        <v>2.75644223598284</v>
      </c>
      <c r="AR254" t="n">
        <v>3.09330341494414</v>
      </c>
      <c r="AS254" t="n">
        <v>3.45321148111724</v>
      </c>
      <c r="AT254" t="n">
        <v>3.81847644094604</v>
      </c>
      <c r="AU254" t="n">
        <v>4.1852827156616</v>
      </c>
      <c r="AV254" t="n">
        <v>4.55373697859188</v>
      </c>
      <c r="AW254" t="n">
        <v>4.92750196742035</v>
      </c>
      <c r="AX254" t="n">
        <v>5.31300360313253</v>
      </c>
      <c r="AY254" t="n">
        <v>5.71361528634754</v>
      </c>
      <c r="AZ254" t="n">
        <v>6.12711494282215</v>
      </c>
      <c r="BA254" t="n">
        <v>0</v>
      </c>
      <c r="BB254" t="n">
        <v>0</v>
      </c>
      <c r="BC254" t="n">
        <v>0</v>
      </c>
      <c r="BD254" t="n">
        <v>0</v>
      </c>
      <c r="BE254" t="n">
        <v>0</v>
      </c>
      <c r="BF254" t="n">
        <v>0</v>
      </c>
      <c r="BG254" t="n">
        <v>0</v>
      </c>
      <c r="BH254" t="n">
        <v>0</v>
      </c>
      <c r="BJ254" t="inlineStr">
        <is>
          <t>High2</t>
        </is>
      </c>
      <c r="BL254" t="n">
        <v>1</v>
      </c>
      <c r="BM254" t="n">
        <v>0.997560975609757</v>
      </c>
      <c r="BN254" t="n">
        <v>0.985365853658537</v>
      </c>
      <c r="BO254" t="n">
        <v>0.973170731707317</v>
      </c>
      <c r="BP254" t="n">
        <v>0.960975609756098</v>
      </c>
      <c r="BQ254" t="n">
        <v>0.948780487804878</v>
      </c>
      <c r="BR254" t="n">
        <v>0.936585365853658</v>
      </c>
      <c r="BS254" t="n">
        <v>0.924390243902439</v>
      </c>
      <c r="BT254" t="n">
        <v>0.91219512195122</v>
      </c>
      <c r="BU254" t="n">
        <v>0.9</v>
      </c>
      <c r="BV254" t="n">
        <v>0.8875</v>
      </c>
      <c r="BW254" t="n">
        <v>0.875000000000001</v>
      </c>
      <c r="BX254" t="n">
        <v>0.862500000000001</v>
      </c>
      <c r="BY254" t="n">
        <v>0.850000000000001</v>
      </c>
      <c r="BZ254" t="n">
        <v>0.8375</v>
      </c>
      <c r="CA254" t="n">
        <v>0.825000000000001</v>
      </c>
      <c r="CB254" t="n">
        <v>0.812500000000001</v>
      </c>
      <c r="CC254" t="n">
        <v>0.800000000000001</v>
      </c>
      <c r="CD254" t="e">
        <v>#VALUE!</v>
      </c>
      <c r="CE254" t="e">
        <v>#VALUE!</v>
      </c>
      <c r="CF254" t="e">
        <v>#VALUE!</v>
      </c>
      <c r="CG254" t="e">
        <v>#VALUE!</v>
      </c>
      <c r="CH254" t="e">
        <v>#VALUE!</v>
      </c>
      <c r="CI254" t="e">
        <v>#VALUE!</v>
      </c>
      <c r="CJ254" t="e">
        <v>#VALUE!</v>
      </c>
      <c r="CK254" t="e">
        <v>#VALUE!</v>
      </c>
    </row>
    <row r="255" ht="12.5" customHeight="1" s="213">
      <c r="A255" t="inlineStr">
        <is>
          <t>NorthAm</t>
        </is>
      </c>
      <c r="B255" t="inlineStr">
        <is>
          <t>TAD</t>
        </is>
      </c>
      <c r="C255" t="inlineStr">
        <is>
          <t>TAD</t>
        </is>
      </c>
      <c r="E255" t="n">
        <v>2841.17573671432</v>
      </c>
      <c r="F255">
        <f>E255</f>
        <v/>
      </c>
      <c r="I255">
        <f>F255</f>
        <v/>
      </c>
      <c r="J255">
        <f>I255</f>
        <v/>
      </c>
      <c r="L255">
        <f>J255</f>
        <v/>
      </c>
      <c r="V255">
        <f>L255</f>
        <v/>
      </c>
      <c r="W255" t="n">
        <v>3</v>
      </c>
      <c r="AG255" s="223" t="inlineStr">
        <is>
          <t>GDP</t>
        </is>
      </c>
      <c r="AI255" t="n">
        <v>1</v>
      </c>
      <c r="AJ255" t="n">
        <v>1.01172788980591</v>
      </c>
      <c r="AK255" t="n">
        <v>1.15773078809578</v>
      </c>
      <c r="AL255" t="n">
        <v>1.27632693451747</v>
      </c>
      <c r="AM255" t="n">
        <v>1.38914444804718</v>
      </c>
      <c r="AN255" t="n">
        <v>1.5000891332334</v>
      </c>
      <c r="AO255" t="n">
        <v>1.611556767737</v>
      </c>
      <c r="AP255" t="n">
        <v>1.72407631178702</v>
      </c>
      <c r="AQ255" t="n">
        <v>1.83912215615181</v>
      </c>
      <c r="AR255" t="n">
        <v>1.9568346985545</v>
      </c>
      <c r="AS255" t="n">
        <v>2.07756858278502</v>
      </c>
      <c r="AT255" t="n">
        <v>2.19762495139749</v>
      </c>
      <c r="AU255" t="n">
        <v>2.315262357404</v>
      </c>
      <c r="AV255" t="n">
        <v>2.42917428621282</v>
      </c>
      <c r="AW255" t="n">
        <v>2.53923751413423</v>
      </c>
      <c r="AX255" t="n">
        <v>2.64552717756439</v>
      </c>
      <c r="AY255" t="n">
        <v>2.74797200426466</v>
      </c>
      <c r="AZ255" t="n">
        <v>2.84539900775305</v>
      </c>
      <c r="BA255" t="n">
        <v>0</v>
      </c>
      <c r="BB255" t="n">
        <v>0</v>
      </c>
      <c r="BC255" t="n">
        <v>0</v>
      </c>
      <c r="BD255" t="n">
        <v>0</v>
      </c>
      <c r="BE255" t="n">
        <v>0</v>
      </c>
      <c r="BF255" t="n">
        <v>0</v>
      </c>
      <c r="BG255" t="n">
        <v>0</v>
      </c>
      <c r="BH255" t="n">
        <v>0</v>
      </c>
      <c r="BJ255" t="inlineStr">
        <is>
          <t>Med2</t>
        </is>
      </c>
      <c r="BL255" t="n">
        <v>0.8</v>
      </c>
      <c r="BM255" t="n">
        <v>0.797560975609756</v>
      </c>
      <c r="BN255" t="n">
        <v>0.785365853658536</v>
      </c>
      <c r="BO255" t="n">
        <v>0.773170731707317</v>
      </c>
      <c r="BP255" t="n">
        <v>0.760975609756097</v>
      </c>
      <c r="BQ255" t="n">
        <v>0.748780487804878</v>
      </c>
      <c r="BR255" t="n">
        <v>0.736585365853658</v>
      </c>
      <c r="BS255" t="n">
        <v>0.724390243902439</v>
      </c>
      <c r="BT255" t="n">
        <v>0.71219512195122</v>
      </c>
      <c r="BU255" t="n">
        <v>0.699999999999999</v>
      </c>
      <c r="BV255" t="n">
        <v>0.687499999999999</v>
      </c>
      <c r="BW255" t="n">
        <v>0.675</v>
      </c>
      <c r="BX255" t="n">
        <v>0.6625</v>
      </c>
      <c r="BY255" t="n">
        <v>0.649999999999999</v>
      </c>
      <c r="BZ255" t="n">
        <v>0.637499999999999</v>
      </c>
      <c r="CA255" t="n">
        <v>0.625</v>
      </c>
      <c r="CB255" t="n">
        <v>0.6125</v>
      </c>
      <c r="CC255" t="n">
        <v>0.6</v>
      </c>
      <c r="CD255" t="e">
        <v>#VALUE!</v>
      </c>
      <c r="CE255" t="e">
        <v>#VALUE!</v>
      </c>
      <c r="CF255" t="e">
        <v>#VALUE!</v>
      </c>
      <c r="CG255" t="e">
        <v>#VALUE!</v>
      </c>
      <c r="CH255" t="e">
        <v>#VALUE!</v>
      </c>
      <c r="CI255" t="e">
        <v>#VALUE!</v>
      </c>
      <c r="CJ255" t="e">
        <v>#VALUE!</v>
      </c>
      <c r="CK255" t="e">
        <v>#VALUE!</v>
      </c>
    </row>
    <row r="256" ht="12.5" customHeight="1" s="213">
      <c r="A256" t="inlineStr">
        <is>
          <t>NorthAm</t>
        </is>
      </c>
      <c r="B256" t="inlineStr">
        <is>
          <t>TAI</t>
        </is>
      </c>
      <c r="C256" t="inlineStr">
        <is>
          <t>TAI</t>
        </is>
      </c>
      <c r="E256" t="n">
        <v>1296.87718269106</v>
      </c>
      <c r="F256">
        <f>E256</f>
        <v/>
      </c>
      <c r="I256">
        <f>F256</f>
        <v/>
      </c>
      <c r="J256">
        <f>I256</f>
        <v/>
      </c>
      <c r="L256">
        <f>J256</f>
        <v/>
      </c>
      <c r="V256">
        <f>L256</f>
        <v/>
      </c>
      <c r="W256" t="n">
        <v>3</v>
      </c>
      <c r="AG256" s="223" t="inlineStr">
        <is>
          <t>GDP</t>
        </is>
      </c>
      <c r="AI256" t="n">
        <v>1</v>
      </c>
      <c r="AJ256" t="n">
        <v>1.01172788980591</v>
      </c>
      <c r="AK256" t="n">
        <v>1.15773078809578</v>
      </c>
      <c r="AL256" t="n">
        <v>1.27632693451747</v>
      </c>
      <c r="AM256" t="n">
        <v>1.38914444804718</v>
      </c>
      <c r="AN256" t="n">
        <v>1.5000891332334</v>
      </c>
      <c r="AO256" t="n">
        <v>1.611556767737</v>
      </c>
      <c r="AP256" t="n">
        <v>1.72407631178702</v>
      </c>
      <c r="AQ256" t="n">
        <v>1.83912215615181</v>
      </c>
      <c r="AR256" t="n">
        <v>1.9568346985545</v>
      </c>
      <c r="AS256" t="n">
        <v>2.07756858278502</v>
      </c>
      <c r="AT256" t="n">
        <v>2.19762495139749</v>
      </c>
      <c r="AU256" t="n">
        <v>2.315262357404</v>
      </c>
      <c r="AV256" t="n">
        <v>2.42917428621282</v>
      </c>
      <c r="AW256" t="n">
        <v>2.53923751413423</v>
      </c>
      <c r="AX256" t="n">
        <v>2.64552717756439</v>
      </c>
      <c r="AY256" t="n">
        <v>2.74797200426466</v>
      </c>
      <c r="AZ256" t="n">
        <v>2.84539900775305</v>
      </c>
      <c r="BA256" t="n">
        <v>0</v>
      </c>
      <c r="BB256" t="n">
        <v>0</v>
      </c>
      <c r="BC256" t="n">
        <v>0</v>
      </c>
      <c r="BD256" t="n">
        <v>0</v>
      </c>
      <c r="BE256" t="n">
        <v>0</v>
      </c>
      <c r="BF256" t="n">
        <v>0</v>
      </c>
      <c r="BG256" t="n">
        <v>0</v>
      </c>
      <c r="BH256" t="n">
        <v>0</v>
      </c>
      <c r="BJ256" t="inlineStr">
        <is>
          <t>Med2</t>
        </is>
      </c>
      <c r="BL256" t="n">
        <v>0.8</v>
      </c>
      <c r="BM256" t="n">
        <v>0.797560975609756</v>
      </c>
      <c r="BN256" t="n">
        <v>0.785365853658536</v>
      </c>
      <c r="BO256" t="n">
        <v>0.773170731707317</v>
      </c>
      <c r="BP256" t="n">
        <v>0.760975609756097</v>
      </c>
      <c r="BQ256" t="n">
        <v>0.748780487804878</v>
      </c>
      <c r="BR256" t="n">
        <v>0.736585365853658</v>
      </c>
      <c r="BS256" t="n">
        <v>0.724390243902439</v>
      </c>
      <c r="BT256" t="n">
        <v>0.71219512195122</v>
      </c>
      <c r="BU256" t="n">
        <v>0.699999999999999</v>
      </c>
      <c r="BV256" t="n">
        <v>0.687499999999999</v>
      </c>
      <c r="BW256" t="n">
        <v>0.675</v>
      </c>
      <c r="BX256" t="n">
        <v>0.6625</v>
      </c>
      <c r="BY256" t="n">
        <v>0.649999999999999</v>
      </c>
      <c r="BZ256" t="n">
        <v>0.637499999999999</v>
      </c>
      <c r="CA256" t="n">
        <v>0.625</v>
      </c>
      <c r="CB256" t="n">
        <v>0.6125</v>
      </c>
      <c r="CC256" t="n">
        <v>0.6</v>
      </c>
      <c r="CD256" t="e">
        <v>#VALUE!</v>
      </c>
      <c r="CE256" t="e">
        <v>#VALUE!</v>
      </c>
      <c r="CF256" t="e">
        <v>#VALUE!</v>
      </c>
      <c r="CG256" t="e">
        <v>#VALUE!</v>
      </c>
      <c r="CH256" t="e">
        <v>#VALUE!</v>
      </c>
      <c r="CI256" t="e">
        <v>#VALUE!</v>
      </c>
      <c r="CJ256" t="e">
        <v>#VALUE!</v>
      </c>
      <c r="CK256" t="e">
        <v>#VALUE!</v>
      </c>
    </row>
    <row r="257" ht="12.5" customHeight="1" s="213">
      <c r="A257" t="inlineStr">
        <is>
          <t>NorthAm</t>
        </is>
      </c>
      <c r="B257" t="inlineStr">
        <is>
          <t>TTF</t>
        </is>
      </c>
      <c r="C257" t="inlineStr">
        <is>
          <t>TTF</t>
        </is>
      </c>
      <c r="E257" t="n">
        <v>679.5755214855679</v>
      </c>
      <c r="I257" t="n">
        <v>871.443239460521</v>
      </c>
      <c r="J257" t="n">
        <v>923.557036642287</v>
      </c>
      <c r="L257" t="n">
        <v>1023.3743399238</v>
      </c>
      <c r="V257" t="n">
        <v>1430.88134514306</v>
      </c>
      <c r="W257" t="n">
        <v>3</v>
      </c>
      <c r="AG257" s="223" t="inlineStr">
        <is>
          <t>GDP</t>
        </is>
      </c>
      <c r="AI257" t="n">
        <v>1</v>
      </c>
      <c r="AJ257" t="n">
        <v>1.01172788980591</v>
      </c>
      <c r="AK257" t="n">
        <v>1.15773078809578</v>
      </c>
      <c r="AL257" t="n">
        <v>1.27632693451747</v>
      </c>
      <c r="AM257" t="n">
        <v>1.38914444804718</v>
      </c>
      <c r="AN257" t="n">
        <v>1.5000891332334</v>
      </c>
      <c r="AO257" t="n">
        <v>1.611556767737</v>
      </c>
      <c r="AP257" t="n">
        <v>1.72407631178702</v>
      </c>
      <c r="AQ257" t="n">
        <v>1.83912215615181</v>
      </c>
      <c r="AR257" t="n">
        <v>1.9568346985545</v>
      </c>
      <c r="AS257" t="n">
        <v>2.07756858278502</v>
      </c>
      <c r="AT257" t="n">
        <v>2.19762495139749</v>
      </c>
      <c r="AU257" t="n">
        <v>2.315262357404</v>
      </c>
      <c r="AV257" t="n">
        <v>2.42917428621282</v>
      </c>
      <c r="AW257" t="n">
        <v>2.53923751413423</v>
      </c>
      <c r="AX257" t="n">
        <v>2.64552717756439</v>
      </c>
      <c r="AY257" t="n">
        <v>2.74797200426466</v>
      </c>
      <c r="AZ257" t="n">
        <v>2.84539900775305</v>
      </c>
      <c r="BA257" t="n">
        <v>0</v>
      </c>
      <c r="BB257" t="n">
        <v>0</v>
      </c>
      <c r="BC257" t="n">
        <v>0</v>
      </c>
      <c r="BD257" t="n">
        <v>0</v>
      </c>
      <c r="BE257" t="n">
        <v>0</v>
      </c>
      <c r="BF257" t="n">
        <v>0</v>
      </c>
      <c r="BG257" t="n">
        <v>0</v>
      </c>
      <c r="BH257" t="n">
        <v>0</v>
      </c>
      <c r="BJ257" t="inlineStr">
        <is>
          <t>Med2</t>
        </is>
      </c>
      <c r="BL257" t="n">
        <v>0.8</v>
      </c>
      <c r="BM257" t="n">
        <v>0.797560975609756</v>
      </c>
      <c r="BN257" t="n">
        <v>0.785365853658536</v>
      </c>
      <c r="BO257" t="n">
        <v>0.773170731707317</v>
      </c>
      <c r="BP257" t="n">
        <v>0.760975609756097</v>
      </c>
      <c r="BQ257" t="n">
        <v>0.748780487804878</v>
      </c>
      <c r="BR257" t="n">
        <v>0.736585365853658</v>
      </c>
      <c r="BS257" t="n">
        <v>0.724390243902439</v>
      </c>
      <c r="BT257" t="n">
        <v>0.71219512195122</v>
      </c>
      <c r="BU257" t="n">
        <v>0.699999999999999</v>
      </c>
      <c r="BV257" t="n">
        <v>0.687499999999999</v>
      </c>
      <c r="BW257" t="n">
        <v>0.675</v>
      </c>
      <c r="BX257" t="n">
        <v>0.6625</v>
      </c>
      <c r="BY257" t="n">
        <v>0.649999999999999</v>
      </c>
      <c r="BZ257" t="n">
        <v>0.637499999999999</v>
      </c>
      <c r="CA257" t="n">
        <v>0.625</v>
      </c>
      <c r="CB257" t="n">
        <v>0.6125</v>
      </c>
      <c r="CC257" t="n">
        <v>0.6</v>
      </c>
      <c r="CD257" t="e">
        <v>#VALUE!</v>
      </c>
      <c r="CE257" t="e">
        <v>#VALUE!</v>
      </c>
      <c r="CF257" t="e">
        <v>#VALUE!</v>
      </c>
      <c r="CG257" t="e">
        <v>#VALUE!</v>
      </c>
      <c r="CH257" t="e">
        <v>#VALUE!</v>
      </c>
      <c r="CI257" t="e">
        <v>#VALUE!</v>
      </c>
      <c r="CJ257" t="e">
        <v>#VALUE!</v>
      </c>
      <c r="CK257" t="e">
        <v>#VALUE!</v>
      </c>
    </row>
    <row r="258" ht="12.5" customHeight="1" s="213">
      <c r="A258" t="inlineStr">
        <is>
          <t>NorthAm</t>
        </is>
      </c>
      <c r="B258" t="inlineStr">
        <is>
          <t>TTP</t>
        </is>
      </c>
      <c r="C258" t="inlineStr">
        <is>
          <t>TTP</t>
        </is>
      </c>
      <c r="E258" t="n">
        <v>58.4320094976446</v>
      </c>
      <c r="I258" t="n">
        <v>61.9365902820291</v>
      </c>
      <c r="J258" t="n">
        <v>62.9423237956776</v>
      </c>
      <c r="L258" t="n">
        <v>64.5538136248101</v>
      </c>
      <c r="V258" t="n">
        <v>66.69131745858169</v>
      </c>
      <c r="W258" t="n">
        <v>3</v>
      </c>
      <c r="AG258" s="223" t="inlineStr">
        <is>
          <t>POP</t>
        </is>
      </c>
      <c r="AI258" t="n">
        <v>1</v>
      </c>
      <c r="AJ258" t="n">
        <v>1.00495999889878</v>
      </c>
      <c r="AK258" t="n">
        <v>1.02975999339271</v>
      </c>
      <c r="AL258" t="n">
        <v>1.05737471324628</v>
      </c>
      <c r="AM258" t="n">
        <v>1.08336204718507</v>
      </c>
      <c r="AN258" t="n">
        <v>1.10685592617762</v>
      </c>
      <c r="AO258" t="n">
        <v>1.1274670154964</v>
      </c>
      <c r="AP258" t="n">
        <v>1.14571722214685</v>
      </c>
      <c r="AQ258" t="n">
        <v>1.16074253232549</v>
      </c>
      <c r="AR258" t="n">
        <v>1.17410146972096</v>
      </c>
      <c r="AS258" t="n">
        <v>1.18602152993378</v>
      </c>
      <c r="AT258" t="n">
        <v>1.1965070712562</v>
      </c>
      <c r="AU258" t="n">
        <v>1.20478311558372</v>
      </c>
      <c r="AV258" t="n">
        <v>1.20985655258813</v>
      </c>
      <c r="AW258" t="n">
        <v>1.21138136650841</v>
      </c>
      <c r="AX258" t="n">
        <v>1.20971163886783</v>
      </c>
      <c r="AY258" t="n">
        <v>1.20580586955285</v>
      </c>
      <c r="AZ258" t="n">
        <v>1.19995082129647</v>
      </c>
      <c r="BA258" t="n">
        <v>0</v>
      </c>
      <c r="BB258" t="n">
        <v>0</v>
      </c>
      <c r="BC258" t="n">
        <v>0</v>
      </c>
      <c r="BD258" t="n">
        <v>0</v>
      </c>
      <c r="BE258" t="n">
        <v>0</v>
      </c>
      <c r="BF258" t="n">
        <v>0</v>
      </c>
      <c r="BG258" t="n">
        <v>0</v>
      </c>
      <c r="BH258" t="n">
        <v>0</v>
      </c>
      <c r="BJ258" t="inlineStr">
        <is>
          <t>Med2</t>
        </is>
      </c>
      <c r="BL258" t="n">
        <v>0.8</v>
      </c>
      <c r="BM258" t="n">
        <v>0.797560975609756</v>
      </c>
      <c r="BN258" t="n">
        <v>0.785365853658536</v>
      </c>
      <c r="BO258" t="n">
        <v>0.773170731707317</v>
      </c>
      <c r="BP258" t="n">
        <v>0.760975609756097</v>
      </c>
      <c r="BQ258" t="n">
        <v>0.748780487804878</v>
      </c>
      <c r="BR258" t="n">
        <v>0.736585365853658</v>
      </c>
      <c r="BS258" t="n">
        <v>0.724390243902439</v>
      </c>
      <c r="BT258" t="n">
        <v>0.71219512195122</v>
      </c>
      <c r="BU258" t="n">
        <v>0.699999999999999</v>
      </c>
      <c r="BV258" t="n">
        <v>0.687499999999999</v>
      </c>
      <c r="BW258" t="n">
        <v>0.675</v>
      </c>
      <c r="BX258" t="n">
        <v>0.6625</v>
      </c>
      <c r="BY258" t="n">
        <v>0.649999999999999</v>
      </c>
      <c r="BZ258" t="n">
        <v>0.637499999999999</v>
      </c>
      <c r="CA258" t="n">
        <v>0.625</v>
      </c>
      <c r="CB258" t="n">
        <v>0.6125</v>
      </c>
      <c r="CC258" t="n">
        <v>0.6</v>
      </c>
      <c r="CD258" t="e">
        <v>#VALUE!</v>
      </c>
      <c r="CE258" t="e">
        <v>#VALUE!</v>
      </c>
      <c r="CF258" t="e">
        <v>#VALUE!</v>
      </c>
      <c r="CG258" t="e">
        <v>#VALUE!</v>
      </c>
      <c r="CH258" t="e">
        <v>#VALUE!</v>
      </c>
      <c r="CI258" t="e">
        <v>#VALUE!</v>
      </c>
      <c r="CJ258" t="e">
        <v>#VALUE!</v>
      </c>
      <c r="CK258" t="e">
        <v>#VALUE!</v>
      </c>
    </row>
    <row r="259" ht="12.5" customHeight="1" s="213">
      <c r="A259" t="inlineStr">
        <is>
          <t>NorthAm</t>
        </is>
      </c>
      <c r="B259" t="inlineStr">
        <is>
          <t>TWD</t>
        </is>
      </c>
      <c r="C259" t="inlineStr">
        <is>
          <t>TWD</t>
        </is>
      </c>
      <c r="E259" t="n">
        <v>449.84905940102</v>
      </c>
      <c r="F259">
        <f>E259</f>
        <v/>
      </c>
      <c r="I259">
        <f>F259</f>
        <v/>
      </c>
      <c r="J259">
        <f>I259</f>
        <v/>
      </c>
      <c r="L259">
        <f>J259</f>
        <v/>
      </c>
      <c r="V259">
        <f>L259</f>
        <v/>
      </c>
      <c r="W259" t="n">
        <v>3</v>
      </c>
      <c r="AG259" s="223" t="inlineStr">
        <is>
          <t>GDP</t>
        </is>
      </c>
      <c r="AI259" t="n">
        <v>1</v>
      </c>
      <c r="AJ259" t="n">
        <v>1.01172788980591</v>
      </c>
      <c r="AK259" t="n">
        <v>1.15773078809578</v>
      </c>
      <c r="AL259" t="n">
        <v>1.27632693451747</v>
      </c>
      <c r="AM259" t="n">
        <v>1.38914444804718</v>
      </c>
      <c r="AN259" t="n">
        <v>1.5000891332334</v>
      </c>
      <c r="AO259" t="n">
        <v>1.611556767737</v>
      </c>
      <c r="AP259" t="n">
        <v>1.72407631178702</v>
      </c>
      <c r="AQ259" t="n">
        <v>1.83912215615181</v>
      </c>
      <c r="AR259" t="n">
        <v>1.9568346985545</v>
      </c>
      <c r="AS259" t="n">
        <v>2.07756858278502</v>
      </c>
      <c r="AT259" t="n">
        <v>2.19762495139749</v>
      </c>
      <c r="AU259" t="n">
        <v>2.315262357404</v>
      </c>
      <c r="AV259" t="n">
        <v>2.42917428621282</v>
      </c>
      <c r="AW259" t="n">
        <v>2.53923751413423</v>
      </c>
      <c r="AX259" t="n">
        <v>2.64552717756439</v>
      </c>
      <c r="AY259" t="n">
        <v>2.74797200426466</v>
      </c>
      <c r="AZ259" t="n">
        <v>2.84539900775305</v>
      </c>
      <c r="BA259" t="n">
        <v>0</v>
      </c>
      <c r="BB259" t="n">
        <v>0</v>
      </c>
      <c r="BC259" t="n">
        <v>0</v>
      </c>
      <c r="BD259" t="n">
        <v>0</v>
      </c>
      <c r="BE259" t="n">
        <v>0</v>
      </c>
      <c r="BF259" t="n">
        <v>0</v>
      </c>
      <c r="BG259" t="n">
        <v>0</v>
      </c>
      <c r="BH259" t="n">
        <v>0</v>
      </c>
      <c r="BJ259" t="inlineStr">
        <is>
          <t>Med2</t>
        </is>
      </c>
      <c r="BL259" t="n">
        <v>0.8</v>
      </c>
      <c r="BM259" t="n">
        <v>0.797560975609756</v>
      </c>
      <c r="BN259" t="n">
        <v>0.785365853658536</v>
      </c>
      <c r="BO259" t="n">
        <v>0.773170731707317</v>
      </c>
      <c r="BP259" t="n">
        <v>0.760975609756097</v>
      </c>
      <c r="BQ259" t="n">
        <v>0.748780487804878</v>
      </c>
      <c r="BR259" t="n">
        <v>0.736585365853658</v>
      </c>
      <c r="BS259" t="n">
        <v>0.724390243902439</v>
      </c>
      <c r="BT259" t="n">
        <v>0.71219512195122</v>
      </c>
      <c r="BU259" t="n">
        <v>0.699999999999999</v>
      </c>
      <c r="BV259" t="n">
        <v>0.687499999999999</v>
      </c>
      <c r="BW259" t="n">
        <v>0.675</v>
      </c>
      <c r="BX259" t="n">
        <v>0.6625</v>
      </c>
      <c r="BY259" t="n">
        <v>0.649999999999999</v>
      </c>
      <c r="BZ259" t="n">
        <v>0.637499999999999</v>
      </c>
      <c r="CA259" t="n">
        <v>0.625</v>
      </c>
      <c r="CB259" t="n">
        <v>0.6125</v>
      </c>
      <c r="CC259" t="n">
        <v>0.6</v>
      </c>
      <c r="CD259" t="e">
        <v>#VALUE!</v>
      </c>
      <c r="CE259" t="e">
        <v>#VALUE!</v>
      </c>
      <c r="CF259" t="e">
        <v>#VALUE!</v>
      </c>
      <c r="CG259" t="e">
        <v>#VALUE!</v>
      </c>
      <c r="CH259" t="e">
        <v>#VALUE!</v>
      </c>
      <c r="CI259" t="e">
        <v>#VALUE!</v>
      </c>
      <c r="CJ259" t="e">
        <v>#VALUE!</v>
      </c>
      <c r="CK259" t="e">
        <v>#VALUE!</v>
      </c>
    </row>
    <row r="260" ht="12.5" customHeight="1" s="213">
      <c r="A260" t="inlineStr">
        <is>
          <t>NorthAm</t>
        </is>
      </c>
      <c r="B260" t="inlineStr">
        <is>
          <t>TWI</t>
        </is>
      </c>
      <c r="C260" t="inlineStr">
        <is>
          <t>TWI</t>
        </is>
      </c>
      <c r="E260" t="n">
        <v>1024.60125475921</v>
      </c>
      <c r="F260">
        <f>E260</f>
        <v/>
      </c>
      <c r="I260">
        <f>F260</f>
        <v/>
      </c>
      <c r="J260">
        <f>I260</f>
        <v/>
      </c>
      <c r="L260">
        <f>J260</f>
        <v/>
      </c>
      <c r="V260">
        <f>L260</f>
        <v/>
      </c>
      <c r="W260" t="n">
        <v>3</v>
      </c>
      <c r="AG260" s="223" t="inlineStr">
        <is>
          <t>GDP</t>
        </is>
      </c>
      <c r="AI260" t="n">
        <v>1</v>
      </c>
      <c r="AJ260" t="n">
        <v>1.01172788980591</v>
      </c>
      <c r="AK260" t="n">
        <v>1.15773078809578</v>
      </c>
      <c r="AL260" t="n">
        <v>1.27632693451747</v>
      </c>
      <c r="AM260" t="n">
        <v>1.38914444804718</v>
      </c>
      <c r="AN260" t="n">
        <v>1.5000891332334</v>
      </c>
      <c r="AO260" t="n">
        <v>1.611556767737</v>
      </c>
      <c r="AP260" t="n">
        <v>1.72407631178702</v>
      </c>
      <c r="AQ260" t="n">
        <v>1.83912215615181</v>
      </c>
      <c r="AR260" t="n">
        <v>1.9568346985545</v>
      </c>
      <c r="AS260" t="n">
        <v>2.07756858278502</v>
      </c>
      <c r="AT260" t="n">
        <v>2.19762495139749</v>
      </c>
      <c r="AU260" t="n">
        <v>2.315262357404</v>
      </c>
      <c r="AV260" t="n">
        <v>2.42917428621282</v>
      </c>
      <c r="AW260" t="n">
        <v>2.53923751413423</v>
      </c>
      <c r="AX260" t="n">
        <v>2.64552717756439</v>
      </c>
      <c r="AY260" t="n">
        <v>2.74797200426466</v>
      </c>
      <c r="AZ260" t="n">
        <v>2.84539900775305</v>
      </c>
      <c r="BA260" t="n">
        <v>0</v>
      </c>
      <c r="BB260" t="n">
        <v>0</v>
      </c>
      <c r="BC260" t="n">
        <v>0</v>
      </c>
      <c r="BD260" t="n">
        <v>0</v>
      </c>
      <c r="BE260" t="n">
        <v>0</v>
      </c>
      <c r="BF260" t="n">
        <v>0</v>
      </c>
      <c r="BG260" t="n">
        <v>0</v>
      </c>
      <c r="BH260" t="n">
        <v>0</v>
      </c>
      <c r="BJ260" t="inlineStr">
        <is>
          <t>Med2</t>
        </is>
      </c>
      <c r="BL260" t="n">
        <v>0.8</v>
      </c>
      <c r="BM260" t="n">
        <v>0.797560975609756</v>
      </c>
      <c r="BN260" t="n">
        <v>0.785365853658536</v>
      </c>
      <c r="BO260" t="n">
        <v>0.773170731707317</v>
      </c>
      <c r="BP260" t="n">
        <v>0.760975609756097</v>
      </c>
      <c r="BQ260" t="n">
        <v>0.748780487804878</v>
      </c>
      <c r="BR260" t="n">
        <v>0.736585365853658</v>
      </c>
      <c r="BS260" t="n">
        <v>0.724390243902439</v>
      </c>
      <c r="BT260" t="n">
        <v>0.71219512195122</v>
      </c>
      <c r="BU260" t="n">
        <v>0.699999999999999</v>
      </c>
      <c r="BV260" t="n">
        <v>0.687499999999999</v>
      </c>
      <c r="BW260" t="n">
        <v>0.675</v>
      </c>
      <c r="BX260" t="n">
        <v>0.6625</v>
      </c>
      <c r="BY260" t="n">
        <v>0.649999999999999</v>
      </c>
      <c r="BZ260" t="n">
        <v>0.637499999999999</v>
      </c>
      <c r="CA260" t="n">
        <v>0.625</v>
      </c>
      <c r="CB260" t="n">
        <v>0.6125</v>
      </c>
      <c r="CC260" t="n">
        <v>0.6</v>
      </c>
      <c r="CD260" t="e">
        <v>#VALUE!</v>
      </c>
      <c r="CE260" t="e">
        <v>#VALUE!</v>
      </c>
      <c r="CF260" t="e">
        <v>#VALUE!</v>
      </c>
      <c r="CG260" t="e">
        <v>#VALUE!</v>
      </c>
      <c r="CH260" t="e">
        <v>#VALUE!</v>
      </c>
      <c r="CI260" t="e">
        <v>#VALUE!</v>
      </c>
      <c r="CJ260" t="e">
        <v>#VALUE!</v>
      </c>
      <c r="CK260" t="e">
        <v>#VALUE!</v>
      </c>
    </row>
    <row r="261" ht="12.5" customHeight="1" s="213">
      <c r="A261" t="inlineStr">
        <is>
          <t>NorthAm</t>
        </is>
      </c>
      <c r="B261" t="inlineStr">
        <is>
          <t>Trd_2w</t>
        </is>
      </c>
      <c r="C261" t="inlineStr">
        <is>
          <t>Trd_2w</t>
        </is>
      </c>
      <c r="D261" t="n">
        <v>14.532</v>
      </c>
      <c r="E261" t="n">
        <v>14.5894871614806</v>
      </c>
      <c r="G261" t="n">
        <v>14.8722451281558</v>
      </c>
      <c r="H261" t="n">
        <v>15.1806040843639</v>
      </c>
      <c r="I261" t="n">
        <v>15.4645218693356</v>
      </c>
      <c r="J261" t="n">
        <v>15.7156365633431</v>
      </c>
      <c r="K261" t="n">
        <v>15.9311949446892</v>
      </c>
      <c r="L261" t="n">
        <v>16.1179983916477</v>
      </c>
      <c r="M261" t="n">
        <v>16.2685398461219</v>
      </c>
      <c r="N261" t="n">
        <v>16.3996036087457</v>
      </c>
      <c r="O261" t="n">
        <v>16.5140702318807</v>
      </c>
      <c r="P261" t="n">
        <v>16.6126201308303</v>
      </c>
      <c r="Q261" t="n">
        <v>16.6887458757882</v>
      </c>
      <c r="R261" t="n">
        <v>16.7344263346711</v>
      </c>
      <c r="S261" t="n">
        <v>16.7478717426679</v>
      </c>
      <c r="T261" t="n">
        <v>16.7334438005564</v>
      </c>
      <c r="U261" t="n">
        <v>16.7003523235022</v>
      </c>
      <c r="V261" t="n">
        <v>16.651697044296</v>
      </c>
      <c r="W261" t="n">
        <v>3</v>
      </c>
      <c r="AG261" s="223" t="inlineStr">
        <is>
          <t>POP</t>
        </is>
      </c>
      <c r="AI261" t="n">
        <v>1</v>
      </c>
      <c r="AJ261" t="n">
        <v>1.00495999889878</v>
      </c>
      <c r="AK261" t="n">
        <v>1.02975999339271</v>
      </c>
      <c r="AL261" t="n">
        <v>1.05737471324628</v>
      </c>
      <c r="AM261" t="n">
        <v>1.08336204718507</v>
      </c>
      <c r="AN261" t="n">
        <v>1.10685592617762</v>
      </c>
      <c r="AO261" t="n">
        <v>1.1274670154964</v>
      </c>
      <c r="AP261" t="n">
        <v>1.14571722214685</v>
      </c>
      <c r="AQ261" t="n">
        <v>1.16074253232549</v>
      </c>
      <c r="AR261" t="n">
        <v>1.17410146972096</v>
      </c>
      <c r="AS261" t="n">
        <v>1.18602152993378</v>
      </c>
      <c r="AT261" t="n">
        <v>1.1965070712562</v>
      </c>
      <c r="AU261" t="n">
        <v>1.20478311558372</v>
      </c>
      <c r="AV261" t="n">
        <v>1.20985655258813</v>
      </c>
      <c r="AW261" t="n">
        <v>1.21138136650841</v>
      </c>
      <c r="AX261" t="n">
        <v>1.20971163886783</v>
      </c>
      <c r="AY261" t="n">
        <v>1.20580586955285</v>
      </c>
      <c r="AZ261" t="n">
        <v>1.19995082129647</v>
      </c>
      <c r="BA261" t="n">
        <v>0</v>
      </c>
      <c r="BB261" t="n">
        <v>0</v>
      </c>
      <c r="BC261" t="n">
        <v>0</v>
      </c>
      <c r="BD261" t="n">
        <v>0</v>
      </c>
      <c r="BE261" t="n">
        <v>0</v>
      </c>
      <c r="BF261" t="n">
        <v>0</v>
      </c>
      <c r="BG261" t="n">
        <v>0</v>
      </c>
      <c r="BH261" t="n">
        <v>0</v>
      </c>
      <c r="BJ261" t="inlineStr">
        <is>
          <t>Med2</t>
        </is>
      </c>
      <c r="BL261" t="n">
        <v>0.8</v>
      </c>
      <c r="BM261" t="n">
        <v>0.797560975609756</v>
      </c>
      <c r="BN261" t="n">
        <v>0.785365853658536</v>
      </c>
      <c r="BO261" t="n">
        <v>0.773170731707317</v>
      </c>
      <c r="BP261" t="n">
        <v>0.760975609756097</v>
      </c>
      <c r="BQ261" t="n">
        <v>0.748780487804878</v>
      </c>
      <c r="BR261" t="n">
        <v>0.736585365853658</v>
      </c>
      <c r="BS261" t="n">
        <v>0.724390243902439</v>
      </c>
      <c r="BT261" t="n">
        <v>0.71219512195122</v>
      </c>
      <c r="BU261" t="n">
        <v>0.699999999999999</v>
      </c>
      <c r="BV261" t="n">
        <v>0.687499999999999</v>
      </c>
      <c r="BW261" t="n">
        <v>0.675</v>
      </c>
      <c r="BX261" t="n">
        <v>0.6625</v>
      </c>
      <c r="BY261" t="n">
        <v>0.649999999999999</v>
      </c>
      <c r="BZ261" t="n">
        <v>0.637499999999999</v>
      </c>
      <c r="CA261" t="n">
        <v>0.625</v>
      </c>
      <c r="CB261" t="n">
        <v>0.6125</v>
      </c>
      <c r="CC261" t="n">
        <v>0.6</v>
      </c>
      <c r="CD261" t="e">
        <v>#VALUE!</v>
      </c>
      <c r="CE261" t="e">
        <v>#VALUE!</v>
      </c>
      <c r="CF261" t="e">
        <v>#VALUE!</v>
      </c>
      <c r="CG261" t="e">
        <v>#VALUE!</v>
      </c>
      <c r="CH261" t="e">
        <v>#VALUE!</v>
      </c>
      <c r="CI261" t="e">
        <v>#VALUE!</v>
      </c>
      <c r="CJ261" t="e">
        <v>#VALUE!</v>
      </c>
      <c r="CK261" t="e">
        <v>#VALUE!</v>
      </c>
    </row>
    <row r="262" ht="12.5" customHeight="1" s="213">
      <c r="A262" t="inlineStr">
        <is>
          <t>NorthAm</t>
        </is>
      </c>
      <c r="B262" t="inlineStr">
        <is>
          <t>Trd_3w</t>
        </is>
      </c>
      <c r="C262" t="inlineStr">
        <is>
          <t>Trd_3w</t>
        </is>
      </c>
      <c r="D262" t="n">
        <v>8.609999999999999</v>
      </c>
      <c r="E262" t="n">
        <v>8.644060312437921</v>
      </c>
      <c r="G262" t="n">
        <v>8.811590321595229</v>
      </c>
      <c r="H262" t="n">
        <v>8.994288547094211</v>
      </c>
      <c r="I262" t="n">
        <v>9.162505731831761</v>
      </c>
      <c r="J262" t="n">
        <v>9.31128755920615</v>
      </c>
      <c r="K262" t="n">
        <v>9.43900278514821</v>
      </c>
      <c r="L262" t="n">
        <v>9.549681127999349</v>
      </c>
      <c r="M262" t="n">
        <v>9.6388747643208</v>
      </c>
      <c r="N262" t="n">
        <v>9.716528149690379</v>
      </c>
      <c r="O262" t="n">
        <v>9.78434796975592</v>
      </c>
      <c r="P262" t="n">
        <v>9.842737360752039</v>
      </c>
      <c r="Q262" t="n">
        <v>9.887840764556611</v>
      </c>
      <c r="R262" t="n">
        <v>9.914905776322479</v>
      </c>
      <c r="S262" t="n">
        <v>9.922871986262789</v>
      </c>
      <c r="T262" t="n">
        <v>9.91432363905796</v>
      </c>
      <c r="U262" t="n">
        <v>9.894717417103919</v>
      </c>
      <c r="V262" t="n">
        <v>9.865889867285199</v>
      </c>
      <c r="W262" t="n">
        <v>3</v>
      </c>
      <c r="AG262" s="223" t="inlineStr">
        <is>
          <t>POP</t>
        </is>
      </c>
      <c r="AI262" t="n">
        <v>1</v>
      </c>
      <c r="AJ262" t="n">
        <v>1.00495999889878</v>
      </c>
      <c r="AK262" t="n">
        <v>1.02975999339271</v>
      </c>
      <c r="AL262" t="n">
        <v>1.05737471324628</v>
      </c>
      <c r="AM262" t="n">
        <v>1.08336204718507</v>
      </c>
      <c r="AN262" t="n">
        <v>1.10685592617762</v>
      </c>
      <c r="AO262" t="n">
        <v>1.1274670154964</v>
      </c>
      <c r="AP262" t="n">
        <v>1.14571722214685</v>
      </c>
      <c r="AQ262" t="n">
        <v>1.16074253232549</v>
      </c>
      <c r="AR262" t="n">
        <v>1.17410146972096</v>
      </c>
      <c r="AS262" t="n">
        <v>1.18602152993378</v>
      </c>
      <c r="AT262" t="n">
        <v>1.1965070712562</v>
      </c>
      <c r="AU262" t="n">
        <v>1.20478311558372</v>
      </c>
      <c r="AV262" t="n">
        <v>1.20985655258813</v>
      </c>
      <c r="AW262" t="n">
        <v>1.21138136650841</v>
      </c>
      <c r="AX262" t="n">
        <v>1.20971163886783</v>
      </c>
      <c r="AY262" t="n">
        <v>1.20580586955285</v>
      </c>
      <c r="AZ262" t="n">
        <v>1.19995082129647</v>
      </c>
      <c r="BA262" t="n">
        <v>0</v>
      </c>
      <c r="BB262" t="n">
        <v>0</v>
      </c>
      <c r="BC262" t="n">
        <v>0</v>
      </c>
      <c r="BD262" t="n">
        <v>0</v>
      </c>
      <c r="BE262" t="n">
        <v>0</v>
      </c>
      <c r="BF262" t="n">
        <v>0</v>
      </c>
      <c r="BG262" t="n">
        <v>0</v>
      </c>
      <c r="BH262" t="n">
        <v>0</v>
      </c>
      <c r="BJ262" t="inlineStr">
        <is>
          <t>Med2</t>
        </is>
      </c>
      <c r="BL262" t="n">
        <v>0.8</v>
      </c>
      <c r="BM262" t="n">
        <v>0.797560975609756</v>
      </c>
      <c r="BN262" t="n">
        <v>0.785365853658536</v>
      </c>
      <c r="BO262" t="n">
        <v>0.773170731707317</v>
      </c>
      <c r="BP262" t="n">
        <v>0.760975609756097</v>
      </c>
      <c r="BQ262" t="n">
        <v>0.748780487804878</v>
      </c>
      <c r="BR262" t="n">
        <v>0.736585365853658</v>
      </c>
      <c r="BS262" t="n">
        <v>0.724390243902439</v>
      </c>
      <c r="BT262" t="n">
        <v>0.71219512195122</v>
      </c>
      <c r="BU262" t="n">
        <v>0.699999999999999</v>
      </c>
      <c r="BV262" t="n">
        <v>0.687499999999999</v>
      </c>
      <c r="BW262" t="n">
        <v>0.675</v>
      </c>
      <c r="BX262" t="n">
        <v>0.6625</v>
      </c>
      <c r="BY262" t="n">
        <v>0.649999999999999</v>
      </c>
      <c r="BZ262" t="n">
        <v>0.637499999999999</v>
      </c>
      <c r="CA262" t="n">
        <v>0.625</v>
      </c>
      <c r="CB262" t="n">
        <v>0.6125</v>
      </c>
      <c r="CC262" t="n">
        <v>0.6</v>
      </c>
      <c r="CD262" t="e">
        <v>#VALUE!</v>
      </c>
      <c r="CE262" t="e">
        <v>#VALUE!</v>
      </c>
      <c r="CF262" t="e">
        <v>#VALUE!</v>
      </c>
      <c r="CG262" t="e">
        <v>#VALUE!</v>
      </c>
      <c r="CH262" t="e">
        <v>#VALUE!</v>
      </c>
      <c r="CI262" t="e">
        <v>#VALUE!</v>
      </c>
      <c r="CJ262" t="e">
        <v>#VALUE!</v>
      </c>
      <c r="CK262" t="e">
        <v>#VALUE!</v>
      </c>
    </row>
    <row r="263" ht="12.5" customHeight="1" s="213">
      <c r="A263" t="inlineStr">
        <is>
          <t>NorthAm</t>
        </is>
      </c>
      <c r="B263" t="inlineStr">
        <is>
          <t>Trd_bus</t>
        </is>
      </c>
      <c r="C263" t="inlineStr">
        <is>
          <t>Trd_bus</t>
        </is>
      </c>
      <c r="D263" t="n">
        <v>19.775</v>
      </c>
      <c r="E263" t="n">
        <v>19.8532279533635</v>
      </c>
      <c r="G263" t="n">
        <v>20.2380021613874</v>
      </c>
      <c r="H263" t="n">
        <v>20.6576139394644</v>
      </c>
      <c r="I263" t="n">
        <v>21.0439664166055</v>
      </c>
      <c r="J263" t="n">
        <v>21.3856807762255</v>
      </c>
      <c r="K263" t="n">
        <v>21.6790104618242</v>
      </c>
      <c r="L263" t="n">
        <v>21.9332107208115</v>
      </c>
      <c r="M263" t="n">
        <v>22.1380660237449</v>
      </c>
      <c r="N263" t="n">
        <v>22.3164162787604</v>
      </c>
      <c r="O263" t="n">
        <v>22.4721813126508</v>
      </c>
      <c r="P263" t="n">
        <v>22.6062870277435</v>
      </c>
      <c r="Q263" t="n">
        <v>22.7098781787581</v>
      </c>
      <c r="R263" t="n">
        <v>22.7720396895211</v>
      </c>
      <c r="S263" t="n">
        <v>22.7903360660101</v>
      </c>
      <c r="T263" t="n">
        <v>22.7707026669421</v>
      </c>
      <c r="U263" t="n">
        <v>22.7256721165192</v>
      </c>
      <c r="V263" t="n">
        <v>22.6594625000656</v>
      </c>
      <c r="W263" t="n">
        <v>3</v>
      </c>
      <c r="AG263" s="223" t="inlineStr">
        <is>
          <t>POP</t>
        </is>
      </c>
      <c r="AI263" t="n">
        <v>1</v>
      </c>
      <c r="AJ263" t="n">
        <v>1.00495999889878</v>
      </c>
      <c r="AK263" t="n">
        <v>1.02975999339271</v>
      </c>
      <c r="AL263" t="n">
        <v>1.05737471324628</v>
      </c>
      <c r="AM263" t="n">
        <v>1.08336204718507</v>
      </c>
      <c r="AN263" t="n">
        <v>1.10685592617762</v>
      </c>
      <c r="AO263" t="n">
        <v>1.1274670154964</v>
      </c>
      <c r="AP263" t="n">
        <v>1.14571722214685</v>
      </c>
      <c r="AQ263" t="n">
        <v>1.16074253232549</v>
      </c>
      <c r="AR263" t="n">
        <v>1.17410146972096</v>
      </c>
      <c r="AS263" t="n">
        <v>1.18602152993378</v>
      </c>
      <c r="AT263" t="n">
        <v>1.1965070712562</v>
      </c>
      <c r="AU263" t="n">
        <v>1.20478311558372</v>
      </c>
      <c r="AV263" t="n">
        <v>1.20985655258813</v>
      </c>
      <c r="AW263" t="n">
        <v>1.21138136650841</v>
      </c>
      <c r="AX263" t="n">
        <v>1.20971163886783</v>
      </c>
      <c r="AY263" t="n">
        <v>1.20580586955285</v>
      </c>
      <c r="AZ263" t="n">
        <v>1.19995082129647</v>
      </c>
      <c r="BA263" t="n">
        <v>0</v>
      </c>
      <c r="BB263" t="n">
        <v>0</v>
      </c>
      <c r="BC263" t="n">
        <v>0</v>
      </c>
      <c r="BD263" t="n">
        <v>0</v>
      </c>
      <c r="BE263" t="n">
        <v>0</v>
      </c>
      <c r="BF263" t="n">
        <v>0</v>
      </c>
      <c r="BG263" t="n">
        <v>0</v>
      </c>
      <c r="BH263" t="n">
        <v>0</v>
      </c>
      <c r="BJ263" t="inlineStr">
        <is>
          <t>Med2</t>
        </is>
      </c>
      <c r="BL263" t="n">
        <v>0.8</v>
      </c>
      <c r="BM263" t="n">
        <v>0.797560975609756</v>
      </c>
      <c r="BN263" t="n">
        <v>0.785365853658536</v>
      </c>
      <c r="BO263" t="n">
        <v>0.773170731707317</v>
      </c>
      <c r="BP263" t="n">
        <v>0.760975609756097</v>
      </c>
      <c r="BQ263" t="n">
        <v>0.748780487804878</v>
      </c>
      <c r="BR263" t="n">
        <v>0.736585365853658</v>
      </c>
      <c r="BS263" t="n">
        <v>0.724390243902439</v>
      </c>
      <c r="BT263" t="n">
        <v>0.71219512195122</v>
      </c>
      <c r="BU263" t="n">
        <v>0.699999999999999</v>
      </c>
      <c r="BV263" t="n">
        <v>0.687499999999999</v>
      </c>
      <c r="BW263" t="n">
        <v>0.675</v>
      </c>
      <c r="BX263" t="n">
        <v>0.6625</v>
      </c>
      <c r="BY263" t="n">
        <v>0.649999999999999</v>
      </c>
      <c r="BZ263" t="n">
        <v>0.637499999999999</v>
      </c>
      <c r="CA263" t="n">
        <v>0.625</v>
      </c>
      <c r="CB263" t="n">
        <v>0.6125</v>
      </c>
      <c r="CC263" t="n">
        <v>0.6</v>
      </c>
      <c r="CD263" t="e">
        <v>#VALUE!</v>
      </c>
      <c r="CE263" t="e">
        <v>#VALUE!</v>
      </c>
      <c r="CF263" t="e">
        <v>#VALUE!</v>
      </c>
      <c r="CG263" t="e">
        <v>#VALUE!</v>
      </c>
      <c r="CH263" t="e">
        <v>#VALUE!</v>
      </c>
      <c r="CI263" t="e">
        <v>#VALUE!</v>
      </c>
      <c r="CJ263" t="e">
        <v>#VALUE!</v>
      </c>
      <c r="CK263" t="e">
        <v>#VALUE!</v>
      </c>
    </row>
    <row r="264" ht="12.5" customHeight="1" s="213">
      <c r="A264" t="inlineStr">
        <is>
          <t>NorthAm</t>
        </is>
      </c>
      <c r="B264" t="inlineStr">
        <is>
          <t>Trd_car</t>
        </is>
      </c>
      <c r="C264" t="inlineStr">
        <is>
          <t>Trd_car</t>
        </is>
      </c>
      <c r="D264" t="n">
        <v>6991.488</v>
      </c>
      <c r="E264" t="n">
        <v>7029.04043357187</v>
      </c>
      <c r="G264" t="n">
        <v>7673.55280400293</v>
      </c>
      <c r="H264" t="n">
        <v>8110.49698055852</v>
      </c>
      <c r="I264" t="n">
        <v>8494.909055147729</v>
      </c>
      <c r="J264" t="n">
        <v>8857.12284204686</v>
      </c>
      <c r="K264" t="n">
        <v>9213.77872672289</v>
      </c>
      <c r="L264" t="n">
        <v>9566.046460682561</v>
      </c>
      <c r="M264" t="n">
        <v>9926.588972487491</v>
      </c>
      <c r="N264" t="n">
        <v>10287.2114432892</v>
      </c>
      <c r="O264" t="n">
        <v>10648.1048462169</v>
      </c>
      <c r="P264" t="n">
        <v>10996.8199755773</v>
      </c>
      <c r="Q264" t="n">
        <v>11334.0776099036</v>
      </c>
      <c r="R264" t="n">
        <v>11664.1311253528</v>
      </c>
      <c r="S264" t="n">
        <v>11991.2589448381</v>
      </c>
      <c r="T264" t="n">
        <v>12315.7494232534</v>
      </c>
      <c r="U264" t="n">
        <v>12633.2385596933</v>
      </c>
      <c r="V264" t="n">
        <v>12940.275898444</v>
      </c>
      <c r="W264" t="n">
        <v>3</v>
      </c>
      <c r="AG264" s="223" t="inlineStr">
        <is>
          <t>GDPPCAP</t>
        </is>
      </c>
      <c r="AI264" t="n">
        <v>1</v>
      </c>
      <c r="AJ264" t="n">
        <v>1.00673448785478</v>
      </c>
      <c r="AK264" t="n">
        <v>1.12427244748697</v>
      </c>
      <c r="AL264" t="n">
        <v>1.20707155044305</v>
      </c>
      <c r="AM264" t="n">
        <v>1.28225319657139</v>
      </c>
      <c r="AN264" t="n">
        <v>1.35527045368385</v>
      </c>
      <c r="AO264" t="n">
        <v>1.42936045630343</v>
      </c>
      <c r="AP264" t="n">
        <v>1.50480090415019</v>
      </c>
      <c r="AQ264" t="n">
        <v>1.58443591488564</v>
      </c>
      <c r="AR264" t="n">
        <v>1.66666574314022</v>
      </c>
      <c r="AS264" t="n">
        <v>1.75171236807229</v>
      </c>
      <c r="AT264" t="n">
        <v>1.83670034569058</v>
      </c>
      <c r="AU264" t="n">
        <v>1.92172543543843</v>
      </c>
      <c r="AV264" t="n">
        <v>2.00782008496488</v>
      </c>
      <c r="AW264" t="n">
        <v>2.09615038198345</v>
      </c>
      <c r="AX264" t="n">
        <v>2.18690726993447</v>
      </c>
      <c r="AY264" t="n">
        <v>2.27895059532568</v>
      </c>
      <c r="AZ264" t="n">
        <v>2.37126301949504</v>
      </c>
      <c r="BA264" t="n">
        <v>0</v>
      </c>
      <c r="BB264" t="n">
        <v>0</v>
      </c>
      <c r="BC264" t="n">
        <v>0</v>
      </c>
      <c r="BD264" t="n">
        <v>0</v>
      </c>
      <c r="BE264" t="n">
        <v>0</v>
      </c>
      <c r="BF264" t="n">
        <v>0</v>
      </c>
      <c r="BG264" t="n">
        <v>0</v>
      </c>
      <c r="BH264" t="n">
        <v>0</v>
      </c>
      <c r="BJ264" t="inlineStr">
        <is>
          <t>Med2</t>
        </is>
      </c>
      <c r="BL264" t="n">
        <v>0.8</v>
      </c>
      <c r="BM264" t="n">
        <v>0.797560975609756</v>
      </c>
      <c r="BN264" t="n">
        <v>0.785365853658536</v>
      </c>
      <c r="BO264" t="n">
        <v>0.773170731707317</v>
      </c>
      <c r="BP264" t="n">
        <v>0.760975609756097</v>
      </c>
      <c r="BQ264" t="n">
        <v>0.748780487804878</v>
      </c>
      <c r="BR264" t="n">
        <v>0.736585365853658</v>
      </c>
      <c r="BS264" t="n">
        <v>0.724390243902439</v>
      </c>
      <c r="BT264" t="n">
        <v>0.71219512195122</v>
      </c>
      <c r="BU264" t="n">
        <v>0.699999999999999</v>
      </c>
      <c r="BV264" t="n">
        <v>0.687499999999999</v>
      </c>
      <c r="BW264" t="n">
        <v>0.675</v>
      </c>
      <c r="BX264" t="n">
        <v>0.6625</v>
      </c>
      <c r="BY264" t="n">
        <v>0.649999999999999</v>
      </c>
      <c r="BZ264" t="n">
        <v>0.637499999999999</v>
      </c>
      <c r="CA264" t="n">
        <v>0.625</v>
      </c>
      <c r="CB264" t="n">
        <v>0.6125</v>
      </c>
      <c r="CC264" t="n">
        <v>0.6</v>
      </c>
      <c r="CD264" t="e">
        <v>#VALUE!</v>
      </c>
      <c r="CE264" t="e">
        <v>#VALUE!</v>
      </c>
      <c r="CF264" t="e">
        <v>#VALUE!</v>
      </c>
      <c r="CG264" t="e">
        <v>#VALUE!</v>
      </c>
      <c r="CH264" t="e">
        <v>#VALUE!</v>
      </c>
      <c r="CI264" t="e">
        <v>#VALUE!</v>
      </c>
      <c r="CJ264" t="e">
        <v>#VALUE!</v>
      </c>
      <c r="CK264" t="e">
        <v>#VALUE!</v>
      </c>
    </row>
    <row r="265" ht="12.5" customHeight="1" s="213">
      <c r="A265" t="inlineStr">
        <is>
          <t>NorthAm</t>
        </is>
      </c>
      <c r="B265" t="inlineStr">
        <is>
          <t>Trd_hdt</t>
        </is>
      </c>
      <c r="C265" t="inlineStr">
        <is>
          <t>Trd_hdt</t>
        </is>
      </c>
      <c r="D265" t="n">
        <v>958.2</v>
      </c>
      <c r="E265" t="n">
        <v>967.162722273004</v>
      </c>
      <c r="G265" t="n">
        <v>1076.77755332906</v>
      </c>
      <c r="H265" t="n">
        <v>1162.06093129176</v>
      </c>
      <c r="I265" t="n">
        <v>1240.2262723363</v>
      </c>
      <c r="J265" t="n">
        <v>1314.39392605066</v>
      </c>
      <c r="K265" t="n">
        <v>1386.33556866191</v>
      </c>
      <c r="L265" t="n">
        <v>1456.45256665716</v>
      </c>
      <c r="M265" t="n">
        <v>1525.66909152133</v>
      </c>
      <c r="N265" t="n">
        <v>1594.02413303895</v>
      </c>
      <c r="O265" t="n">
        <v>1661.63906680457</v>
      </c>
      <c r="P265" t="n">
        <v>1726.45328710121</v>
      </c>
      <c r="Q265" t="n">
        <v>1787.67882041112</v>
      </c>
      <c r="R265" t="n">
        <v>1844.84930142253</v>
      </c>
      <c r="S265" t="n">
        <v>1898.13671674445</v>
      </c>
      <c r="T265" t="n">
        <v>1947.79540159673</v>
      </c>
      <c r="U265" t="n">
        <v>1993.99383341952</v>
      </c>
      <c r="V265" t="n">
        <v>2036.41104375418</v>
      </c>
      <c r="W265" t="n">
        <v>3</v>
      </c>
      <c r="AG265" s="223" t="inlineStr">
        <is>
          <t>GDP</t>
        </is>
      </c>
      <c r="AI265" t="n">
        <v>1</v>
      </c>
      <c r="AJ265" t="n">
        <v>1.01172788980591</v>
      </c>
      <c r="AK265" t="n">
        <v>1.15773078809578</v>
      </c>
      <c r="AL265" t="n">
        <v>1.27632693451747</v>
      </c>
      <c r="AM265" t="n">
        <v>1.38914444804718</v>
      </c>
      <c r="AN265" t="n">
        <v>1.5000891332334</v>
      </c>
      <c r="AO265" t="n">
        <v>1.611556767737</v>
      </c>
      <c r="AP265" t="n">
        <v>1.72407631178702</v>
      </c>
      <c r="AQ265" t="n">
        <v>1.83912215615181</v>
      </c>
      <c r="AR265" t="n">
        <v>1.9568346985545</v>
      </c>
      <c r="AS265" t="n">
        <v>2.07756858278502</v>
      </c>
      <c r="AT265" t="n">
        <v>2.19762495139749</v>
      </c>
      <c r="AU265" t="n">
        <v>2.315262357404</v>
      </c>
      <c r="AV265" t="n">
        <v>2.42917428621282</v>
      </c>
      <c r="AW265" t="n">
        <v>2.53923751413423</v>
      </c>
      <c r="AX265" t="n">
        <v>2.64552717756439</v>
      </c>
      <c r="AY265" t="n">
        <v>2.74797200426466</v>
      </c>
      <c r="AZ265" t="n">
        <v>2.84539900775305</v>
      </c>
      <c r="BA265" t="n">
        <v>0</v>
      </c>
      <c r="BB265" t="n">
        <v>0</v>
      </c>
      <c r="BC265" t="n">
        <v>0</v>
      </c>
      <c r="BD265" t="n">
        <v>0</v>
      </c>
      <c r="BE265" t="n">
        <v>0</v>
      </c>
      <c r="BF265" t="n">
        <v>0</v>
      </c>
      <c r="BG265" t="n">
        <v>0</v>
      </c>
      <c r="BH265" t="n">
        <v>0</v>
      </c>
      <c r="BJ265" t="inlineStr">
        <is>
          <t>Med2</t>
        </is>
      </c>
      <c r="BL265" t="n">
        <v>0.8</v>
      </c>
      <c r="BM265" t="n">
        <v>0.797560975609756</v>
      </c>
      <c r="BN265" t="n">
        <v>0.785365853658536</v>
      </c>
      <c r="BO265" t="n">
        <v>0.773170731707317</v>
      </c>
      <c r="BP265" t="n">
        <v>0.760975609756097</v>
      </c>
      <c r="BQ265" t="n">
        <v>0.748780487804878</v>
      </c>
      <c r="BR265" t="n">
        <v>0.736585365853658</v>
      </c>
      <c r="BS265" t="n">
        <v>0.724390243902439</v>
      </c>
      <c r="BT265" t="n">
        <v>0.71219512195122</v>
      </c>
      <c r="BU265" t="n">
        <v>0.699999999999999</v>
      </c>
      <c r="BV265" t="n">
        <v>0.687499999999999</v>
      </c>
      <c r="BW265" t="n">
        <v>0.675</v>
      </c>
      <c r="BX265" t="n">
        <v>0.6625</v>
      </c>
      <c r="BY265" t="n">
        <v>0.649999999999999</v>
      </c>
      <c r="BZ265" t="n">
        <v>0.637499999999999</v>
      </c>
      <c r="CA265" t="n">
        <v>0.625</v>
      </c>
      <c r="CB265" t="n">
        <v>0.6125</v>
      </c>
      <c r="CC265" t="n">
        <v>0.6</v>
      </c>
      <c r="CD265" t="e">
        <v>#VALUE!</v>
      </c>
      <c r="CE265" t="e">
        <v>#VALUE!</v>
      </c>
      <c r="CF265" t="e">
        <v>#VALUE!</v>
      </c>
      <c r="CG265" t="e">
        <v>#VALUE!</v>
      </c>
      <c r="CH265" t="e">
        <v>#VALUE!</v>
      </c>
      <c r="CI265" t="e">
        <v>#VALUE!</v>
      </c>
      <c r="CJ265" t="e">
        <v>#VALUE!</v>
      </c>
      <c r="CK265" t="e">
        <v>#VALUE!</v>
      </c>
    </row>
    <row r="266" ht="12.5" customHeight="1" s="213">
      <c r="A266" t="inlineStr">
        <is>
          <t>NorthAm</t>
        </is>
      </c>
      <c r="B266" t="inlineStr">
        <is>
          <t>Trd_lcv</t>
        </is>
      </c>
      <c r="C266" t="inlineStr">
        <is>
          <t>Trd_lcv</t>
        </is>
      </c>
      <c r="D266" t="n">
        <v>1080.32</v>
      </c>
      <c r="E266" t="n">
        <v>1090.4249970006</v>
      </c>
      <c r="G266" t="n">
        <v>1214.00994198753</v>
      </c>
      <c r="H266" t="n">
        <v>1310.1624559519</v>
      </c>
      <c r="I266" t="n">
        <v>1398.28975843284</v>
      </c>
      <c r="J266" t="n">
        <v>1481.90987913907</v>
      </c>
      <c r="K266" t="n">
        <v>1563.02028964395</v>
      </c>
      <c r="L266" t="n">
        <v>1642.07350950852</v>
      </c>
      <c r="M266" t="n">
        <v>1720.11149337542</v>
      </c>
      <c r="N266" t="n">
        <v>1797.17820017182</v>
      </c>
      <c r="O266" t="n">
        <v>1873.41047448374</v>
      </c>
      <c r="P266" t="n">
        <v>1946.48509196533</v>
      </c>
      <c r="Q266" t="n">
        <v>2015.5136540039</v>
      </c>
      <c r="R266" t="n">
        <v>2079.97035828928</v>
      </c>
      <c r="S266" t="n">
        <v>2140.0491106589</v>
      </c>
      <c r="T266" t="n">
        <v>2196.03666066895</v>
      </c>
      <c r="U266" t="n">
        <v>2248.12295775389</v>
      </c>
      <c r="V266" t="n">
        <v>2295.94612689263</v>
      </c>
      <c r="W266" t="n">
        <v>3</v>
      </c>
      <c r="AG266" s="223" t="inlineStr">
        <is>
          <t>GDP</t>
        </is>
      </c>
      <c r="AI266" t="n">
        <v>1</v>
      </c>
      <c r="AJ266" t="n">
        <v>1.01172788980591</v>
      </c>
      <c r="AK266" t="n">
        <v>1.15773078809578</v>
      </c>
      <c r="AL266" t="n">
        <v>1.27632693451747</v>
      </c>
      <c r="AM266" t="n">
        <v>1.38914444804718</v>
      </c>
      <c r="AN266" t="n">
        <v>1.5000891332334</v>
      </c>
      <c r="AO266" t="n">
        <v>1.611556767737</v>
      </c>
      <c r="AP266" t="n">
        <v>1.72407631178702</v>
      </c>
      <c r="AQ266" t="n">
        <v>1.83912215615181</v>
      </c>
      <c r="AR266" t="n">
        <v>1.9568346985545</v>
      </c>
      <c r="AS266" t="n">
        <v>2.07756858278502</v>
      </c>
      <c r="AT266" t="n">
        <v>2.19762495139749</v>
      </c>
      <c r="AU266" t="n">
        <v>2.315262357404</v>
      </c>
      <c r="AV266" t="n">
        <v>2.42917428621282</v>
      </c>
      <c r="AW266" t="n">
        <v>2.53923751413423</v>
      </c>
      <c r="AX266" t="n">
        <v>2.64552717756439</v>
      </c>
      <c r="AY266" t="n">
        <v>2.74797200426466</v>
      </c>
      <c r="AZ266" t="n">
        <v>2.84539900775305</v>
      </c>
      <c r="BA266" t="n">
        <v>0</v>
      </c>
      <c r="BB266" t="n">
        <v>0</v>
      </c>
      <c r="BC266" t="n">
        <v>0</v>
      </c>
      <c r="BD266" t="n">
        <v>0</v>
      </c>
      <c r="BE266" t="n">
        <v>0</v>
      </c>
      <c r="BF266" t="n">
        <v>0</v>
      </c>
      <c r="BG266" t="n">
        <v>0</v>
      </c>
      <c r="BH266" t="n">
        <v>0</v>
      </c>
      <c r="BJ266" t="inlineStr">
        <is>
          <t>Med2</t>
        </is>
      </c>
      <c r="BL266" t="n">
        <v>0.8</v>
      </c>
      <c r="BM266" t="n">
        <v>0.797560975609756</v>
      </c>
      <c r="BN266" t="n">
        <v>0.785365853658536</v>
      </c>
      <c r="BO266" t="n">
        <v>0.773170731707317</v>
      </c>
      <c r="BP266" t="n">
        <v>0.760975609756097</v>
      </c>
      <c r="BQ266" t="n">
        <v>0.748780487804878</v>
      </c>
      <c r="BR266" t="n">
        <v>0.736585365853658</v>
      </c>
      <c r="BS266" t="n">
        <v>0.724390243902439</v>
      </c>
      <c r="BT266" t="n">
        <v>0.71219512195122</v>
      </c>
      <c r="BU266" t="n">
        <v>0.699999999999999</v>
      </c>
      <c r="BV266" t="n">
        <v>0.687499999999999</v>
      </c>
      <c r="BW266" t="n">
        <v>0.675</v>
      </c>
      <c r="BX266" t="n">
        <v>0.6625</v>
      </c>
      <c r="BY266" t="n">
        <v>0.649999999999999</v>
      </c>
      <c r="BZ266" t="n">
        <v>0.637499999999999</v>
      </c>
      <c r="CA266" t="n">
        <v>0.625</v>
      </c>
      <c r="CB266" t="n">
        <v>0.6125</v>
      </c>
      <c r="CC266" t="n">
        <v>0.6</v>
      </c>
      <c r="CD266" t="e">
        <v>#VALUE!</v>
      </c>
      <c r="CE266" t="e">
        <v>#VALUE!</v>
      </c>
      <c r="CF266" t="e">
        <v>#VALUE!</v>
      </c>
      <c r="CG266" t="e">
        <v>#VALUE!</v>
      </c>
      <c r="CH266" t="e">
        <v>#VALUE!</v>
      </c>
      <c r="CI266" t="e">
        <v>#VALUE!</v>
      </c>
      <c r="CJ266" t="e">
        <v>#VALUE!</v>
      </c>
      <c r="CK266" t="e">
        <v>#VALUE!</v>
      </c>
    </row>
    <row r="267" ht="12.5" customHeight="1" s="213">
      <c r="A267" t="inlineStr">
        <is>
          <t>Norway</t>
        </is>
      </c>
      <c r="B267" t="inlineStr">
        <is>
          <t>TAD</t>
        </is>
      </c>
      <c r="C267" t="inlineStr">
        <is>
          <t>TAD</t>
        </is>
      </c>
      <c r="E267" t="n">
        <v>14.7984681944307</v>
      </c>
      <c r="F267">
        <f>E267</f>
        <v/>
      </c>
      <c r="I267">
        <f>F267</f>
        <v/>
      </c>
      <c r="J267">
        <f>I267</f>
        <v/>
      </c>
      <c r="L267">
        <f>J267</f>
        <v/>
      </c>
      <c r="V267">
        <f>L267</f>
        <v/>
      </c>
      <c r="W267" t="n">
        <v>3</v>
      </c>
      <c r="AG267" s="223" t="inlineStr">
        <is>
          <t>GDP</t>
        </is>
      </c>
      <c r="AI267" t="n">
        <v>1</v>
      </c>
      <c r="AJ267" t="n">
        <v>1.00838893038991</v>
      </c>
      <c r="AK267" t="n">
        <v>1.12064101290293</v>
      </c>
      <c r="AL267" t="n">
        <v>1.22327937382933</v>
      </c>
      <c r="AM267" t="n">
        <v>1.32530748576188</v>
      </c>
      <c r="AN267" t="n">
        <v>1.43089896116608</v>
      </c>
      <c r="AO267" t="n">
        <v>1.54065178272437</v>
      </c>
      <c r="AP267" t="n">
        <v>1.65384530463998</v>
      </c>
      <c r="AQ267" t="n">
        <v>1.7672964190957</v>
      </c>
      <c r="AR267" t="n">
        <v>1.88276227520451</v>
      </c>
      <c r="AS267" t="n">
        <v>2.00074272515735</v>
      </c>
      <c r="AT267" t="n">
        <v>2.1142214388138</v>
      </c>
      <c r="AU267" t="n">
        <v>2.22283962656441</v>
      </c>
      <c r="AV267" t="n">
        <v>2.3253461246429</v>
      </c>
      <c r="AW267" t="n">
        <v>2.4203303072343</v>
      </c>
      <c r="AX267" t="n">
        <v>2.50751618233136</v>
      </c>
      <c r="AY267" t="n">
        <v>2.58692521597908</v>
      </c>
      <c r="AZ267" t="n">
        <v>2.6570517184489</v>
      </c>
      <c r="BA267" t="n">
        <v>0</v>
      </c>
      <c r="BB267" t="n">
        <v>0</v>
      </c>
      <c r="BC267" t="n">
        <v>0</v>
      </c>
      <c r="BD267" t="n">
        <v>0</v>
      </c>
      <c r="BE267" t="n">
        <v>0</v>
      </c>
      <c r="BF267" t="n">
        <v>0</v>
      </c>
      <c r="BG267" t="n">
        <v>0</v>
      </c>
      <c r="BH267" t="n">
        <v>0</v>
      </c>
      <c r="BJ267" t="inlineStr">
        <is>
          <t>Med2</t>
        </is>
      </c>
      <c r="BL267" t="n">
        <v>0.8</v>
      </c>
      <c r="BM267" t="n">
        <v>0.797560975609756</v>
      </c>
      <c r="BN267" t="n">
        <v>0.785365853658536</v>
      </c>
      <c r="BO267" t="n">
        <v>0.773170731707317</v>
      </c>
      <c r="BP267" t="n">
        <v>0.760975609756097</v>
      </c>
      <c r="BQ267" t="n">
        <v>0.748780487804878</v>
      </c>
      <c r="BR267" t="n">
        <v>0.736585365853658</v>
      </c>
      <c r="BS267" t="n">
        <v>0.724390243902439</v>
      </c>
      <c r="BT267" t="n">
        <v>0.71219512195122</v>
      </c>
      <c r="BU267" t="n">
        <v>0.699999999999999</v>
      </c>
      <c r="BV267" t="n">
        <v>0.687499999999999</v>
      </c>
      <c r="BW267" t="n">
        <v>0.675</v>
      </c>
      <c r="BX267" t="n">
        <v>0.6625</v>
      </c>
      <c r="BY267" t="n">
        <v>0.649999999999999</v>
      </c>
      <c r="BZ267" t="n">
        <v>0.637499999999999</v>
      </c>
      <c r="CA267" t="n">
        <v>0.625</v>
      </c>
      <c r="CB267" t="n">
        <v>0.6125</v>
      </c>
      <c r="CC267" t="n">
        <v>0.6</v>
      </c>
      <c r="CD267" t="e">
        <v>#VALUE!</v>
      </c>
      <c r="CE267" t="e">
        <v>#VALUE!</v>
      </c>
      <c r="CF267" t="e">
        <v>#VALUE!</v>
      </c>
      <c r="CG267" t="e">
        <v>#VALUE!</v>
      </c>
      <c r="CH267" t="e">
        <v>#VALUE!</v>
      </c>
      <c r="CI267" t="e">
        <v>#VALUE!</v>
      </c>
      <c r="CJ267" t="e">
        <v>#VALUE!</v>
      </c>
      <c r="CK267" t="e">
        <v>#VALUE!</v>
      </c>
    </row>
    <row r="268" ht="12.5" customHeight="1" s="213">
      <c r="A268" t="inlineStr">
        <is>
          <t>Norway</t>
        </is>
      </c>
      <c r="B268" t="inlineStr">
        <is>
          <t>TAI</t>
        </is>
      </c>
      <c r="C268" t="inlineStr">
        <is>
          <t>TAI</t>
        </is>
      </c>
      <c r="E268" t="n">
        <v>23.0960305800922</v>
      </c>
      <c r="F268">
        <f>E268</f>
        <v/>
      </c>
      <c r="I268">
        <f>F268</f>
        <v/>
      </c>
      <c r="J268">
        <f>I268</f>
        <v/>
      </c>
      <c r="L268">
        <f>J268</f>
        <v/>
      </c>
      <c r="V268">
        <f>L268</f>
        <v/>
      </c>
      <c r="W268" t="n">
        <v>3</v>
      </c>
      <c r="AG268" s="223" t="inlineStr">
        <is>
          <t>GDP</t>
        </is>
      </c>
      <c r="AI268" t="n">
        <v>1</v>
      </c>
      <c r="AJ268" t="n">
        <v>1.00838893038991</v>
      </c>
      <c r="AK268" t="n">
        <v>1.12064101290293</v>
      </c>
      <c r="AL268" t="n">
        <v>1.22327937382933</v>
      </c>
      <c r="AM268" t="n">
        <v>1.32530748576188</v>
      </c>
      <c r="AN268" t="n">
        <v>1.43089896116608</v>
      </c>
      <c r="AO268" t="n">
        <v>1.54065178272437</v>
      </c>
      <c r="AP268" t="n">
        <v>1.65384530463998</v>
      </c>
      <c r="AQ268" t="n">
        <v>1.7672964190957</v>
      </c>
      <c r="AR268" t="n">
        <v>1.88276227520451</v>
      </c>
      <c r="AS268" t="n">
        <v>2.00074272515735</v>
      </c>
      <c r="AT268" t="n">
        <v>2.1142214388138</v>
      </c>
      <c r="AU268" t="n">
        <v>2.22283962656441</v>
      </c>
      <c r="AV268" t="n">
        <v>2.3253461246429</v>
      </c>
      <c r="AW268" t="n">
        <v>2.4203303072343</v>
      </c>
      <c r="AX268" t="n">
        <v>2.50751618233136</v>
      </c>
      <c r="AY268" t="n">
        <v>2.58692521597908</v>
      </c>
      <c r="AZ268" t="n">
        <v>2.6570517184489</v>
      </c>
      <c r="BA268" t="n">
        <v>0</v>
      </c>
      <c r="BB268" t="n">
        <v>0</v>
      </c>
      <c r="BC268" t="n">
        <v>0</v>
      </c>
      <c r="BD268" t="n">
        <v>0</v>
      </c>
      <c r="BE268" t="n">
        <v>0</v>
      </c>
      <c r="BF268" t="n">
        <v>0</v>
      </c>
      <c r="BG268" t="n">
        <v>0</v>
      </c>
      <c r="BH268" t="n">
        <v>0</v>
      </c>
      <c r="BJ268" t="inlineStr">
        <is>
          <t>Med2</t>
        </is>
      </c>
      <c r="BL268" t="n">
        <v>0.8</v>
      </c>
      <c r="BM268" t="n">
        <v>0.797560975609756</v>
      </c>
      <c r="BN268" t="n">
        <v>0.785365853658536</v>
      </c>
      <c r="BO268" t="n">
        <v>0.773170731707317</v>
      </c>
      <c r="BP268" t="n">
        <v>0.760975609756097</v>
      </c>
      <c r="BQ268" t="n">
        <v>0.748780487804878</v>
      </c>
      <c r="BR268" t="n">
        <v>0.736585365853658</v>
      </c>
      <c r="BS268" t="n">
        <v>0.724390243902439</v>
      </c>
      <c r="BT268" t="n">
        <v>0.71219512195122</v>
      </c>
      <c r="BU268" t="n">
        <v>0.699999999999999</v>
      </c>
      <c r="BV268" t="n">
        <v>0.687499999999999</v>
      </c>
      <c r="BW268" t="n">
        <v>0.675</v>
      </c>
      <c r="BX268" t="n">
        <v>0.6625</v>
      </c>
      <c r="BY268" t="n">
        <v>0.649999999999999</v>
      </c>
      <c r="BZ268" t="n">
        <v>0.637499999999999</v>
      </c>
      <c r="CA268" t="n">
        <v>0.625</v>
      </c>
      <c r="CB268" t="n">
        <v>0.6125</v>
      </c>
      <c r="CC268" t="n">
        <v>0.6</v>
      </c>
      <c r="CD268" t="e">
        <v>#VALUE!</v>
      </c>
      <c r="CE268" t="e">
        <v>#VALUE!</v>
      </c>
      <c r="CF268" t="e">
        <v>#VALUE!</v>
      </c>
      <c r="CG268" t="e">
        <v>#VALUE!</v>
      </c>
      <c r="CH268" t="e">
        <v>#VALUE!</v>
      </c>
      <c r="CI268" t="e">
        <v>#VALUE!</v>
      </c>
      <c r="CJ268" t="e">
        <v>#VALUE!</v>
      </c>
      <c r="CK268" t="e">
        <v>#VALUE!</v>
      </c>
    </row>
    <row r="269" ht="12.5" customHeight="1" s="213">
      <c r="A269" t="inlineStr">
        <is>
          <t>Norway</t>
        </is>
      </c>
      <c r="B269" t="inlineStr">
        <is>
          <t>TTF</t>
        </is>
      </c>
      <c r="C269" t="inlineStr">
        <is>
          <t>TTF</t>
        </is>
      </c>
      <c r="E269" t="n">
        <v>0.51595754320536</v>
      </c>
      <c r="I269" t="n">
        <v>0.638928901592722</v>
      </c>
      <c r="J269" t="n">
        <v>0.677045949641929</v>
      </c>
      <c r="L269" t="n">
        <v>0.753366829922741</v>
      </c>
      <c r="V269" t="n">
        <v>1.0359150852844</v>
      </c>
      <c r="W269" t="n">
        <v>3</v>
      </c>
      <c r="AG269" s="223" t="inlineStr">
        <is>
          <t>GDP</t>
        </is>
      </c>
      <c r="AI269" t="n">
        <v>1</v>
      </c>
      <c r="AJ269" t="n">
        <v>1.00838893038991</v>
      </c>
      <c r="AK269" t="n">
        <v>1.12064101290293</v>
      </c>
      <c r="AL269" t="n">
        <v>1.22327937382933</v>
      </c>
      <c r="AM269" t="n">
        <v>1.32530748576188</v>
      </c>
      <c r="AN269" t="n">
        <v>1.43089896116608</v>
      </c>
      <c r="AO269" t="n">
        <v>1.54065178272437</v>
      </c>
      <c r="AP269" t="n">
        <v>1.65384530463998</v>
      </c>
      <c r="AQ269" t="n">
        <v>1.7672964190957</v>
      </c>
      <c r="AR269" t="n">
        <v>1.88276227520451</v>
      </c>
      <c r="AS269" t="n">
        <v>2.00074272515735</v>
      </c>
      <c r="AT269" t="n">
        <v>2.1142214388138</v>
      </c>
      <c r="AU269" t="n">
        <v>2.22283962656441</v>
      </c>
      <c r="AV269" t="n">
        <v>2.3253461246429</v>
      </c>
      <c r="AW269" t="n">
        <v>2.4203303072343</v>
      </c>
      <c r="AX269" t="n">
        <v>2.50751618233136</v>
      </c>
      <c r="AY269" t="n">
        <v>2.58692521597908</v>
      </c>
      <c r="AZ269" t="n">
        <v>2.6570517184489</v>
      </c>
      <c r="BA269" t="n">
        <v>0</v>
      </c>
      <c r="BB269" t="n">
        <v>0</v>
      </c>
      <c r="BC269" t="n">
        <v>0</v>
      </c>
      <c r="BD269" t="n">
        <v>0</v>
      </c>
      <c r="BE269" t="n">
        <v>0</v>
      </c>
      <c r="BF269" t="n">
        <v>0</v>
      </c>
      <c r="BG269" t="n">
        <v>0</v>
      </c>
      <c r="BH269" t="n">
        <v>0</v>
      </c>
      <c r="BJ269" t="inlineStr">
        <is>
          <t>Med2</t>
        </is>
      </c>
      <c r="BL269" t="n">
        <v>0.8</v>
      </c>
      <c r="BM269" t="n">
        <v>0.797560975609756</v>
      </c>
      <c r="BN269" t="n">
        <v>0.785365853658536</v>
      </c>
      <c r="BO269" t="n">
        <v>0.773170731707317</v>
      </c>
      <c r="BP269" t="n">
        <v>0.760975609756097</v>
      </c>
      <c r="BQ269" t="n">
        <v>0.748780487804878</v>
      </c>
      <c r="BR269" t="n">
        <v>0.736585365853658</v>
      </c>
      <c r="BS269" t="n">
        <v>0.724390243902439</v>
      </c>
      <c r="BT269" t="n">
        <v>0.71219512195122</v>
      </c>
      <c r="BU269" t="n">
        <v>0.699999999999999</v>
      </c>
      <c r="BV269" t="n">
        <v>0.687499999999999</v>
      </c>
      <c r="BW269" t="n">
        <v>0.675</v>
      </c>
      <c r="BX269" t="n">
        <v>0.6625</v>
      </c>
      <c r="BY269" t="n">
        <v>0.649999999999999</v>
      </c>
      <c r="BZ269" t="n">
        <v>0.637499999999999</v>
      </c>
      <c r="CA269" t="n">
        <v>0.625</v>
      </c>
      <c r="CB269" t="n">
        <v>0.6125</v>
      </c>
      <c r="CC269" t="n">
        <v>0.6</v>
      </c>
      <c r="CD269" t="e">
        <v>#VALUE!</v>
      </c>
      <c r="CE269" t="e">
        <v>#VALUE!</v>
      </c>
      <c r="CF269" t="e">
        <v>#VALUE!</v>
      </c>
      <c r="CG269" t="e">
        <v>#VALUE!</v>
      </c>
      <c r="CH269" t="e">
        <v>#VALUE!</v>
      </c>
      <c r="CI269" t="e">
        <v>#VALUE!</v>
      </c>
      <c r="CJ269" t="e">
        <v>#VALUE!</v>
      </c>
      <c r="CK269" t="e">
        <v>#VALUE!</v>
      </c>
    </row>
    <row r="270" ht="12.5" customHeight="1" s="213">
      <c r="A270" t="inlineStr">
        <is>
          <t>Norway</t>
        </is>
      </c>
      <c r="B270" t="inlineStr">
        <is>
          <t>TTP</t>
        </is>
      </c>
      <c r="C270" t="inlineStr">
        <is>
          <t>TTP</t>
        </is>
      </c>
      <c r="E270" t="n">
        <v>2.17914793638656</v>
      </c>
      <c r="I270" t="n">
        <v>2.29597042282211</v>
      </c>
      <c r="J270" t="n">
        <v>2.33082853795445</v>
      </c>
      <c r="L270" t="n">
        <v>2.40103698525162</v>
      </c>
      <c r="V270" t="n">
        <v>2.54308329491963</v>
      </c>
      <c r="W270" t="n">
        <v>3</v>
      </c>
      <c r="AG270" s="223" t="inlineStr">
        <is>
          <t>POP</t>
        </is>
      </c>
      <c r="AI270" t="n">
        <v>1</v>
      </c>
      <c r="AJ270" t="n">
        <v>1.00520038942529</v>
      </c>
      <c r="AK270" t="n">
        <v>1.03120233655177</v>
      </c>
      <c r="AL270" t="n">
        <v>1.05326134321016</v>
      </c>
      <c r="AM270" t="n">
        <v>1.07517129113885</v>
      </c>
      <c r="AN270" t="n">
        <v>1.09697150487709</v>
      </c>
      <c r="AO270" t="n">
        <v>1.118929204032</v>
      </c>
      <c r="AP270" t="n">
        <v>1.14233722964613</v>
      </c>
      <c r="AQ270" t="n">
        <v>1.16196092376713</v>
      </c>
      <c r="AR270" t="n">
        <v>1.17906653655862</v>
      </c>
      <c r="AS270" t="n">
        <v>1.19378290270154</v>
      </c>
      <c r="AT270" t="n">
        <v>1.2076968609842</v>
      </c>
      <c r="AU270" t="n">
        <v>1.22116888634965</v>
      </c>
      <c r="AV270" t="n">
        <v>1.23264697031578</v>
      </c>
      <c r="AW270" t="n">
        <v>1.24010290295621</v>
      </c>
      <c r="AX270" t="n">
        <v>1.24332994955036</v>
      </c>
      <c r="AY270" t="n">
        <v>1.2438671976603</v>
      </c>
      <c r="AZ270" t="n">
        <v>1.24281180193091</v>
      </c>
      <c r="BA270" t="n">
        <v>0</v>
      </c>
      <c r="BB270" t="n">
        <v>0</v>
      </c>
      <c r="BC270" t="n">
        <v>0</v>
      </c>
      <c r="BD270" t="n">
        <v>0</v>
      </c>
      <c r="BE270" t="n">
        <v>0</v>
      </c>
      <c r="BF270" t="n">
        <v>0</v>
      </c>
      <c r="BG270" t="n">
        <v>0</v>
      </c>
      <c r="BH270" t="n">
        <v>0</v>
      </c>
      <c r="BJ270" t="inlineStr">
        <is>
          <t>Med2</t>
        </is>
      </c>
      <c r="BL270" t="n">
        <v>0.8</v>
      </c>
      <c r="BM270" t="n">
        <v>0.797560975609756</v>
      </c>
      <c r="BN270" t="n">
        <v>0.785365853658536</v>
      </c>
      <c r="BO270" t="n">
        <v>0.773170731707317</v>
      </c>
      <c r="BP270" t="n">
        <v>0.760975609756097</v>
      </c>
      <c r="BQ270" t="n">
        <v>0.748780487804878</v>
      </c>
      <c r="BR270" t="n">
        <v>0.736585365853658</v>
      </c>
      <c r="BS270" t="n">
        <v>0.724390243902439</v>
      </c>
      <c r="BT270" t="n">
        <v>0.71219512195122</v>
      </c>
      <c r="BU270" t="n">
        <v>0.699999999999999</v>
      </c>
      <c r="BV270" t="n">
        <v>0.687499999999999</v>
      </c>
      <c r="BW270" t="n">
        <v>0.675</v>
      </c>
      <c r="BX270" t="n">
        <v>0.6625</v>
      </c>
      <c r="BY270" t="n">
        <v>0.649999999999999</v>
      </c>
      <c r="BZ270" t="n">
        <v>0.637499999999999</v>
      </c>
      <c r="CA270" t="n">
        <v>0.625</v>
      </c>
      <c r="CB270" t="n">
        <v>0.6125</v>
      </c>
      <c r="CC270" t="n">
        <v>0.6</v>
      </c>
      <c r="CD270" t="e">
        <v>#VALUE!</v>
      </c>
      <c r="CE270" t="e">
        <v>#VALUE!</v>
      </c>
      <c r="CF270" t="e">
        <v>#VALUE!</v>
      </c>
      <c r="CG270" t="e">
        <v>#VALUE!</v>
      </c>
      <c r="CH270" t="e">
        <v>#VALUE!</v>
      </c>
      <c r="CI270" t="e">
        <v>#VALUE!</v>
      </c>
      <c r="CJ270" t="e">
        <v>#VALUE!</v>
      </c>
      <c r="CK270" t="e">
        <v>#VALUE!</v>
      </c>
    </row>
    <row r="271" ht="12.5" customHeight="1" s="213">
      <c r="A271" t="inlineStr">
        <is>
          <t>Norway</t>
        </is>
      </c>
      <c r="B271" t="inlineStr">
        <is>
          <t>TWD</t>
        </is>
      </c>
      <c r="C271" t="inlineStr">
        <is>
          <t>TWD</t>
        </is>
      </c>
      <c r="E271" t="n">
        <v>42.2817941023615</v>
      </c>
      <c r="F271">
        <f>E271</f>
        <v/>
      </c>
      <c r="I271">
        <f>F271</f>
        <v/>
      </c>
      <c r="J271">
        <f>I271</f>
        <v/>
      </c>
      <c r="L271">
        <f>J271</f>
        <v/>
      </c>
      <c r="V271">
        <f>L271</f>
        <v/>
      </c>
      <c r="W271" t="n">
        <v>3</v>
      </c>
      <c r="AG271" s="223" t="inlineStr">
        <is>
          <t>GDP</t>
        </is>
      </c>
      <c r="AI271" t="n">
        <v>1</v>
      </c>
      <c r="AJ271" t="n">
        <v>1.00838893038991</v>
      </c>
      <c r="AK271" t="n">
        <v>1.12064101290293</v>
      </c>
      <c r="AL271" t="n">
        <v>1.22327937382933</v>
      </c>
      <c r="AM271" t="n">
        <v>1.32530748576188</v>
      </c>
      <c r="AN271" t="n">
        <v>1.43089896116608</v>
      </c>
      <c r="AO271" t="n">
        <v>1.54065178272437</v>
      </c>
      <c r="AP271" t="n">
        <v>1.65384530463998</v>
      </c>
      <c r="AQ271" t="n">
        <v>1.7672964190957</v>
      </c>
      <c r="AR271" t="n">
        <v>1.88276227520451</v>
      </c>
      <c r="AS271" t="n">
        <v>2.00074272515735</v>
      </c>
      <c r="AT271" t="n">
        <v>2.1142214388138</v>
      </c>
      <c r="AU271" t="n">
        <v>2.22283962656441</v>
      </c>
      <c r="AV271" t="n">
        <v>2.3253461246429</v>
      </c>
      <c r="AW271" t="n">
        <v>2.4203303072343</v>
      </c>
      <c r="AX271" t="n">
        <v>2.50751618233136</v>
      </c>
      <c r="AY271" t="n">
        <v>2.58692521597908</v>
      </c>
      <c r="AZ271" t="n">
        <v>2.6570517184489</v>
      </c>
      <c r="BA271" t="n">
        <v>0</v>
      </c>
      <c r="BB271" t="n">
        <v>0</v>
      </c>
      <c r="BC271" t="n">
        <v>0</v>
      </c>
      <c r="BD271" t="n">
        <v>0</v>
      </c>
      <c r="BE271" t="n">
        <v>0</v>
      </c>
      <c r="BF271" t="n">
        <v>0</v>
      </c>
      <c r="BG271" t="n">
        <v>0</v>
      </c>
      <c r="BH271" t="n">
        <v>0</v>
      </c>
      <c r="BJ271" t="inlineStr">
        <is>
          <t>Med2</t>
        </is>
      </c>
      <c r="BL271" t="n">
        <v>0.8</v>
      </c>
      <c r="BM271" t="n">
        <v>0.797560975609756</v>
      </c>
      <c r="BN271" t="n">
        <v>0.785365853658536</v>
      </c>
      <c r="BO271" t="n">
        <v>0.773170731707317</v>
      </c>
      <c r="BP271" t="n">
        <v>0.760975609756097</v>
      </c>
      <c r="BQ271" t="n">
        <v>0.748780487804878</v>
      </c>
      <c r="BR271" t="n">
        <v>0.736585365853658</v>
      </c>
      <c r="BS271" t="n">
        <v>0.724390243902439</v>
      </c>
      <c r="BT271" t="n">
        <v>0.71219512195122</v>
      </c>
      <c r="BU271" t="n">
        <v>0.699999999999999</v>
      </c>
      <c r="BV271" t="n">
        <v>0.687499999999999</v>
      </c>
      <c r="BW271" t="n">
        <v>0.675</v>
      </c>
      <c r="BX271" t="n">
        <v>0.6625</v>
      </c>
      <c r="BY271" t="n">
        <v>0.649999999999999</v>
      </c>
      <c r="BZ271" t="n">
        <v>0.637499999999999</v>
      </c>
      <c r="CA271" t="n">
        <v>0.625</v>
      </c>
      <c r="CB271" t="n">
        <v>0.6125</v>
      </c>
      <c r="CC271" t="n">
        <v>0.6</v>
      </c>
      <c r="CD271" t="e">
        <v>#VALUE!</v>
      </c>
      <c r="CE271" t="e">
        <v>#VALUE!</v>
      </c>
      <c r="CF271" t="e">
        <v>#VALUE!</v>
      </c>
      <c r="CG271" t="e">
        <v>#VALUE!</v>
      </c>
      <c r="CH271" t="e">
        <v>#VALUE!</v>
      </c>
      <c r="CI271" t="e">
        <v>#VALUE!</v>
      </c>
      <c r="CJ271" t="e">
        <v>#VALUE!</v>
      </c>
      <c r="CK271" t="e">
        <v>#VALUE!</v>
      </c>
    </row>
    <row r="272" ht="12.5" customHeight="1" s="213">
      <c r="A272" t="inlineStr">
        <is>
          <t>Norway</t>
        </is>
      </c>
      <c r="B272" t="inlineStr">
        <is>
          <t>TWI</t>
        </is>
      </c>
      <c r="C272" t="inlineStr">
        <is>
          <t>TWI</t>
        </is>
      </c>
      <c r="E272" t="n">
        <v>13.8699028407244</v>
      </c>
      <c r="F272">
        <f>E272</f>
        <v/>
      </c>
      <c r="I272">
        <f>F272</f>
        <v/>
      </c>
      <c r="J272">
        <f>I272</f>
        <v/>
      </c>
      <c r="L272">
        <f>J272</f>
        <v/>
      </c>
      <c r="V272">
        <f>L272</f>
        <v/>
      </c>
      <c r="W272" t="n">
        <v>3</v>
      </c>
      <c r="AG272" s="223" t="inlineStr">
        <is>
          <t>GDP</t>
        </is>
      </c>
      <c r="AI272" t="n">
        <v>1</v>
      </c>
      <c r="AJ272" t="n">
        <v>1.00838893038991</v>
      </c>
      <c r="AK272" t="n">
        <v>1.12064101290293</v>
      </c>
      <c r="AL272" t="n">
        <v>1.22327937382933</v>
      </c>
      <c r="AM272" t="n">
        <v>1.32530748576188</v>
      </c>
      <c r="AN272" t="n">
        <v>1.43089896116608</v>
      </c>
      <c r="AO272" t="n">
        <v>1.54065178272437</v>
      </c>
      <c r="AP272" t="n">
        <v>1.65384530463998</v>
      </c>
      <c r="AQ272" t="n">
        <v>1.7672964190957</v>
      </c>
      <c r="AR272" t="n">
        <v>1.88276227520451</v>
      </c>
      <c r="AS272" t="n">
        <v>2.00074272515735</v>
      </c>
      <c r="AT272" t="n">
        <v>2.1142214388138</v>
      </c>
      <c r="AU272" t="n">
        <v>2.22283962656441</v>
      </c>
      <c r="AV272" t="n">
        <v>2.3253461246429</v>
      </c>
      <c r="AW272" t="n">
        <v>2.4203303072343</v>
      </c>
      <c r="AX272" t="n">
        <v>2.50751618233136</v>
      </c>
      <c r="AY272" t="n">
        <v>2.58692521597908</v>
      </c>
      <c r="AZ272" t="n">
        <v>2.6570517184489</v>
      </c>
      <c r="BA272" t="n">
        <v>0</v>
      </c>
      <c r="BB272" t="n">
        <v>0</v>
      </c>
      <c r="BC272" t="n">
        <v>0</v>
      </c>
      <c r="BD272" t="n">
        <v>0</v>
      </c>
      <c r="BE272" t="n">
        <v>0</v>
      </c>
      <c r="BF272" t="n">
        <v>0</v>
      </c>
      <c r="BG272" t="n">
        <v>0</v>
      </c>
      <c r="BH272" t="n">
        <v>0</v>
      </c>
      <c r="BJ272" t="inlineStr">
        <is>
          <t>Med2</t>
        </is>
      </c>
      <c r="BL272" t="n">
        <v>0.8</v>
      </c>
      <c r="BM272" t="n">
        <v>0.797560975609756</v>
      </c>
      <c r="BN272" t="n">
        <v>0.785365853658536</v>
      </c>
      <c r="BO272" t="n">
        <v>0.773170731707317</v>
      </c>
      <c r="BP272" t="n">
        <v>0.760975609756097</v>
      </c>
      <c r="BQ272" t="n">
        <v>0.748780487804878</v>
      </c>
      <c r="BR272" t="n">
        <v>0.736585365853658</v>
      </c>
      <c r="BS272" t="n">
        <v>0.724390243902439</v>
      </c>
      <c r="BT272" t="n">
        <v>0.71219512195122</v>
      </c>
      <c r="BU272" t="n">
        <v>0.699999999999999</v>
      </c>
      <c r="BV272" t="n">
        <v>0.687499999999999</v>
      </c>
      <c r="BW272" t="n">
        <v>0.675</v>
      </c>
      <c r="BX272" t="n">
        <v>0.6625</v>
      </c>
      <c r="BY272" t="n">
        <v>0.649999999999999</v>
      </c>
      <c r="BZ272" t="n">
        <v>0.637499999999999</v>
      </c>
      <c r="CA272" t="n">
        <v>0.625</v>
      </c>
      <c r="CB272" t="n">
        <v>0.6125</v>
      </c>
      <c r="CC272" t="n">
        <v>0.6</v>
      </c>
      <c r="CD272" t="e">
        <v>#VALUE!</v>
      </c>
      <c r="CE272" t="e">
        <v>#VALUE!</v>
      </c>
      <c r="CF272" t="e">
        <v>#VALUE!</v>
      </c>
      <c r="CG272" t="e">
        <v>#VALUE!</v>
      </c>
      <c r="CH272" t="e">
        <v>#VALUE!</v>
      </c>
      <c r="CI272" t="e">
        <v>#VALUE!</v>
      </c>
      <c r="CJ272" t="e">
        <v>#VALUE!</v>
      </c>
      <c r="CK272" t="e">
        <v>#VALUE!</v>
      </c>
    </row>
    <row r="273" ht="12.5" customHeight="1" s="213">
      <c r="A273" t="inlineStr">
        <is>
          <t>Norway</t>
        </is>
      </c>
      <c r="B273" t="inlineStr">
        <is>
          <t>Trd_2w</t>
        </is>
      </c>
      <c r="C273" t="inlineStr">
        <is>
          <t>Trd_2w</t>
        </is>
      </c>
      <c r="D273" t="n">
        <v>0.132</v>
      </c>
      <c r="E273" t="n">
        <v>0.132547486851593</v>
      </c>
      <c r="G273" t="n">
        <v>0.135240241197067</v>
      </c>
      <c r="H273" t="n">
        <v>0.137477021890617</v>
      </c>
      <c r="I273" t="n">
        <v>0.13965325820664</v>
      </c>
      <c r="J273" t="n">
        <v>0.141773516074418</v>
      </c>
      <c r="K273" t="n">
        <v>0.143863821176342</v>
      </c>
      <c r="L273" t="n">
        <v>0.146043971094752</v>
      </c>
      <c r="M273" t="n">
        <v>0.147830742785155</v>
      </c>
      <c r="N273" t="n">
        <v>0.149354128619503</v>
      </c>
      <c r="O273" t="n">
        <v>0.150635727754776</v>
      </c>
      <c r="P273" t="n">
        <v>0.151820833504157</v>
      </c>
      <c r="Q273" t="n">
        <v>0.152942831828619</v>
      </c>
      <c r="R273" t="n">
        <v>0.153877238973683</v>
      </c>
      <c r="S273" t="n">
        <v>0.154470598388137</v>
      </c>
      <c r="T273" t="n">
        <v>0.15472182946402</v>
      </c>
      <c r="U273" t="n">
        <v>0.154762778736107</v>
      </c>
      <c r="V273" t="n">
        <v>0.154683990915645</v>
      </c>
      <c r="W273" t="n">
        <v>3</v>
      </c>
      <c r="AG273" s="223" t="inlineStr">
        <is>
          <t>POP</t>
        </is>
      </c>
      <c r="AI273" t="n">
        <v>1</v>
      </c>
      <c r="AJ273" t="n">
        <v>1.00520038942529</v>
      </c>
      <c r="AK273" t="n">
        <v>1.03120233655177</v>
      </c>
      <c r="AL273" t="n">
        <v>1.05326134321016</v>
      </c>
      <c r="AM273" t="n">
        <v>1.07517129113885</v>
      </c>
      <c r="AN273" t="n">
        <v>1.09697150487709</v>
      </c>
      <c r="AO273" t="n">
        <v>1.118929204032</v>
      </c>
      <c r="AP273" t="n">
        <v>1.14233722964613</v>
      </c>
      <c r="AQ273" t="n">
        <v>1.16196092376713</v>
      </c>
      <c r="AR273" t="n">
        <v>1.17906653655862</v>
      </c>
      <c r="AS273" t="n">
        <v>1.19378290270154</v>
      </c>
      <c r="AT273" t="n">
        <v>1.2076968609842</v>
      </c>
      <c r="AU273" t="n">
        <v>1.22116888634965</v>
      </c>
      <c r="AV273" t="n">
        <v>1.23264697031578</v>
      </c>
      <c r="AW273" t="n">
        <v>1.24010290295621</v>
      </c>
      <c r="AX273" t="n">
        <v>1.24332994955036</v>
      </c>
      <c r="AY273" t="n">
        <v>1.2438671976603</v>
      </c>
      <c r="AZ273" t="n">
        <v>1.24281180193091</v>
      </c>
      <c r="BA273" t="n">
        <v>0</v>
      </c>
      <c r="BB273" t="n">
        <v>0</v>
      </c>
      <c r="BC273" t="n">
        <v>0</v>
      </c>
      <c r="BD273" t="n">
        <v>0</v>
      </c>
      <c r="BE273" t="n">
        <v>0</v>
      </c>
      <c r="BF273" t="n">
        <v>0</v>
      </c>
      <c r="BG273" t="n">
        <v>0</v>
      </c>
      <c r="BH273" t="n">
        <v>0</v>
      </c>
      <c r="BJ273" t="inlineStr">
        <is>
          <t>Med2</t>
        </is>
      </c>
      <c r="BL273" t="n">
        <v>0.8</v>
      </c>
      <c r="BM273" t="n">
        <v>0.797560975609756</v>
      </c>
      <c r="BN273" t="n">
        <v>0.785365853658536</v>
      </c>
      <c r="BO273" t="n">
        <v>0.773170731707317</v>
      </c>
      <c r="BP273" t="n">
        <v>0.760975609756097</v>
      </c>
      <c r="BQ273" t="n">
        <v>0.748780487804878</v>
      </c>
      <c r="BR273" t="n">
        <v>0.736585365853658</v>
      </c>
      <c r="BS273" t="n">
        <v>0.724390243902439</v>
      </c>
      <c r="BT273" t="n">
        <v>0.71219512195122</v>
      </c>
      <c r="BU273" t="n">
        <v>0.699999999999999</v>
      </c>
      <c r="BV273" t="n">
        <v>0.687499999999999</v>
      </c>
      <c r="BW273" t="n">
        <v>0.675</v>
      </c>
      <c r="BX273" t="n">
        <v>0.6625</v>
      </c>
      <c r="BY273" t="n">
        <v>0.649999999999999</v>
      </c>
      <c r="BZ273" t="n">
        <v>0.637499999999999</v>
      </c>
      <c r="CA273" t="n">
        <v>0.625</v>
      </c>
      <c r="CB273" t="n">
        <v>0.6125</v>
      </c>
      <c r="CC273" t="n">
        <v>0.6</v>
      </c>
      <c r="CD273" t="e">
        <v>#VALUE!</v>
      </c>
      <c r="CE273" t="e">
        <v>#VALUE!</v>
      </c>
      <c r="CF273" t="e">
        <v>#VALUE!</v>
      </c>
      <c r="CG273" t="e">
        <v>#VALUE!</v>
      </c>
      <c r="CH273" t="e">
        <v>#VALUE!</v>
      </c>
      <c r="CI273" t="e">
        <v>#VALUE!</v>
      </c>
      <c r="CJ273" t="e">
        <v>#VALUE!</v>
      </c>
      <c r="CK273" t="e">
        <v>#VALUE!</v>
      </c>
    </row>
    <row r="274" ht="12.5" customHeight="1" s="213">
      <c r="A274" t="inlineStr">
        <is>
          <t>Norway</t>
        </is>
      </c>
      <c r="B274" t="inlineStr">
        <is>
          <t>Trd_3w</t>
        </is>
      </c>
      <c r="C274" t="inlineStr">
        <is>
          <t>Trd_3w</t>
        </is>
      </c>
      <c r="D274" t="n">
        <v>0.075</v>
      </c>
      <c r="E274" t="n">
        <v>0.07531107207476891</v>
      </c>
      <c r="G274" t="n">
        <v>0.07684104613469731</v>
      </c>
      <c r="H274" t="n">
        <v>0.07811194425603241</v>
      </c>
      <c r="I274" t="n">
        <v>0.07934844216286389</v>
      </c>
      <c r="J274" t="n">
        <v>0.0805531341331923</v>
      </c>
      <c r="K274" t="n">
        <v>0.0817408074865581</v>
      </c>
      <c r="L274" t="n">
        <v>0.08297952903110931</v>
      </c>
      <c r="M274" t="n">
        <v>0.083994740218838</v>
      </c>
      <c r="N274" t="n">
        <v>0.0848603003519903</v>
      </c>
      <c r="O274" t="n">
        <v>0.0855884816788503</v>
      </c>
      <c r="P274" t="n">
        <v>0.0862618372182712</v>
      </c>
      <c r="Q274" t="n">
        <v>0.08689933626626049</v>
      </c>
      <c r="R274" t="n">
        <v>0.0874302494168652</v>
      </c>
      <c r="S274" t="n">
        <v>0.0877673854478052</v>
      </c>
      <c r="T274" t="n">
        <v>0.08791013037728421</v>
      </c>
      <c r="U274" t="n">
        <v>0.0879333970091519</v>
      </c>
      <c r="V274" t="n">
        <v>0.0878886312020712</v>
      </c>
      <c r="W274" t="n">
        <v>3</v>
      </c>
      <c r="AG274" s="223" t="inlineStr">
        <is>
          <t>POP</t>
        </is>
      </c>
      <c r="AI274" t="n">
        <v>1</v>
      </c>
      <c r="AJ274" t="n">
        <v>1.00520038942529</v>
      </c>
      <c r="AK274" t="n">
        <v>1.03120233655177</v>
      </c>
      <c r="AL274" t="n">
        <v>1.05326134321016</v>
      </c>
      <c r="AM274" t="n">
        <v>1.07517129113885</v>
      </c>
      <c r="AN274" t="n">
        <v>1.09697150487709</v>
      </c>
      <c r="AO274" t="n">
        <v>1.118929204032</v>
      </c>
      <c r="AP274" t="n">
        <v>1.14233722964613</v>
      </c>
      <c r="AQ274" t="n">
        <v>1.16196092376713</v>
      </c>
      <c r="AR274" t="n">
        <v>1.17906653655862</v>
      </c>
      <c r="AS274" t="n">
        <v>1.19378290270154</v>
      </c>
      <c r="AT274" t="n">
        <v>1.2076968609842</v>
      </c>
      <c r="AU274" t="n">
        <v>1.22116888634965</v>
      </c>
      <c r="AV274" t="n">
        <v>1.23264697031578</v>
      </c>
      <c r="AW274" t="n">
        <v>1.24010290295621</v>
      </c>
      <c r="AX274" t="n">
        <v>1.24332994955036</v>
      </c>
      <c r="AY274" t="n">
        <v>1.2438671976603</v>
      </c>
      <c r="AZ274" t="n">
        <v>1.24281180193091</v>
      </c>
      <c r="BA274" t="n">
        <v>0</v>
      </c>
      <c r="BB274" t="n">
        <v>0</v>
      </c>
      <c r="BC274" t="n">
        <v>0</v>
      </c>
      <c r="BD274" t="n">
        <v>0</v>
      </c>
      <c r="BE274" t="n">
        <v>0</v>
      </c>
      <c r="BF274" t="n">
        <v>0</v>
      </c>
      <c r="BG274" t="n">
        <v>0</v>
      </c>
      <c r="BH274" t="n">
        <v>0</v>
      </c>
      <c r="BJ274" t="inlineStr">
        <is>
          <t>Med2</t>
        </is>
      </c>
      <c r="BL274" t="n">
        <v>0.8</v>
      </c>
      <c r="BM274" t="n">
        <v>0.797560975609756</v>
      </c>
      <c r="BN274" t="n">
        <v>0.785365853658536</v>
      </c>
      <c r="BO274" t="n">
        <v>0.773170731707317</v>
      </c>
      <c r="BP274" t="n">
        <v>0.760975609756097</v>
      </c>
      <c r="BQ274" t="n">
        <v>0.748780487804878</v>
      </c>
      <c r="BR274" t="n">
        <v>0.736585365853658</v>
      </c>
      <c r="BS274" t="n">
        <v>0.724390243902439</v>
      </c>
      <c r="BT274" t="n">
        <v>0.71219512195122</v>
      </c>
      <c r="BU274" t="n">
        <v>0.699999999999999</v>
      </c>
      <c r="BV274" t="n">
        <v>0.687499999999999</v>
      </c>
      <c r="BW274" t="n">
        <v>0.675</v>
      </c>
      <c r="BX274" t="n">
        <v>0.6625</v>
      </c>
      <c r="BY274" t="n">
        <v>0.649999999999999</v>
      </c>
      <c r="BZ274" t="n">
        <v>0.637499999999999</v>
      </c>
      <c r="CA274" t="n">
        <v>0.625</v>
      </c>
      <c r="CB274" t="n">
        <v>0.6125</v>
      </c>
      <c r="CC274" t="n">
        <v>0.6</v>
      </c>
      <c r="CD274" t="e">
        <v>#VALUE!</v>
      </c>
      <c r="CE274" t="e">
        <v>#VALUE!</v>
      </c>
      <c r="CF274" t="e">
        <v>#VALUE!</v>
      </c>
      <c r="CG274" t="e">
        <v>#VALUE!</v>
      </c>
      <c r="CH274" t="e">
        <v>#VALUE!</v>
      </c>
      <c r="CI274" t="e">
        <v>#VALUE!</v>
      </c>
      <c r="CJ274" t="e">
        <v>#VALUE!</v>
      </c>
      <c r="CK274" t="e">
        <v>#VALUE!</v>
      </c>
    </row>
    <row r="275" ht="12.5" customHeight="1" s="213">
      <c r="A275" t="inlineStr">
        <is>
          <t>Norway</t>
        </is>
      </c>
      <c r="B275" t="inlineStr">
        <is>
          <t>Trd_bus</t>
        </is>
      </c>
      <c r="C275" t="inlineStr">
        <is>
          <t>Trd_bus</t>
        </is>
      </c>
      <c r="D275" t="n">
        <v>0.315</v>
      </c>
      <c r="E275" t="n">
        <v>0.316306502714029</v>
      </c>
      <c r="G275" t="n">
        <v>0.322732393765729</v>
      </c>
      <c r="H275" t="n">
        <v>0.328070165875336</v>
      </c>
      <c r="I275" t="n">
        <v>0.333263457084028</v>
      </c>
      <c r="J275" t="n">
        <v>0.338323163359408</v>
      </c>
      <c r="K275" t="n">
        <v>0.343311391443544</v>
      </c>
      <c r="L275" t="n">
        <v>0.348514021930659</v>
      </c>
      <c r="M275" t="n">
        <v>0.35277790891912</v>
      </c>
      <c r="N275" t="n">
        <v>0.356413261478359</v>
      </c>
      <c r="O275" t="n">
        <v>0.359471623051171</v>
      </c>
      <c r="P275" t="n">
        <v>0.362299716316739</v>
      </c>
      <c r="Q275" t="n">
        <v>0.364977212318294</v>
      </c>
      <c r="R275" t="n">
        <v>0.367207047550834</v>
      </c>
      <c r="S275" t="n">
        <v>0.368623018880782</v>
      </c>
      <c r="T275" t="n">
        <v>0.369222547584594</v>
      </c>
      <c r="U275" t="n">
        <v>0.369320267438438</v>
      </c>
      <c r="V275" t="n">
        <v>0.369132251048699</v>
      </c>
      <c r="W275" t="n">
        <v>3</v>
      </c>
      <c r="AG275" s="223" t="inlineStr">
        <is>
          <t>POP</t>
        </is>
      </c>
      <c r="AI275" t="n">
        <v>1</v>
      </c>
      <c r="AJ275" t="n">
        <v>1.00520038942529</v>
      </c>
      <c r="AK275" t="n">
        <v>1.03120233655177</v>
      </c>
      <c r="AL275" t="n">
        <v>1.05326134321016</v>
      </c>
      <c r="AM275" t="n">
        <v>1.07517129113885</v>
      </c>
      <c r="AN275" t="n">
        <v>1.09697150487709</v>
      </c>
      <c r="AO275" t="n">
        <v>1.118929204032</v>
      </c>
      <c r="AP275" t="n">
        <v>1.14233722964613</v>
      </c>
      <c r="AQ275" t="n">
        <v>1.16196092376713</v>
      </c>
      <c r="AR275" t="n">
        <v>1.17906653655862</v>
      </c>
      <c r="AS275" t="n">
        <v>1.19378290270154</v>
      </c>
      <c r="AT275" t="n">
        <v>1.2076968609842</v>
      </c>
      <c r="AU275" t="n">
        <v>1.22116888634965</v>
      </c>
      <c r="AV275" t="n">
        <v>1.23264697031578</v>
      </c>
      <c r="AW275" t="n">
        <v>1.24010290295621</v>
      </c>
      <c r="AX275" t="n">
        <v>1.24332994955036</v>
      </c>
      <c r="AY275" t="n">
        <v>1.2438671976603</v>
      </c>
      <c r="AZ275" t="n">
        <v>1.24281180193091</v>
      </c>
      <c r="BA275" t="n">
        <v>0</v>
      </c>
      <c r="BB275" t="n">
        <v>0</v>
      </c>
      <c r="BC275" t="n">
        <v>0</v>
      </c>
      <c r="BD275" t="n">
        <v>0</v>
      </c>
      <c r="BE275" t="n">
        <v>0</v>
      </c>
      <c r="BF275" t="n">
        <v>0</v>
      </c>
      <c r="BG275" t="n">
        <v>0</v>
      </c>
      <c r="BH275" t="n">
        <v>0</v>
      </c>
      <c r="BJ275" t="inlineStr">
        <is>
          <t>Med2</t>
        </is>
      </c>
      <c r="BL275" t="n">
        <v>0.8</v>
      </c>
      <c r="BM275" t="n">
        <v>0.797560975609756</v>
      </c>
      <c r="BN275" t="n">
        <v>0.785365853658536</v>
      </c>
      <c r="BO275" t="n">
        <v>0.773170731707317</v>
      </c>
      <c r="BP275" t="n">
        <v>0.760975609756097</v>
      </c>
      <c r="BQ275" t="n">
        <v>0.748780487804878</v>
      </c>
      <c r="BR275" t="n">
        <v>0.736585365853658</v>
      </c>
      <c r="BS275" t="n">
        <v>0.724390243902439</v>
      </c>
      <c r="BT275" t="n">
        <v>0.71219512195122</v>
      </c>
      <c r="BU275" t="n">
        <v>0.699999999999999</v>
      </c>
      <c r="BV275" t="n">
        <v>0.687499999999999</v>
      </c>
      <c r="BW275" t="n">
        <v>0.675</v>
      </c>
      <c r="BX275" t="n">
        <v>0.6625</v>
      </c>
      <c r="BY275" t="n">
        <v>0.649999999999999</v>
      </c>
      <c r="BZ275" t="n">
        <v>0.637499999999999</v>
      </c>
      <c r="CA275" t="n">
        <v>0.625</v>
      </c>
      <c r="CB275" t="n">
        <v>0.6125</v>
      </c>
      <c r="CC275" t="n">
        <v>0.6</v>
      </c>
      <c r="CD275" t="e">
        <v>#VALUE!</v>
      </c>
      <c r="CE275" t="e">
        <v>#VALUE!</v>
      </c>
      <c r="CF275" t="e">
        <v>#VALUE!</v>
      </c>
      <c r="CG275" t="e">
        <v>#VALUE!</v>
      </c>
      <c r="CH275" t="e">
        <v>#VALUE!</v>
      </c>
      <c r="CI275" t="e">
        <v>#VALUE!</v>
      </c>
      <c r="CJ275" t="e">
        <v>#VALUE!</v>
      </c>
      <c r="CK275" t="e">
        <v>#VALUE!</v>
      </c>
    </row>
    <row r="276" ht="12.5" customHeight="1" s="213">
      <c r="A276" t="inlineStr">
        <is>
          <t>Norway</t>
        </is>
      </c>
      <c r="B276" t="inlineStr">
        <is>
          <t>Trd_car</t>
        </is>
      </c>
      <c r="C276" t="inlineStr">
        <is>
          <t>Trd_car</t>
        </is>
      </c>
      <c r="D276" t="n">
        <v>28.044</v>
      </c>
      <c r="E276" t="n">
        <v>28.1149484982275</v>
      </c>
      <c r="G276" t="n">
        <v>29.9541710217975</v>
      </c>
      <c r="H276" t="n">
        <v>31.5458727550652</v>
      </c>
      <c r="I276" t="n">
        <v>33.0180825098467</v>
      </c>
      <c r="J276" t="n">
        <v>34.4573923848731</v>
      </c>
      <c r="K276" t="n">
        <v>35.8678793719566</v>
      </c>
      <c r="L276" t="n">
        <v>37.205302841814</v>
      </c>
      <c r="M276" t="n">
        <v>38.544786240563</v>
      </c>
      <c r="N276" t="n">
        <v>39.8905923325315</v>
      </c>
      <c r="O276" t="n">
        <v>41.2498604327514</v>
      </c>
      <c r="P276" t="n">
        <v>42.4901218298381</v>
      </c>
      <c r="Q276" t="n">
        <v>43.6098096480853</v>
      </c>
      <c r="R276" t="n">
        <v>44.6408797027853</v>
      </c>
      <c r="S276" t="n">
        <v>45.6252440321448</v>
      </c>
      <c r="T276" t="n">
        <v>46.575769628912</v>
      </c>
      <c r="U276" t="n">
        <v>47.4664832322902</v>
      </c>
      <c r="V276" t="n">
        <v>48.2633582937033</v>
      </c>
      <c r="W276" t="n">
        <v>3</v>
      </c>
      <c r="AG276" s="223" t="inlineStr">
        <is>
          <t>GDPPCAP</t>
        </is>
      </c>
      <c r="AI276" t="n">
        <v>1</v>
      </c>
      <c r="AJ276" t="n">
        <v>1.00317204509485</v>
      </c>
      <c r="AK276" t="n">
        <v>1.08673242212604</v>
      </c>
      <c r="AL276" t="n">
        <v>1.16142055503622</v>
      </c>
      <c r="AM276" t="n">
        <v>1.23264776197482</v>
      </c>
      <c r="AN276" t="n">
        <v>1.30440850542095</v>
      </c>
      <c r="AO276" t="n">
        <v>1.37689835708347</v>
      </c>
      <c r="AP276" t="n">
        <v>1.44777326845269</v>
      </c>
      <c r="AQ276" t="n">
        <v>1.52096028613944</v>
      </c>
      <c r="AR276" t="n">
        <v>1.59682445123054</v>
      </c>
      <c r="AS276" t="n">
        <v>1.6759686544594</v>
      </c>
      <c r="AT276" t="n">
        <v>1.75062261658181</v>
      </c>
      <c r="AU276" t="n">
        <v>1.82025570042895</v>
      </c>
      <c r="AV276" t="n">
        <v>1.88646561476331</v>
      </c>
      <c r="AW276" t="n">
        <v>1.95171731431691</v>
      </c>
      <c r="AX276" t="n">
        <v>2.01677453618662</v>
      </c>
      <c r="AY276" t="n">
        <v>2.07974389938496</v>
      </c>
      <c r="AZ276" t="n">
        <v>2.13793569896965</v>
      </c>
      <c r="BA276" t="n">
        <v>0</v>
      </c>
      <c r="BB276" t="n">
        <v>0</v>
      </c>
      <c r="BC276" t="n">
        <v>0</v>
      </c>
      <c r="BD276" t="n">
        <v>0</v>
      </c>
      <c r="BE276" t="n">
        <v>0</v>
      </c>
      <c r="BF276" t="n">
        <v>0</v>
      </c>
      <c r="BG276" t="n">
        <v>0</v>
      </c>
      <c r="BH276" t="n">
        <v>0</v>
      </c>
      <c r="BJ276" t="inlineStr">
        <is>
          <t>Med2</t>
        </is>
      </c>
      <c r="BL276" t="n">
        <v>0.8</v>
      </c>
      <c r="BM276" t="n">
        <v>0.797560975609756</v>
      </c>
      <c r="BN276" t="n">
        <v>0.785365853658536</v>
      </c>
      <c r="BO276" t="n">
        <v>0.773170731707317</v>
      </c>
      <c r="BP276" t="n">
        <v>0.760975609756097</v>
      </c>
      <c r="BQ276" t="n">
        <v>0.748780487804878</v>
      </c>
      <c r="BR276" t="n">
        <v>0.736585365853658</v>
      </c>
      <c r="BS276" t="n">
        <v>0.724390243902439</v>
      </c>
      <c r="BT276" t="n">
        <v>0.71219512195122</v>
      </c>
      <c r="BU276" t="n">
        <v>0.699999999999999</v>
      </c>
      <c r="BV276" t="n">
        <v>0.687499999999999</v>
      </c>
      <c r="BW276" t="n">
        <v>0.675</v>
      </c>
      <c r="BX276" t="n">
        <v>0.6625</v>
      </c>
      <c r="BY276" t="n">
        <v>0.649999999999999</v>
      </c>
      <c r="BZ276" t="n">
        <v>0.637499999999999</v>
      </c>
      <c r="CA276" t="n">
        <v>0.625</v>
      </c>
      <c r="CB276" t="n">
        <v>0.6125</v>
      </c>
      <c r="CC276" t="n">
        <v>0.6</v>
      </c>
      <c r="CD276" t="e">
        <v>#VALUE!</v>
      </c>
      <c r="CE276" t="e">
        <v>#VALUE!</v>
      </c>
      <c r="CF276" t="e">
        <v>#VALUE!</v>
      </c>
      <c r="CG276" t="e">
        <v>#VALUE!</v>
      </c>
      <c r="CH276" t="e">
        <v>#VALUE!</v>
      </c>
      <c r="CI276" t="e">
        <v>#VALUE!</v>
      </c>
      <c r="CJ276" t="e">
        <v>#VALUE!</v>
      </c>
      <c r="CK276" t="e">
        <v>#VALUE!</v>
      </c>
    </row>
    <row r="277" ht="12.5" customHeight="1" s="213">
      <c r="A277" t="inlineStr">
        <is>
          <t>Norway</t>
        </is>
      </c>
      <c r="B277" t="inlineStr">
        <is>
          <t>Trd_hdt</t>
        </is>
      </c>
      <c r="C277" t="inlineStr">
        <is>
          <t>Trd_hdt</t>
        </is>
      </c>
      <c r="D277" t="n">
        <v>9.5</v>
      </c>
      <c r="E277" t="n">
        <v>9.56356149330794</v>
      </c>
      <c r="G277" t="n">
        <v>10.3996610765552</v>
      </c>
      <c r="H277" t="n">
        <v>11.1361017845004</v>
      </c>
      <c r="I277" t="n">
        <v>11.842904364326</v>
      </c>
      <c r="J277" t="n">
        <v>12.5494251580668</v>
      </c>
      <c r="K277" t="n">
        <v>13.2584372545531</v>
      </c>
      <c r="L277" t="n">
        <v>13.964075338883</v>
      </c>
      <c r="M277" t="n">
        <v>14.6462963013933</v>
      </c>
      <c r="N277" t="n">
        <v>15.316134697541</v>
      </c>
      <c r="O277" t="n">
        <v>15.9759713560398</v>
      </c>
      <c r="P277" t="n">
        <v>16.5876089958359</v>
      </c>
      <c r="Q277" t="n">
        <v>17.1521841376815</v>
      </c>
      <c r="R277" t="n">
        <v>17.6663178165446</v>
      </c>
      <c r="S277" t="n">
        <v>18.1263517965966</v>
      </c>
      <c r="T277" t="n">
        <v>18.5344473979954</v>
      </c>
      <c r="U277" t="n">
        <v>18.8939581650872</v>
      </c>
      <c r="V277" t="n">
        <v>19.2012652018143</v>
      </c>
      <c r="W277" t="n">
        <v>3</v>
      </c>
      <c r="AG277" s="223" t="inlineStr">
        <is>
          <t>GDP</t>
        </is>
      </c>
      <c r="AI277" t="n">
        <v>1</v>
      </c>
      <c r="AJ277" t="n">
        <v>1.00838893038991</v>
      </c>
      <c r="AK277" t="n">
        <v>1.12064101290293</v>
      </c>
      <c r="AL277" t="n">
        <v>1.22327937382933</v>
      </c>
      <c r="AM277" t="n">
        <v>1.32530748576188</v>
      </c>
      <c r="AN277" t="n">
        <v>1.43089896116608</v>
      </c>
      <c r="AO277" t="n">
        <v>1.54065178272437</v>
      </c>
      <c r="AP277" t="n">
        <v>1.65384530463998</v>
      </c>
      <c r="AQ277" t="n">
        <v>1.7672964190957</v>
      </c>
      <c r="AR277" t="n">
        <v>1.88276227520451</v>
      </c>
      <c r="AS277" t="n">
        <v>2.00074272515735</v>
      </c>
      <c r="AT277" t="n">
        <v>2.1142214388138</v>
      </c>
      <c r="AU277" t="n">
        <v>2.22283962656441</v>
      </c>
      <c r="AV277" t="n">
        <v>2.3253461246429</v>
      </c>
      <c r="AW277" t="n">
        <v>2.4203303072343</v>
      </c>
      <c r="AX277" t="n">
        <v>2.50751618233136</v>
      </c>
      <c r="AY277" t="n">
        <v>2.58692521597908</v>
      </c>
      <c r="AZ277" t="n">
        <v>2.6570517184489</v>
      </c>
      <c r="BA277" t="n">
        <v>0</v>
      </c>
      <c r="BB277" t="n">
        <v>0</v>
      </c>
      <c r="BC277" t="n">
        <v>0</v>
      </c>
      <c r="BD277" t="n">
        <v>0</v>
      </c>
      <c r="BE277" t="n">
        <v>0</v>
      </c>
      <c r="BF277" t="n">
        <v>0</v>
      </c>
      <c r="BG277" t="n">
        <v>0</v>
      </c>
      <c r="BH277" t="n">
        <v>0</v>
      </c>
      <c r="BJ277" t="inlineStr">
        <is>
          <t>Med2</t>
        </is>
      </c>
      <c r="BL277" t="n">
        <v>0.8</v>
      </c>
      <c r="BM277" t="n">
        <v>0.797560975609756</v>
      </c>
      <c r="BN277" t="n">
        <v>0.785365853658536</v>
      </c>
      <c r="BO277" t="n">
        <v>0.773170731707317</v>
      </c>
      <c r="BP277" t="n">
        <v>0.760975609756097</v>
      </c>
      <c r="BQ277" t="n">
        <v>0.748780487804878</v>
      </c>
      <c r="BR277" t="n">
        <v>0.736585365853658</v>
      </c>
      <c r="BS277" t="n">
        <v>0.724390243902439</v>
      </c>
      <c r="BT277" t="n">
        <v>0.71219512195122</v>
      </c>
      <c r="BU277" t="n">
        <v>0.699999999999999</v>
      </c>
      <c r="BV277" t="n">
        <v>0.687499999999999</v>
      </c>
      <c r="BW277" t="n">
        <v>0.675</v>
      </c>
      <c r="BX277" t="n">
        <v>0.6625</v>
      </c>
      <c r="BY277" t="n">
        <v>0.649999999999999</v>
      </c>
      <c r="BZ277" t="n">
        <v>0.637499999999999</v>
      </c>
      <c r="CA277" t="n">
        <v>0.625</v>
      </c>
      <c r="CB277" t="n">
        <v>0.6125</v>
      </c>
      <c r="CC277" t="n">
        <v>0.6</v>
      </c>
      <c r="CD277" t="e">
        <v>#VALUE!</v>
      </c>
      <c r="CE277" t="e">
        <v>#VALUE!</v>
      </c>
      <c r="CF277" t="e">
        <v>#VALUE!</v>
      </c>
      <c r="CG277" t="e">
        <v>#VALUE!</v>
      </c>
      <c r="CH277" t="e">
        <v>#VALUE!</v>
      </c>
      <c r="CI277" t="e">
        <v>#VALUE!</v>
      </c>
      <c r="CJ277" t="e">
        <v>#VALUE!</v>
      </c>
      <c r="CK277" t="e">
        <v>#VALUE!</v>
      </c>
    </row>
    <row r="278" ht="12.5" customHeight="1" s="213">
      <c r="A278" t="inlineStr">
        <is>
          <t>Norway</t>
        </is>
      </c>
      <c r="B278" t="inlineStr">
        <is>
          <t>Trd_lcv</t>
        </is>
      </c>
      <c r="C278" t="inlineStr">
        <is>
          <t>Trd_lcv</t>
        </is>
      </c>
      <c r="D278" t="n">
        <v>5.16</v>
      </c>
      <c r="E278" t="n">
        <v>5.19452392689147</v>
      </c>
      <c r="G278" t="n">
        <v>5.64865801631842</v>
      </c>
      <c r="H278" t="n">
        <v>6.04866160084444</v>
      </c>
      <c r="I278" t="n">
        <v>6.43256700209709</v>
      </c>
      <c r="J278" t="n">
        <v>6.8163193490131</v>
      </c>
      <c r="K278" t="n">
        <v>7.2014248666836</v>
      </c>
      <c r="L278" t="n">
        <v>7.58469776301432</v>
      </c>
      <c r="M278" t="n">
        <v>7.9552514647568</v>
      </c>
      <c r="N278" t="n">
        <v>8.319079477822269</v>
      </c>
      <c r="O278" t="n">
        <v>8.67747496812266</v>
      </c>
      <c r="P278" t="n">
        <v>9.009690780896159</v>
      </c>
      <c r="Q278" t="n">
        <v>9.31634422636175</v>
      </c>
      <c r="R278" t="n">
        <v>9.59559999298634</v>
      </c>
      <c r="S278" t="n">
        <v>9.84547108109876</v>
      </c>
      <c r="T278" t="n">
        <v>10.0671314288059</v>
      </c>
      <c r="U278" t="n">
        <v>10.2624025401947</v>
      </c>
      <c r="V278" t="n">
        <v>10.4293187833012</v>
      </c>
      <c r="W278" t="n">
        <v>3</v>
      </c>
      <c r="AG278" s="223" t="inlineStr">
        <is>
          <t>GDP</t>
        </is>
      </c>
      <c r="AI278" t="n">
        <v>1</v>
      </c>
      <c r="AJ278" t="n">
        <v>1.00838893038991</v>
      </c>
      <c r="AK278" t="n">
        <v>1.12064101290293</v>
      </c>
      <c r="AL278" t="n">
        <v>1.22327937382933</v>
      </c>
      <c r="AM278" t="n">
        <v>1.32530748576188</v>
      </c>
      <c r="AN278" t="n">
        <v>1.43089896116608</v>
      </c>
      <c r="AO278" t="n">
        <v>1.54065178272437</v>
      </c>
      <c r="AP278" t="n">
        <v>1.65384530463998</v>
      </c>
      <c r="AQ278" t="n">
        <v>1.7672964190957</v>
      </c>
      <c r="AR278" t="n">
        <v>1.88276227520451</v>
      </c>
      <c r="AS278" t="n">
        <v>2.00074272515735</v>
      </c>
      <c r="AT278" t="n">
        <v>2.1142214388138</v>
      </c>
      <c r="AU278" t="n">
        <v>2.22283962656441</v>
      </c>
      <c r="AV278" t="n">
        <v>2.3253461246429</v>
      </c>
      <c r="AW278" t="n">
        <v>2.4203303072343</v>
      </c>
      <c r="AX278" t="n">
        <v>2.50751618233136</v>
      </c>
      <c r="AY278" t="n">
        <v>2.58692521597908</v>
      </c>
      <c r="AZ278" t="n">
        <v>2.6570517184489</v>
      </c>
      <c r="BA278" t="n">
        <v>0</v>
      </c>
      <c r="BB278" t="n">
        <v>0</v>
      </c>
      <c r="BC278" t="n">
        <v>0</v>
      </c>
      <c r="BD278" t="n">
        <v>0</v>
      </c>
      <c r="BE278" t="n">
        <v>0</v>
      </c>
      <c r="BF278" t="n">
        <v>0</v>
      </c>
      <c r="BG278" t="n">
        <v>0</v>
      </c>
      <c r="BH278" t="n">
        <v>0</v>
      </c>
      <c r="BJ278" t="inlineStr">
        <is>
          <t>Med2</t>
        </is>
      </c>
      <c r="BL278" t="n">
        <v>0.8</v>
      </c>
      <c r="BM278" t="n">
        <v>0.797560975609756</v>
      </c>
      <c r="BN278" t="n">
        <v>0.785365853658536</v>
      </c>
      <c r="BO278" t="n">
        <v>0.773170731707317</v>
      </c>
      <c r="BP278" t="n">
        <v>0.760975609756097</v>
      </c>
      <c r="BQ278" t="n">
        <v>0.748780487804878</v>
      </c>
      <c r="BR278" t="n">
        <v>0.736585365853658</v>
      </c>
      <c r="BS278" t="n">
        <v>0.724390243902439</v>
      </c>
      <c r="BT278" t="n">
        <v>0.71219512195122</v>
      </c>
      <c r="BU278" t="n">
        <v>0.699999999999999</v>
      </c>
      <c r="BV278" t="n">
        <v>0.687499999999999</v>
      </c>
      <c r="BW278" t="n">
        <v>0.675</v>
      </c>
      <c r="BX278" t="n">
        <v>0.6625</v>
      </c>
      <c r="BY278" t="n">
        <v>0.649999999999999</v>
      </c>
      <c r="BZ278" t="n">
        <v>0.637499999999999</v>
      </c>
      <c r="CA278" t="n">
        <v>0.625</v>
      </c>
      <c r="CB278" t="n">
        <v>0.6125</v>
      </c>
      <c r="CC278" t="n">
        <v>0.6</v>
      </c>
      <c r="CD278" t="e">
        <v>#VALUE!</v>
      </c>
      <c r="CE278" t="e">
        <v>#VALUE!</v>
      </c>
      <c r="CF278" t="e">
        <v>#VALUE!</v>
      </c>
      <c r="CG278" t="e">
        <v>#VALUE!</v>
      </c>
      <c r="CH278" t="e">
        <v>#VALUE!</v>
      </c>
      <c r="CI278" t="e">
        <v>#VALUE!</v>
      </c>
      <c r="CJ278" t="e">
        <v>#VALUE!</v>
      </c>
      <c r="CK278" t="e">
        <v>#VALUE!</v>
      </c>
    </row>
    <row r="279" ht="12.5" customHeight="1" s="213">
      <c r="A279" t="inlineStr">
        <is>
          <t>Poland</t>
        </is>
      </c>
      <c r="B279" t="inlineStr">
        <is>
          <t>TAD</t>
        </is>
      </c>
      <c r="C279" t="inlineStr">
        <is>
          <t>TAD</t>
        </is>
      </c>
      <c r="E279" t="n">
        <v>1.45078903816604</v>
      </c>
      <c r="F279">
        <f>E279</f>
        <v/>
      </c>
      <c r="I279">
        <f>F279</f>
        <v/>
      </c>
      <c r="J279">
        <f>I279</f>
        <v/>
      </c>
      <c r="L279">
        <f>J279</f>
        <v/>
      </c>
      <c r="V279">
        <f>L279</f>
        <v/>
      </c>
      <c r="W279" t="n">
        <v>3</v>
      </c>
      <c r="AG279" s="223" t="inlineStr">
        <is>
          <t>GDP</t>
        </is>
      </c>
      <c r="AI279" t="n">
        <v>1</v>
      </c>
      <c r="AJ279" t="n">
        <v>1.0306176871124</v>
      </c>
      <c r="AK279" t="n">
        <v>1.2321465865568</v>
      </c>
      <c r="AL279" t="n">
        <v>1.44752671431604</v>
      </c>
      <c r="AM279" t="n">
        <v>1.61456130872964</v>
      </c>
      <c r="AN279" t="n">
        <v>1.75255578895043</v>
      </c>
      <c r="AO279" t="n">
        <v>1.84476786031748</v>
      </c>
      <c r="AP279" t="n">
        <v>1.91652671604205</v>
      </c>
      <c r="AQ279" t="n">
        <v>1.97324339671817</v>
      </c>
      <c r="AR279" t="n">
        <v>2.02321137923714</v>
      </c>
      <c r="AS279" t="n">
        <v>2.06725051823443</v>
      </c>
      <c r="AT279" t="n">
        <v>2.0990608780902</v>
      </c>
      <c r="AU279" t="n">
        <v>2.11677836826489</v>
      </c>
      <c r="AV279" t="n">
        <v>2.12369966739792</v>
      </c>
      <c r="AW279" t="n">
        <v>2.12703086623252</v>
      </c>
      <c r="AX279" t="n">
        <v>2.13331354175477</v>
      </c>
      <c r="AY279" t="n">
        <v>2.1447656165048</v>
      </c>
      <c r="AZ279" t="n">
        <v>2.15838383350219</v>
      </c>
      <c r="BA279" t="n">
        <v>0</v>
      </c>
      <c r="BB279" t="n">
        <v>0</v>
      </c>
      <c r="BC279" t="n">
        <v>0</v>
      </c>
      <c r="BD279" t="n">
        <v>0</v>
      </c>
      <c r="BE279" t="n">
        <v>0</v>
      </c>
      <c r="BF279" t="n">
        <v>0</v>
      </c>
      <c r="BG279" t="n">
        <v>0</v>
      </c>
      <c r="BH279" t="n">
        <v>0</v>
      </c>
      <c r="BJ279" t="inlineStr">
        <is>
          <t>Med2</t>
        </is>
      </c>
      <c r="BL279" t="n">
        <v>0.8</v>
      </c>
      <c r="BM279" t="n">
        <v>0.797560975609756</v>
      </c>
      <c r="BN279" t="n">
        <v>0.785365853658536</v>
      </c>
      <c r="BO279" t="n">
        <v>0.773170731707317</v>
      </c>
      <c r="BP279" t="n">
        <v>0.760975609756097</v>
      </c>
      <c r="BQ279" t="n">
        <v>0.748780487804878</v>
      </c>
      <c r="BR279" t="n">
        <v>0.736585365853658</v>
      </c>
      <c r="BS279" t="n">
        <v>0.724390243902439</v>
      </c>
      <c r="BT279" t="n">
        <v>0.71219512195122</v>
      </c>
      <c r="BU279" t="n">
        <v>0.699999999999999</v>
      </c>
      <c r="BV279" t="n">
        <v>0.687499999999999</v>
      </c>
      <c r="BW279" t="n">
        <v>0.675</v>
      </c>
      <c r="BX279" t="n">
        <v>0.6625</v>
      </c>
      <c r="BY279" t="n">
        <v>0.649999999999999</v>
      </c>
      <c r="BZ279" t="n">
        <v>0.637499999999999</v>
      </c>
      <c r="CA279" t="n">
        <v>0.625</v>
      </c>
      <c r="CB279" t="n">
        <v>0.6125</v>
      </c>
      <c r="CC279" t="n">
        <v>0.6</v>
      </c>
      <c r="CD279" t="e">
        <v>#VALUE!</v>
      </c>
      <c r="CE279" t="e">
        <v>#VALUE!</v>
      </c>
      <c r="CF279" t="e">
        <v>#VALUE!</v>
      </c>
      <c r="CG279" t="e">
        <v>#VALUE!</v>
      </c>
      <c r="CH279" t="e">
        <v>#VALUE!</v>
      </c>
      <c r="CI279" t="e">
        <v>#VALUE!</v>
      </c>
      <c r="CJ279" t="e">
        <v>#VALUE!</v>
      </c>
      <c r="CK279" t="e">
        <v>#VALUE!</v>
      </c>
    </row>
    <row r="280" ht="12.5" customHeight="1" s="213">
      <c r="A280" t="inlineStr">
        <is>
          <t>Poland</t>
        </is>
      </c>
      <c r="B280" t="inlineStr">
        <is>
          <t>TAI</t>
        </is>
      </c>
      <c r="C280" t="inlineStr">
        <is>
          <t>TAI</t>
        </is>
      </c>
      <c r="E280" t="n">
        <v>46.1548724636098</v>
      </c>
      <c r="F280">
        <f>E280</f>
        <v/>
      </c>
      <c r="I280">
        <f>F280</f>
        <v/>
      </c>
      <c r="J280">
        <f>I280</f>
        <v/>
      </c>
      <c r="L280">
        <f>J280</f>
        <v/>
      </c>
      <c r="V280">
        <f>L280</f>
        <v/>
      </c>
      <c r="W280" t="n">
        <v>3</v>
      </c>
      <c r="AG280" s="223" t="inlineStr">
        <is>
          <t>GDP</t>
        </is>
      </c>
      <c r="AI280" t="n">
        <v>1</v>
      </c>
      <c r="AJ280" t="n">
        <v>1.0306176871124</v>
      </c>
      <c r="AK280" t="n">
        <v>1.2321465865568</v>
      </c>
      <c r="AL280" t="n">
        <v>1.44752671431604</v>
      </c>
      <c r="AM280" t="n">
        <v>1.61456130872964</v>
      </c>
      <c r="AN280" t="n">
        <v>1.75255578895043</v>
      </c>
      <c r="AO280" t="n">
        <v>1.84476786031748</v>
      </c>
      <c r="AP280" t="n">
        <v>1.91652671604205</v>
      </c>
      <c r="AQ280" t="n">
        <v>1.97324339671817</v>
      </c>
      <c r="AR280" t="n">
        <v>2.02321137923714</v>
      </c>
      <c r="AS280" t="n">
        <v>2.06725051823443</v>
      </c>
      <c r="AT280" t="n">
        <v>2.0990608780902</v>
      </c>
      <c r="AU280" t="n">
        <v>2.11677836826489</v>
      </c>
      <c r="AV280" t="n">
        <v>2.12369966739792</v>
      </c>
      <c r="AW280" t="n">
        <v>2.12703086623252</v>
      </c>
      <c r="AX280" t="n">
        <v>2.13331354175477</v>
      </c>
      <c r="AY280" t="n">
        <v>2.1447656165048</v>
      </c>
      <c r="AZ280" t="n">
        <v>2.15838383350219</v>
      </c>
      <c r="BA280" t="n">
        <v>0</v>
      </c>
      <c r="BB280" t="n">
        <v>0</v>
      </c>
      <c r="BC280" t="n">
        <v>0</v>
      </c>
      <c r="BD280" t="n">
        <v>0</v>
      </c>
      <c r="BE280" t="n">
        <v>0</v>
      </c>
      <c r="BF280" t="n">
        <v>0</v>
      </c>
      <c r="BG280" t="n">
        <v>0</v>
      </c>
      <c r="BH280" t="n">
        <v>0</v>
      </c>
      <c r="BJ280" t="inlineStr">
        <is>
          <t>Med2</t>
        </is>
      </c>
      <c r="BL280" t="n">
        <v>0.8</v>
      </c>
      <c r="BM280" t="n">
        <v>0.797560975609756</v>
      </c>
      <c r="BN280" t="n">
        <v>0.785365853658536</v>
      </c>
      <c r="BO280" t="n">
        <v>0.773170731707317</v>
      </c>
      <c r="BP280" t="n">
        <v>0.760975609756097</v>
      </c>
      <c r="BQ280" t="n">
        <v>0.748780487804878</v>
      </c>
      <c r="BR280" t="n">
        <v>0.736585365853658</v>
      </c>
      <c r="BS280" t="n">
        <v>0.724390243902439</v>
      </c>
      <c r="BT280" t="n">
        <v>0.71219512195122</v>
      </c>
      <c r="BU280" t="n">
        <v>0.699999999999999</v>
      </c>
      <c r="BV280" t="n">
        <v>0.687499999999999</v>
      </c>
      <c r="BW280" t="n">
        <v>0.675</v>
      </c>
      <c r="BX280" t="n">
        <v>0.6625</v>
      </c>
      <c r="BY280" t="n">
        <v>0.649999999999999</v>
      </c>
      <c r="BZ280" t="n">
        <v>0.637499999999999</v>
      </c>
      <c r="CA280" t="n">
        <v>0.625</v>
      </c>
      <c r="CB280" t="n">
        <v>0.6125</v>
      </c>
      <c r="CC280" t="n">
        <v>0.6</v>
      </c>
      <c r="CD280" t="e">
        <v>#VALUE!</v>
      </c>
      <c r="CE280" t="e">
        <v>#VALUE!</v>
      </c>
      <c r="CF280" t="e">
        <v>#VALUE!</v>
      </c>
      <c r="CG280" t="e">
        <v>#VALUE!</v>
      </c>
      <c r="CH280" t="e">
        <v>#VALUE!</v>
      </c>
      <c r="CI280" t="e">
        <v>#VALUE!</v>
      </c>
      <c r="CJ280" t="e">
        <v>#VALUE!</v>
      </c>
      <c r="CK280" t="e">
        <v>#VALUE!</v>
      </c>
    </row>
    <row r="281" ht="12.5" customHeight="1" s="213">
      <c r="A281" t="inlineStr">
        <is>
          <t>Poland</t>
        </is>
      </c>
      <c r="B281" t="inlineStr">
        <is>
          <t>TTF</t>
        </is>
      </c>
      <c r="C281" t="inlineStr">
        <is>
          <t>TTF</t>
        </is>
      </c>
      <c r="E281" t="n">
        <v>4.46314013629739</v>
      </c>
      <c r="I281" t="n">
        <v>6.35758734024323</v>
      </c>
      <c r="J281" t="n">
        <v>6.76445580300758</v>
      </c>
      <c r="L281" t="n">
        <v>7.22461343573354</v>
      </c>
      <c r="V281" t="n">
        <v>7.83606786808991</v>
      </c>
      <c r="W281" t="n">
        <v>3</v>
      </c>
      <c r="AG281" s="223" t="inlineStr">
        <is>
          <t>GDP</t>
        </is>
      </c>
      <c r="AI281" t="n">
        <v>1</v>
      </c>
      <c r="AJ281" t="n">
        <v>1.0306176871124</v>
      </c>
      <c r="AK281" t="n">
        <v>1.2321465865568</v>
      </c>
      <c r="AL281" t="n">
        <v>1.44752671431604</v>
      </c>
      <c r="AM281" t="n">
        <v>1.61456130872964</v>
      </c>
      <c r="AN281" t="n">
        <v>1.75255578895043</v>
      </c>
      <c r="AO281" t="n">
        <v>1.84476786031748</v>
      </c>
      <c r="AP281" t="n">
        <v>1.91652671604205</v>
      </c>
      <c r="AQ281" t="n">
        <v>1.97324339671817</v>
      </c>
      <c r="AR281" t="n">
        <v>2.02321137923714</v>
      </c>
      <c r="AS281" t="n">
        <v>2.06725051823443</v>
      </c>
      <c r="AT281" t="n">
        <v>2.0990608780902</v>
      </c>
      <c r="AU281" t="n">
        <v>2.11677836826489</v>
      </c>
      <c r="AV281" t="n">
        <v>2.12369966739792</v>
      </c>
      <c r="AW281" t="n">
        <v>2.12703086623252</v>
      </c>
      <c r="AX281" t="n">
        <v>2.13331354175477</v>
      </c>
      <c r="AY281" t="n">
        <v>2.1447656165048</v>
      </c>
      <c r="AZ281" t="n">
        <v>2.15838383350219</v>
      </c>
      <c r="BA281" t="n">
        <v>0</v>
      </c>
      <c r="BB281" t="n">
        <v>0</v>
      </c>
      <c r="BC281" t="n">
        <v>0</v>
      </c>
      <c r="BD281" t="n">
        <v>0</v>
      </c>
      <c r="BE281" t="n">
        <v>0</v>
      </c>
      <c r="BF281" t="n">
        <v>0</v>
      </c>
      <c r="BG281" t="n">
        <v>0</v>
      </c>
      <c r="BH281" t="n">
        <v>0</v>
      </c>
      <c r="BJ281" t="inlineStr">
        <is>
          <t>Med2</t>
        </is>
      </c>
      <c r="BL281" t="n">
        <v>0.8</v>
      </c>
      <c r="BM281" t="n">
        <v>0.797560975609756</v>
      </c>
      <c r="BN281" t="n">
        <v>0.785365853658536</v>
      </c>
      <c r="BO281" t="n">
        <v>0.773170731707317</v>
      </c>
      <c r="BP281" t="n">
        <v>0.760975609756097</v>
      </c>
      <c r="BQ281" t="n">
        <v>0.748780487804878</v>
      </c>
      <c r="BR281" t="n">
        <v>0.736585365853658</v>
      </c>
      <c r="BS281" t="n">
        <v>0.724390243902439</v>
      </c>
      <c r="BT281" t="n">
        <v>0.71219512195122</v>
      </c>
      <c r="BU281" t="n">
        <v>0.699999999999999</v>
      </c>
      <c r="BV281" t="n">
        <v>0.687499999999999</v>
      </c>
      <c r="BW281" t="n">
        <v>0.675</v>
      </c>
      <c r="BX281" t="n">
        <v>0.6625</v>
      </c>
      <c r="BY281" t="n">
        <v>0.649999999999999</v>
      </c>
      <c r="BZ281" t="n">
        <v>0.637499999999999</v>
      </c>
      <c r="CA281" t="n">
        <v>0.625</v>
      </c>
      <c r="CB281" t="n">
        <v>0.6125</v>
      </c>
      <c r="CC281" t="n">
        <v>0.6</v>
      </c>
      <c r="CD281" t="e">
        <v>#VALUE!</v>
      </c>
      <c r="CE281" t="e">
        <v>#VALUE!</v>
      </c>
      <c r="CF281" t="e">
        <v>#VALUE!</v>
      </c>
      <c r="CG281" t="e">
        <v>#VALUE!</v>
      </c>
      <c r="CH281" t="e">
        <v>#VALUE!</v>
      </c>
      <c r="CI281" t="e">
        <v>#VALUE!</v>
      </c>
      <c r="CJ281" t="e">
        <v>#VALUE!</v>
      </c>
      <c r="CK281" t="e">
        <v>#VALUE!</v>
      </c>
    </row>
    <row r="282" ht="12.5" customHeight="1" s="213">
      <c r="A282" t="inlineStr">
        <is>
          <t>Poland</t>
        </is>
      </c>
      <c r="B282" t="inlineStr">
        <is>
          <t>TTP</t>
        </is>
      </c>
      <c r="C282" t="inlineStr">
        <is>
          <t>TTP</t>
        </is>
      </c>
      <c r="E282" t="n">
        <v>10.5765290940029</v>
      </c>
      <c r="I282" t="n">
        <v>10.347440240102</v>
      </c>
      <c r="J282" t="n">
        <v>10.1800295633949</v>
      </c>
      <c r="L282" t="n">
        <v>9.87991671494312</v>
      </c>
      <c r="V282" t="n">
        <v>8.4582264030971</v>
      </c>
      <c r="W282" t="n">
        <v>3</v>
      </c>
      <c r="AG282" s="223" t="inlineStr">
        <is>
          <t>POP</t>
        </is>
      </c>
      <c r="AI282" t="n">
        <v>1</v>
      </c>
      <c r="AJ282" t="n">
        <v>1.0027699861502</v>
      </c>
      <c r="AK282" t="n">
        <v>1.0166199169012</v>
      </c>
      <c r="AL282" t="n">
        <v>0.9957196548537161</v>
      </c>
      <c r="AM282" t="n">
        <v>0.9740958903224231</v>
      </c>
      <c r="AN282" t="n">
        <v>0.9530485406004719</v>
      </c>
      <c r="AO282" t="n">
        <v>0.9329221046192619</v>
      </c>
      <c r="AP282" t="n">
        <v>0.914704628977335</v>
      </c>
      <c r="AQ282" t="n">
        <v>0.895973831945608</v>
      </c>
      <c r="AR282" t="n">
        <v>0.876447369820111</v>
      </c>
      <c r="AS282" t="n">
        <v>0.855690677226679</v>
      </c>
      <c r="AT282" t="n">
        <v>0.833400327199711</v>
      </c>
      <c r="AU282" t="n">
        <v>0.810280667467396</v>
      </c>
      <c r="AV282" t="n">
        <v>0.787788215222939</v>
      </c>
      <c r="AW282" t="n">
        <v>0.767252701419943</v>
      </c>
      <c r="AX282" t="n">
        <v>0.749525118425906</v>
      </c>
      <c r="AY282" t="n">
        <v>0.734541434629171</v>
      </c>
      <c r="AZ282" t="n">
        <v>0.7214354381013161</v>
      </c>
      <c r="BA282" t="n">
        <v>0</v>
      </c>
      <c r="BB282" t="n">
        <v>0</v>
      </c>
      <c r="BC282" t="n">
        <v>0</v>
      </c>
      <c r="BD282" t="n">
        <v>0</v>
      </c>
      <c r="BE282" t="n">
        <v>0</v>
      </c>
      <c r="BF282" t="n">
        <v>0</v>
      </c>
      <c r="BG282" t="n">
        <v>0</v>
      </c>
      <c r="BH282" t="n">
        <v>0</v>
      </c>
      <c r="BJ282" t="inlineStr">
        <is>
          <t>Med2</t>
        </is>
      </c>
      <c r="BL282" t="n">
        <v>0.8</v>
      </c>
      <c r="BM282" t="n">
        <v>0.797560975609756</v>
      </c>
      <c r="BN282" t="n">
        <v>0.785365853658536</v>
      </c>
      <c r="BO282" t="n">
        <v>0.773170731707317</v>
      </c>
      <c r="BP282" t="n">
        <v>0.760975609756097</v>
      </c>
      <c r="BQ282" t="n">
        <v>0.748780487804878</v>
      </c>
      <c r="BR282" t="n">
        <v>0.736585365853658</v>
      </c>
      <c r="BS282" t="n">
        <v>0.724390243902439</v>
      </c>
      <c r="BT282" t="n">
        <v>0.71219512195122</v>
      </c>
      <c r="BU282" t="n">
        <v>0.699999999999999</v>
      </c>
      <c r="BV282" t="n">
        <v>0.687499999999999</v>
      </c>
      <c r="BW282" t="n">
        <v>0.675</v>
      </c>
      <c r="BX282" t="n">
        <v>0.6625</v>
      </c>
      <c r="BY282" t="n">
        <v>0.649999999999999</v>
      </c>
      <c r="BZ282" t="n">
        <v>0.637499999999999</v>
      </c>
      <c r="CA282" t="n">
        <v>0.625</v>
      </c>
      <c r="CB282" t="n">
        <v>0.6125</v>
      </c>
      <c r="CC282" t="n">
        <v>0.6</v>
      </c>
      <c r="CD282" t="e">
        <v>#VALUE!</v>
      </c>
      <c r="CE282" t="e">
        <v>#VALUE!</v>
      </c>
      <c r="CF282" t="e">
        <v>#VALUE!</v>
      </c>
      <c r="CG282" t="e">
        <v>#VALUE!</v>
      </c>
      <c r="CH282" t="e">
        <v>#VALUE!</v>
      </c>
      <c r="CI282" t="e">
        <v>#VALUE!</v>
      </c>
      <c r="CJ282" t="e">
        <v>#VALUE!</v>
      </c>
      <c r="CK282" t="e">
        <v>#VALUE!</v>
      </c>
    </row>
    <row r="283" ht="12.5" customHeight="1" s="213">
      <c r="A283" t="inlineStr">
        <is>
          <t>Poland</t>
        </is>
      </c>
      <c r="B283" t="inlineStr">
        <is>
          <t>TWD</t>
        </is>
      </c>
      <c r="C283" t="inlineStr">
        <is>
          <t>TWD</t>
        </is>
      </c>
      <c r="E283" t="n">
        <v>0.0798619145042989</v>
      </c>
      <c r="F283">
        <f>E283</f>
        <v/>
      </c>
      <c r="I283">
        <f>F283</f>
        <v/>
      </c>
      <c r="J283">
        <f>I283</f>
        <v/>
      </c>
      <c r="L283">
        <f>J283</f>
        <v/>
      </c>
      <c r="V283">
        <f>L283</f>
        <v/>
      </c>
      <c r="W283" t="n">
        <v>3</v>
      </c>
      <c r="AG283" s="223" t="inlineStr">
        <is>
          <t>GDP</t>
        </is>
      </c>
      <c r="AI283" t="n">
        <v>1</v>
      </c>
      <c r="AJ283" t="n">
        <v>1.0306176871124</v>
      </c>
      <c r="AK283" t="n">
        <v>1.2321465865568</v>
      </c>
      <c r="AL283" t="n">
        <v>1.44752671431604</v>
      </c>
      <c r="AM283" t="n">
        <v>1.61456130872964</v>
      </c>
      <c r="AN283" t="n">
        <v>1.75255578895043</v>
      </c>
      <c r="AO283" t="n">
        <v>1.84476786031748</v>
      </c>
      <c r="AP283" t="n">
        <v>1.91652671604205</v>
      </c>
      <c r="AQ283" t="n">
        <v>1.97324339671817</v>
      </c>
      <c r="AR283" t="n">
        <v>2.02321137923714</v>
      </c>
      <c r="AS283" t="n">
        <v>2.06725051823443</v>
      </c>
      <c r="AT283" t="n">
        <v>2.0990608780902</v>
      </c>
      <c r="AU283" t="n">
        <v>2.11677836826489</v>
      </c>
      <c r="AV283" t="n">
        <v>2.12369966739792</v>
      </c>
      <c r="AW283" t="n">
        <v>2.12703086623252</v>
      </c>
      <c r="AX283" t="n">
        <v>2.13331354175477</v>
      </c>
      <c r="AY283" t="n">
        <v>2.1447656165048</v>
      </c>
      <c r="AZ283" t="n">
        <v>2.15838383350219</v>
      </c>
      <c r="BA283" t="n">
        <v>0</v>
      </c>
      <c r="BB283" t="n">
        <v>0</v>
      </c>
      <c r="BC283" t="n">
        <v>0</v>
      </c>
      <c r="BD283" t="n">
        <v>0</v>
      </c>
      <c r="BE283" t="n">
        <v>0</v>
      </c>
      <c r="BF283" t="n">
        <v>0</v>
      </c>
      <c r="BG283" t="n">
        <v>0</v>
      </c>
      <c r="BH283" t="n">
        <v>0</v>
      </c>
      <c r="BJ283" t="inlineStr">
        <is>
          <t>Med2</t>
        </is>
      </c>
      <c r="BL283" t="n">
        <v>0.8</v>
      </c>
      <c r="BM283" t="n">
        <v>0.797560975609756</v>
      </c>
      <c r="BN283" t="n">
        <v>0.785365853658536</v>
      </c>
      <c r="BO283" t="n">
        <v>0.773170731707317</v>
      </c>
      <c r="BP283" t="n">
        <v>0.760975609756097</v>
      </c>
      <c r="BQ283" t="n">
        <v>0.748780487804878</v>
      </c>
      <c r="BR283" t="n">
        <v>0.736585365853658</v>
      </c>
      <c r="BS283" t="n">
        <v>0.724390243902439</v>
      </c>
      <c r="BT283" t="n">
        <v>0.71219512195122</v>
      </c>
      <c r="BU283" t="n">
        <v>0.699999999999999</v>
      </c>
      <c r="BV283" t="n">
        <v>0.687499999999999</v>
      </c>
      <c r="BW283" t="n">
        <v>0.675</v>
      </c>
      <c r="BX283" t="n">
        <v>0.6625</v>
      </c>
      <c r="BY283" t="n">
        <v>0.649999999999999</v>
      </c>
      <c r="BZ283" t="n">
        <v>0.637499999999999</v>
      </c>
      <c r="CA283" t="n">
        <v>0.625</v>
      </c>
      <c r="CB283" t="n">
        <v>0.6125</v>
      </c>
      <c r="CC283" t="n">
        <v>0.6</v>
      </c>
      <c r="CD283" t="e">
        <v>#VALUE!</v>
      </c>
      <c r="CE283" t="e">
        <v>#VALUE!</v>
      </c>
      <c r="CF283" t="e">
        <v>#VALUE!</v>
      </c>
      <c r="CG283" t="e">
        <v>#VALUE!</v>
      </c>
      <c r="CH283" t="e">
        <v>#VALUE!</v>
      </c>
      <c r="CI283" t="e">
        <v>#VALUE!</v>
      </c>
      <c r="CJ283" t="e">
        <v>#VALUE!</v>
      </c>
      <c r="CK283" t="e">
        <v>#VALUE!</v>
      </c>
    </row>
    <row r="284" ht="12.5" customHeight="1" s="213">
      <c r="A284" t="inlineStr">
        <is>
          <t>Poland</t>
        </is>
      </c>
      <c r="B284" t="inlineStr">
        <is>
          <t>TWI</t>
        </is>
      </c>
      <c r="C284" t="inlineStr">
        <is>
          <t>TWI</t>
        </is>
      </c>
      <c r="E284" t="n">
        <v>11.6805555781569</v>
      </c>
      <c r="F284">
        <f>E284</f>
        <v/>
      </c>
      <c r="I284">
        <f>F284</f>
        <v/>
      </c>
      <c r="J284">
        <f>I284</f>
        <v/>
      </c>
      <c r="L284">
        <f>J284</f>
        <v/>
      </c>
      <c r="V284">
        <f>L284</f>
        <v/>
      </c>
      <c r="W284" t="n">
        <v>3</v>
      </c>
      <c r="AG284" s="223" t="inlineStr">
        <is>
          <t>GDP</t>
        </is>
      </c>
      <c r="AI284" t="n">
        <v>1</v>
      </c>
      <c r="AJ284" t="n">
        <v>1.0306176871124</v>
      </c>
      <c r="AK284" t="n">
        <v>1.2321465865568</v>
      </c>
      <c r="AL284" t="n">
        <v>1.44752671431604</v>
      </c>
      <c r="AM284" t="n">
        <v>1.61456130872964</v>
      </c>
      <c r="AN284" t="n">
        <v>1.75255578895043</v>
      </c>
      <c r="AO284" t="n">
        <v>1.84476786031748</v>
      </c>
      <c r="AP284" t="n">
        <v>1.91652671604205</v>
      </c>
      <c r="AQ284" t="n">
        <v>1.97324339671817</v>
      </c>
      <c r="AR284" t="n">
        <v>2.02321137923714</v>
      </c>
      <c r="AS284" t="n">
        <v>2.06725051823443</v>
      </c>
      <c r="AT284" t="n">
        <v>2.0990608780902</v>
      </c>
      <c r="AU284" t="n">
        <v>2.11677836826489</v>
      </c>
      <c r="AV284" t="n">
        <v>2.12369966739792</v>
      </c>
      <c r="AW284" t="n">
        <v>2.12703086623252</v>
      </c>
      <c r="AX284" t="n">
        <v>2.13331354175477</v>
      </c>
      <c r="AY284" t="n">
        <v>2.1447656165048</v>
      </c>
      <c r="AZ284" t="n">
        <v>2.15838383350219</v>
      </c>
      <c r="BA284" t="n">
        <v>0</v>
      </c>
      <c r="BB284" t="n">
        <v>0</v>
      </c>
      <c r="BC284" t="n">
        <v>0</v>
      </c>
      <c r="BD284" t="n">
        <v>0</v>
      </c>
      <c r="BE284" t="n">
        <v>0</v>
      </c>
      <c r="BF284" t="n">
        <v>0</v>
      </c>
      <c r="BG284" t="n">
        <v>0</v>
      </c>
      <c r="BH284" t="n">
        <v>0</v>
      </c>
      <c r="BJ284" t="inlineStr">
        <is>
          <t>Med2</t>
        </is>
      </c>
      <c r="BL284" t="n">
        <v>0.8</v>
      </c>
      <c r="BM284" t="n">
        <v>0.797560975609756</v>
      </c>
      <c r="BN284" t="n">
        <v>0.785365853658536</v>
      </c>
      <c r="BO284" t="n">
        <v>0.773170731707317</v>
      </c>
      <c r="BP284" t="n">
        <v>0.760975609756097</v>
      </c>
      <c r="BQ284" t="n">
        <v>0.748780487804878</v>
      </c>
      <c r="BR284" t="n">
        <v>0.736585365853658</v>
      </c>
      <c r="BS284" t="n">
        <v>0.724390243902439</v>
      </c>
      <c r="BT284" t="n">
        <v>0.71219512195122</v>
      </c>
      <c r="BU284" t="n">
        <v>0.699999999999999</v>
      </c>
      <c r="BV284" t="n">
        <v>0.687499999999999</v>
      </c>
      <c r="BW284" t="n">
        <v>0.675</v>
      </c>
      <c r="BX284" t="n">
        <v>0.6625</v>
      </c>
      <c r="BY284" t="n">
        <v>0.649999999999999</v>
      </c>
      <c r="BZ284" t="n">
        <v>0.637499999999999</v>
      </c>
      <c r="CA284" t="n">
        <v>0.625</v>
      </c>
      <c r="CB284" t="n">
        <v>0.6125</v>
      </c>
      <c r="CC284" t="n">
        <v>0.6</v>
      </c>
      <c r="CD284" t="e">
        <v>#VALUE!</v>
      </c>
      <c r="CE284" t="e">
        <v>#VALUE!</v>
      </c>
      <c r="CF284" t="e">
        <v>#VALUE!</v>
      </c>
      <c r="CG284" t="e">
        <v>#VALUE!</v>
      </c>
      <c r="CH284" t="e">
        <v>#VALUE!</v>
      </c>
      <c r="CI284" t="e">
        <v>#VALUE!</v>
      </c>
      <c r="CJ284" t="e">
        <v>#VALUE!</v>
      </c>
      <c r="CK284" t="e">
        <v>#VALUE!</v>
      </c>
    </row>
    <row r="285" ht="12.5" customHeight="1" s="213">
      <c r="A285" t="inlineStr">
        <is>
          <t>Poland</t>
        </is>
      </c>
      <c r="B285" t="inlineStr">
        <is>
          <t>Trd_2w</t>
        </is>
      </c>
      <c r="C285" t="inlineStr">
        <is>
          <t>Trd_2w</t>
        </is>
      </c>
      <c r="D285" t="n">
        <v>2.597</v>
      </c>
      <c r="E285" t="n">
        <v>2.60273737772802</v>
      </c>
      <c r="G285" t="n">
        <v>2.63096983238342</v>
      </c>
      <c r="H285" t="n">
        <v>2.58914979744341</v>
      </c>
      <c r="I285" t="n">
        <v>2.54636178252382</v>
      </c>
      <c r="J285" t="n">
        <v>2.50516433279116</v>
      </c>
      <c r="K285" t="n">
        <v>2.46619605956861</v>
      </c>
      <c r="L285" t="n">
        <v>2.43131071585696</v>
      </c>
      <c r="M285" t="n">
        <v>2.39585266652593</v>
      </c>
      <c r="N285" t="n">
        <v>2.35930275035849</v>
      </c>
      <c r="O285" t="n">
        <v>2.32088882502527</v>
      </c>
      <c r="P285" t="n">
        <v>2.28007961403265</v>
      </c>
      <c r="Q285" t="n">
        <v>2.23817482432229</v>
      </c>
      <c r="R285" t="n">
        <v>2.19779088386582</v>
      </c>
      <c r="S285" t="n">
        <v>2.16126820283082</v>
      </c>
      <c r="T285" t="n">
        <v>2.13005777065577</v>
      </c>
      <c r="U285" t="n">
        <v>2.10397643170755</v>
      </c>
      <c r="V285" t="n">
        <v>2.08145241344908</v>
      </c>
      <c r="W285" t="n">
        <v>3</v>
      </c>
      <c r="AG285" s="223" t="inlineStr">
        <is>
          <t>POP</t>
        </is>
      </c>
      <c r="AI285" t="n">
        <v>1</v>
      </c>
      <c r="AJ285" t="n">
        <v>1.0027699861502</v>
      </c>
      <c r="AK285" t="n">
        <v>1.0166199169012</v>
      </c>
      <c r="AL285" t="n">
        <v>0.9957196548537161</v>
      </c>
      <c r="AM285" t="n">
        <v>0.9740958903224231</v>
      </c>
      <c r="AN285" t="n">
        <v>0.9530485406004719</v>
      </c>
      <c r="AO285" t="n">
        <v>0.9329221046192619</v>
      </c>
      <c r="AP285" t="n">
        <v>0.914704628977335</v>
      </c>
      <c r="AQ285" t="n">
        <v>0.895973831945608</v>
      </c>
      <c r="AR285" t="n">
        <v>0.876447369820111</v>
      </c>
      <c r="AS285" t="n">
        <v>0.855690677226679</v>
      </c>
      <c r="AT285" t="n">
        <v>0.833400327199711</v>
      </c>
      <c r="AU285" t="n">
        <v>0.810280667467396</v>
      </c>
      <c r="AV285" t="n">
        <v>0.787788215222939</v>
      </c>
      <c r="AW285" t="n">
        <v>0.767252701419943</v>
      </c>
      <c r="AX285" t="n">
        <v>0.749525118425906</v>
      </c>
      <c r="AY285" t="n">
        <v>0.734541434629171</v>
      </c>
      <c r="AZ285" t="n">
        <v>0.7214354381013161</v>
      </c>
      <c r="BA285" t="n">
        <v>0</v>
      </c>
      <c r="BB285" t="n">
        <v>0</v>
      </c>
      <c r="BC285" t="n">
        <v>0</v>
      </c>
      <c r="BD285" t="n">
        <v>0</v>
      </c>
      <c r="BE285" t="n">
        <v>0</v>
      </c>
      <c r="BF285" t="n">
        <v>0</v>
      </c>
      <c r="BG285" t="n">
        <v>0</v>
      </c>
      <c r="BH285" t="n">
        <v>0</v>
      </c>
      <c r="BJ285" t="inlineStr">
        <is>
          <t>Med2</t>
        </is>
      </c>
      <c r="BL285" t="n">
        <v>0.8</v>
      </c>
      <c r="BM285" t="n">
        <v>0.797560975609756</v>
      </c>
      <c r="BN285" t="n">
        <v>0.785365853658536</v>
      </c>
      <c r="BO285" t="n">
        <v>0.773170731707317</v>
      </c>
      <c r="BP285" t="n">
        <v>0.760975609756097</v>
      </c>
      <c r="BQ285" t="n">
        <v>0.748780487804878</v>
      </c>
      <c r="BR285" t="n">
        <v>0.736585365853658</v>
      </c>
      <c r="BS285" t="n">
        <v>0.724390243902439</v>
      </c>
      <c r="BT285" t="n">
        <v>0.71219512195122</v>
      </c>
      <c r="BU285" t="n">
        <v>0.699999999999999</v>
      </c>
      <c r="BV285" t="n">
        <v>0.687499999999999</v>
      </c>
      <c r="BW285" t="n">
        <v>0.675</v>
      </c>
      <c r="BX285" t="n">
        <v>0.6625</v>
      </c>
      <c r="BY285" t="n">
        <v>0.649999999999999</v>
      </c>
      <c r="BZ285" t="n">
        <v>0.637499999999999</v>
      </c>
      <c r="CA285" t="n">
        <v>0.625</v>
      </c>
      <c r="CB285" t="n">
        <v>0.6125</v>
      </c>
      <c r="CC285" t="n">
        <v>0.6</v>
      </c>
      <c r="CD285" t="e">
        <v>#VALUE!</v>
      </c>
      <c r="CE285" t="e">
        <v>#VALUE!</v>
      </c>
      <c r="CF285" t="e">
        <v>#VALUE!</v>
      </c>
      <c r="CG285" t="e">
        <v>#VALUE!</v>
      </c>
      <c r="CH285" t="e">
        <v>#VALUE!</v>
      </c>
      <c r="CI285" t="e">
        <v>#VALUE!</v>
      </c>
      <c r="CJ285" t="e">
        <v>#VALUE!</v>
      </c>
      <c r="CK285" t="e">
        <v>#VALUE!</v>
      </c>
    </row>
    <row r="286" ht="12.5" customHeight="1" s="213">
      <c r="A286" t="inlineStr">
        <is>
          <t>Poland</t>
        </is>
      </c>
      <c r="B286" t="inlineStr">
        <is>
          <t>Trd_3w</t>
        </is>
      </c>
      <c r="C286" t="inlineStr">
        <is>
          <t>Trd_3w</t>
        </is>
      </c>
      <c r="D286" t="n">
        <v>0.51</v>
      </c>
      <c r="E286" t="n">
        <v>0.511126708756753</v>
      </c>
      <c r="G286" t="n">
        <v>0.516671010595127</v>
      </c>
      <c r="H286" t="n">
        <v>0.50845837377595</v>
      </c>
      <c r="I286" t="n">
        <v>0.500055644623469</v>
      </c>
      <c r="J286" t="n">
        <v>0.491965271360604</v>
      </c>
      <c r="K286" t="n">
        <v>0.484312664759334</v>
      </c>
      <c r="L286" t="n">
        <v>0.47746186564769</v>
      </c>
      <c r="M286" t="n">
        <v>0.470498598355112</v>
      </c>
      <c r="N286" t="n">
        <v>0.463320909773905</v>
      </c>
      <c r="O286" t="n">
        <v>0.455777166254481</v>
      </c>
      <c r="P286" t="n">
        <v>0.447763035485812</v>
      </c>
      <c r="Q286" t="n">
        <v>0.439533754487627</v>
      </c>
      <c r="R286" t="n">
        <v>0.431603138533527</v>
      </c>
      <c r="S286" t="n">
        <v>0.424430798399583</v>
      </c>
      <c r="T286" t="n">
        <v>0.418301680028665</v>
      </c>
      <c r="U286" t="n">
        <v>0.413179815237139</v>
      </c>
      <c r="V286" t="n">
        <v>0.408756538644217</v>
      </c>
      <c r="W286" t="n">
        <v>3</v>
      </c>
      <c r="AG286" s="223" t="inlineStr">
        <is>
          <t>POP</t>
        </is>
      </c>
      <c r="AI286" t="n">
        <v>1</v>
      </c>
      <c r="AJ286" t="n">
        <v>1.0027699861502</v>
      </c>
      <c r="AK286" t="n">
        <v>1.0166199169012</v>
      </c>
      <c r="AL286" t="n">
        <v>0.9957196548537161</v>
      </c>
      <c r="AM286" t="n">
        <v>0.9740958903224231</v>
      </c>
      <c r="AN286" t="n">
        <v>0.9530485406004719</v>
      </c>
      <c r="AO286" t="n">
        <v>0.9329221046192619</v>
      </c>
      <c r="AP286" t="n">
        <v>0.914704628977335</v>
      </c>
      <c r="AQ286" t="n">
        <v>0.895973831945608</v>
      </c>
      <c r="AR286" t="n">
        <v>0.876447369820111</v>
      </c>
      <c r="AS286" t="n">
        <v>0.855690677226679</v>
      </c>
      <c r="AT286" t="n">
        <v>0.833400327199711</v>
      </c>
      <c r="AU286" t="n">
        <v>0.810280667467396</v>
      </c>
      <c r="AV286" t="n">
        <v>0.787788215222939</v>
      </c>
      <c r="AW286" t="n">
        <v>0.767252701419943</v>
      </c>
      <c r="AX286" t="n">
        <v>0.749525118425906</v>
      </c>
      <c r="AY286" t="n">
        <v>0.734541434629171</v>
      </c>
      <c r="AZ286" t="n">
        <v>0.7214354381013161</v>
      </c>
      <c r="BA286" t="n">
        <v>0</v>
      </c>
      <c r="BB286" t="n">
        <v>0</v>
      </c>
      <c r="BC286" t="n">
        <v>0</v>
      </c>
      <c r="BD286" t="n">
        <v>0</v>
      </c>
      <c r="BE286" t="n">
        <v>0</v>
      </c>
      <c r="BF286" t="n">
        <v>0</v>
      </c>
      <c r="BG286" t="n">
        <v>0</v>
      </c>
      <c r="BH286" t="n">
        <v>0</v>
      </c>
      <c r="BJ286" t="inlineStr">
        <is>
          <t>Med2</t>
        </is>
      </c>
      <c r="BL286" t="n">
        <v>0.8</v>
      </c>
      <c r="BM286" t="n">
        <v>0.797560975609756</v>
      </c>
      <c r="BN286" t="n">
        <v>0.785365853658536</v>
      </c>
      <c r="BO286" t="n">
        <v>0.773170731707317</v>
      </c>
      <c r="BP286" t="n">
        <v>0.760975609756097</v>
      </c>
      <c r="BQ286" t="n">
        <v>0.748780487804878</v>
      </c>
      <c r="BR286" t="n">
        <v>0.736585365853658</v>
      </c>
      <c r="BS286" t="n">
        <v>0.724390243902439</v>
      </c>
      <c r="BT286" t="n">
        <v>0.71219512195122</v>
      </c>
      <c r="BU286" t="n">
        <v>0.699999999999999</v>
      </c>
      <c r="BV286" t="n">
        <v>0.687499999999999</v>
      </c>
      <c r="BW286" t="n">
        <v>0.675</v>
      </c>
      <c r="BX286" t="n">
        <v>0.6625</v>
      </c>
      <c r="BY286" t="n">
        <v>0.649999999999999</v>
      </c>
      <c r="BZ286" t="n">
        <v>0.637499999999999</v>
      </c>
      <c r="CA286" t="n">
        <v>0.625</v>
      </c>
      <c r="CB286" t="n">
        <v>0.6125</v>
      </c>
      <c r="CC286" t="n">
        <v>0.6</v>
      </c>
      <c r="CD286" t="e">
        <v>#VALUE!</v>
      </c>
      <c r="CE286" t="e">
        <v>#VALUE!</v>
      </c>
      <c r="CF286" t="e">
        <v>#VALUE!</v>
      </c>
      <c r="CG286" t="e">
        <v>#VALUE!</v>
      </c>
      <c r="CH286" t="e">
        <v>#VALUE!</v>
      </c>
      <c r="CI286" t="e">
        <v>#VALUE!</v>
      </c>
      <c r="CJ286" t="e">
        <v>#VALUE!</v>
      </c>
      <c r="CK286" t="e">
        <v>#VALUE!</v>
      </c>
    </row>
    <row r="287" ht="12.5" customHeight="1" s="213">
      <c r="A287" t="inlineStr">
        <is>
          <t>Poland</t>
        </is>
      </c>
      <c r="B287" t="inlineStr">
        <is>
          <t>Trd_bus</t>
        </is>
      </c>
      <c r="C287" t="inlineStr">
        <is>
          <t>Trd_bus</t>
        </is>
      </c>
      <c r="D287" t="n">
        <v>3.85</v>
      </c>
      <c r="E287" t="n">
        <v>3.85850554649706</v>
      </c>
      <c r="G287" t="n">
        <v>3.90035958978674</v>
      </c>
      <c r="H287" t="n">
        <v>3.83836223340668</v>
      </c>
      <c r="I287" t="n">
        <v>3.7749298662752</v>
      </c>
      <c r="J287" t="n">
        <v>3.71385547987907</v>
      </c>
      <c r="K287" t="n">
        <v>3.65608580259497</v>
      </c>
      <c r="L287" t="n">
        <v>3.60436898577178</v>
      </c>
      <c r="M287" t="n">
        <v>3.55180314444545</v>
      </c>
      <c r="N287" t="n">
        <v>3.49761863260693</v>
      </c>
      <c r="O287" t="n">
        <v>3.44067076486226</v>
      </c>
      <c r="P287" t="n">
        <v>3.38017193454976</v>
      </c>
      <c r="Q287" t="n">
        <v>3.31804893093601</v>
      </c>
      <c r="R287" t="n">
        <v>3.25818055559623</v>
      </c>
      <c r="S287" t="n">
        <v>3.20403641929097</v>
      </c>
      <c r="T287" t="n">
        <v>3.15776758453012</v>
      </c>
      <c r="U287" t="n">
        <v>3.11910252679017</v>
      </c>
      <c r="V287" t="n">
        <v>3.08571112505928</v>
      </c>
      <c r="W287" t="n">
        <v>3</v>
      </c>
      <c r="AG287" s="223" t="inlineStr">
        <is>
          <t>POP</t>
        </is>
      </c>
      <c r="AI287" t="n">
        <v>1</v>
      </c>
      <c r="AJ287" t="n">
        <v>1.0027699861502</v>
      </c>
      <c r="AK287" t="n">
        <v>1.0166199169012</v>
      </c>
      <c r="AL287" t="n">
        <v>0.9957196548537161</v>
      </c>
      <c r="AM287" t="n">
        <v>0.9740958903224231</v>
      </c>
      <c r="AN287" t="n">
        <v>0.9530485406004719</v>
      </c>
      <c r="AO287" t="n">
        <v>0.9329221046192619</v>
      </c>
      <c r="AP287" t="n">
        <v>0.914704628977335</v>
      </c>
      <c r="AQ287" t="n">
        <v>0.895973831945608</v>
      </c>
      <c r="AR287" t="n">
        <v>0.876447369820111</v>
      </c>
      <c r="AS287" t="n">
        <v>0.855690677226679</v>
      </c>
      <c r="AT287" t="n">
        <v>0.833400327199711</v>
      </c>
      <c r="AU287" t="n">
        <v>0.810280667467396</v>
      </c>
      <c r="AV287" t="n">
        <v>0.787788215222939</v>
      </c>
      <c r="AW287" t="n">
        <v>0.767252701419943</v>
      </c>
      <c r="AX287" t="n">
        <v>0.749525118425906</v>
      </c>
      <c r="AY287" t="n">
        <v>0.734541434629171</v>
      </c>
      <c r="AZ287" t="n">
        <v>0.7214354381013161</v>
      </c>
      <c r="BA287" t="n">
        <v>0</v>
      </c>
      <c r="BB287" t="n">
        <v>0</v>
      </c>
      <c r="BC287" t="n">
        <v>0</v>
      </c>
      <c r="BD287" t="n">
        <v>0</v>
      </c>
      <c r="BE287" t="n">
        <v>0</v>
      </c>
      <c r="BF287" t="n">
        <v>0</v>
      </c>
      <c r="BG287" t="n">
        <v>0</v>
      </c>
      <c r="BH287" t="n">
        <v>0</v>
      </c>
      <c r="BJ287" t="inlineStr">
        <is>
          <t>Med2</t>
        </is>
      </c>
      <c r="BL287" t="n">
        <v>0.8</v>
      </c>
      <c r="BM287" t="n">
        <v>0.797560975609756</v>
      </c>
      <c r="BN287" t="n">
        <v>0.785365853658536</v>
      </c>
      <c r="BO287" t="n">
        <v>0.773170731707317</v>
      </c>
      <c r="BP287" t="n">
        <v>0.760975609756097</v>
      </c>
      <c r="BQ287" t="n">
        <v>0.748780487804878</v>
      </c>
      <c r="BR287" t="n">
        <v>0.736585365853658</v>
      </c>
      <c r="BS287" t="n">
        <v>0.724390243902439</v>
      </c>
      <c r="BT287" t="n">
        <v>0.71219512195122</v>
      </c>
      <c r="BU287" t="n">
        <v>0.699999999999999</v>
      </c>
      <c r="BV287" t="n">
        <v>0.687499999999999</v>
      </c>
      <c r="BW287" t="n">
        <v>0.675</v>
      </c>
      <c r="BX287" t="n">
        <v>0.6625</v>
      </c>
      <c r="BY287" t="n">
        <v>0.649999999999999</v>
      </c>
      <c r="BZ287" t="n">
        <v>0.637499999999999</v>
      </c>
      <c r="CA287" t="n">
        <v>0.625</v>
      </c>
      <c r="CB287" t="n">
        <v>0.6125</v>
      </c>
      <c r="CC287" t="n">
        <v>0.6</v>
      </c>
      <c r="CD287" t="e">
        <v>#VALUE!</v>
      </c>
      <c r="CE287" t="e">
        <v>#VALUE!</v>
      </c>
      <c r="CF287" t="e">
        <v>#VALUE!</v>
      </c>
      <c r="CG287" t="e">
        <v>#VALUE!</v>
      </c>
      <c r="CH287" t="e">
        <v>#VALUE!</v>
      </c>
      <c r="CI287" t="e">
        <v>#VALUE!</v>
      </c>
      <c r="CJ287" t="e">
        <v>#VALUE!</v>
      </c>
      <c r="CK287" t="e">
        <v>#VALUE!</v>
      </c>
    </row>
    <row r="288" ht="12.5" customHeight="1" s="213">
      <c r="A288" t="inlineStr">
        <is>
          <t>Poland</t>
        </is>
      </c>
      <c r="B288" t="inlineStr">
        <is>
          <t>Trd_car</t>
        </is>
      </c>
      <c r="C288" t="inlineStr">
        <is>
          <t>Trd_car</t>
        </is>
      </c>
      <c r="D288" t="n">
        <v>170.28</v>
      </c>
      <c r="E288" t="n">
        <v>174.051512552681</v>
      </c>
      <c r="G288" t="n">
        <v>198.554531951465</v>
      </c>
      <c r="H288" t="n">
        <v>229.174932368978</v>
      </c>
      <c r="I288" t="n">
        <v>253.617215826135</v>
      </c>
      <c r="J288" t="n">
        <v>274.400356233659</v>
      </c>
      <c r="K288" t="n">
        <v>289.62487468192</v>
      </c>
      <c r="L288" t="n">
        <v>302.126844565749</v>
      </c>
      <c r="M288" t="n">
        <v>313.125997788353</v>
      </c>
      <c r="N288" t="n">
        <v>323.683425203372</v>
      </c>
      <c r="O288" t="n">
        <v>334.042794406226</v>
      </c>
      <c r="P288" t="n">
        <v>343.635928345194</v>
      </c>
      <c r="Q288" t="n">
        <v>352.108117448637</v>
      </c>
      <c r="R288" t="n">
        <v>359.412393909531</v>
      </c>
      <c r="S288" t="n">
        <v>365.913955418781</v>
      </c>
      <c r="T288" t="n">
        <v>372.014505869673</v>
      </c>
      <c r="U288" t="n">
        <v>377.910674738123</v>
      </c>
      <c r="V288" t="n">
        <v>383.49575990878</v>
      </c>
      <c r="W288" t="n">
        <v>3</v>
      </c>
      <c r="AG288" s="223" t="inlineStr">
        <is>
          <t>GDPPCAP</t>
        </is>
      </c>
      <c r="AI288" t="n">
        <v>1</v>
      </c>
      <c r="AJ288" t="n">
        <v>1.02777077629648</v>
      </c>
      <c r="AK288" t="n">
        <v>1.21200319418545</v>
      </c>
      <c r="AL288" t="n">
        <v>1.45374926291748</v>
      </c>
      <c r="AM288" t="n">
        <v>1.65749730059452</v>
      </c>
      <c r="AN288" t="n">
        <v>1.8388945728265</v>
      </c>
      <c r="AO288" t="n">
        <v>1.97740824360717</v>
      </c>
      <c r="AP288" t="n">
        <v>2.09524108146777</v>
      </c>
      <c r="AQ288" t="n">
        <v>2.20234489709734</v>
      </c>
      <c r="AR288" t="n">
        <v>2.30842312830763</v>
      </c>
      <c r="AS288" t="n">
        <v>2.41588528805111</v>
      </c>
      <c r="AT288" t="n">
        <v>2.51867057113261</v>
      </c>
      <c r="AU288" t="n">
        <v>2.61240142243683</v>
      </c>
      <c r="AV288" t="n">
        <v>2.69577486227936</v>
      </c>
      <c r="AW288" t="n">
        <v>2.77226898295184</v>
      </c>
      <c r="AX288" t="n">
        <v>2.84622021238592</v>
      </c>
      <c r="AY288" t="n">
        <v>2.91987016033693</v>
      </c>
      <c r="AZ288" t="n">
        <v>2.99179069880828</v>
      </c>
      <c r="BA288" t="n">
        <v>0</v>
      </c>
      <c r="BB288" t="n">
        <v>0</v>
      </c>
      <c r="BC288" t="n">
        <v>0</v>
      </c>
      <c r="BD288" t="n">
        <v>0</v>
      </c>
      <c r="BE288" t="n">
        <v>0</v>
      </c>
      <c r="BF288" t="n">
        <v>0</v>
      </c>
      <c r="BG288" t="n">
        <v>0</v>
      </c>
      <c r="BH288" t="n">
        <v>0</v>
      </c>
      <c r="BJ288" t="inlineStr">
        <is>
          <t>Med2</t>
        </is>
      </c>
      <c r="BL288" t="n">
        <v>0.8</v>
      </c>
      <c r="BM288" t="n">
        <v>0.797560975609756</v>
      </c>
      <c r="BN288" t="n">
        <v>0.785365853658536</v>
      </c>
      <c r="BO288" t="n">
        <v>0.773170731707317</v>
      </c>
      <c r="BP288" t="n">
        <v>0.760975609756097</v>
      </c>
      <c r="BQ288" t="n">
        <v>0.748780487804878</v>
      </c>
      <c r="BR288" t="n">
        <v>0.736585365853658</v>
      </c>
      <c r="BS288" t="n">
        <v>0.724390243902439</v>
      </c>
      <c r="BT288" t="n">
        <v>0.71219512195122</v>
      </c>
      <c r="BU288" t="n">
        <v>0.699999999999999</v>
      </c>
      <c r="BV288" t="n">
        <v>0.687499999999999</v>
      </c>
      <c r="BW288" t="n">
        <v>0.675</v>
      </c>
      <c r="BX288" t="n">
        <v>0.6625</v>
      </c>
      <c r="BY288" t="n">
        <v>0.649999999999999</v>
      </c>
      <c r="BZ288" t="n">
        <v>0.637499999999999</v>
      </c>
      <c r="CA288" t="n">
        <v>0.625</v>
      </c>
      <c r="CB288" t="n">
        <v>0.6125</v>
      </c>
      <c r="CC288" t="n">
        <v>0.6</v>
      </c>
      <c r="CD288" t="e">
        <v>#VALUE!</v>
      </c>
      <c r="CE288" t="e">
        <v>#VALUE!</v>
      </c>
      <c r="CF288" t="e">
        <v>#VALUE!</v>
      </c>
      <c r="CG288" t="e">
        <v>#VALUE!</v>
      </c>
      <c r="CH288" t="e">
        <v>#VALUE!</v>
      </c>
      <c r="CI288" t="e">
        <v>#VALUE!</v>
      </c>
      <c r="CJ288" t="e">
        <v>#VALUE!</v>
      </c>
      <c r="CK288" t="e">
        <v>#VALUE!</v>
      </c>
    </row>
    <row r="289" ht="12.5" customHeight="1" s="213">
      <c r="A289" t="inlineStr">
        <is>
          <t>Poland</t>
        </is>
      </c>
      <c r="B289" t="inlineStr">
        <is>
          <t>Trd_hdt</t>
        </is>
      </c>
      <c r="C289" t="inlineStr">
        <is>
          <t>Trd_hdt</t>
        </is>
      </c>
      <c r="D289" t="n">
        <v>53.6</v>
      </c>
      <c r="E289" t="n">
        <v>54.9088837208694</v>
      </c>
      <c r="G289" t="n">
        <v>63.341345308272</v>
      </c>
      <c r="H289" t="n">
        <v>71.90197952380259</v>
      </c>
      <c r="I289" t="n">
        <v>78.2157882903245</v>
      </c>
      <c r="J289" t="n">
        <v>83.22138803162019</v>
      </c>
      <c r="K289" t="n">
        <v>86.4467166289829</v>
      </c>
      <c r="L289" t="n">
        <v>88.8825909463872</v>
      </c>
      <c r="M289" t="n">
        <v>90.7559094764127</v>
      </c>
      <c r="N289" t="n">
        <v>92.36464299303159</v>
      </c>
      <c r="O289" t="n">
        <v>93.74685932131661</v>
      </c>
      <c r="P289" t="n">
        <v>94.7205835411135</v>
      </c>
      <c r="Q289" t="n">
        <v>95.2502560268226</v>
      </c>
      <c r="R289" t="n">
        <v>95.45269388749951</v>
      </c>
      <c r="S289" t="n">
        <v>95.5481438661585</v>
      </c>
      <c r="T289" t="n">
        <v>95.72453352103921</v>
      </c>
      <c r="U289" t="n">
        <v>96.0392785180829</v>
      </c>
      <c r="V289" t="n">
        <v>96.40516010208469</v>
      </c>
      <c r="W289" t="n">
        <v>3</v>
      </c>
      <c r="AG289" s="223" t="inlineStr">
        <is>
          <t>GDP</t>
        </is>
      </c>
      <c r="AI289" t="n">
        <v>1</v>
      </c>
      <c r="AJ289" t="n">
        <v>1.0306176871124</v>
      </c>
      <c r="AK289" t="n">
        <v>1.2321465865568</v>
      </c>
      <c r="AL289" t="n">
        <v>1.44752671431604</v>
      </c>
      <c r="AM289" t="n">
        <v>1.61456130872964</v>
      </c>
      <c r="AN289" t="n">
        <v>1.75255578895043</v>
      </c>
      <c r="AO289" t="n">
        <v>1.84476786031748</v>
      </c>
      <c r="AP289" t="n">
        <v>1.91652671604205</v>
      </c>
      <c r="AQ289" t="n">
        <v>1.97324339671817</v>
      </c>
      <c r="AR289" t="n">
        <v>2.02321137923714</v>
      </c>
      <c r="AS289" t="n">
        <v>2.06725051823443</v>
      </c>
      <c r="AT289" t="n">
        <v>2.0990608780902</v>
      </c>
      <c r="AU289" t="n">
        <v>2.11677836826489</v>
      </c>
      <c r="AV289" t="n">
        <v>2.12369966739792</v>
      </c>
      <c r="AW289" t="n">
        <v>2.12703086623252</v>
      </c>
      <c r="AX289" t="n">
        <v>2.13331354175477</v>
      </c>
      <c r="AY289" t="n">
        <v>2.1447656165048</v>
      </c>
      <c r="AZ289" t="n">
        <v>2.15838383350219</v>
      </c>
      <c r="BA289" t="n">
        <v>0</v>
      </c>
      <c r="BB289" t="n">
        <v>0</v>
      </c>
      <c r="BC289" t="n">
        <v>0</v>
      </c>
      <c r="BD289" t="n">
        <v>0</v>
      </c>
      <c r="BE289" t="n">
        <v>0</v>
      </c>
      <c r="BF289" t="n">
        <v>0</v>
      </c>
      <c r="BG289" t="n">
        <v>0</v>
      </c>
      <c r="BH289" t="n">
        <v>0</v>
      </c>
      <c r="BJ289" t="inlineStr">
        <is>
          <t>Med2</t>
        </is>
      </c>
      <c r="BL289" t="n">
        <v>0.8</v>
      </c>
      <c r="BM289" t="n">
        <v>0.797560975609756</v>
      </c>
      <c r="BN289" t="n">
        <v>0.785365853658536</v>
      </c>
      <c r="BO289" t="n">
        <v>0.773170731707317</v>
      </c>
      <c r="BP289" t="n">
        <v>0.760975609756097</v>
      </c>
      <c r="BQ289" t="n">
        <v>0.748780487804878</v>
      </c>
      <c r="BR289" t="n">
        <v>0.736585365853658</v>
      </c>
      <c r="BS289" t="n">
        <v>0.724390243902439</v>
      </c>
      <c r="BT289" t="n">
        <v>0.71219512195122</v>
      </c>
      <c r="BU289" t="n">
        <v>0.699999999999999</v>
      </c>
      <c r="BV289" t="n">
        <v>0.687499999999999</v>
      </c>
      <c r="BW289" t="n">
        <v>0.675</v>
      </c>
      <c r="BX289" t="n">
        <v>0.6625</v>
      </c>
      <c r="BY289" t="n">
        <v>0.649999999999999</v>
      </c>
      <c r="BZ289" t="n">
        <v>0.637499999999999</v>
      </c>
      <c r="CA289" t="n">
        <v>0.625</v>
      </c>
      <c r="CB289" t="n">
        <v>0.6125</v>
      </c>
      <c r="CC289" t="n">
        <v>0.6</v>
      </c>
      <c r="CD289" t="e">
        <v>#VALUE!</v>
      </c>
      <c r="CE289" t="e">
        <v>#VALUE!</v>
      </c>
      <c r="CF289" t="e">
        <v>#VALUE!</v>
      </c>
      <c r="CG289" t="e">
        <v>#VALUE!</v>
      </c>
      <c r="CH289" t="e">
        <v>#VALUE!</v>
      </c>
      <c r="CI289" t="e">
        <v>#VALUE!</v>
      </c>
      <c r="CJ289" t="e">
        <v>#VALUE!</v>
      </c>
      <c r="CK289" t="e">
        <v>#VALUE!</v>
      </c>
    </row>
    <row r="290" ht="12.5" customHeight="1" s="213">
      <c r="A290" t="inlineStr">
        <is>
          <t>Poland</t>
        </is>
      </c>
      <c r="B290" t="inlineStr">
        <is>
          <t>Trd_lcv</t>
        </is>
      </c>
      <c r="C290" t="inlineStr">
        <is>
          <t>Trd_lcv</t>
        </is>
      </c>
      <c r="D290" t="n">
        <v>49.12</v>
      </c>
      <c r="E290" t="n">
        <v>50.3194844844982</v>
      </c>
      <c r="G290" t="n">
        <v>58.0471433123567</v>
      </c>
      <c r="H290" t="n">
        <v>65.8922618322609</v>
      </c>
      <c r="I290" t="n">
        <v>71.67834926904369</v>
      </c>
      <c r="J290" t="n">
        <v>76.26557052449969</v>
      </c>
      <c r="K290" t="n">
        <v>79.2213194182022</v>
      </c>
      <c r="L290" t="n">
        <v>81.4535982702712</v>
      </c>
      <c r="M290" t="n">
        <v>83.1703409231603</v>
      </c>
      <c r="N290" t="n">
        <v>84.6446131309275</v>
      </c>
      <c r="O290" t="n">
        <v>85.9113009302812</v>
      </c>
      <c r="P290" t="n">
        <v>86.80363924513981</v>
      </c>
      <c r="Q290" t="n">
        <v>87.289040597715</v>
      </c>
      <c r="R290" t="n">
        <v>87.47455827899201</v>
      </c>
      <c r="S290" t="n">
        <v>87.56203034898699</v>
      </c>
      <c r="T290" t="n">
        <v>87.7236769879374</v>
      </c>
      <c r="U290" t="n">
        <v>88.01211494045209</v>
      </c>
      <c r="V290" t="n">
        <v>88.3474153771343</v>
      </c>
      <c r="W290" t="n">
        <v>3</v>
      </c>
      <c r="AG290" s="223" t="inlineStr">
        <is>
          <t>GDP</t>
        </is>
      </c>
      <c r="AI290" t="n">
        <v>1</v>
      </c>
      <c r="AJ290" t="n">
        <v>1.0306176871124</v>
      </c>
      <c r="AK290" t="n">
        <v>1.2321465865568</v>
      </c>
      <c r="AL290" t="n">
        <v>1.44752671431604</v>
      </c>
      <c r="AM290" t="n">
        <v>1.61456130872964</v>
      </c>
      <c r="AN290" t="n">
        <v>1.75255578895043</v>
      </c>
      <c r="AO290" t="n">
        <v>1.84476786031748</v>
      </c>
      <c r="AP290" t="n">
        <v>1.91652671604205</v>
      </c>
      <c r="AQ290" t="n">
        <v>1.97324339671817</v>
      </c>
      <c r="AR290" t="n">
        <v>2.02321137923714</v>
      </c>
      <c r="AS290" t="n">
        <v>2.06725051823443</v>
      </c>
      <c r="AT290" t="n">
        <v>2.0990608780902</v>
      </c>
      <c r="AU290" t="n">
        <v>2.11677836826489</v>
      </c>
      <c r="AV290" t="n">
        <v>2.12369966739792</v>
      </c>
      <c r="AW290" t="n">
        <v>2.12703086623252</v>
      </c>
      <c r="AX290" t="n">
        <v>2.13331354175477</v>
      </c>
      <c r="AY290" t="n">
        <v>2.1447656165048</v>
      </c>
      <c r="AZ290" t="n">
        <v>2.15838383350219</v>
      </c>
      <c r="BA290" t="n">
        <v>0</v>
      </c>
      <c r="BB290" t="n">
        <v>0</v>
      </c>
      <c r="BC290" t="n">
        <v>0</v>
      </c>
      <c r="BD290" t="n">
        <v>0</v>
      </c>
      <c r="BE290" t="n">
        <v>0</v>
      </c>
      <c r="BF290" t="n">
        <v>0</v>
      </c>
      <c r="BG290" t="n">
        <v>0</v>
      </c>
      <c r="BH290" t="n">
        <v>0</v>
      </c>
      <c r="BJ290" t="inlineStr">
        <is>
          <t>Med2</t>
        </is>
      </c>
      <c r="BL290" t="n">
        <v>0.8</v>
      </c>
      <c r="BM290" t="n">
        <v>0.797560975609756</v>
      </c>
      <c r="BN290" t="n">
        <v>0.785365853658536</v>
      </c>
      <c r="BO290" t="n">
        <v>0.773170731707317</v>
      </c>
      <c r="BP290" t="n">
        <v>0.760975609756097</v>
      </c>
      <c r="BQ290" t="n">
        <v>0.748780487804878</v>
      </c>
      <c r="BR290" t="n">
        <v>0.736585365853658</v>
      </c>
      <c r="BS290" t="n">
        <v>0.724390243902439</v>
      </c>
      <c r="BT290" t="n">
        <v>0.71219512195122</v>
      </c>
      <c r="BU290" t="n">
        <v>0.699999999999999</v>
      </c>
      <c r="BV290" t="n">
        <v>0.687499999999999</v>
      </c>
      <c r="BW290" t="n">
        <v>0.675</v>
      </c>
      <c r="BX290" t="n">
        <v>0.6625</v>
      </c>
      <c r="BY290" t="n">
        <v>0.649999999999999</v>
      </c>
      <c r="BZ290" t="n">
        <v>0.637499999999999</v>
      </c>
      <c r="CA290" t="n">
        <v>0.625</v>
      </c>
      <c r="CB290" t="n">
        <v>0.6125</v>
      </c>
      <c r="CC290" t="n">
        <v>0.6</v>
      </c>
      <c r="CD290" t="e">
        <v>#VALUE!</v>
      </c>
      <c r="CE290" t="e">
        <v>#VALUE!</v>
      </c>
      <c r="CF290" t="e">
        <v>#VALUE!</v>
      </c>
      <c r="CG290" t="e">
        <v>#VALUE!</v>
      </c>
      <c r="CH290" t="e">
        <v>#VALUE!</v>
      </c>
      <c r="CI290" t="e">
        <v>#VALUE!</v>
      </c>
      <c r="CJ290" t="e">
        <v>#VALUE!</v>
      </c>
      <c r="CK290" t="e">
        <v>#VALUE!</v>
      </c>
    </row>
    <row r="291" ht="12.5" customHeight="1" s="213">
      <c r="A291" t="inlineStr">
        <is>
          <t>ROW</t>
        </is>
      </c>
      <c r="B291" t="inlineStr">
        <is>
          <t>TAD</t>
        </is>
      </c>
      <c r="C291" t="inlineStr">
        <is>
          <t>TAD</t>
        </is>
      </c>
      <c r="E291" t="n">
        <v>375.856107261349</v>
      </c>
      <c r="F291">
        <f>E291</f>
        <v/>
      </c>
      <c r="I291">
        <f>F291</f>
        <v/>
      </c>
      <c r="J291">
        <f>I291</f>
        <v/>
      </c>
      <c r="L291">
        <f>J291</f>
        <v/>
      </c>
      <c r="V291">
        <f>L291</f>
        <v/>
      </c>
      <c r="W291" t="n">
        <v>3</v>
      </c>
      <c r="AG291" s="223" t="inlineStr">
        <is>
          <t>GDP</t>
        </is>
      </c>
      <c r="AI291" t="n">
        <v>1</v>
      </c>
      <c r="AJ291" t="n">
        <v>1.03220997614691</v>
      </c>
      <c r="AK291" t="n">
        <v>1.26026807229982</v>
      </c>
      <c r="AL291" t="n">
        <v>1.54611479417579</v>
      </c>
      <c r="AM291" t="n">
        <v>1.84642452510153</v>
      </c>
      <c r="AN291" t="n">
        <v>2.14605136752268</v>
      </c>
      <c r="AO291" t="n">
        <v>2.45218229566993</v>
      </c>
      <c r="AP291" t="n">
        <v>2.77010382709687</v>
      </c>
      <c r="AQ291" t="n">
        <v>3.10856945656694</v>
      </c>
      <c r="AR291" t="n">
        <v>3.47209926004162</v>
      </c>
      <c r="AS291" t="n">
        <v>3.86455766759287</v>
      </c>
      <c r="AT291" t="n">
        <v>4.27757178038053</v>
      </c>
      <c r="AU291" t="n">
        <v>4.70890116948649</v>
      </c>
      <c r="AV291" t="n">
        <v>5.15278382000685</v>
      </c>
      <c r="AW291" t="n">
        <v>5.608696692622</v>
      </c>
      <c r="AX291" t="n">
        <v>6.0784253017179</v>
      </c>
      <c r="AY291" t="n">
        <v>6.56283402216059</v>
      </c>
      <c r="AZ291" t="n">
        <v>7.06269998470226</v>
      </c>
      <c r="BA291" t="n">
        <v>0</v>
      </c>
      <c r="BB291" t="n">
        <v>0</v>
      </c>
      <c r="BC291" t="n">
        <v>0</v>
      </c>
      <c r="BD291" t="n">
        <v>0</v>
      </c>
      <c r="BE291" t="n">
        <v>0</v>
      </c>
      <c r="BF291" t="n">
        <v>0</v>
      </c>
      <c r="BG291" t="n">
        <v>0</v>
      </c>
      <c r="BH291" t="n">
        <v>0</v>
      </c>
      <c r="BJ291" t="inlineStr">
        <is>
          <t>High2</t>
        </is>
      </c>
      <c r="BL291" t="n">
        <v>1</v>
      </c>
      <c r="BM291" t="n">
        <v>0.997560975609757</v>
      </c>
      <c r="BN291" t="n">
        <v>0.985365853658537</v>
      </c>
      <c r="BO291" t="n">
        <v>0.973170731707317</v>
      </c>
      <c r="BP291" t="n">
        <v>0.960975609756098</v>
      </c>
      <c r="BQ291" t="n">
        <v>0.948780487804878</v>
      </c>
      <c r="BR291" t="n">
        <v>0.936585365853658</v>
      </c>
      <c r="BS291" t="n">
        <v>0.924390243902439</v>
      </c>
      <c r="BT291" t="n">
        <v>0.91219512195122</v>
      </c>
      <c r="BU291" t="n">
        <v>0.9</v>
      </c>
      <c r="BV291" t="n">
        <v>0.8875</v>
      </c>
      <c r="BW291" t="n">
        <v>0.875000000000001</v>
      </c>
      <c r="BX291" t="n">
        <v>0.862500000000001</v>
      </c>
      <c r="BY291" t="n">
        <v>0.850000000000001</v>
      </c>
      <c r="BZ291" t="n">
        <v>0.8375</v>
      </c>
      <c r="CA291" t="n">
        <v>0.825000000000001</v>
      </c>
      <c r="CB291" t="n">
        <v>0.812500000000001</v>
      </c>
      <c r="CC291" t="n">
        <v>0.800000000000001</v>
      </c>
      <c r="CD291" t="e">
        <v>#VALUE!</v>
      </c>
      <c r="CE291" t="e">
        <v>#VALUE!</v>
      </c>
      <c r="CF291" t="e">
        <v>#VALUE!</v>
      </c>
      <c r="CG291" t="e">
        <v>#VALUE!</v>
      </c>
      <c r="CH291" t="e">
        <v>#VALUE!</v>
      </c>
      <c r="CI291" t="e">
        <v>#VALUE!</v>
      </c>
      <c r="CJ291" t="e">
        <v>#VALUE!</v>
      </c>
      <c r="CK291" t="e">
        <v>#VALUE!</v>
      </c>
    </row>
    <row r="292" ht="12.5" customHeight="1" s="213">
      <c r="A292" t="inlineStr">
        <is>
          <t>ROW</t>
        </is>
      </c>
      <c r="B292" t="inlineStr">
        <is>
          <t>TAI</t>
        </is>
      </c>
      <c r="C292" t="inlineStr">
        <is>
          <t>TAI</t>
        </is>
      </c>
      <c r="E292" t="n">
        <v>1793.42387251125</v>
      </c>
      <c r="F292">
        <f>E292</f>
        <v/>
      </c>
      <c r="I292">
        <f>F292</f>
        <v/>
      </c>
      <c r="J292">
        <f>I292</f>
        <v/>
      </c>
      <c r="L292">
        <f>J292</f>
        <v/>
      </c>
      <c r="V292">
        <f>L292</f>
        <v/>
      </c>
      <c r="W292" t="n">
        <v>3</v>
      </c>
      <c r="AG292" s="223" t="inlineStr">
        <is>
          <t>GDP</t>
        </is>
      </c>
      <c r="AI292" t="n">
        <v>1</v>
      </c>
      <c r="AJ292" t="n">
        <v>1.03220997614691</v>
      </c>
      <c r="AK292" t="n">
        <v>1.26026807229982</v>
      </c>
      <c r="AL292" t="n">
        <v>1.54611479417579</v>
      </c>
      <c r="AM292" t="n">
        <v>1.84642452510153</v>
      </c>
      <c r="AN292" t="n">
        <v>2.14605136752268</v>
      </c>
      <c r="AO292" t="n">
        <v>2.45218229566993</v>
      </c>
      <c r="AP292" t="n">
        <v>2.77010382709687</v>
      </c>
      <c r="AQ292" t="n">
        <v>3.10856945656694</v>
      </c>
      <c r="AR292" t="n">
        <v>3.47209926004162</v>
      </c>
      <c r="AS292" t="n">
        <v>3.86455766759287</v>
      </c>
      <c r="AT292" t="n">
        <v>4.27757178038053</v>
      </c>
      <c r="AU292" t="n">
        <v>4.70890116948649</v>
      </c>
      <c r="AV292" t="n">
        <v>5.15278382000685</v>
      </c>
      <c r="AW292" t="n">
        <v>5.608696692622</v>
      </c>
      <c r="AX292" t="n">
        <v>6.0784253017179</v>
      </c>
      <c r="AY292" t="n">
        <v>6.56283402216059</v>
      </c>
      <c r="AZ292" t="n">
        <v>7.06269998470226</v>
      </c>
      <c r="BA292" t="n">
        <v>0</v>
      </c>
      <c r="BB292" t="n">
        <v>0</v>
      </c>
      <c r="BC292" t="n">
        <v>0</v>
      </c>
      <c r="BD292" t="n">
        <v>0</v>
      </c>
      <c r="BE292" t="n">
        <v>0</v>
      </c>
      <c r="BF292" t="n">
        <v>0</v>
      </c>
      <c r="BG292" t="n">
        <v>0</v>
      </c>
      <c r="BH292" t="n">
        <v>0</v>
      </c>
      <c r="BJ292" t="inlineStr">
        <is>
          <t>High2</t>
        </is>
      </c>
      <c r="BL292" t="n">
        <v>1</v>
      </c>
      <c r="BM292" t="n">
        <v>0.997560975609757</v>
      </c>
      <c r="BN292" t="n">
        <v>0.985365853658537</v>
      </c>
      <c r="BO292" t="n">
        <v>0.973170731707317</v>
      </c>
      <c r="BP292" t="n">
        <v>0.960975609756098</v>
      </c>
      <c r="BQ292" t="n">
        <v>0.948780487804878</v>
      </c>
      <c r="BR292" t="n">
        <v>0.936585365853658</v>
      </c>
      <c r="BS292" t="n">
        <v>0.924390243902439</v>
      </c>
      <c r="BT292" t="n">
        <v>0.91219512195122</v>
      </c>
      <c r="BU292" t="n">
        <v>0.9</v>
      </c>
      <c r="BV292" t="n">
        <v>0.8875</v>
      </c>
      <c r="BW292" t="n">
        <v>0.875000000000001</v>
      </c>
      <c r="BX292" t="n">
        <v>0.862500000000001</v>
      </c>
      <c r="BY292" t="n">
        <v>0.850000000000001</v>
      </c>
      <c r="BZ292" t="n">
        <v>0.8375</v>
      </c>
      <c r="CA292" t="n">
        <v>0.825000000000001</v>
      </c>
      <c r="CB292" t="n">
        <v>0.812500000000001</v>
      </c>
      <c r="CC292" t="n">
        <v>0.800000000000001</v>
      </c>
      <c r="CD292" t="e">
        <v>#VALUE!</v>
      </c>
      <c r="CE292" t="e">
        <v>#VALUE!</v>
      </c>
      <c r="CF292" t="e">
        <v>#VALUE!</v>
      </c>
      <c r="CG292" t="e">
        <v>#VALUE!</v>
      </c>
      <c r="CH292" t="e">
        <v>#VALUE!</v>
      </c>
      <c r="CI292" t="e">
        <v>#VALUE!</v>
      </c>
      <c r="CJ292" t="e">
        <v>#VALUE!</v>
      </c>
      <c r="CK292" t="e">
        <v>#VALUE!</v>
      </c>
    </row>
    <row r="293" ht="12.5" customHeight="1" s="213">
      <c r="A293" t="inlineStr">
        <is>
          <t>ROW</t>
        </is>
      </c>
      <c r="B293" t="inlineStr">
        <is>
          <t>TTF</t>
        </is>
      </c>
      <c r="C293" t="inlineStr">
        <is>
          <t>TTF</t>
        </is>
      </c>
      <c r="E293" t="n">
        <v>68.14809880968549</v>
      </c>
      <c r="I293" t="n">
        <v>120.210053388916</v>
      </c>
      <c r="J293" t="n">
        <v>138.717891505017</v>
      </c>
      <c r="L293" t="n">
        <v>176.096796523436</v>
      </c>
      <c r="V293" t="n">
        <v>396.400729239108</v>
      </c>
      <c r="W293" t="n">
        <v>3</v>
      </c>
      <c r="AG293" s="223" t="inlineStr">
        <is>
          <t>GDP</t>
        </is>
      </c>
      <c r="AI293" t="n">
        <v>1</v>
      </c>
      <c r="AJ293" t="n">
        <v>1.03220997614691</v>
      </c>
      <c r="AK293" t="n">
        <v>1.26026807229982</v>
      </c>
      <c r="AL293" t="n">
        <v>1.54611479417579</v>
      </c>
      <c r="AM293" t="n">
        <v>1.84642452510153</v>
      </c>
      <c r="AN293" t="n">
        <v>2.14605136752268</v>
      </c>
      <c r="AO293" t="n">
        <v>2.45218229566993</v>
      </c>
      <c r="AP293" t="n">
        <v>2.77010382709687</v>
      </c>
      <c r="AQ293" t="n">
        <v>3.10856945656694</v>
      </c>
      <c r="AR293" t="n">
        <v>3.47209926004162</v>
      </c>
      <c r="AS293" t="n">
        <v>3.86455766759287</v>
      </c>
      <c r="AT293" t="n">
        <v>4.27757178038053</v>
      </c>
      <c r="AU293" t="n">
        <v>4.70890116948649</v>
      </c>
      <c r="AV293" t="n">
        <v>5.15278382000685</v>
      </c>
      <c r="AW293" t="n">
        <v>5.608696692622</v>
      </c>
      <c r="AX293" t="n">
        <v>6.0784253017179</v>
      </c>
      <c r="AY293" t="n">
        <v>6.56283402216059</v>
      </c>
      <c r="AZ293" t="n">
        <v>7.06269998470226</v>
      </c>
      <c r="BA293" t="n">
        <v>0</v>
      </c>
      <c r="BB293" t="n">
        <v>0</v>
      </c>
      <c r="BC293" t="n">
        <v>0</v>
      </c>
      <c r="BD293" t="n">
        <v>0</v>
      </c>
      <c r="BE293" t="n">
        <v>0</v>
      </c>
      <c r="BF293" t="n">
        <v>0</v>
      </c>
      <c r="BG293" t="n">
        <v>0</v>
      </c>
      <c r="BH293" t="n">
        <v>0</v>
      </c>
      <c r="BJ293" t="inlineStr">
        <is>
          <t>High2</t>
        </is>
      </c>
      <c r="BL293" t="n">
        <v>1</v>
      </c>
      <c r="BM293" t="n">
        <v>0.997560975609757</v>
      </c>
      <c r="BN293" t="n">
        <v>0.985365853658537</v>
      </c>
      <c r="BO293" t="n">
        <v>0.973170731707317</v>
      </c>
      <c r="BP293" t="n">
        <v>0.960975609756098</v>
      </c>
      <c r="BQ293" t="n">
        <v>0.948780487804878</v>
      </c>
      <c r="BR293" t="n">
        <v>0.936585365853658</v>
      </c>
      <c r="BS293" t="n">
        <v>0.924390243902439</v>
      </c>
      <c r="BT293" t="n">
        <v>0.91219512195122</v>
      </c>
      <c r="BU293" t="n">
        <v>0.9</v>
      </c>
      <c r="BV293" t="n">
        <v>0.8875</v>
      </c>
      <c r="BW293" t="n">
        <v>0.875000000000001</v>
      </c>
      <c r="BX293" t="n">
        <v>0.862500000000001</v>
      </c>
      <c r="BY293" t="n">
        <v>0.850000000000001</v>
      </c>
      <c r="BZ293" t="n">
        <v>0.8375</v>
      </c>
      <c r="CA293" t="n">
        <v>0.825000000000001</v>
      </c>
      <c r="CB293" t="n">
        <v>0.812500000000001</v>
      </c>
      <c r="CC293" t="n">
        <v>0.800000000000001</v>
      </c>
      <c r="CD293" t="e">
        <v>#VALUE!</v>
      </c>
      <c r="CE293" t="e">
        <v>#VALUE!</v>
      </c>
      <c r="CF293" t="e">
        <v>#VALUE!</v>
      </c>
      <c r="CG293" t="e">
        <v>#VALUE!</v>
      </c>
      <c r="CH293" t="e">
        <v>#VALUE!</v>
      </c>
      <c r="CI293" t="e">
        <v>#VALUE!</v>
      </c>
      <c r="CJ293" t="e">
        <v>#VALUE!</v>
      </c>
      <c r="CK293" t="e">
        <v>#VALUE!</v>
      </c>
    </row>
    <row r="294" ht="12.5" customHeight="1" s="213">
      <c r="A294" t="inlineStr">
        <is>
          <t>ROW</t>
        </is>
      </c>
      <c r="B294" t="inlineStr">
        <is>
          <t>TTP</t>
        </is>
      </c>
      <c r="C294" t="inlineStr">
        <is>
          <t>TTP</t>
        </is>
      </c>
      <c r="E294" t="n">
        <v>65.0197081639144</v>
      </c>
      <c r="I294" t="n">
        <v>74.87898790381119</v>
      </c>
      <c r="J294" t="n">
        <v>77.4311006071278</v>
      </c>
      <c r="L294" t="n">
        <v>81.3506404193642</v>
      </c>
      <c r="V294" t="n">
        <v>82.103251456904</v>
      </c>
      <c r="W294" t="n">
        <v>3</v>
      </c>
      <c r="AG294" s="223" t="inlineStr">
        <is>
          <t>POP</t>
        </is>
      </c>
      <c r="AI294" t="n">
        <v>1</v>
      </c>
      <c r="AJ294" t="n">
        <v>1.01120580946577</v>
      </c>
      <c r="AK294" t="n">
        <v>1.06723469593436</v>
      </c>
      <c r="AL294" t="n">
        <v>1.12077400885434</v>
      </c>
      <c r="AM294" t="n">
        <v>1.16880561792711</v>
      </c>
      <c r="AN294" t="n">
        <v>1.21079277109316</v>
      </c>
      <c r="AO294" t="n">
        <v>1.24665934313804</v>
      </c>
      <c r="AP294" t="n">
        <v>1.27667750658545</v>
      </c>
      <c r="AQ294" t="n">
        <v>1.30041368864225</v>
      </c>
      <c r="AR294" t="n">
        <v>1.31787828653574</v>
      </c>
      <c r="AS294" t="n">
        <v>1.32946897206222</v>
      </c>
      <c r="AT294" t="n">
        <v>1.33574873226726</v>
      </c>
      <c r="AU294" t="n">
        <v>1.3369447913035</v>
      </c>
      <c r="AV294" t="n">
        <v>1.33329112901134</v>
      </c>
      <c r="AW294" t="n">
        <v>1.3254574476754</v>
      </c>
      <c r="AX294" t="n">
        <v>1.31438463627204</v>
      </c>
      <c r="AY294" t="n">
        <v>1.30070505011852</v>
      </c>
      <c r="AZ294" t="n">
        <v>1.28512548156286</v>
      </c>
      <c r="BA294" t="n">
        <v>0</v>
      </c>
      <c r="BB294" t="n">
        <v>0</v>
      </c>
      <c r="BC294" t="n">
        <v>0</v>
      </c>
      <c r="BD294" t="n">
        <v>0</v>
      </c>
      <c r="BE294" t="n">
        <v>0</v>
      </c>
      <c r="BF294" t="n">
        <v>0</v>
      </c>
      <c r="BG294" t="n">
        <v>0</v>
      </c>
      <c r="BH294" t="n">
        <v>0</v>
      </c>
      <c r="BJ294" t="inlineStr">
        <is>
          <t>High2</t>
        </is>
      </c>
      <c r="BL294" t="n">
        <v>1</v>
      </c>
      <c r="BM294" t="n">
        <v>0.997560975609757</v>
      </c>
      <c r="BN294" t="n">
        <v>0.985365853658537</v>
      </c>
      <c r="BO294" t="n">
        <v>0.973170731707317</v>
      </c>
      <c r="BP294" t="n">
        <v>0.960975609756098</v>
      </c>
      <c r="BQ294" t="n">
        <v>0.948780487804878</v>
      </c>
      <c r="BR294" t="n">
        <v>0.936585365853658</v>
      </c>
      <c r="BS294" t="n">
        <v>0.924390243902439</v>
      </c>
      <c r="BT294" t="n">
        <v>0.91219512195122</v>
      </c>
      <c r="BU294" t="n">
        <v>0.9</v>
      </c>
      <c r="BV294" t="n">
        <v>0.8875</v>
      </c>
      <c r="BW294" t="n">
        <v>0.875000000000001</v>
      </c>
      <c r="BX294" t="n">
        <v>0.862500000000001</v>
      </c>
      <c r="BY294" t="n">
        <v>0.850000000000001</v>
      </c>
      <c r="BZ294" t="n">
        <v>0.8375</v>
      </c>
      <c r="CA294" t="n">
        <v>0.825000000000001</v>
      </c>
      <c r="CB294" t="n">
        <v>0.812500000000001</v>
      </c>
      <c r="CC294" t="n">
        <v>0.800000000000001</v>
      </c>
      <c r="CD294" t="e">
        <v>#VALUE!</v>
      </c>
      <c r="CE294" t="e">
        <v>#VALUE!</v>
      </c>
      <c r="CF294" t="e">
        <v>#VALUE!</v>
      </c>
      <c r="CG294" t="e">
        <v>#VALUE!</v>
      </c>
      <c r="CH294" t="e">
        <v>#VALUE!</v>
      </c>
      <c r="CI294" t="e">
        <v>#VALUE!</v>
      </c>
      <c r="CJ294" t="e">
        <v>#VALUE!</v>
      </c>
      <c r="CK294" t="e">
        <v>#VALUE!</v>
      </c>
    </row>
    <row r="295" ht="12.5" customHeight="1" s="213">
      <c r="A295" t="inlineStr">
        <is>
          <t>ROW</t>
        </is>
      </c>
      <c r="B295" t="inlineStr">
        <is>
          <t>TWD</t>
        </is>
      </c>
      <c r="C295" t="inlineStr">
        <is>
          <t>TWD</t>
        </is>
      </c>
      <c r="E295" t="n">
        <v>289.95526653166</v>
      </c>
      <c r="F295">
        <f>E295</f>
        <v/>
      </c>
      <c r="I295">
        <f>F295</f>
        <v/>
      </c>
      <c r="J295">
        <f>I295</f>
        <v/>
      </c>
      <c r="L295">
        <f>J295</f>
        <v/>
      </c>
      <c r="V295">
        <f>L295</f>
        <v/>
      </c>
      <c r="W295" t="n">
        <v>3</v>
      </c>
      <c r="AG295" s="223" t="inlineStr">
        <is>
          <t>GDP</t>
        </is>
      </c>
      <c r="AI295" t="n">
        <v>1</v>
      </c>
      <c r="AJ295" t="n">
        <v>1.03220997614691</v>
      </c>
      <c r="AK295" t="n">
        <v>1.26026807229982</v>
      </c>
      <c r="AL295" t="n">
        <v>1.54611479417579</v>
      </c>
      <c r="AM295" t="n">
        <v>1.84642452510153</v>
      </c>
      <c r="AN295" t="n">
        <v>2.14605136752268</v>
      </c>
      <c r="AO295" t="n">
        <v>2.45218229566993</v>
      </c>
      <c r="AP295" t="n">
        <v>2.77010382709687</v>
      </c>
      <c r="AQ295" t="n">
        <v>3.10856945656694</v>
      </c>
      <c r="AR295" t="n">
        <v>3.47209926004162</v>
      </c>
      <c r="AS295" t="n">
        <v>3.86455766759287</v>
      </c>
      <c r="AT295" t="n">
        <v>4.27757178038053</v>
      </c>
      <c r="AU295" t="n">
        <v>4.70890116948649</v>
      </c>
      <c r="AV295" t="n">
        <v>5.15278382000685</v>
      </c>
      <c r="AW295" t="n">
        <v>5.608696692622</v>
      </c>
      <c r="AX295" t="n">
        <v>6.0784253017179</v>
      </c>
      <c r="AY295" t="n">
        <v>6.56283402216059</v>
      </c>
      <c r="AZ295" t="n">
        <v>7.06269998470226</v>
      </c>
      <c r="BA295" t="n">
        <v>0</v>
      </c>
      <c r="BB295" t="n">
        <v>0</v>
      </c>
      <c r="BC295" t="n">
        <v>0</v>
      </c>
      <c r="BD295" t="n">
        <v>0</v>
      </c>
      <c r="BE295" t="n">
        <v>0</v>
      </c>
      <c r="BF295" t="n">
        <v>0</v>
      </c>
      <c r="BG295" t="n">
        <v>0</v>
      </c>
      <c r="BH295" t="n">
        <v>0</v>
      </c>
      <c r="BJ295" t="inlineStr">
        <is>
          <t>High2</t>
        </is>
      </c>
      <c r="BL295" t="n">
        <v>1</v>
      </c>
      <c r="BM295" t="n">
        <v>0.997560975609757</v>
      </c>
      <c r="BN295" t="n">
        <v>0.985365853658537</v>
      </c>
      <c r="BO295" t="n">
        <v>0.973170731707317</v>
      </c>
      <c r="BP295" t="n">
        <v>0.960975609756098</v>
      </c>
      <c r="BQ295" t="n">
        <v>0.948780487804878</v>
      </c>
      <c r="BR295" t="n">
        <v>0.936585365853658</v>
      </c>
      <c r="BS295" t="n">
        <v>0.924390243902439</v>
      </c>
      <c r="BT295" t="n">
        <v>0.91219512195122</v>
      </c>
      <c r="BU295" t="n">
        <v>0.9</v>
      </c>
      <c r="BV295" t="n">
        <v>0.8875</v>
      </c>
      <c r="BW295" t="n">
        <v>0.875000000000001</v>
      </c>
      <c r="BX295" t="n">
        <v>0.862500000000001</v>
      </c>
      <c r="BY295" t="n">
        <v>0.850000000000001</v>
      </c>
      <c r="BZ295" t="n">
        <v>0.8375</v>
      </c>
      <c r="CA295" t="n">
        <v>0.825000000000001</v>
      </c>
      <c r="CB295" t="n">
        <v>0.812500000000001</v>
      </c>
      <c r="CC295" t="n">
        <v>0.800000000000001</v>
      </c>
      <c r="CD295" t="e">
        <v>#VALUE!</v>
      </c>
      <c r="CE295" t="e">
        <v>#VALUE!</v>
      </c>
      <c r="CF295" t="e">
        <v>#VALUE!</v>
      </c>
      <c r="CG295" t="e">
        <v>#VALUE!</v>
      </c>
      <c r="CH295" t="e">
        <v>#VALUE!</v>
      </c>
      <c r="CI295" t="e">
        <v>#VALUE!</v>
      </c>
      <c r="CJ295" t="e">
        <v>#VALUE!</v>
      </c>
      <c r="CK295" t="e">
        <v>#VALUE!</v>
      </c>
    </row>
    <row r="296" ht="12.5" customHeight="1" s="213">
      <c r="A296" t="inlineStr">
        <is>
          <t>ROW</t>
        </is>
      </c>
      <c r="B296" t="inlineStr">
        <is>
          <t>TWI</t>
        </is>
      </c>
      <c r="C296" t="inlineStr">
        <is>
          <t>TWI</t>
        </is>
      </c>
      <c r="E296" t="n">
        <v>2967.54737989209</v>
      </c>
      <c r="F296">
        <f>E296</f>
        <v/>
      </c>
      <c r="I296">
        <f>F296</f>
        <v/>
      </c>
      <c r="J296">
        <f>I296</f>
        <v/>
      </c>
      <c r="L296">
        <f>J296</f>
        <v/>
      </c>
      <c r="V296">
        <f>L296</f>
        <v/>
      </c>
      <c r="W296" t="n">
        <v>3</v>
      </c>
      <c r="AG296" s="223" t="inlineStr">
        <is>
          <t>GDP</t>
        </is>
      </c>
      <c r="AI296" t="n">
        <v>1</v>
      </c>
      <c r="AJ296" t="n">
        <v>1.03220997614691</v>
      </c>
      <c r="AK296" t="n">
        <v>1.26026807229982</v>
      </c>
      <c r="AL296" t="n">
        <v>1.54611479417579</v>
      </c>
      <c r="AM296" t="n">
        <v>1.84642452510153</v>
      </c>
      <c r="AN296" t="n">
        <v>2.14605136752268</v>
      </c>
      <c r="AO296" t="n">
        <v>2.45218229566993</v>
      </c>
      <c r="AP296" t="n">
        <v>2.77010382709687</v>
      </c>
      <c r="AQ296" t="n">
        <v>3.10856945656694</v>
      </c>
      <c r="AR296" t="n">
        <v>3.47209926004162</v>
      </c>
      <c r="AS296" t="n">
        <v>3.86455766759287</v>
      </c>
      <c r="AT296" t="n">
        <v>4.27757178038053</v>
      </c>
      <c r="AU296" t="n">
        <v>4.70890116948649</v>
      </c>
      <c r="AV296" t="n">
        <v>5.15278382000685</v>
      </c>
      <c r="AW296" t="n">
        <v>5.608696692622</v>
      </c>
      <c r="AX296" t="n">
        <v>6.0784253017179</v>
      </c>
      <c r="AY296" t="n">
        <v>6.56283402216059</v>
      </c>
      <c r="AZ296" t="n">
        <v>7.06269998470226</v>
      </c>
      <c r="BA296" t="n">
        <v>0</v>
      </c>
      <c r="BB296" t="n">
        <v>0</v>
      </c>
      <c r="BC296" t="n">
        <v>0</v>
      </c>
      <c r="BD296" t="n">
        <v>0</v>
      </c>
      <c r="BE296" t="n">
        <v>0</v>
      </c>
      <c r="BF296" t="n">
        <v>0</v>
      </c>
      <c r="BG296" t="n">
        <v>0</v>
      </c>
      <c r="BH296" t="n">
        <v>0</v>
      </c>
      <c r="BJ296" t="inlineStr">
        <is>
          <t>High2</t>
        </is>
      </c>
      <c r="BL296" t="n">
        <v>1</v>
      </c>
      <c r="BM296" t="n">
        <v>0.997560975609757</v>
      </c>
      <c r="BN296" t="n">
        <v>0.985365853658537</v>
      </c>
      <c r="BO296" t="n">
        <v>0.973170731707317</v>
      </c>
      <c r="BP296" t="n">
        <v>0.960975609756098</v>
      </c>
      <c r="BQ296" t="n">
        <v>0.948780487804878</v>
      </c>
      <c r="BR296" t="n">
        <v>0.936585365853658</v>
      </c>
      <c r="BS296" t="n">
        <v>0.924390243902439</v>
      </c>
      <c r="BT296" t="n">
        <v>0.91219512195122</v>
      </c>
      <c r="BU296" t="n">
        <v>0.9</v>
      </c>
      <c r="BV296" t="n">
        <v>0.8875</v>
      </c>
      <c r="BW296" t="n">
        <v>0.875000000000001</v>
      </c>
      <c r="BX296" t="n">
        <v>0.862500000000001</v>
      </c>
      <c r="BY296" t="n">
        <v>0.850000000000001</v>
      </c>
      <c r="BZ296" t="n">
        <v>0.8375</v>
      </c>
      <c r="CA296" t="n">
        <v>0.825000000000001</v>
      </c>
      <c r="CB296" t="n">
        <v>0.812500000000001</v>
      </c>
      <c r="CC296" t="n">
        <v>0.800000000000001</v>
      </c>
      <c r="CD296" t="e">
        <v>#VALUE!</v>
      </c>
      <c r="CE296" t="e">
        <v>#VALUE!</v>
      </c>
      <c r="CF296" t="e">
        <v>#VALUE!</v>
      </c>
      <c r="CG296" t="e">
        <v>#VALUE!</v>
      </c>
      <c r="CH296" t="e">
        <v>#VALUE!</v>
      </c>
      <c r="CI296" t="e">
        <v>#VALUE!</v>
      </c>
      <c r="CJ296" t="e">
        <v>#VALUE!</v>
      </c>
      <c r="CK296" t="e">
        <v>#VALUE!</v>
      </c>
    </row>
    <row r="297" ht="12.5" customHeight="1" s="213">
      <c r="A297" t="inlineStr">
        <is>
          <t>ROW</t>
        </is>
      </c>
      <c r="B297" t="inlineStr">
        <is>
          <t>Trd_2w</t>
        </is>
      </c>
      <c r="C297" t="inlineStr">
        <is>
          <t>Trd_2w</t>
        </is>
      </c>
      <c r="D297" t="n">
        <v>1567.223</v>
      </c>
      <c r="E297" t="n">
        <v>1584.74216817635</v>
      </c>
      <c r="G297" t="n">
        <v>1671.26456822056</v>
      </c>
      <c r="H297" t="n">
        <v>1752.8564787757</v>
      </c>
      <c r="I297" t="n">
        <v>1825.04494394815</v>
      </c>
      <c r="J297" t="n">
        <v>1887.24824711722</v>
      </c>
      <c r="K297" t="n">
        <v>1939.60786275396</v>
      </c>
      <c r="L297" t="n">
        <v>1982.78020497588</v>
      </c>
      <c r="M297" t="n">
        <v>2016.40750336632</v>
      </c>
      <c r="N297" t="n">
        <v>2040.77987954857</v>
      </c>
      <c r="O297" t="n">
        <v>2056.70924022867</v>
      </c>
      <c r="P297" t="n">
        <v>2065.20976635797</v>
      </c>
      <c r="Q297" t="n">
        <v>2066.80473121995</v>
      </c>
      <c r="R297" t="n">
        <v>2062.00371357381</v>
      </c>
      <c r="S297" t="n">
        <v>2051.85723902645</v>
      </c>
      <c r="T297" t="n">
        <v>2037.7158131163</v>
      </c>
      <c r="U297" t="n">
        <v>2020.48453586664</v>
      </c>
      <c r="V297" t="n">
        <v>2001.12378850008</v>
      </c>
      <c r="W297" t="n">
        <v>3</v>
      </c>
      <c r="AG297" s="223" t="inlineStr">
        <is>
          <t>POP</t>
        </is>
      </c>
      <c r="AI297" t="n">
        <v>1</v>
      </c>
      <c r="AJ297" t="n">
        <v>1.01120580946577</v>
      </c>
      <c r="AK297" t="n">
        <v>1.06723469593436</v>
      </c>
      <c r="AL297" t="n">
        <v>1.12077400885434</v>
      </c>
      <c r="AM297" t="n">
        <v>1.16880561792711</v>
      </c>
      <c r="AN297" t="n">
        <v>1.21079277109316</v>
      </c>
      <c r="AO297" t="n">
        <v>1.24665934313804</v>
      </c>
      <c r="AP297" t="n">
        <v>1.27667750658545</v>
      </c>
      <c r="AQ297" t="n">
        <v>1.30041368864225</v>
      </c>
      <c r="AR297" t="n">
        <v>1.31787828653574</v>
      </c>
      <c r="AS297" t="n">
        <v>1.32946897206222</v>
      </c>
      <c r="AT297" t="n">
        <v>1.33574873226726</v>
      </c>
      <c r="AU297" t="n">
        <v>1.3369447913035</v>
      </c>
      <c r="AV297" t="n">
        <v>1.33329112901134</v>
      </c>
      <c r="AW297" t="n">
        <v>1.3254574476754</v>
      </c>
      <c r="AX297" t="n">
        <v>1.31438463627204</v>
      </c>
      <c r="AY297" t="n">
        <v>1.30070505011852</v>
      </c>
      <c r="AZ297" t="n">
        <v>1.28512548156286</v>
      </c>
      <c r="BA297" t="n">
        <v>0</v>
      </c>
      <c r="BB297" t="n">
        <v>0</v>
      </c>
      <c r="BC297" t="n">
        <v>0</v>
      </c>
      <c r="BD297" t="n">
        <v>0</v>
      </c>
      <c r="BE297" t="n">
        <v>0</v>
      </c>
      <c r="BF297" t="n">
        <v>0</v>
      </c>
      <c r="BG297" t="n">
        <v>0</v>
      </c>
      <c r="BH297" t="n">
        <v>0</v>
      </c>
      <c r="BJ297" t="inlineStr">
        <is>
          <t>High2</t>
        </is>
      </c>
      <c r="BL297" t="n">
        <v>1</v>
      </c>
      <c r="BM297" t="n">
        <v>0.997560975609757</v>
      </c>
      <c r="BN297" t="n">
        <v>0.985365853658537</v>
      </c>
      <c r="BO297" t="n">
        <v>0.973170731707317</v>
      </c>
      <c r="BP297" t="n">
        <v>0.960975609756098</v>
      </c>
      <c r="BQ297" t="n">
        <v>0.948780487804878</v>
      </c>
      <c r="BR297" t="n">
        <v>0.936585365853658</v>
      </c>
      <c r="BS297" t="n">
        <v>0.924390243902439</v>
      </c>
      <c r="BT297" t="n">
        <v>0.91219512195122</v>
      </c>
      <c r="BU297" t="n">
        <v>0.9</v>
      </c>
      <c r="BV297" t="n">
        <v>0.8875</v>
      </c>
      <c r="BW297" t="n">
        <v>0.875000000000001</v>
      </c>
      <c r="BX297" t="n">
        <v>0.862500000000001</v>
      </c>
      <c r="BY297" t="n">
        <v>0.850000000000001</v>
      </c>
      <c r="BZ297" t="n">
        <v>0.8375</v>
      </c>
      <c r="CA297" t="n">
        <v>0.825000000000001</v>
      </c>
      <c r="CB297" t="n">
        <v>0.812500000000001</v>
      </c>
      <c r="CC297" t="n">
        <v>0.800000000000001</v>
      </c>
      <c r="CD297" t="e">
        <v>#VALUE!</v>
      </c>
      <c r="CE297" t="e">
        <v>#VALUE!</v>
      </c>
      <c r="CF297" t="e">
        <v>#VALUE!</v>
      </c>
      <c r="CG297" t="e">
        <v>#VALUE!</v>
      </c>
      <c r="CH297" t="e">
        <v>#VALUE!</v>
      </c>
      <c r="CI297" t="e">
        <v>#VALUE!</v>
      </c>
      <c r="CJ297" t="e">
        <v>#VALUE!</v>
      </c>
      <c r="CK297" t="e">
        <v>#VALUE!</v>
      </c>
    </row>
    <row r="298" ht="12.5" customHeight="1" s="213">
      <c r="A298" t="inlineStr">
        <is>
          <t>ROW</t>
        </is>
      </c>
      <c r="B298" t="inlineStr">
        <is>
          <t>Trd_3w</t>
        </is>
      </c>
      <c r="C298" t="inlineStr">
        <is>
          <t>Trd_3w</t>
        </is>
      </c>
      <c r="D298" t="n">
        <v>265.485</v>
      </c>
      <c r="E298" t="n">
        <v>268.452718291078</v>
      </c>
      <c r="G298" t="n">
        <v>283.109470633111</v>
      </c>
      <c r="H298" t="n">
        <v>296.931006160429</v>
      </c>
      <c r="I298" t="n">
        <v>309.159613497298</v>
      </c>
      <c r="J298" t="n">
        <v>319.696750804395</v>
      </c>
      <c r="K298" t="n">
        <v>328.566383624561</v>
      </c>
      <c r="L298" t="n">
        <v>335.87970743029</v>
      </c>
      <c r="M298" t="n">
        <v>341.576116501102</v>
      </c>
      <c r="N298" t="n">
        <v>345.704756963082</v>
      </c>
      <c r="O298" t="n">
        <v>348.403164477619</v>
      </c>
      <c r="P298" t="n">
        <v>349.843139630764</v>
      </c>
      <c r="Q298" t="n">
        <v>350.113324056582</v>
      </c>
      <c r="R298" t="n">
        <v>349.300039559235</v>
      </c>
      <c r="S298" t="n">
        <v>347.581243449679</v>
      </c>
      <c r="T298" t="n">
        <v>345.185709146166</v>
      </c>
      <c r="U298" t="n">
        <v>342.266759104834</v>
      </c>
      <c r="V298" t="n">
        <v>338.987080326121</v>
      </c>
      <c r="W298" t="n">
        <v>3</v>
      </c>
      <c r="AG298" s="223" t="inlineStr">
        <is>
          <t>POP</t>
        </is>
      </c>
      <c r="AI298" t="n">
        <v>1</v>
      </c>
      <c r="AJ298" t="n">
        <v>1.01120580946577</v>
      </c>
      <c r="AK298" t="n">
        <v>1.06723469593436</v>
      </c>
      <c r="AL298" t="n">
        <v>1.12077400885434</v>
      </c>
      <c r="AM298" t="n">
        <v>1.16880561792711</v>
      </c>
      <c r="AN298" t="n">
        <v>1.21079277109316</v>
      </c>
      <c r="AO298" t="n">
        <v>1.24665934313804</v>
      </c>
      <c r="AP298" t="n">
        <v>1.27667750658545</v>
      </c>
      <c r="AQ298" t="n">
        <v>1.30041368864225</v>
      </c>
      <c r="AR298" t="n">
        <v>1.31787828653574</v>
      </c>
      <c r="AS298" t="n">
        <v>1.32946897206222</v>
      </c>
      <c r="AT298" t="n">
        <v>1.33574873226726</v>
      </c>
      <c r="AU298" t="n">
        <v>1.3369447913035</v>
      </c>
      <c r="AV298" t="n">
        <v>1.33329112901134</v>
      </c>
      <c r="AW298" t="n">
        <v>1.3254574476754</v>
      </c>
      <c r="AX298" t="n">
        <v>1.31438463627204</v>
      </c>
      <c r="AY298" t="n">
        <v>1.30070505011852</v>
      </c>
      <c r="AZ298" t="n">
        <v>1.28512548156286</v>
      </c>
      <c r="BA298" t="n">
        <v>0</v>
      </c>
      <c r="BB298" t="n">
        <v>0</v>
      </c>
      <c r="BC298" t="n">
        <v>0</v>
      </c>
      <c r="BD298" t="n">
        <v>0</v>
      </c>
      <c r="BE298" t="n">
        <v>0</v>
      </c>
      <c r="BF298" t="n">
        <v>0</v>
      </c>
      <c r="BG298" t="n">
        <v>0</v>
      </c>
      <c r="BH298" t="n">
        <v>0</v>
      </c>
      <c r="BJ298" t="inlineStr">
        <is>
          <t>High2</t>
        </is>
      </c>
      <c r="BL298" t="n">
        <v>1</v>
      </c>
      <c r="BM298" t="n">
        <v>0.997560975609757</v>
      </c>
      <c r="BN298" t="n">
        <v>0.985365853658537</v>
      </c>
      <c r="BO298" t="n">
        <v>0.973170731707317</v>
      </c>
      <c r="BP298" t="n">
        <v>0.960975609756098</v>
      </c>
      <c r="BQ298" t="n">
        <v>0.948780487804878</v>
      </c>
      <c r="BR298" t="n">
        <v>0.936585365853658</v>
      </c>
      <c r="BS298" t="n">
        <v>0.924390243902439</v>
      </c>
      <c r="BT298" t="n">
        <v>0.91219512195122</v>
      </c>
      <c r="BU298" t="n">
        <v>0.9</v>
      </c>
      <c r="BV298" t="n">
        <v>0.8875</v>
      </c>
      <c r="BW298" t="n">
        <v>0.875000000000001</v>
      </c>
      <c r="BX298" t="n">
        <v>0.862500000000001</v>
      </c>
      <c r="BY298" t="n">
        <v>0.850000000000001</v>
      </c>
      <c r="BZ298" t="n">
        <v>0.8375</v>
      </c>
      <c r="CA298" t="n">
        <v>0.825000000000001</v>
      </c>
      <c r="CB298" t="n">
        <v>0.812500000000001</v>
      </c>
      <c r="CC298" t="n">
        <v>0.800000000000001</v>
      </c>
      <c r="CD298" t="e">
        <v>#VALUE!</v>
      </c>
      <c r="CE298" t="e">
        <v>#VALUE!</v>
      </c>
      <c r="CF298" t="e">
        <v>#VALUE!</v>
      </c>
      <c r="CG298" t="e">
        <v>#VALUE!</v>
      </c>
      <c r="CH298" t="e">
        <v>#VALUE!</v>
      </c>
      <c r="CI298" t="e">
        <v>#VALUE!</v>
      </c>
      <c r="CJ298" t="e">
        <v>#VALUE!</v>
      </c>
      <c r="CK298" t="e">
        <v>#VALUE!</v>
      </c>
    </row>
    <row r="299" ht="12.5" customHeight="1" s="213">
      <c r="A299" t="inlineStr">
        <is>
          <t>ROW</t>
        </is>
      </c>
      <c r="B299" t="inlineStr">
        <is>
          <t>Trd_bus</t>
        </is>
      </c>
      <c r="C299" t="inlineStr">
        <is>
          <t>Trd_bus</t>
        </is>
      </c>
      <c r="D299" t="n">
        <v>48.055</v>
      </c>
      <c r="E299" t="n">
        <v>48.5921817710145</v>
      </c>
      <c r="G299" t="n">
        <v>51.2451762294448</v>
      </c>
      <c r="H299" t="n">
        <v>53.7469894760133</v>
      </c>
      <c r="I299" t="n">
        <v>55.9604694299589</v>
      </c>
      <c r="J299" t="n">
        <v>57.8677791962077</v>
      </c>
      <c r="K299" t="n">
        <v>59.4732567379636</v>
      </c>
      <c r="L299" t="n">
        <v>60.7970293634765</v>
      </c>
      <c r="M299" t="n">
        <v>61.8281269316928</v>
      </c>
      <c r="N299" t="n">
        <v>62.5754453014705</v>
      </c>
      <c r="O299" t="n">
        <v>63.0638795750117</v>
      </c>
      <c r="P299" t="n">
        <v>63.3245270917618</v>
      </c>
      <c r="Q299" t="n">
        <v>63.3734327270431</v>
      </c>
      <c r="R299" t="n">
        <v>63.2262214476112</v>
      </c>
      <c r="S299" t="n">
        <v>62.9151050114858</v>
      </c>
      <c r="T299" t="n">
        <v>62.4814933160782</v>
      </c>
      <c r="U299" t="n">
        <v>61.953139005152</v>
      </c>
      <c r="V299" t="n">
        <v>61.3594897831205</v>
      </c>
      <c r="W299" t="n">
        <v>3</v>
      </c>
      <c r="AG299" s="223" t="inlineStr">
        <is>
          <t>POP</t>
        </is>
      </c>
      <c r="AI299" t="n">
        <v>1</v>
      </c>
      <c r="AJ299" t="n">
        <v>1.01120580946577</v>
      </c>
      <c r="AK299" t="n">
        <v>1.06723469593436</v>
      </c>
      <c r="AL299" t="n">
        <v>1.12077400885434</v>
      </c>
      <c r="AM299" t="n">
        <v>1.16880561792711</v>
      </c>
      <c r="AN299" t="n">
        <v>1.21079277109316</v>
      </c>
      <c r="AO299" t="n">
        <v>1.24665934313804</v>
      </c>
      <c r="AP299" t="n">
        <v>1.27667750658545</v>
      </c>
      <c r="AQ299" t="n">
        <v>1.30041368864225</v>
      </c>
      <c r="AR299" t="n">
        <v>1.31787828653574</v>
      </c>
      <c r="AS299" t="n">
        <v>1.32946897206222</v>
      </c>
      <c r="AT299" t="n">
        <v>1.33574873226726</v>
      </c>
      <c r="AU299" t="n">
        <v>1.3369447913035</v>
      </c>
      <c r="AV299" t="n">
        <v>1.33329112901134</v>
      </c>
      <c r="AW299" t="n">
        <v>1.3254574476754</v>
      </c>
      <c r="AX299" t="n">
        <v>1.31438463627204</v>
      </c>
      <c r="AY299" t="n">
        <v>1.30070505011852</v>
      </c>
      <c r="AZ299" t="n">
        <v>1.28512548156286</v>
      </c>
      <c r="BA299" t="n">
        <v>0</v>
      </c>
      <c r="BB299" t="n">
        <v>0</v>
      </c>
      <c r="BC299" t="n">
        <v>0</v>
      </c>
      <c r="BD299" t="n">
        <v>0</v>
      </c>
      <c r="BE299" t="n">
        <v>0</v>
      </c>
      <c r="BF299" t="n">
        <v>0</v>
      </c>
      <c r="BG299" t="n">
        <v>0</v>
      </c>
      <c r="BH299" t="n">
        <v>0</v>
      </c>
      <c r="BJ299" t="inlineStr">
        <is>
          <t>High2</t>
        </is>
      </c>
      <c r="BL299" t="n">
        <v>1</v>
      </c>
      <c r="BM299" t="n">
        <v>0.997560975609757</v>
      </c>
      <c r="BN299" t="n">
        <v>0.985365853658537</v>
      </c>
      <c r="BO299" t="n">
        <v>0.973170731707317</v>
      </c>
      <c r="BP299" t="n">
        <v>0.960975609756098</v>
      </c>
      <c r="BQ299" t="n">
        <v>0.948780487804878</v>
      </c>
      <c r="BR299" t="n">
        <v>0.936585365853658</v>
      </c>
      <c r="BS299" t="n">
        <v>0.924390243902439</v>
      </c>
      <c r="BT299" t="n">
        <v>0.91219512195122</v>
      </c>
      <c r="BU299" t="n">
        <v>0.9</v>
      </c>
      <c r="BV299" t="n">
        <v>0.8875</v>
      </c>
      <c r="BW299" t="n">
        <v>0.875000000000001</v>
      </c>
      <c r="BX299" t="n">
        <v>0.862500000000001</v>
      </c>
      <c r="BY299" t="n">
        <v>0.850000000000001</v>
      </c>
      <c r="BZ299" t="n">
        <v>0.8375</v>
      </c>
      <c r="CA299" t="n">
        <v>0.825000000000001</v>
      </c>
      <c r="CB299" t="n">
        <v>0.812500000000001</v>
      </c>
      <c r="CC299" t="n">
        <v>0.800000000000001</v>
      </c>
      <c r="CD299" t="e">
        <v>#VALUE!</v>
      </c>
      <c r="CE299" t="e">
        <v>#VALUE!</v>
      </c>
      <c r="CF299" t="e">
        <v>#VALUE!</v>
      </c>
      <c r="CG299" t="e">
        <v>#VALUE!</v>
      </c>
      <c r="CH299" t="e">
        <v>#VALUE!</v>
      </c>
      <c r="CI299" t="e">
        <v>#VALUE!</v>
      </c>
      <c r="CJ299" t="e">
        <v>#VALUE!</v>
      </c>
      <c r="CK299" t="e">
        <v>#VALUE!</v>
      </c>
    </row>
    <row r="300" ht="12.5" customHeight="1" s="213">
      <c r="A300" t="inlineStr">
        <is>
          <t>ROW</t>
        </is>
      </c>
      <c r="B300" t="inlineStr">
        <is>
          <t>Trd_car</t>
        </is>
      </c>
      <c r="C300" t="inlineStr">
        <is>
          <t>Trd_car</t>
        </is>
      </c>
      <c r="D300" t="n">
        <v>1561.308</v>
      </c>
      <c r="E300" t="n">
        <v>1593.6594638318</v>
      </c>
      <c r="G300" t="n">
        <v>1839.95625738685</v>
      </c>
      <c r="H300" t="n">
        <v>2141.15054492959</v>
      </c>
      <c r="I300" t="n">
        <v>2439.82763587405</v>
      </c>
      <c r="J300" t="n">
        <v>2722.16989459966</v>
      </c>
      <c r="K300" t="n">
        <v>3002.04435286517</v>
      </c>
      <c r="L300" t="n">
        <v>3288.11784599765</v>
      </c>
      <c r="M300" t="n">
        <v>3593.16383179804</v>
      </c>
      <c r="N300" t="n">
        <v>3923.47739774159</v>
      </c>
      <c r="O300" t="n">
        <v>4283.27543391547</v>
      </c>
      <c r="P300" t="n">
        <v>4664.31551205876</v>
      </c>
      <c r="Q300" t="n">
        <v>5066.01037428092</v>
      </c>
      <c r="R300" t="n">
        <v>5484.83648056032</v>
      </c>
      <c r="S300" t="n">
        <v>5920.81974330456</v>
      </c>
      <c r="T300" t="n">
        <v>6374.50806567048</v>
      </c>
      <c r="U300" t="n">
        <v>6846.07351285994</v>
      </c>
      <c r="V300" t="n">
        <v>7334.67794819029</v>
      </c>
      <c r="W300" t="n">
        <v>3</v>
      </c>
      <c r="AG300" s="223" t="inlineStr">
        <is>
          <t>GDPPCAP</t>
        </is>
      </c>
      <c r="AI300" t="n">
        <v>1</v>
      </c>
      <c r="AJ300" t="n">
        <v>1.02077140626025</v>
      </c>
      <c r="AK300" t="n">
        <v>1.18087247078906</v>
      </c>
      <c r="AL300" t="n">
        <v>1.37950628936892</v>
      </c>
      <c r="AM300" t="n">
        <v>1.5797532941159</v>
      </c>
      <c r="AN300" t="n">
        <v>1.77243490278285</v>
      </c>
      <c r="AO300" t="n">
        <v>1.96700270139347</v>
      </c>
      <c r="AP300" t="n">
        <v>2.16977569731426</v>
      </c>
      <c r="AQ300" t="n">
        <v>2.39044658151251</v>
      </c>
      <c r="AR300" t="n">
        <v>2.63461299538412</v>
      </c>
      <c r="AS300" t="n">
        <v>2.90684306952897</v>
      </c>
      <c r="AT300" t="n">
        <v>3.20237757075758</v>
      </c>
      <c r="AU300" t="n">
        <v>3.52213584294337</v>
      </c>
      <c r="AV300" t="n">
        <v>3.86471019561026</v>
      </c>
      <c r="AW300" t="n">
        <v>4.23151773182804</v>
      </c>
      <c r="AX300" t="n">
        <v>4.62454074247095</v>
      </c>
      <c r="AY300" t="n">
        <v>5.04559740239542</v>
      </c>
      <c r="AZ300" t="n">
        <v>5.49572791608893</v>
      </c>
      <c r="BA300" t="n">
        <v>0</v>
      </c>
      <c r="BB300" t="n">
        <v>0</v>
      </c>
      <c r="BC300" t="n">
        <v>0</v>
      </c>
      <c r="BD300" t="n">
        <v>0</v>
      </c>
      <c r="BE300" t="n">
        <v>0</v>
      </c>
      <c r="BF300" t="n">
        <v>0</v>
      </c>
      <c r="BG300" t="n">
        <v>0</v>
      </c>
      <c r="BH300" t="n">
        <v>0</v>
      </c>
      <c r="BJ300" t="inlineStr">
        <is>
          <t>High2</t>
        </is>
      </c>
      <c r="BL300" t="n">
        <v>1</v>
      </c>
      <c r="BM300" t="n">
        <v>0.997560975609757</v>
      </c>
      <c r="BN300" t="n">
        <v>0.985365853658537</v>
      </c>
      <c r="BO300" t="n">
        <v>0.973170731707317</v>
      </c>
      <c r="BP300" t="n">
        <v>0.960975609756098</v>
      </c>
      <c r="BQ300" t="n">
        <v>0.948780487804878</v>
      </c>
      <c r="BR300" t="n">
        <v>0.936585365853658</v>
      </c>
      <c r="BS300" t="n">
        <v>0.924390243902439</v>
      </c>
      <c r="BT300" t="n">
        <v>0.91219512195122</v>
      </c>
      <c r="BU300" t="n">
        <v>0.9</v>
      </c>
      <c r="BV300" t="n">
        <v>0.8875</v>
      </c>
      <c r="BW300" t="n">
        <v>0.875000000000001</v>
      </c>
      <c r="BX300" t="n">
        <v>0.862500000000001</v>
      </c>
      <c r="BY300" t="n">
        <v>0.850000000000001</v>
      </c>
      <c r="BZ300" t="n">
        <v>0.8375</v>
      </c>
      <c r="CA300" t="n">
        <v>0.825000000000001</v>
      </c>
      <c r="CB300" t="n">
        <v>0.812500000000001</v>
      </c>
      <c r="CC300" t="n">
        <v>0.800000000000001</v>
      </c>
      <c r="CD300" t="e">
        <v>#VALUE!</v>
      </c>
      <c r="CE300" t="e">
        <v>#VALUE!</v>
      </c>
      <c r="CF300" t="e">
        <v>#VALUE!</v>
      </c>
      <c r="CG300" t="e">
        <v>#VALUE!</v>
      </c>
      <c r="CH300" t="e">
        <v>#VALUE!</v>
      </c>
      <c r="CI300" t="e">
        <v>#VALUE!</v>
      </c>
      <c r="CJ300" t="e">
        <v>#VALUE!</v>
      </c>
      <c r="CK300" t="e">
        <v>#VALUE!</v>
      </c>
    </row>
    <row r="301" ht="12.5" customHeight="1" s="213">
      <c r="A301" t="inlineStr">
        <is>
          <t>ROW</t>
        </is>
      </c>
      <c r="B301" t="inlineStr">
        <is>
          <t>Trd_hdt</t>
        </is>
      </c>
      <c r="C301" t="inlineStr">
        <is>
          <t>Trd_hdt</t>
        </is>
      </c>
      <c r="D301" t="n">
        <v>413.5</v>
      </c>
      <c r="E301" t="n">
        <v>426.786340197389</v>
      </c>
      <c r="G301" t="n">
        <v>519.701261114924</v>
      </c>
      <c r="H301" t="n">
        <v>634.414381048931</v>
      </c>
      <c r="I301" t="n">
        <v>752.831108085094</v>
      </c>
      <c r="J301" t="n">
        <v>868.738853605562</v>
      </c>
      <c r="K301" t="n">
        <v>984.804503710777</v>
      </c>
      <c r="L301" t="n">
        <v>1102.82911220467</v>
      </c>
      <c r="M301" t="n">
        <v>1225.74683156283</v>
      </c>
      <c r="N301" t="n">
        <v>1354.75664135227</v>
      </c>
      <c r="O301" t="n">
        <v>1490.66030219531</v>
      </c>
      <c r="P301" t="n">
        <v>1630.05679223194</v>
      </c>
      <c r="Q301" t="n">
        <v>1771.82328125444</v>
      </c>
      <c r="R301" t="n">
        <v>1913.79045111527</v>
      </c>
      <c r="S301" t="n">
        <v>2055.60445905299</v>
      </c>
      <c r="T301" t="n">
        <v>2197.6339585898</v>
      </c>
      <c r="U301" t="n">
        <v>2339.93222061411</v>
      </c>
      <c r="V301" t="n">
        <v>2482.51116962181</v>
      </c>
      <c r="W301" t="n">
        <v>3</v>
      </c>
      <c r="AG301" s="223" t="inlineStr">
        <is>
          <t>GDP</t>
        </is>
      </c>
      <c r="AI301" t="n">
        <v>1</v>
      </c>
      <c r="AJ301" t="n">
        <v>1.03220997614691</v>
      </c>
      <c r="AK301" t="n">
        <v>1.26026807229982</v>
      </c>
      <c r="AL301" t="n">
        <v>1.54611479417579</v>
      </c>
      <c r="AM301" t="n">
        <v>1.84642452510153</v>
      </c>
      <c r="AN301" t="n">
        <v>2.14605136752268</v>
      </c>
      <c r="AO301" t="n">
        <v>2.45218229566993</v>
      </c>
      <c r="AP301" t="n">
        <v>2.77010382709687</v>
      </c>
      <c r="AQ301" t="n">
        <v>3.10856945656694</v>
      </c>
      <c r="AR301" t="n">
        <v>3.47209926004162</v>
      </c>
      <c r="AS301" t="n">
        <v>3.86455766759287</v>
      </c>
      <c r="AT301" t="n">
        <v>4.27757178038053</v>
      </c>
      <c r="AU301" t="n">
        <v>4.70890116948649</v>
      </c>
      <c r="AV301" t="n">
        <v>5.15278382000685</v>
      </c>
      <c r="AW301" t="n">
        <v>5.608696692622</v>
      </c>
      <c r="AX301" t="n">
        <v>6.0784253017179</v>
      </c>
      <c r="AY301" t="n">
        <v>6.56283402216059</v>
      </c>
      <c r="AZ301" t="n">
        <v>7.06269998470226</v>
      </c>
      <c r="BA301" t="n">
        <v>0</v>
      </c>
      <c r="BB301" t="n">
        <v>0</v>
      </c>
      <c r="BC301" t="n">
        <v>0</v>
      </c>
      <c r="BD301" t="n">
        <v>0</v>
      </c>
      <c r="BE301" t="n">
        <v>0</v>
      </c>
      <c r="BF301" t="n">
        <v>0</v>
      </c>
      <c r="BG301" t="n">
        <v>0</v>
      </c>
      <c r="BH301" t="n">
        <v>0</v>
      </c>
      <c r="BJ301" t="inlineStr">
        <is>
          <t>High2</t>
        </is>
      </c>
      <c r="BL301" t="n">
        <v>1</v>
      </c>
      <c r="BM301" t="n">
        <v>0.997560975609757</v>
      </c>
      <c r="BN301" t="n">
        <v>0.985365853658537</v>
      </c>
      <c r="BO301" t="n">
        <v>0.973170731707317</v>
      </c>
      <c r="BP301" t="n">
        <v>0.960975609756098</v>
      </c>
      <c r="BQ301" t="n">
        <v>0.948780487804878</v>
      </c>
      <c r="BR301" t="n">
        <v>0.936585365853658</v>
      </c>
      <c r="BS301" t="n">
        <v>0.924390243902439</v>
      </c>
      <c r="BT301" t="n">
        <v>0.91219512195122</v>
      </c>
      <c r="BU301" t="n">
        <v>0.9</v>
      </c>
      <c r="BV301" t="n">
        <v>0.8875</v>
      </c>
      <c r="BW301" t="n">
        <v>0.875000000000001</v>
      </c>
      <c r="BX301" t="n">
        <v>0.862500000000001</v>
      </c>
      <c r="BY301" t="n">
        <v>0.850000000000001</v>
      </c>
      <c r="BZ301" t="n">
        <v>0.8375</v>
      </c>
      <c r="CA301" t="n">
        <v>0.825000000000001</v>
      </c>
      <c r="CB301" t="n">
        <v>0.812500000000001</v>
      </c>
      <c r="CC301" t="n">
        <v>0.800000000000001</v>
      </c>
      <c r="CD301" t="e">
        <v>#VALUE!</v>
      </c>
      <c r="CE301" t="e">
        <v>#VALUE!</v>
      </c>
      <c r="CF301" t="e">
        <v>#VALUE!</v>
      </c>
      <c r="CG301" t="e">
        <v>#VALUE!</v>
      </c>
      <c r="CH301" t="e">
        <v>#VALUE!</v>
      </c>
      <c r="CI301" t="e">
        <v>#VALUE!</v>
      </c>
      <c r="CJ301" t="e">
        <v>#VALUE!</v>
      </c>
      <c r="CK301" t="e">
        <v>#VALUE!</v>
      </c>
    </row>
    <row r="302" ht="12.5" customHeight="1" s="213">
      <c r="A302" t="inlineStr">
        <is>
          <t>ROW</t>
        </is>
      </c>
      <c r="B302" t="inlineStr">
        <is>
          <t>Trd_lcv</t>
        </is>
      </c>
      <c r="C302" t="inlineStr">
        <is>
          <t>Trd_lcv</t>
        </is>
      </c>
      <c r="D302" t="n">
        <v>163</v>
      </c>
      <c r="E302" t="n">
        <v>168.237420682405</v>
      </c>
      <c r="G302" t="n">
        <v>204.86410051205</v>
      </c>
      <c r="H302" t="n">
        <v>250.083540776241</v>
      </c>
      <c r="I302" t="n">
        <v>296.762927733665</v>
      </c>
      <c r="J302" t="n">
        <v>342.45328449264</v>
      </c>
      <c r="K302" t="n">
        <v>388.205886589738</v>
      </c>
      <c r="L302" t="n">
        <v>434.730702029893</v>
      </c>
      <c r="M302" t="n">
        <v>483.184361655963</v>
      </c>
      <c r="N302" t="n">
        <v>534.039498283965</v>
      </c>
      <c r="O302" t="n">
        <v>587.612162654983</v>
      </c>
      <c r="P302" t="n">
        <v>642.5616859342369</v>
      </c>
      <c r="Q302" t="n">
        <v>698.445453070068</v>
      </c>
      <c r="R302" t="n">
        <v>754.408327767325</v>
      </c>
      <c r="S302" t="n">
        <v>810.3108266641771</v>
      </c>
      <c r="T302" t="n">
        <v>866.298271463453</v>
      </c>
      <c r="U302" t="n">
        <v>922.391661330351</v>
      </c>
      <c r="V302" t="n">
        <v>978.595696852129</v>
      </c>
      <c r="W302" t="n">
        <v>3</v>
      </c>
      <c r="AG302" s="223" t="inlineStr">
        <is>
          <t>GDP</t>
        </is>
      </c>
      <c r="AI302" t="n">
        <v>1</v>
      </c>
      <c r="AJ302" t="n">
        <v>1.03220997614691</v>
      </c>
      <c r="AK302" t="n">
        <v>1.26026807229982</v>
      </c>
      <c r="AL302" t="n">
        <v>1.54611479417579</v>
      </c>
      <c r="AM302" t="n">
        <v>1.84642452510153</v>
      </c>
      <c r="AN302" t="n">
        <v>2.14605136752268</v>
      </c>
      <c r="AO302" t="n">
        <v>2.45218229566993</v>
      </c>
      <c r="AP302" t="n">
        <v>2.77010382709687</v>
      </c>
      <c r="AQ302" t="n">
        <v>3.10856945656694</v>
      </c>
      <c r="AR302" t="n">
        <v>3.47209926004162</v>
      </c>
      <c r="AS302" t="n">
        <v>3.86455766759287</v>
      </c>
      <c r="AT302" t="n">
        <v>4.27757178038053</v>
      </c>
      <c r="AU302" t="n">
        <v>4.70890116948649</v>
      </c>
      <c r="AV302" t="n">
        <v>5.15278382000685</v>
      </c>
      <c r="AW302" t="n">
        <v>5.608696692622</v>
      </c>
      <c r="AX302" t="n">
        <v>6.0784253017179</v>
      </c>
      <c r="AY302" t="n">
        <v>6.56283402216059</v>
      </c>
      <c r="AZ302" t="n">
        <v>7.06269998470226</v>
      </c>
      <c r="BA302" t="n">
        <v>0</v>
      </c>
      <c r="BB302" t="n">
        <v>0</v>
      </c>
      <c r="BC302" t="n">
        <v>0</v>
      </c>
      <c r="BD302" t="n">
        <v>0</v>
      </c>
      <c r="BE302" t="n">
        <v>0</v>
      </c>
      <c r="BF302" t="n">
        <v>0</v>
      </c>
      <c r="BG302" t="n">
        <v>0</v>
      </c>
      <c r="BH302" t="n">
        <v>0</v>
      </c>
      <c r="BJ302" t="inlineStr">
        <is>
          <t>High2</t>
        </is>
      </c>
      <c r="BL302" t="n">
        <v>1</v>
      </c>
      <c r="BM302" t="n">
        <v>0.997560975609757</v>
      </c>
      <c r="BN302" t="n">
        <v>0.985365853658537</v>
      </c>
      <c r="BO302" t="n">
        <v>0.973170731707317</v>
      </c>
      <c r="BP302" t="n">
        <v>0.960975609756098</v>
      </c>
      <c r="BQ302" t="n">
        <v>0.948780487804878</v>
      </c>
      <c r="BR302" t="n">
        <v>0.936585365853658</v>
      </c>
      <c r="BS302" t="n">
        <v>0.924390243902439</v>
      </c>
      <c r="BT302" t="n">
        <v>0.91219512195122</v>
      </c>
      <c r="BU302" t="n">
        <v>0.9</v>
      </c>
      <c r="BV302" t="n">
        <v>0.8875</v>
      </c>
      <c r="BW302" t="n">
        <v>0.875000000000001</v>
      </c>
      <c r="BX302" t="n">
        <v>0.862500000000001</v>
      </c>
      <c r="BY302" t="n">
        <v>0.850000000000001</v>
      </c>
      <c r="BZ302" t="n">
        <v>0.8375</v>
      </c>
      <c r="CA302" t="n">
        <v>0.825000000000001</v>
      </c>
      <c r="CB302" t="n">
        <v>0.812500000000001</v>
      </c>
      <c r="CC302" t="n">
        <v>0.800000000000001</v>
      </c>
      <c r="CD302" t="e">
        <v>#VALUE!</v>
      </c>
      <c r="CE302" t="e">
        <v>#VALUE!</v>
      </c>
      <c r="CF302" t="e">
        <v>#VALUE!</v>
      </c>
      <c r="CG302" t="e">
        <v>#VALUE!</v>
      </c>
      <c r="CH302" t="e">
        <v>#VALUE!</v>
      </c>
      <c r="CI302" t="e">
        <v>#VALUE!</v>
      </c>
      <c r="CJ302" t="e">
        <v>#VALUE!</v>
      </c>
      <c r="CK302" t="e">
        <v>#VALUE!</v>
      </c>
    </row>
    <row r="303" ht="12.5" customHeight="1" s="213">
      <c r="A303" t="inlineStr">
        <is>
          <t>Russia</t>
        </is>
      </c>
      <c r="B303" t="inlineStr">
        <is>
          <t>TAD</t>
        </is>
      </c>
      <c r="C303" t="inlineStr">
        <is>
          <t>TAD</t>
        </is>
      </c>
      <c r="E303" t="n">
        <v>247.424732991695</v>
      </c>
      <c r="F303">
        <f>E303</f>
        <v/>
      </c>
      <c r="I303">
        <f>F303</f>
        <v/>
      </c>
      <c r="J303">
        <f>I303</f>
        <v/>
      </c>
      <c r="L303">
        <f>J303</f>
        <v/>
      </c>
      <c r="V303">
        <f>L303</f>
        <v/>
      </c>
      <c r="W303" t="n">
        <v>3</v>
      </c>
      <c r="AG303" s="223" t="inlineStr">
        <is>
          <t>GDP</t>
        </is>
      </c>
      <c r="AI303" t="n">
        <v>1</v>
      </c>
      <c r="AJ303" t="n">
        <v>1.00833807922416</v>
      </c>
      <c r="AK303" t="n">
        <v>1.0766352075424</v>
      </c>
      <c r="AL303" t="n">
        <v>1.15564343027581</v>
      </c>
      <c r="AM303" t="n">
        <v>1.2657319608088</v>
      </c>
      <c r="AN303" t="n">
        <v>1.3800049173744</v>
      </c>
      <c r="AO303" t="n">
        <v>1.49615904702163</v>
      </c>
      <c r="AP303" t="n">
        <v>1.61335437679292</v>
      </c>
      <c r="AQ303" t="n">
        <v>1.74229545925796</v>
      </c>
      <c r="AR303" t="n">
        <v>1.89143776051591</v>
      </c>
      <c r="AS303" t="n">
        <v>2.05009844692402</v>
      </c>
      <c r="AT303" t="n">
        <v>2.21564298647701</v>
      </c>
      <c r="AU303" t="n">
        <v>2.38344760280091</v>
      </c>
      <c r="AV303" t="n">
        <v>2.55419604958363</v>
      </c>
      <c r="AW303" t="n">
        <v>2.73323720135036</v>
      </c>
      <c r="AX303" t="n">
        <v>2.92536570747861</v>
      </c>
      <c r="AY303" t="n">
        <v>3.12923604119332</v>
      </c>
      <c r="AZ303" t="n">
        <v>3.33677478017044</v>
      </c>
      <c r="BA303" t="n">
        <v>0</v>
      </c>
      <c r="BB303" t="n">
        <v>0</v>
      </c>
      <c r="BC303" t="n">
        <v>0</v>
      </c>
      <c r="BD303" t="n">
        <v>0</v>
      </c>
      <c r="BE303" t="n">
        <v>0</v>
      </c>
      <c r="BF303" t="n">
        <v>0</v>
      </c>
      <c r="BG303" t="n">
        <v>0</v>
      </c>
      <c r="BH303" t="n">
        <v>0</v>
      </c>
      <c r="BJ303" t="inlineStr">
        <is>
          <t>Med2</t>
        </is>
      </c>
      <c r="BL303" t="n">
        <v>0.8</v>
      </c>
      <c r="BM303" t="n">
        <v>0.797560975609756</v>
      </c>
      <c r="BN303" t="n">
        <v>0.785365853658536</v>
      </c>
      <c r="BO303" t="n">
        <v>0.773170731707317</v>
      </c>
      <c r="BP303" t="n">
        <v>0.760975609756097</v>
      </c>
      <c r="BQ303" t="n">
        <v>0.748780487804878</v>
      </c>
      <c r="BR303" t="n">
        <v>0.736585365853658</v>
      </c>
      <c r="BS303" t="n">
        <v>0.724390243902439</v>
      </c>
      <c r="BT303" t="n">
        <v>0.71219512195122</v>
      </c>
      <c r="BU303" t="n">
        <v>0.699999999999999</v>
      </c>
      <c r="BV303" t="n">
        <v>0.687499999999999</v>
      </c>
      <c r="BW303" t="n">
        <v>0.675</v>
      </c>
      <c r="BX303" t="n">
        <v>0.6625</v>
      </c>
      <c r="BY303" t="n">
        <v>0.649999999999999</v>
      </c>
      <c r="BZ303" t="n">
        <v>0.637499999999999</v>
      </c>
      <c r="CA303" t="n">
        <v>0.625</v>
      </c>
      <c r="CB303" t="n">
        <v>0.6125</v>
      </c>
      <c r="CC303" t="n">
        <v>0.6</v>
      </c>
      <c r="CD303" t="e">
        <v>#VALUE!</v>
      </c>
      <c r="CE303" t="e">
        <v>#VALUE!</v>
      </c>
      <c r="CF303" t="e">
        <v>#VALUE!</v>
      </c>
      <c r="CG303" t="e">
        <v>#VALUE!</v>
      </c>
      <c r="CH303" t="e">
        <v>#VALUE!</v>
      </c>
      <c r="CI303" t="e">
        <v>#VALUE!</v>
      </c>
      <c r="CJ303" t="e">
        <v>#VALUE!</v>
      </c>
      <c r="CK303" t="e">
        <v>#VALUE!</v>
      </c>
    </row>
    <row r="304" ht="12.5" customHeight="1" s="213">
      <c r="A304" t="inlineStr">
        <is>
          <t>Russia</t>
        </is>
      </c>
      <c r="B304" t="inlineStr">
        <is>
          <t>TAI</t>
        </is>
      </c>
      <c r="C304" t="inlineStr">
        <is>
          <t>TAI</t>
        </is>
      </c>
      <c r="E304" t="n">
        <v>254.796113659036</v>
      </c>
      <c r="F304">
        <f>E304</f>
        <v/>
      </c>
      <c r="I304">
        <f>F304</f>
        <v/>
      </c>
      <c r="J304">
        <f>I304</f>
        <v/>
      </c>
      <c r="L304">
        <f>J304</f>
        <v/>
      </c>
      <c r="V304">
        <f>L304</f>
        <v/>
      </c>
      <c r="W304" t="n">
        <v>3</v>
      </c>
      <c r="AG304" s="223" t="inlineStr">
        <is>
          <t>GDP</t>
        </is>
      </c>
      <c r="AI304" t="n">
        <v>1</v>
      </c>
      <c r="AJ304" t="n">
        <v>1.00833807922416</v>
      </c>
      <c r="AK304" t="n">
        <v>1.0766352075424</v>
      </c>
      <c r="AL304" t="n">
        <v>1.15564343027581</v>
      </c>
      <c r="AM304" t="n">
        <v>1.2657319608088</v>
      </c>
      <c r="AN304" t="n">
        <v>1.3800049173744</v>
      </c>
      <c r="AO304" t="n">
        <v>1.49615904702163</v>
      </c>
      <c r="AP304" t="n">
        <v>1.61335437679292</v>
      </c>
      <c r="AQ304" t="n">
        <v>1.74229545925796</v>
      </c>
      <c r="AR304" t="n">
        <v>1.89143776051591</v>
      </c>
      <c r="AS304" t="n">
        <v>2.05009844692402</v>
      </c>
      <c r="AT304" t="n">
        <v>2.21564298647701</v>
      </c>
      <c r="AU304" t="n">
        <v>2.38344760280091</v>
      </c>
      <c r="AV304" t="n">
        <v>2.55419604958363</v>
      </c>
      <c r="AW304" t="n">
        <v>2.73323720135036</v>
      </c>
      <c r="AX304" t="n">
        <v>2.92536570747861</v>
      </c>
      <c r="AY304" t="n">
        <v>3.12923604119332</v>
      </c>
      <c r="AZ304" t="n">
        <v>3.33677478017044</v>
      </c>
      <c r="BA304" t="n">
        <v>0</v>
      </c>
      <c r="BB304" t="n">
        <v>0</v>
      </c>
      <c r="BC304" t="n">
        <v>0</v>
      </c>
      <c r="BD304" t="n">
        <v>0</v>
      </c>
      <c r="BE304" t="n">
        <v>0</v>
      </c>
      <c r="BF304" t="n">
        <v>0</v>
      </c>
      <c r="BG304" t="n">
        <v>0</v>
      </c>
      <c r="BH304" t="n">
        <v>0</v>
      </c>
      <c r="BJ304" t="inlineStr">
        <is>
          <t>Med2</t>
        </is>
      </c>
      <c r="BL304" t="n">
        <v>0.8</v>
      </c>
      <c r="BM304" t="n">
        <v>0.797560975609756</v>
      </c>
      <c r="BN304" t="n">
        <v>0.785365853658536</v>
      </c>
      <c r="BO304" t="n">
        <v>0.773170731707317</v>
      </c>
      <c r="BP304" t="n">
        <v>0.760975609756097</v>
      </c>
      <c r="BQ304" t="n">
        <v>0.748780487804878</v>
      </c>
      <c r="BR304" t="n">
        <v>0.736585365853658</v>
      </c>
      <c r="BS304" t="n">
        <v>0.724390243902439</v>
      </c>
      <c r="BT304" t="n">
        <v>0.71219512195122</v>
      </c>
      <c r="BU304" t="n">
        <v>0.699999999999999</v>
      </c>
      <c r="BV304" t="n">
        <v>0.687499999999999</v>
      </c>
      <c r="BW304" t="n">
        <v>0.675</v>
      </c>
      <c r="BX304" t="n">
        <v>0.6625</v>
      </c>
      <c r="BY304" t="n">
        <v>0.649999999999999</v>
      </c>
      <c r="BZ304" t="n">
        <v>0.637499999999999</v>
      </c>
      <c r="CA304" t="n">
        <v>0.625</v>
      </c>
      <c r="CB304" t="n">
        <v>0.6125</v>
      </c>
      <c r="CC304" t="n">
        <v>0.6</v>
      </c>
      <c r="CD304" t="e">
        <v>#VALUE!</v>
      </c>
      <c r="CE304" t="e">
        <v>#VALUE!</v>
      </c>
      <c r="CF304" t="e">
        <v>#VALUE!</v>
      </c>
      <c r="CG304" t="e">
        <v>#VALUE!</v>
      </c>
      <c r="CH304" t="e">
        <v>#VALUE!</v>
      </c>
      <c r="CI304" t="e">
        <v>#VALUE!</v>
      </c>
      <c r="CJ304" t="e">
        <v>#VALUE!</v>
      </c>
      <c r="CK304" t="e">
        <v>#VALUE!</v>
      </c>
    </row>
    <row r="305" ht="12.5" customHeight="1" s="213">
      <c r="A305" t="inlineStr">
        <is>
          <t>Russia</t>
        </is>
      </c>
      <c r="B305" t="inlineStr">
        <is>
          <t>TTF</t>
        </is>
      </c>
      <c r="C305" t="inlineStr">
        <is>
          <t>TTF</t>
        </is>
      </c>
      <c r="E305" t="n">
        <v>195.540546638997</v>
      </c>
      <c r="I305" t="n">
        <v>233.403341867434</v>
      </c>
      <c r="J305" t="n">
        <v>249.181754381167</v>
      </c>
      <c r="L305" t="n">
        <v>279.646185639978</v>
      </c>
      <c r="V305" t="n">
        <v>454.057544816134</v>
      </c>
      <c r="W305" t="n">
        <v>3</v>
      </c>
      <c r="AG305" s="223" t="inlineStr">
        <is>
          <t>GDP</t>
        </is>
      </c>
      <c r="AI305" t="n">
        <v>1</v>
      </c>
      <c r="AJ305" t="n">
        <v>1.00833807922416</v>
      </c>
      <c r="AK305" t="n">
        <v>1.0766352075424</v>
      </c>
      <c r="AL305" t="n">
        <v>1.15564343027581</v>
      </c>
      <c r="AM305" t="n">
        <v>1.2657319608088</v>
      </c>
      <c r="AN305" t="n">
        <v>1.3800049173744</v>
      </c>
      <c r="AO305" t="n">
        <v>1.49615904702163</v>
      </c>
      <c r="AP305" t="n">
        <v>1.61335437679292</v>
      </c>
      <c r="AQ305" t="n">
        <v>1.74229545925796</v>
      </c>
      <c r="AR305" t="n">
        <v>1.89143776051591</v>
      </c>
      <c r="AS305" t="n">
        <v>2.05009844692402</v>
      </c>
      <c r="AT305" t="n">
        <v>2.21564298647701</v>
      </c>
      <c r="AU305" t="n">
        <v>2.38344760280091</v>
      </c>
      <c r="AV305" t="n">
        <v>2.55419604958363</v>
      </c>
      <c r="AW305" t="n">
        <v>2.73323720135036</v>
      </c>
      <c r="AX305" t="n">
        <v>2.92536570747861</v>
      </c>
      <c r="AY305" t="n">
        <v>3.12923604119332</v>
      </c>
      <c r="AZ305" t="n">
        <v>3.33677478017044</v>
      </c>
      <c r="BA305" t="n">
        <v>0</v>
      </c>
      <c r="BB305" t="n">
        <v>0</v>
      </c>
      <c r="BC305" t="n">
        <v>0</v>
      </c>
      <c r="BD305" t="n">
        <v>0</v>
      </c>
      <c r="BE305" t="n">
        <v>0</v>
      </c>
      <c r="BF305" t="n">
        <v>0</v>
      </c>
      <c r="BG305" t="n">
        <v>0</v>
      </c>
      <c r="BH305" t="n">
        <v>0</v>
      </c>
      <c r="BJ305" t="inlineStr">
        <is>
          <t>Med2</t>
        </is>
      </c>
      <c r="BL305" t="n">
        <v>0.8</v>
      </c>
      <c r="BM305" t="n">
        <v>0.797560975609756</v>
      </c>
      <c r="BN305" t="n">
        <v>0.785365853658536</v>
      </c>
      <c r="BO305" t="n">
        <v>0.773170731707317</v>
      </c>
      <c r="BP305" t="n">
        <v>0.760975609756097</v>
      </c>
      <c r="BQ305" t="n">
        <v>0.748780487804878</v>
      </c>
      <c r="BR305" t="n">
        <v>0.736585365853658</v>
      </c>
      <c r="BS305" t="n">
        <v>0.724390243902439</v>
      </c>
      <c r="BT305" t="n">
        <v>0.71219512195122</v>
      </c>
      <c r="BU305" t="n">
        <v>0.699999999999999</v>
      </c>
      <c r="BV305" t="n">
        <v>0.687499999999999</v>
      </c>
      <c r="BW305" t="n">
        <v>0.675</v>
      </c>
      <c r="BX305" t="n">
        <v>0.6625</v>
      </c>
      <c r="BY305" t="n">
        <v>0.649999999999999</v>
      </c>
      <c r="BZ305" t="n">
        <v>0.637499999999999</v>
      </c>
      <c r="CA305" t="n">
        <v>0.625</v>
      </c>
      <c r="CB305" t="n">
        <v>0.6125</v>
      </c>
      <c r="CC305" t="n">
        <v>0.6</v>
      </c>
      <c r="CD305" t="e">
        <v>#VALUE!</v>
      </c>
      <c r="CE305" t="e">
        <v>#VALUE!</v>
      </c>
      <c r="CF305" t="e">
        <v>#VALUE!</v>
      </c>
      <c r="CG305" t="e">
        <v>#VALUE!</v>
      </c>
      <c r="CH305" t="e">
        <v>#VALUE!</v>
      </c>
      <c r="CI305" t="e">
        <v>#VALUE!</v>
      </c>
      <c r="CJ305" t="e">
        <v>#VALUE!</v>
      </c>
      <c r="CK305" t="e">
        <v>#VALUE!</v>
      </c>
    </row>
    <row r="306" ht="12.5" customHeight="1" s="213">
      <c r="A306" t="inlineStr">
        <is>
          <t>Russia</t>
        </is>
      </c>
      <c r="B306" t="inlineStr">
        <is>
          <t>TTP</t>
        </is>
      </c>
      <c r="C306" t="inlineStr">
        <is>
          <t>TTP</t>
        </is>
      </c>
      <c r="E306" t="n">
        <v>172.001941684198</v>
      </c>
      <c r="I306" t="n">
        <v>167.898987057315</v>
      </c>
      <c r="J306" t="n">
        <v>166.624883992822</v>
      </c>
      <c r="L306" t="n">
        <v>165.248837367325</v>
      </c>
      <c r="V306" t="n">
        <v>154.25511252623</v>
      </c>
      <c r="W306" t="n">
        <v>3</v>
      </c>
      <c r="AG306" s="223" t="inlineStr">
        <is>
          <t>POP</t>
        </is>
      </c>
      <c r="AI306" t="n">
        <v>1</v>
      </c>
      <c r="AJ306" t="n">
        <v>0.999153277629258</v>
      </c>
      <c r="AK306" t="n">
        <v>0.994919665775547</v>
      </c>
      <c r="AL306" t="n">
        <v>0.981113622085295</v>
      </c>
      <c r="AM306" t="n">
        <v>0.968255638939726</v>
      </c>
      <c r="AN306" t="n">
        <v>0.958442860335364</v>
      </c>
      <c r="AO306" t="n">
        <v>0.952105611580232</v>
      </c>
      <c r="AP306" t="n">
        <v>0.947630746523464</v>
      </c>
      <c r="AQ306" t="n">
        <v>0.941735143873907</v>
      </c>
      <c r="AR306" t="n">
        <v>0.934265564647304</v>
      </c>
      <c r="AS306" t="n">
        <v>0.924882519918043</v>
      </c>
      <c r="AT306" t="n">
        <v>0.914704409340846</v>
      </c>
      <c r="AU306" t="n">
        <v>0.904538268851693</v>
      </c>
      <c r="AV306" t="n">
        <v>0.894562479762628</v>
      </c>
      <c r="AW306" t="n">
        <v>0.884815690929354</v>
      </c>
      <c r="AX306" t="n">
        <v>0.875027887508692</v>
      </c>
      <c r="AY306" t="n">
        <v>0.864537146774868</v>
      </c>
      <c r="AZ306" t="n">
        <v>0.852214873283883</v>
      </c>
      <c r="BA306" t="n">
        <v>0</v>
      </c>
      <c r="BB306" t="n">
        <v>0</v>
      </c>
      <c r="BC306" t="n">
        <v>0</v>
      </c>
      <c r="BD306" t="n">
        <v>0</v>
      </c>
      <c r="BE306" t="n">
        <v>0</v>
      </c>
      <c r="BF306" t="n">
        <v>0</v>
      </c>
      <c r="BG306" t="n">
        <v>0</v>
      </c>
      <c r="BH306" t="n">
        <v>0</v>
      </c>
      <c r="BJ306" t="inlineStr">
        <is>
          <t>Med2</t>
        </is>
      </c>
      <c r="BL306" t="n">
        <v>0.8</v>
      </c>
      <c r="BM306" t="n">
        <v>0.797560975609756</v>
      </c>
      <c r="BN306" t="n">
        <v>0.785365853658536</v>
      </c>
      <c r="BO306" t="n">
        <v>0.773170731707317</v>
      </c>
      <c r="BP306" t="n">
        <v>0.760975609756097</v>
      </c>
      <c r="BQ306" t="n">
        <v>0.748780487804878</v>
      </c>
      <c r="BR306" t="n">
        <v>0.736585365853658</v>
      </c>
      <c r="BS306" t="n">
        <v>0.724390243902439</v>
      </c>
      <c r="BT306" t="n">
        <v>0.71219512195122</v>
      </c>
      <c r="BU306" t="n">
        <v>0.699999999999999</v>
      </c>
      <c r="BV306" t="n">
        <v>0.687499999999999</v>
      </c>
      <c r="BW306" t="n">
        <v>0.675</v>
      </c>
      <c r="BX306" t="n">
        <v>0.6625</v>
      </c>
      <c r="BY306" t="n">
        <v>0.649999999999999</v>
      </c>
      <c r="BZ306" t="n">
        <v>0.637499999999999</v>
      </c>
      <c r="CA306" t="n">
        <v>0.625</v>
      </c>
      <c r="CB306" t="n">
        <v>0.6125</v>
      </c>
      <c r="CC306" t="n">
        <v>0.6</v>
      </c>
      <c r="CD306" t="e">
        <v>#VALUE!</v>
      </c>
      <c r="CE306" t="e">
        <v>#VALUE!</v>
      </c>
      <c r="CF306" t="e">
        <v>#VALUE!</v>
      </c>
      <c r="CG306" t="e">
        <v>#VALUE!</v>
      </c>
      <c r="CH306" t="e">
        <v>#VALUE!</v>
      </c>
      <c r="CI306" t="e">
        <v>#VALUE!</v>
      </c>
      <c r="CJ306" t="e">
        <v>#VALUE!</v>
      </c>
      <c r="CK306" t="e">
        <v>#VALUE!</v>
      </c>
    </row>
    <row r="307" ht="12.5" customHeight="1" s="213">
      <c r="A307" t="inlineStr">
        <is>
          <t>Russia</t>
        </is>
      </c>
      <c r="B307" t="inlineStr">
        <is>
          <t>TWD</t>
        </is>
      </c>
      <c r="C307" t="inlineStr">
        <is>
          <t>TWD</t>
        </is>
      </c>
      <c r="E307" t="n">
        <v>25.7643640096326</v>
      </c>
      <c r="F307">
        <f>E307</f>
        <v/>
      </c>
      <c r="I307">
        <f>F307</f>
        <v/>
      </c>
      <c r="J307">
        <f>I307</f>
        <v/>
      </c>
      <c r="L307">
        <f>J307</f>
        <v/>
      </c>
      <c r="V307">
        <f>L307</f>
        <v/>
      </c>
      <c r="W307" t="n">
        <v>3</v>
      </c>
      <c r="AG307" s="223" t="inlineStr">
        <is>
          <t>GDP</t>
        </is>
      </c>
      <c r="AI307" t="n">
        <v>1</v>
      </c>
      <c r="AJ307" t="n">
        <v>1.00833807922416</v>
      </c>
      <c r="AK307" t="n">
        <v>1.0766352075424</v>
      </c>
      <c r="AL307" t="n">
        <v>1.15564343027581</v>
      </c>
      <c r="AM307" t="n">
        <v>1.2657319608088</v>
      </c>
      <c r="AN307" t="n">
        <v>1.3800049173744</v>
      </c>
      <c r="AO307" t="n">
        <v>1.49615904702163</v>
      </c>
      <c r="AP307" t="n">
        <v>1.61335437679292</v>
      </c>
      <c r="AQ307" t="n">
        <v>1.74229545925796</v>
      </c>
      <c r="AR307" t="n">
        <v>1.89143776051591</v>
      </c>
      <c r="AS307" t="n">
        <v>2.05009844692402</v>
      </c>
      <c r="AT307" t="n">
        <v>2.21564298647701</v>
      </c>
      <c r="AU307" t="n">
        <v>2.38344760280091</v>
      </c>
      <c r="AV307" t="n">
        <v>2.55419604958363</v>
      </c>
      <c r="AW307" t="n">
        <v>2.73323720135036</v>
      </c>
      <c r="AX307" t="n">
        <v>2.92536570747861</v>
      </c>
      <c r="AY307" t="n">
        <v>3.12923604119332</v>
      </c>
      <c r="AZ307" t="n">
        <v>3.33677478017044</v>
      </c>
      <c r="BA307" t="n">
        <v>0</v>
      </c>
      <c r="BB307" t="n">
        <v>0</v>
      </c>
      <c r="BC307" t="n">
        <v>0</v>
      </c>
      <c r="BD307" t="n">
        <v>0</v>
      </c>
      <c r="BE307" t="n">
        <v>0</v>
      </c>
      <c r="BF307" t="n">
        <v>0</v>
      </c>
      <c r="BG307" t="n">
        <v>0</v>
      </c>
      <c r="BH307" t="n">
        <v>0</v>
      </c>
      <c r="BJ307" t="inlineStr">
        <is>
          <t>Med2</t>
        </is>
      </c>
      <c r="BL307" t="n">
        <v>0.8</v>
      </c>
      <c r="BM307" t="n">
        <v>0.797560975609756</v>
      </c>
      <c r="BN307" t="n">
        <v>0.785365853658536</v>
      </c>
      <c r="BO307" t="n">
        <v>0.773170731707317</v>
      </c>
      <c r="BP307" t="n">
        <v>0.760975609756097</v>
      </c>
      <c r="BQ307" t="n">
        <v>0.748780487804878</v>
      </c>
      <c r="BR307" t="n">
        <v>0.736585365853658</v>
      </c>
      <c r="BS307" t="n">
        <v>0.724390243902439</v>
      </c>
      <c r="BT307" t="n">
        <v>0.71219512195122</v>
      </c>
      <c r="BU307" t="n">
        <v>0.699999999999999</v>
      </c>
      <c r="BV307" t="n">
        <v>0.687499999999999</v>
      </c>
      <c r="BW307" t="n">
        <v>0.675</v>
      </c>
      <c r="BX307" t="n">
        <v>0.6625</v>
      </c>
      <c r="BY307" t="n">
        <v>0.649999999999999</v>
      </c>
      <c r="BZ307" t="n">
        <v>0.637499999999999</v>
      </c>
      <c r="CA307" t="n">
        <v>0.625</v>
      </c>
      <c r="CB307" t="n">
        <v>0.6125</v>
      </c>
      <c r="CC307" t="n">
        <v>0.6</v>
      </c>
      <c r="CD307" t="e">
        <v>#VALUE!</v>
      </c>
      <c r="CE307" t="e">
        <v>#VALUE!</v>
      </c>
      <c r="CF307" t="e">
        <v>#VALUE!</v>
      </c>
      <c r="CG307" t="e">
        <v>#VALUE!</v>
      </c>
      <c r="CH307" t="e">
        <v>#VALUE!</v>
      </c>
      <c r="CI307" t="e">
        <v>#VALUE!</v>
      </c>
      <c r="CJ307" t="e">
        <v>#VALUE!</v>
      </c>
      <c r="CK307" t="e">
        <v>#VALUE!</v>
      </c>
    </row>
    <row r="308" ht="12.5" customHeight="1" s="213">
      <c r="A308" t="inlineStr">
        <is>
          <t>Russia</t>
        </is>
      </c>
      <c r="B308" t="inlineStr">
        <is>
          <t>TWI</t>
        </is>
      </c>
      <c r="C308" t="inlineStr">
        <is>
          <t>TWI</t>
        </is>
      </c>
      <c r="E308" t="n">
        <v>455.503588512067</v>
      </c>
      <c r="F308">
        <f>E308</f>
        <v/>
      </c>
      <c r="I308">
        <f>F308</f>
        <v/>
      </c>
      <c r="J308">
        <f>I308</f>
        <v/>
      </c>
      <c r="L308">
        <f>J308</f>
        <v/>
      </c>
      <c r="V308">
        <f>L308</f>
        <v/>
      </c>
      <c r="W308" t="n">
        <v>3</v>
      </c>
      <c r="AG308" s="223" t="inlineStr">
        <is>
          <t>GDP</t>
        </is>
      </c>
      <c r="AI308" t="n">
        <v>1</v>
      </c>
      <c r="AJ308" t="n">
        <v>1.00833807922416</v>
      </c>
      <c r="AK308" t="n">
        <v>1.0766352075424</v>
      </c>
      <c r="AL308" t="n">
        <v>1.15564343027581</v>
      </c>
      <c r="AM308" t="n">
        <v>1.2657319608088</v>
      </c>
      <c r="AN308" t="n">
        <v>1.3800049173744</v>
      </c>
      <c r="AO308" t="n">
        <v>1.49615904702163</v>
      </c>
      <c r="AP308" t="n">
        <v>1.61335437679292</v>
      </c>
      <c r="AQ308" t="n">
        <v>1.74229545925796</v>
      </c>
      <c r="AR308" t="n">
        <v>1.89143776051591</v>
      </c>
      <c r="AS308" t="n">
        <v>2.05009844692402</v>
      </c>
      <c r="AT308" t="n">
        <v>2.21564298647701</v>
      </c>
      <c r="AU308" t="n">
        <v>2.38344760280091</v>
      </c>
      <c r="AV308" t="n">
        <v>2.55419604958363</v>
      </c>
      <c r="AW308" t="n">
        <v>2.73323720135036</v>
      </c>
      <c r="AX308" t="n">
        <v>2.92536570747861</v>
      </c>
      <c r="AY308" t="n">
        <v>3.12923604119332</v>
      </c>
      <c r="AZ308" t="n">
        <v>3.33677478017044</v>
      </c>
      <c r="BA308" t="n">
        <v>0</v>
      </c>
      <c r="BB308" t="n">
        <v>0</v>
      </c>
      <c r="BC308" t="n">
        <v>0</v>
      </c>
      <c r="BD308" t="n">
        <v>0</v>
      </c>
      <c r="BE308" t="n">
        <v>0</v>
      </c>
      <c r="BF308" t="n">
        <v>0</v>
      </c>
      <c r="BG308" t="n">
        <v>0</v>
      </c>
      <c r="BH308" t="n">
        <v>0</v>
      </c>
      <c r="BJ308" t="inlineStr">
        <is>
          <t>Med2</t>
        </is>
      </c>
      <c r="BL308" t="n">
        <v>0.8</v>
      </c>
      <c r="BM308" t="n">
        <v>0.797560975609756</v>
      </c>
      <c r="BN308" t="n">
        <v>0.785365853658536</v>
      </c>
      <c r="BO308" t="n">
        <v>0.773170731707317</v>
      </c>
      <c r="BP308" t="n">
        <v>0.760975609756097</v>
      </c>
      <c r="BQ308" t="n">
        <v>0.748780487804878</v>
      </c>
      <c r="BR308" t="n">
        <v>0.736585365853658</v>
      </c>
      <c r="BS308" t="n">
        <v>0.724390243902439</v>
      </c>
      <c r="BT308" t="n">
        <v>0.71219512195122</v>
      </c>
      <c r="BU308" t="n">
        <v>0.699999999999999</v>
      </c>
      <c r="BV308" t="n">
        <v>0.687499999999999</v>
      </c>
      <c r="BW308" t="n">
        <v>0.675</v>
      </c>
      <c r="BX308" t="n">
        <v>0.6625</v>
      </c>
      <c r="BY308" t="n">
        <v>0.649999999999999</v>
      </c>
      <c r="BZ308" t="n">
        <v>0.637499999999999</v>
      </c>
      <c r="CA308" t="n">
        <v>0.625</v>
      </c>
      <c r="CB308" t="n">
        <v>0.6125</v>
      </c>
      <c r="CC308" t="n">
        <v>0.6</v>
      </c>
      <c r="CD308" t="e">
        <v>#VALUE!</v>
      </c>
      <c r="CE308" t="e">
        <v>#VALUE!</v>
      </c>
      <c r="CF308" t="e">
        <v>#VALUE!</v>
      </c>
      <c r="CG308" t="e">
        <v>#VALUE!</v>
      </c>
      <c r="CH308" t="e">
        <v>#VALUE!</v>
      </c>
      <c r="CI308" t="e">
        <v>#VALUE!</v>
      </c>
      <c r="CJ308" t="e">
        <v>#VALUE!</v>
      </c>
      <c r="CK308" t="e">
        <v>#VALUE!</v>
      </c>
    </row>
    <row r="309" ht="12.5" customHeight="1" s="213">
      <c r="A309" t="inlineStr">
        <is>
          <t>Russia</t>
        </is>
      </c>
      <c r="B309" t="inlineStr">
        <is>
          <t>Trd_2w</t>
        </is>
      </c>
      <c r="C309" t="inlineStr">
        <is>
          <t>Trd_2w</t>
        </is>
      </c>
      <c r="D309" t="n">
        <v>16.08</v>
      </c>
      <c r="E309" t="n">
        <v>16.0691409714611</v>
      </c>
      <c r="G309" t="n">
        <v>16.0156668575521</v>
      </c>
      <c r="H309" t="n">
        <v>15.8438358011668</v>
      </c>
      <c r="I309" t="n">
        <v>15.6858257852875</v>
      </c>
      <c r="J309" t="n">
        <v>15.5667937467243</v>
      </c>
      <c r="K309" t="n">
        <v>15.4909784593187</v>
      </c>
      <c r="L309" t="n">
        <v>15.4382377142057</v>
      </c>
      <c r="M309" t="n">
        <v>15.3698330397112</v>
      </c>
      <c r="N309" t="n">
        <v>15.2844965940708</v>
      </c>
      <c r="O309" t="n">
        <v>15.1789614063947</v>
      </c>
      <c r="P309" t="n">
        <v>15.0662088433263</v>
      </c>
      <c r="Q309" t="n">
        <v>14.955274708603</v>
      </c>
      <c r="R309" t="n">
        <v>14.8480664937494</v>
      </c>
      <c r="S309" t="n">
        <v>14.7449327052981</v>
      </c>
      <c r="T309" t="n">
        <v>14.6429902158552</v>
      </c>
      <c r="U309" t="n">
        <v>14.5354625731701</v>
      </c>
      <c r="V309" t="n">
        <v>14.4111579467146</v>
      </c>
      <c r="W309" t="n">
        <v>3</v>
      </c>
      <c r="AG309" s="223" t="inlineStr">
        <is>
          <t>POP</t>
        </is>
      </c>
      <c r="AI309" t="n">
        <v>1</v>
      </c>
      <c r="AJ309" t="n">
        <v>0.999153277629258</v>
      </c>
      <c r="AK309" t="n">
        <v>0.994919665775547</v>
      </c>
      <c r="AL309" t="n">
        <v>0.981113622085295</v>
      </c>
      <c r="AM309" t="n">
        <v>0.968255638939726</v>
      </c>
      <c r="AN309" t="n">
        <v>0.958442860335364</v>
      </c>
      <c r="AO309" t="n">
        <v>0.952105611580232</v>
      </c>
      <c r="AP309" t="n">
        <v>0.947630746523464</v>
      </c>
      <c r="AQ309" t="n">
        <v>0.941735143873907</v>
      </c>
      <c r="AR309" t="n">
        <v>0.934265564647304</v>
      </c>
      <c r="AS309" t="n">
        <v>0.924882519918043</v>
      </c>
      <c r="AT309" t="n">
        <v>0.914704409340846</v>
      </c>
      <c r="AU309" t="n">
        <v>0.904538268851693</v>
      </c>
      <c r="AV309" t="n">
        <v>0.894562479762628</v>
      </c>
      <c r="AW309" t="n">
        <v>0.884815690929354</v>
      </c>
      <c r="AX309" t="n">
        <v>0.875027887508692</v>
      </c>
      <c r="AY309" t="n">
        <v>0.864537146774868</v>
      </c>
      <c r="AZ309" t="n">
        <v>0.852214873283883</v>
      </c>
      <c r="BA309" t="n">
        <v>0</v>
      </c>
      <c r="BB309" t="n">
        <v>0</v>
      </c>
      <c r="BC309" t="n">
        <v>0</v>
      </c>
      <c r="BD309" t="n">
        <v>0</v>
      </c>
      <c r="BE309" t="n">
        <v>0</v>
      </c>
      <c r="BF309" t="n">
        <v>0</v>
      </c>
      <c r="BG309" t="n">
        <v>0</v>
      </c>
      <c r="BH309" t="n">
        <v>0</v>
      </c>
      <c r="BJ309" t="inlineStr">
        <is>
          <t>Med2</t>
        </is>
      </c>
      <c r="BL309" t="n">
        <v>0.8</v>
      </c>
      <c r="BM309" t="n">
        <v>0.797560975609756</v>
      </c>
      <c r="BN309" t="n">
        <v>0.785365853658536</v>
      </c>
      <c r="BO309" t="n">
        <v>0.773170731707317</v>
      </c>
      <c r="BP309" t="n">
        <v>0.760975609756097</v>
      </c>
      <c r="BQ309" t="n">
        <v>0.748780487804878</v>
      </c>
      <c r="BR309" t="n">
        <v>0.736585365853658</v>
      </c>
      <c r="BS309" t="n">
        <v>0.724390243902439</v>
      </c>
      <c r="BT309" t="n">
        <v>0.71219512195122</v>
      </c>
      <c r="BU309" t="n">
        <v>0.699999999999999</v>
      </c>
      <c r="BV309" t="n">
        <v>0.687499999999999</v>
      </c>
      <c r="BW309" t="n">
        <v>0.675</v>
      </c>
      <c r="BX309" t="n">
        <v>0.6625</v>
      </c>
      <c r="BY309" t="n">
        <v>0.649999999999999</v>
      </c>
      <c r="BZ309" t="n">
        <v>0.637499999999999</v>
      </c>
      <c r="CA309" t="n">
        <v>0.625</v>
      </c>
      <c r="CB309" t="n">
        <v>0.6125</v>
      </c>
      <c r="CC309" t="n">
        <v>0.6</v>
      </c>
      <c r="CD309" t="e">
        <v>#VALUE!</v>
      </c>
      <c r="CE309" t="e">
        <v>#VALUE!</v>
      </c>
      <c r="CF309" t="e">
        <v>#VALUE!</v>
      </c>
      <c r="CG309" t="e">
        <v>#VALUE!</v>
      </c>
      <c r="CH309" t="e">
        <v>#VALUE!</v>
      </c>
      <c r="CI309" t="e">
        <v>#VALUE!</v>
      </c>
      <c r="CJ309" t="e">
        <v>#VALUE!</v>
      </c>
      <c r="CK309" t="e">
        <v>#VALUE!</v>
      </c>
    </row>
    <row r="310" ht="12.5" customHeight="1" s="213">
      <c r="A310" t="inlineStr">
        <is>
          <t>Russia</t>
        </is>
      </c>
      <c r="B310" t="inlineStr">
        <is>
          <t>Trd_3w</t>
        </is>
      </c>
      <c r="C310" t="inlineStr">
        <is>
          <t>Trd_3w</t>
        </is>
      </c>
      <c r="D310" t="n">
        <v>3.18</v>
      </c>
      <c r="E310" t="n">
        <v>3.17785250555015</v>
      </c>
      <c r="G310" t="n">
        <v>3.1672774009338</v>
      </c>
      <c r="H310" t="n">
        <v>3.13329588605165</v>
      </c>
      <c r="I310" t="n">
        <v>3.10204763664269</v>
      </c>
      <c r="J310" t="n">
        <v>3.0785077185686</v>
      </c>
      <c r="K310" t="n">
        <v>3.06351439680557</v>
      </c>
      <c r="L310" t="n">
        <v>3.05308432407799</v>
      </c>
      <c r="M310" t="n">
        <v>3.03955653397274</v>
      </c>
      <c r="N310" t="n">
        <v>3.02268029658863</v>
      </c>
      <c r="O310" t="n">
        <v>3.00180953186164</v>
      </c>
      <c r="P310" t="n">
        <v>2.97951145035931</v>
      </c>
      <c r="Q310" t="n">
        <v>2.95757298341775</v>
      </c>
      <c r="R310" t="n">
        <v>2.9363713588385</v>
      </c>
      <c r="S310" t="n">
        <v>2.91597549768955</v>
      </c>
      <c r="T310" t="n">
        <v>2.89581522925495</v>
      </c>
      <c r="U310" t="n">
        <v>2.87455043424633</v>
      </c>
      <c r="V310" t="n">
        <v>2.84996780289506</v>
      </c>
      <c r="W310" t="n">
        <v>3</v>
      </c>
      <c r="AG310" s="223" t="inlineStr">
        <is>
          <t>POP</t>
        </is>
      </c>
      <c r="AI310" t="n">
        <v>1</v>
      </c>
      <c r="AJ310" t="n">
        <v>0.999153277629258</v>
      </c>
      <c r="AK310" t="n">
        <v>0.994919665775547</v>
      </c>
      <c r="AL310" t="n">
        <v>0.981113622085295</v>
      </c>
      <c r="AM310" t="n">
        <v>0.968255638939726</v>
      </c>
      <c r="AN310" t="n">
        <v>0.958442860335364</v>
      </c>
      <c r="AO310" t="n">
        <v>0.952105611580232</v>
      </c>
      <c r="AP310" t="n">
        <v>0.947630746523464</v>
      </c>
      <c r="AQ310" t="n">
        <v>0.941735143873907</v>
      </c>
      <c r="AR310" t="n">
        <v>0.934265564647304</v>
      </c>
      <c r="AS310" t="n">
        <v>0.924882519918043</v>
      </c>
      <c r="AT310" t="n">
        <v>0.914704409340846</v>
      </c>
      <c r="AU310" t="n">
        <v>0.904538268851693</v>
      </c>
      <c r="AV310" t="n">
        <v>0.894562479762628</v>
      </c>
      <c r="AW310" t="n">
        <v>0.884815690929354</v>
      </c>
      <c r="AX310" t="n">
        <v>0.875027887508692</v>
      </c>
      <c r="AY310" t="n">
        <v>0.864537146774868</v>
      </c>
      <c r="AZ310" t="n">
        <v>0.852214873283883</v>
      </c>
      <c r="BA310" t="n">
        <v>0</v>
      </c>
      <c r="BB310" t="n">
        <v>0</v>
      </c>
      <c r="BC310" t="n">
        <v>0</v>
      </c>
      <c r="BD310" t="n">
        <v>0</v>
      </c>
      <c r="BE310" t="n">
        <v>0</v>
      </c>
      <c r="BF310" t="n">
        <v>0</v>
      </c>
      <c r="BG310" t="n">
        <v>0</v>
      </c>
      <c r="BH310" t="n">
        <v>0</v>
      </c>
      <c r="BJ310" t="inlineStr">
        <is>
          <t>Med2</t>
        </is>
      </c>
      <c r="BL310" t="n">
        <v>0.8</v>
      </c>
      <c r="BM310" t="n">
        <v>0.797560975609756</v>
      </c>
      <c r="BN310" t="n">
        <v>0.785365853658536</v>
      </c>
      <c r="BO310" t="n">
        <v>0.773170731707317</v>
      </c>
      <c r="BP310" t="n">
        <v>0.760975609756097</v>
      </c>
      <c r="BQ310" t="n">
        <v>0.748780487804878</v>
      </c>
      <c r="BR310" t="n">
        <v>0.736585365853658</v>
      </c>
      <c r="BS310" t="n">
        <v>0.724390243902439</v>
      </c>
      <c r="BT310" t="n">
        <v>0.71219512195122</v>
      </c>
      <c r="BU310" t="n">
        <v>0.699999999999999</v>
      </c>
      <c r="BV310" t="n">
        <v>0.687499999999999</v>
      </c>
      <c r="BW310" t="n">
        <v>0.675</v>
      </c>
      <c r="BX310" t="n">
        <v>0.6625</v>
      </c>
      <c r="BY310" t="n">
        <v>0.649999999999999</v>
      </c>
      <c r="BZ310" t="n">
        <v>0.637499999999999</v>
      </c>
      <c r="CA310" t="n">
        <v>0.625</v>
      </c>
      <c r="CB310" t="n">
        <v>0.6125</v>
      </c>
      <c r="CC310" t="n">
        <v>0.6</v>
      </c>
      <c r="CD310" t="e">
        <v>#VALUE!</v>
      </c>
      <c r="CE310" t="e">
        <v>#VALUE!</v>
      </c>
      <c r="CF310" t="e">
        <v>#VALUE!</v>
      </c>
      <c r="CG310" t="e">
        <v>#VALUE!</v>
      </c>
      <c r="CH310" t="e">
        <v>#VALUE!</v>
      </c>
      <c r="CI310" t="e">
        <v>#VALUE!</v>
      </c>
      <c r="CJ310" t="e">
        <v>#VALUE!</v>
      </c>
      <c r="CK310" t="e">
        <v>#VALUE!</v>
      </c>
    </row>
    <row r="311" ht="12.5" customHeight="1" s="213">
      <c r="A311" t="inlineStr">
        <is>
          <t>Russia</t>
        </is>
      </c>
      <c r="B311" t="inlineStr">
        <is>
          <t>Trd_bus</t>
        </is>
      </c>
      <c r="C311" t="inlineStr">
        <is>
          <t>Trd_bus</t>
        </is>
      </c>
      <c r="D311" t="n">
        <v>6.825</v>
      </c>
      <c r="E311" t="n">
        <v>6.82039099068546</v>
      </c>
      <c r="G311" t="n">
        <v>6.79769442181548</v>
      </c>
      <c r="H311" t="n">
        <v>6.72476239695047</v>
      </c>
      <c r="I311" t="n">
        <v>6.6576965786435</v>
      </c>
      <c r="J311" t="n">
        <v>6.60717458466375</v>
      </c>
      <c r="K311" t="n">
        <v>6.57499552144591</v>
      </c>
      <c r="L311" t="n">
        <v>6.55261022384664</v>
      </c>
      <c r="M311" t="n">
        <v>6.52357652338489</v>
      </c>
      <c r="N311" t="n">
        <v>6.48735629692372</v>
      </c>
      <c r="O311" t="n">
        <v>6.44256291036342</v>
      </c>
      <c r="P311" t="n">
        <v>6.39470617883721</v>
      </c>
      <c r="Q311" t="n">
        <v>6.34762126158056</v>
      </c>
      <c r="R311" t="n">
        <v>6.30211777486565</v>
      </c>
      <c r="S311" t="n">
        <v>6.25834363890917</v>
      </c>
      <c r="T311" t="n">
        <v>6.21507513825944</v>
      </c>
      <c r="U311" t="n">
        <v>6.16943607350038</v>
      </c>
      <c r="V311" t="n">
        <v>6.11667618074175</v>
      </c>
      <c r="W311" t="n">
        <v>3</v>
      </c>
      <c r="AG311" s="223" t="inlineStr">
        <is>
          <t>POP</t>
        </is>
      </c>
      <c r="AI311" t="n">
        <v>1</v>
      </c>
      <c r="AJ311" t="n">
        <v>0.999153277629258</v>
      </c>
      <c r="AK311" t="n">
        <v>0.994919665775547</v>
      </c>
      <c r="AL311" t="n">
        <v>0.981113622085295</v>
      </c>
      <c r="AM311" t="n">
        <v>0.968255638939726</v>
      </c>
      <c r="AN311" t="n">
        <v>0.958442860335364</v>
      </c>
      <c r="AO311" t="n">
        <v>0.952105611580232</v>
      </c>
      <c r="AP311" t="n">
        <v>0.947630746523464</v>
      </c>
      <c r="AQ311" t="n">
        <v>0.941735143873907</v>
      </c>
      <c r="AR311" t="n">
        <v>0.934265564647304</v>
      </c>
      <c r="AS311" t="n">
        <v>0.924882519918043</v>
      </c>
      <c r="AT311" t="n">
        <v>0.914704409340846</v>
      </c>
      <c r="AU311" t="n">
        <v>0.904538268851693</v>
      </c>
      <c r="AV311" t="n">
        <v>0.894562479762628</v>
      </c>
      <c r="AW311" t="n">
        <v>0.884815690929354</v>
      </c>
      <c r="AX311" t="n">
        <v>0.875027887508692</v>
      </c>
      <c r="AY311" t="n">
        <v>0.864537146774868</v>
      </c>
      <c r="AZ311" t="n">
        <v>0.852214873283883</v>
      </c>
      <c r="BA311" t="n">
        <v>0</v>
      </c>
      <c r="BB311" t="n">
        <v>0</v>
      </c>
      <c r="BC311" t="n">
        <v>0</v>
      </c>
      <c r="BD311" t="n">
        <v>0</v>
      </c>
      <c r="BE311" t="n">
        <v>0</v>
      </c>
      <c r="BF311" t="n">
        <v>0</v>
      </c>
      <c r="BG311" t="n">
        <v>0</v>
      </c>
      <c r="BH311" t="n">
        <v>0</v>
      </c>
      <c r="BJ311" t="inlineStr">
        <is>
          <t>Med2</t>
        </is>
      </c>
      <c r="BL311" t="n">
        <v>0.8</v>
      </c>
      <c r="BM311" t="n">
        <v>0.797560975609756</v>
      </c>
      <c r="BN311" t="n">
        <v>0.785365853658536</v>
      </c>
      <c r="BO311" t="n">
        <v>0.773170731707317</v>
      </c>
      <c r="BP311" t="n">
        <v>0.760975609756097</v>
      </c>
      <c r="BQ311" t="n">
        <v>0.748780487804878</v>
      </c>
      <c r="BR311" t="n">
        <v>0.736585365853658</v>
      </c>
      <c r="BS311" t="n">
        <v>0.724390243902439</v>
      </c>
      <c r="BT311" t="n">
        <v>0.71219512195122</v>
      </c>
      <c r="BU311" t="n">
        <v>0.699999999999999</v>
      </c>
      <c r="BV311" t="n">
        <v>0.687499999999999</v>
      </c>
      <c r="BW311" t="n">
        <v>0.675</v>
      </c>
      <c r="BX311" t="n">
        <v>0.6625</v>
      </c>
      <c r="BY311" t="n">
        <v>0.649999999999999</v>
      </c>
      <c r="BZ311" t="n">
        <v>0.637499999999999</v>
      </c>
      <c r="CA311" t="n">
        <v>0.625</v>
      </c>
      <c r="CB311" t="n">
        <v>0.6125</v>
      </c>
      <c r="CC311" t="n">
        <v>0.6</v>
      </c>
      <c r="CD311" t="e">
        <v>#VALUE!</v>
      </c>
      <c r="CE311" t="e">
        <v>#VALUE!</v>
      </c>
      <c r="CF311" t="e">
        <v>#VALUE!</v>
      </c>
      <c r="CG311" t="e">
        <v>#VALUE!</v>
      </c>
      <c r="CH311" t="e">
        <v>#VALUE!</v>
      </c>
      <c r="CI311" t="e">
        <v>#VALUE!</v>
      </c>
      <c r="CJ311" t="e">
        <v>#VALUE!</v>
      </c>
      <c r="CK311" t="e">
        <v>#VALUE!</v>
      </c>
    </row>
    <row r="312" ht="12.5" customHeight="1" s="213">
      <c r="A312" t="inlineStr">
        <is>
          <t>Russia</t>
        </is>
      </c>
      <c r="B312" t="inlineStr">
        <is>
          <t>Trd_car</t>
        </is>
      </c>
      <c r="C312" t="inlineStr">
        <is>
          <t>Trd_car</t>
        </is>
      </c>
      <c r="D312" t="n">
        <v>531.888</v>
      </c>
      <c r="E312" t="n">
        <v>535.78761516086</v>
      </c>
      <c r="G312" t="n">
        <v>566.200505481344</v>
      </c>
      <c r="H312" t="n">
        <v>604.938241295261</v>
      </c>
      <c r="I312" t="n">
        <v>655.486802594992</v>
      </c>
      <c r="J312" t="n">
        <v>705.277454642827</v>
      </c>
      <c r="K312" t="n">
        <v>752.752019494957</v>
      </c>
      <c r="L312" t="n">
        <v>798.2413489686591</v>
      </c>
      <c r="M312" t="n">
        <v>847.5202712269941</v>
      </c>
      <c r="N312" t="n">
        <v>903.453554589231</v>
      </c>
      <c r="O312" t="n">
        <v>962.385688002794</v>
      </c>
      <c r="P312" t="n">
        <v>1022.6534732597</v>
      </c>
      <c r="Q312" t="n">
        <v>1082.15665587592</v>
      </c>
      <c r="R312" t="n">
        <v>1140.95383591885</v>
      </c>
      <c r="S312" t="n">
        <v>1200.5132942107</v>
      </c>
      <c r="T312" t="n">
        <v>1262.23871672957</v>
      </c>
      <c r="U312" t="n">
        <v>1326.15320743053</v>
      </c>
      <c r="V312" t="n">
        <v>1391.19352245561</v>
      </c>
      <c r="W312" t="n">
        <v>3</v>
      </c>
      <c r="AG312" s="223" t="inlineStr">
        <is>
          <t>GDPPCAP</t>
        </is>
      </c>
      <c r="AI312" t="n">
        <v>1</v>
      </c>
      <c r="AJ312" t="n">
        <v>1.0091925851624</v>
      </c>
      <c r="AK312" t="n">
        <v>1.08213280386126</v>
      </c>
      <c r="AL312" t="n">
        <v>1.17788949644748</v>
      </c>
      <c r="AM312" t="n">
        <v>1.3072291137853</v>
      </c>
      <c r="AN312" t="n">
        <v>1.43984057316836</v>
      </c>
      <c r="AO312" t="n">
        <v>1.57142130959445</v>
      </c>
      <c r="AP312" t="n">
        <v>1.70251375096447</v>
      </c>
      <c r="AQ312" t="n">
        <v>1.85009072942832</v>
      </c>
      <c r="AR312" t="n">
        <v>2.02451832978555</v>
      </c>
      <c r="AS312" t="n">
        <v>2.21660416623042</v>
      </c>
      <c r="AT312" t="n">
        <v>2.42225025248719</v>
      </c>
      <c r="AU312" t="n">
        <v>2.63498813137745</v>
      </c>
      <c r="AV312" t="n">
        <v>2.85524612016076</v>
      </c>
      <c r="AW312" t="n">
        <v>3.08904693866758</v>
      </c>
      <c r="AX312" t="n">
        <v>3.34316854267064</v>
      </c>
      <c r="AY312" t="n">
        <v>3.61955070741246</v>
      </c>
      <c r="AZ312" t="n">
        <v>3.91541486164478</v>
      </c>
      <c r="BA312" t="n">
        <v>0</v>
      </c>
      <c r="BB312" t="n">
        <v>0</v>
      </c>
      <c r="BC312" t="n">
        <v>0</v>
      </c>
      <c r="BD312" t="n">
        <v>0</v>
      </c>
      <c r="BE312" t="n">
        <v>0</v>
      </c>
      <c r="BF312" t="n">
        <v>0</v>
      </c>
      <c r="BG312" t="n">
        <v>0</v>
      </c>
      <c r="BH312" t="n">
        <v>0</v>
      </c>
      <c r="BJ312" t="inlineStr">
        <is>
          <t>Med2</t>
        </is>
      </c>
      <c r="BL312" t="n">
        <v>0.8</v>
      </c>
      <c r="BM312" t="n">
        <v>0.797560975609756</v>
      </c>
      <c r="BN312" t="n">
        <v>0.785365853658536</v>
      </c>
      <c r="BO312" t="n">
        <v>0.773170731707317</v>
      </c>
      <c r="BP312" t="n">
        <v>0.760975609756097</v>
      </c>
      <c r="BQ312" t="n">
        <v>0.748780487804878</v>
      </c>
      <c r="BR312" t="n">
        <v>0.736585365853658</v>
      </c>
      <c r="BS312" t="n">
        <v>0.724390243902439</v>
      </c>
      <c r="BT312" t="n">
        <v>0.71219512195122</v>
      </c>
      <c r="BU312" t="n">
        <v>0.699999999999999</v>
      </c>
      <c r="BV312" t="n">
        <v>0.687499999999999</v>
      </c>
      <c r="BW312" t="n">
        <v>0.675</v>
      </c>
      <c r="BX312" t="n">
        <v>0.6625</v>
      </c>
      <c r="BY312" t="n">
        <v>0.649999999999999</v>
      </c>
      <c r="BZ312" t="n">
        <v>0.637499999999999</v>
      </c>
      <c r="CA312" t="n">
        <v>0.625</v>
      </c>
      <c r="CB312" t="n">
        <v>0.6125</v>
      </c>
      <c r="CC312" t="n">
        <v>0.6</v>
      </c>
      <c r="CD312" t="e">
        <v>#VALUE!</v>
      </c>
      <c r="CE312" t="e">
        <v>#VALUE!</v>
      </c>
      <c r="CF312" t="e">
        <v>#VALUE!</v>
      </c>
      <c r="CG312" t="e">
        <v>#VALUE!</v>
      </c>
      <c r="CH312" t="e">
        <v>#VALUE!</v>
      </c>
      <c r="CI312" t="e">
        <v>#VALUE!</v>
      </c>
      <c r="CJ312" t="e">
        <v>#VALUE!</v>
      </c>
      <c r="CK312" t="e">
        <v>#VALUE!</v>
      </c>
    </row>
    <row r="313" ht="12.5" customHeight="1" s="213">
      <c r="A313" t="inlineStr">
        <is>
          <t>Russia</t>
        </is>
      </c>
      <c r="B313" t="inlineStr">
        <is>
          <t>Trd_hdt</t>
        </is>
      </c>
      <c r="C313" t="inlineStr">
        <is>
          <t>Trd_hdt</t>
        </is>
      </c>
      <c r="D313" t="n">
        <v>100.2</v>
      </c>
      <c r="E313" t="n">
        <v>100.866342685393</v>
      </c>
      <c r="G313" t="n">
        <v>106.231896610463</v>
      </c>
      <c r="H313" t="n">
        <v>112.259352704584</v>
      </c>
      <c r="I313" t="n">
        <v>120.397236631339</v>
      </c>
      <c r="J313" t="n">
        <v>128.536268617272</v>
      </c>
      <c r="K313" t="n">
        <v>136.505249693927</v>
      </c>
      <c r="L313" t="n">
        <v>144.250839410305</v>
      </c>
      <c r="M313" t="n">
        <v>152.461514826692</v>
      </c>
      <c r="N313" t="n">
        <v>161.59711966202</v>
      </c>
      <c r="O313" t="n">
        <v>170.91642608747</v>
      </c>
      <c r="P313" t="n">
        <v>180.23238832493</v>
      </c>
      <c r="Q313" t="n">
        <v>189.275603029981</v>
      </c>
      <c r="R313" t="n">
        <v>198.089320971846</v>
      </c>
      <c r="S313" t="n">
        <v>206.941290016317</v>
      </c>
      <c r="T313" t="n">
        <v>216.032917905273</v>
      </c>
      <c r="U313" t="n">
        <v>225.254382271043</v>
      </c>
      <c r="V313" t="n">
        <v>234.21804173876</v>
      </c>
      <c r="W313" t="n">
        <v>3</v>
      </c>
      <c r="AG313" s="223" t="inlineStr">
        <is>
          <t>GDP</t>
        </is>
      </c>
      <c r="AI313" t="n">
        <v>1</v>
      </c>
      <c r="AJ313" t="n">
        <v>1.00833807922416</v>
      </c>
      <c r="AK313" t="n">
        <v>1.0766352075424</v>
      </c>
      <c r="AL313" t="n">
        <v>1.15564343027581</v>
      </c>
      <c r="AM313" t="n">
        <v>1.2657319608088</v>
      </c>
      <c r="AN313" t="n">
        <v>1.3800049173744</v>
      </c>
      <c r="AO313" t="n">
        <v>1.49615904702163</v>
      </c>
      <c r="AP313" t="n">
        <v>1.61335437679292</v>
      </c>
      <c r="AQ313" t="n">
        <v>1.74229545925796</v>
      </c>
      <c r="AR313" t="n">
        <v>1.89143776051591</v>
      </c>
      <c r="AS313" t="n">
        <v>2.05009844692402</v>
      </c>
      <c r="AT313" t="n">
        <v>2.21564298647701</v>
      </c>
      <c r="AU313" t="n">
        <v>2.38344760280091</v>
      </c>
      <c r="AV313" t="n">
        <v>2.55419604958363</v>
      </c>
      <c r="AW313" t="n">
        <v>2.73323720135036</v>
      </c>
      <c r="AX313" t="n">
        <v>2.92536570747861</v>
      </c>
      <c r="AY313" t="n">
        <v>3.12923604119332</v>
      </c>
      <c r="AZ313" t="n">
        <v>3.33677478017044</v>
      </c>
      <c r="BA313" t="n">
        <v>0</v>
      </c>
      <c r="BB313" t="n">
        <v>0</v>
      </c>
      <c r="BC313" t="n">
        <v>0</v>
      </c>
      <c r="BD313" t="n">
        <v>0</v>
      </c>
      <c r="BE313" t="n">
        <v>0</v>
      </c>
      <c r="BF313" t="n">
        <v>0</v>
      </c>
      <c r="BG313" t="n">
        <v>0</v>
      </c>
      <c r="BH313" t="n">
        <v>0</v>
      </c>
      <c r="BJ313" t="inlineStr">
        <is>
          <t>Med2</t>
        </is>
      </c>
      <c r="BL313" t="n">
        <v>0.8</v>
      </c>
      <c r="BM313" t="n">
        <v>0.797560975609756</v>
      </c>
      <c r="BN313" t="n">
        <v>0.785365853658536</v>
      </c>
      <c r="BO313" t="n">
        <v>0.773170731707317</v>
      </c>
      <c r="BP313" t="n">
        <v>0.760975609756097</v>
      </c>
      <c r="BQ313" t="n">
        <v>0.748780487804878</v>
      </c>
      <c r="BR313" t="n">
        <v>0.736585365853658</v>
      </c>
      <c r="BS313" t="n">
        <v>0.724390243902439</v>
      </c>
      <c r="BT313" t="n">
        <v>0.71219512195122</v>
      </c>
      <c r="BU313" t="n">
        <v>0.699999999999999</v>
      </c>
      <c r="BV313" t="n">
        <v>0.687499999999999</v>
      </c>
      <c r="BW313" t="n">
        <v>0.675</v>
      </c>
      <c r="BX313" t="n">
        <v>0.6625</v>
      </c>
      <c r="BY313" t="n">
        <v>0.649999999999999</v>
      </c>
      <c r="BZ313" t="n">
        <v>0.637499999999999</v>
      </c>
      <c r="CA313" t="n">
        <v>0.625</v>
      </c>
      <c r="CB313" t="n">
        <v>0.6125</v>
      </c>
      <c r="CC313" t="n">
        <v>0.6</v>
      </c>
      <c r="CD313" t="e">
        <v>#VALUE!</v>
      </c>
      <c r="CE313" t="e">
        <v>#VALUE!</v>
      </c>
      <c r="CF313" t="e">
        <v>#VALUE!</v>
      </c>
      <c r="CG313" t="e">
        <v>#VALUE!</v>
      </c>
      <c r="CH313" t="e">
        <v>#VALUE!</v>
      </c>
      <c r="CI313" t="e">
        <v>#VALUE!</v>
      </c>
      <c r="CJ313" t="e">
        <v>#VALUE!</v>
      </c>
      <c r="CK313" t="e">
        <v>#VALUE!</v>
      </c>
    </row>
    <row r="314" ht="12.5" customHeight="1" s="213">
      <c r="A314" t="inlineStr">
        <is>
          <t>Russia</t>
        </is>
      </c>
      <c r="B314" t="inlineStr">
        <is>
          <t>Trd_lcv</t>
        </is>
      </c>
      <c r="C314" t="inlineStr">
        <is>
          <t>Trd_lcv</t>
        </is>
      </c>
      <c r="D314" t="n">
        <v>132.56</v>
      </c>
      <c r="E314" t="n">
        <v>133.441540782193</v>
      </c>
      <c r="G314" t="n">
        <v>140.539922302225</v>
      </c>
      <c r="H314" t="n">
        <v>148.513970005186</v>
      </c>
      <c r="I314" t="n">
        <v>159.280016844813</v>
      </c>
      <c r="J314" t="n">
        <v>170.047582514028</v>
      </c>
      <c r="K314" t="n">
        <v>180.590178636995</v>
      </c>
      <c r="L314" t="n">
        <v>190.837238245808</v>
      </c>
      <c r="M314" t="n">
        <v>201.699584884493</v>
      </c>
      <c r="N314" t="n">
        <v>213.785570682609</v>
      </c>
      <c r="O314" t="n">
        <v>226.114585251049</v>
      </c>
      <c r="P314" t="n">
        <v>238.439175612302</v>
      </c>
      <c r="Q314" t="n">
        <v>250.402933509524</v>
      </c>
      <c r="R314" t="n">
        <v>262.063077724829</v>
      </c>
      <c r="S314" t="n">
        <v>273.773826392844</v>
      </c>
      <c r="T314" t="n">
        <v>285.80163270981</v>
      </c>
      <c r="U314" t="n">
        <v>298.001206725045</v>
      </c>
      <c r="V314" t="n">
        <v>309.859716695509</v>
      </c>
      <c r="W314" t="n">
        <v>3</v>
      </c>
      <c r="AG314" s="223" t="inlineStr">
        <is>
          <t>GDP</t>
        </is>
      </c>
      <c r="AI314" t="n">
        <v>1</v>
      </c>
      <c r="AJ314" t="n">
        <v>1.00833807922416</v>
      </c>
      <c r="AK314" t="n">
        <v>1.0766352075424</v>
      </c>
      <c r="AL314" t="n">
        <v>1.15564343027581</v>
      </c>
      <c r="AM314" t="n">
        <v>1.2657319608088</v>
      </c>
      <c r="AN314" t="n">
        <v>1.3800049173744</v>
      </c>
      <c r="AO314" t="n">
        <v>1.49615904702163</v>
      </c>
      <c r="AP314" t="n">
        <v>1.61335437679292</v>
      </c>
      <c r="AQ314" t="n">
        <v>1.74229545925796</v>
      </c>
      <c r="AR314" t="n">
        <v>1.89143776051591</v>
      </c>
      <c r="AS314" t="n">
        <v>2.05009844692402</v>
      </c>
      <c r="AT314" t="n">
        <v>2.21564298647701</v>
      </c>
      <c r="AU314" t="n">
        <v>2.38344760280091</v>
      </c>
      <c r="AV314" t="n">
        <v>2.55419604958363</v>
      </c>
      <c r="AW314" t="n">
        <v>2.73323720135036</v>
      </c>
      <c r="AX314" t="n">
        <v>2.92536570747861</v>
      </c>
      <c r="AY314" t="n">
        <v>3.12923604119332</v>
      </c>
      <c r="AZ314" t="n">
        <v>3.33677478017044</v>
      </c>
      <c r="BA314" t="n">
        <v>0</v>
      </c>
      <c r="BB314" t="n">
        <v>0</v>
      </c>
      <c r="BC314" t="n">
        <v>0</v>
      </c>
      <c r="BD314" t="n">
        <v>0</v>
      </c>
      <c r="BE314" t="n">
        <v>0</v>
      </c>
      <c r="BF314" t="n">
        <v>0</v>
      </c>
      <c r="BG314" t="n">
        <v>0</v>
      </c>
      <c r="BH314" t="n">
        <v>0</v>
      </c>
      <c r="BJ314" t="inlineStr">
        <is>
          <t>Med2</t>
        </is>
      </c>
      <c r="BL314" t="n">
        <v>0.8</v>
      </c>
      <c r="BM314" t="n">
        <v>0.797560975609756</v>
      </c>
      <c r="BN314" t="n">
        <v>0.785365853658536</v>
      </c>
      <c r="BO314" t="n">
        <v>0.773170731707317</v>
      </c>
      <c r="BP314" t="n">
        <v>0.760975609756097</v>
      </c>
      <c r="BQ314" t="n">
        <v>0.748780487804878</v>
      </c>
      <c r="BR314" t="n">
        <v>0.736585365853658</v>
      </c>
      <c r="BS314" t="n">
        <v>0.724390243902439</v>
      </c>
      <c r="BT314" t="n">
        <v>0.71219512195122</v>
      </c>
      <c r="BU314" t="n">
        <v>0.699999999999999</v>
      </c>
      <c r="BV314" t="n">
        <v>0.687499999999999</v>
      </c>
      <c r="BW314" t="n">
        <v>0.675</v>
      </c>
      <c r="BX314" t="n">
        <v>0.6625</v>
      </c>
      <c r="BY314" t="n">
        <v>0.649999999999999</v>
      </c>
      <c r="BZ314" t="n">
        <v>0.637499999999999</v>
      </c>
      <c r="CA314" t="n">
        <v>0.625</v>
      </c>
      <c r="CB314" t="n">
        <v>0.6125</v>
      </c>
      <c r="CC314" t="n">
        <v>0.6</v>
      </c>
      <c r="CD314" t="e">
        <v>#VALUE!</v>
      </c>
      <c r="CE314" t="e">
        <v>#VALUE!</v>
      </c>
      <c r="CF314" t="e">
        <v>#VALUE!</v>
      </c>
      <c r="CG314" t="e">
        <v>#VALUE!</v>
      </c>
      <c r="CH314" t="e">
        <v>#VALUE!</v>
      </c>
      <c r="CI314" t="e">
        <v>#VALUE!</v>
      </c>
      <c r="CJ314" t="e">
        <v>#VALUE!</v>
      </c>
      <c r="CK314" t="e">
        <v>#VALUE!</v>
      </c>
    </row>
    <row r="315" ht="12.5" customHeight="1" s="213">
      <c r="A315" t="inlineStr">
        <is>
          <t>SaudiArabia</t>
        </is>
      </c>
      <c r="B315" t="inlineStr">
        <is>
          <t>TAD</t>
        </is>
      </c>
      <c r="C315" t="inlineStr">
        <is>
          <t>TAD</t>
        </is>
      </c>
      <c r="E315" t="n">
        <v>40.9363086427679</v>
      </c>
      <c r="F315">
        <f>E315</f>
        <v/>
      </c>
      <c r="I315">
        <f>F315</f>
        <v/>
      </c>
      <c r="J315">
        <f>I315</f>
        <v/>
      </c>
      <c r="L315">
        <f>J315</f>
        <v/>
      </c>
      <c r="V315">
        <f>L315</f>
        <v/>
      </c>
      <c r="W315" t="n">
        <v>3</v>
      </c>
      <c r="AG315" s="223" t="inlineStr">
        <is>
          <t>GDP</t>
        </is>
      </c>
      <c r="AI315" t="n">
        <v>1</v>
      </c>
      <c r="AJ315" t="n">
        <v>1.0027249390837</v>
      </c>
      <c r="AK315" t="n">
        <v>1.21699113580074</v>
      </c>
      <c r="AL315" t="n">
        <v>1.50702668284416</v>
      </c>
      <c r="AM315" t="n">
        <v>1.767807364104</v>
      </c>
      <c r="AN315" t="n">
        <v>2.00151413358469</v>
      </c>
      <c r="AO315" t="n">
        <v>2.20393549389834</v>
      </c>
      <c r="AP315" t="n">
        <v>2.37738400834278</v>
      </c>
      <c r="AQ315" t="n">
        <v>2.52842760736811</v>
      </c>
      <c r="AR315" t="n">
        <v>2.65381366129534</v>
      </c>
      <c r="AS315" t="n">
        <v>2.75888801427898</v>
      </c>
      <c r="AT315" t="n">
        <v>2.84552453197228</v>
      </c>
      <c r="AU315" t="n">
        <v>2.91486382825113</v>
      </c>
      <c r="AV315" t="n">
        <v>2.97411307870486</v>
      </c>
      <c r="AW315" t="n">
        <v>3.02571645592467</v>
      </c>
      <c r="AX315" t="n">
        <v>3.07040721168791</v>
      </c>
      <c r="AY315" t="n">
        <v>3.10681911618719</v>
      </c>
      <c r="AZ315" t="n">
        <v>3.13344179610336</v>
      </c>
      <c r="BA315" t="n">
        <v>0</v>
      </c>
      <c r="BB315" t="n">
        <v>0</v>
      </c>
      <c r="BC315" t="n">
        <v>0</v>
      </c>
      <c r="BD315" t="n">
        <v>0</v>
      </c>
      <c r="BE315" t="n">
        <v>0</v>
      </c>
      <c r="BF315" t="n">
        <v>0</v>
      </c>
      <c r="BG315" t="n">
        <v>0</v>
      </c>
      <c r="BH315" t="n">
        <v>0</v>
      </c>
      <c r="BJ315" t="inlineStr">
        <is>
          <t>Med2</t>
        </is>
      </c>
      <c r="BL315" t="n">
        <v>0.8</v>
      </c>
      <c r="BM315" t="n">
        <v>0.797560975609756</v>
      </c>
      <c r="BN315" t="n">
        <v>0.785365853658536</v>
      </c>
      <c r="BO315" t="n">
        <v>0.773170731707317</v>
      </c>
      <c r="BP315" t="n">
        <v>0.760975609756097</v>
      </c>
      <c r="BQ315" t="n">
        <v>0.748780487804878</v>
      </c>
      <c r="BR315" t="n">
        <v>0.736585365853658</v>
      </c>
      <c r="BS315" t="n">
        <v>0.724390243902439</v>
      </c>
      <c r="BT315" t="n">
        <v>0.71219512195122</v>
      </c>
      <c r="BU315" t="n">
        <v>0.699999999999999</v>
      </c>
      <c r="BV315" t="n">
        <v>0.687499999999999</v>
      </c>
      <c r="BW315" t="n">
        <v>0.675</v>
      </c>
      <c r="BX315" t="n">
        <v>0.6625</v>
      </c>
      <c r="BY315" t="n">
        <v>0.649999999999999</v>
      </c>
      <c r="BZ315" t="n">
        <v>0.637499999999999</v>
      </c>
      <c r="CA315" t="n">
        <v>0.625</v>
      </c>
      <c r="CB315" t="n">
        <v>0.6125</v>
      </c>
      <c r="CC315" t="n">
        <v>0.6</v>
      </c>
      <c r="CD315" t="e">
        <v>#VALUE!</v>
      </c>
      <c r="CE315" t="e">
        <v>#VALUE!</v>
      </c>
      <c r="CF315" t="e">
        <v>#VALUE!</v>
      </c>
      <c r="CG315" t="e">
        <v>#VALUE!</v>
      </c>
      <c r="CH315" t="e">
        <v>#VALUE!</v>
      </c>
      <c r="CI315" t="e">
        <v>#VALUE!</v>
      </c>
      <c r="CJ315" t="e">
        <v>#VALUE!</v>
      </c>
      <c r="CK315" t="e">
        <v>#VALUE!</v>
      </c>
    </row>
    <row r="316" ht="12.5" customHeight="1" s="213">
      <c r="A316" t="inlineStr">
        <is>
          <t>SaudiArabia</t>
        </is>
      </c>
      <c r="B316" t="inlineStr">
        <is>
          <t>TAI</t>
        </is>
      </c>
      <c r="C316" t="inlineStr">
        <is>
          <t>TAI</t>
        </is>
      </c>
      <c r="E316" t="n">
        <v>153.428915688234</v>
      </c>
      <c r="F316">
        <f>E316</f>
        <v/>
      </c>
      <c r="I316">
        <f>F316</f>
        <v/>
      </c>
      <c r="J316">
        <f>I316</f>
        <v/>
      </c>
      <c r="L316">
        <f>J316</f>
        <v/>
      </c>
      <c r="V316">
        <f>L316</f>
        <v/>
      </c>
      <c r="W316" t="n">
        <v>3</v>
      </c>
      <c r="AG316" s="223" t="inlineStr">
        <is>
          <t>GDP</t>
        </is>
      </c>
      <c r="AI316" t="n">
        <v>1</v>
      </c>
      <c r="AJ316" t="n">
        <v>1.0027249390837</v>
      </c>
      <c r="AK316" t="n">
        <v>1.21699113580074</v>
      </c>
      <c r="AL316" t="n">
        <v>1.50702668284416</v>
      </c>
      <c r="AM316" t="n">
        <v>1.767807364104</v>
      </c>
      <c r="AN316" t="n">
        <v>2.00151413358469</v>
      </c>
      <c r="AO316" t="n">
        <v>2.20393549389834</v>
      </c>
      <c r="AP316" t="n">
        <v>2.37738400834278</v>
      </c>
      <c r="AQ316" t="n">
        <v>2.52842760736811</v>
      </c>
      <c r="AR316" t="n">
        <v>2.65381366129534</v>
      </c>
      <c r="AS316" t="n">
        <v>2.75888801427898</v>
      </c>
      <c r="AT316" t="n">
        <v>2.84552453197228</v>
      </c>
      <c r="AU316" t="n">
        <v>2.91486382825113</v>
      </c>
      <c r="AV316" t="n">
        <v>2.97411307870486</v>
      </c>
      <c r="AW316" t="n">
        <v>3.02571645592467</v>
      </c>
      <c r="AX316" t="n">
        <v>3.07040721168791</v>
      </c>
      <c r="AY316" t="n">
        <v>3.10681911618719</v>
      </c>
      <c r="AZ316" t="n">
        <v>3.13344179610336</v>
      </c>
      <c r="BA316" t="n">
        <v>0</v>
      </c>
      <c r="BB316" t="n">
        <v>0</v>
      </c>
      <c r="BC316" t="n">
        <v>0</v>
      </c>
      <c r="BD316" t="n">
        <v>0</v>
      </c>
      <c r="BE316" t="n">
        <v>0</v>
      </c>
      <c r="BF316" t="n">
        <v>0</v>
      </c>
      <c r="BG316" t="n">
        <v>0</v>
      </c>
      <c r="BH316" t="n">
        <v>0</v>
      </c>
      <c r="BJ316" t="inlineStr">
        <is>
          <t>Med2</t>
        </is>
      </c>
      <c r="BL316" t="n">
        <v>0.8</v>
      </c>
      <c r="BM316" t="n">
        <v>0.797560975609756</v>
      </c>
      <c r="BN316" t="n">
        <v>0.785365853658536</v>
      </c>
      <c r="BO316" t="n">
        <v>0.773170731707317</v>
      </c>
      <c r="BP316" t="n">
        <v>0.760975609756097</v>
      </c>
      <c r="BQ316" t="n">
        <v>0.748780487804878</v>
      </c>
      <c r="BR316" t="n">
        <v>0.736585365853658</v>
      </c>
      <c r="BS316" t="n">
        <v>0.724390243902439</v>
      </c>
      <c r="BT316" t="n">
        <v>0.71219512195122</v>
      </c>
      <c r="BU316" t="n">
        <v>0.699999999999999</v>
      </c>
      <c r="BV316" t="n">
        <v>0.687499999999999</v>
      </c>
      <c r="BW316" t="n">
        <v>0.675</v>
      </c>
      <c r="BX316" t="n">
        <v>0.6625</v>
      </c>
      <c r="BY316" t="n">
        <v>0.649999999999999</v>
      </c>
      <c r="BZ316" t="n">
        <v>0.637499999999999</v>
      </c>
      <c r="CA316" t="n">
        <v>0.625</v>
      </c>
      <c r="CB316" t="n">
        <v>0.6125</v>
      </c>
      <c r="CC316" t="n">
        <v>0.6</v>
      </c>
      <c r="CD316" t="e">
        <v>#VALUE!</v>
      </c>
      <c r="CE316" t="e">
        <v>#VALUE!</v>
      </c>
      <c r="CF316" t="e">
        <v>#VALUE!</v>
      </c>
      <c r="CG316" t="e">
        <v>#VALUE!</v>
      </c>
      <c r="CH316" t="e">
        <v>#VALUE!</v>
      </c>
      <c r="CI316" t="e">
        <v>#VALUE!</v>
      </c>
      <c r="CJ316" t="e">
        <v>#VALUE!</v>
      </c>
      <c r="CK316" t="e">
        <v>#VALUE!</v>
      </c>
    </row>
    <row r="317" ht="12.5" customHeight="1" s="213">
      <c r="A317" t="inlineStr">
        <is>
          <t>SaudiArabia</t>
        </is>
      </c>
      <c r="B317" t="inlineStr">
        <is>
          <t>TTF</t>
        </is>
      </c>
      <c r="C317" t="inlineStr">
        <is>
          <t>TTF</t>
        </is>
      </c>
      <c r="E317" t="n">
        <v>0</v>
      </c>
      <c r="I317" t="n">
        <v>0</v>
      </c>
      <c r="J317" t="n">
        <v>0</v>
      </c>
      <c r="L317" t="n">
        <v>0</v>
      </c>
      <c r="V317" t="n">
        <v>0</v>
      </c>
      <c r="W317" t="n">
        <v>3</v>
      </c>
      <c r="AG317" s="223" t="inlineStr">
        <is>
          <t>GDP</t>
        </is>
      </c>
      <c r="AI317" t="n">
        <v>1</v>
      </c>
      <c r="AJ317" t="n">
        <v>1.0027249390837</v>
      </c>
      <c r="AK317" t="n">
        <v>1.21699113580074</v>
      </c>
      <c r="AL317" t="n">
        <v>1.50702668284416</v>
      </c>
      <c r="AM317" t="n">
        <v>1.767807364104</v>
      </c>
      <c r="AN317" t="n">
        <v>2.00151413358469</v>
      </c>
      <c r="AO317" t="n">
        <v>2.20393549389834</v>
      </c>
      <c r="AP317" t="n">
        <v>2.37738400834278</v>
      </c>
      <c r="AQ317" t="n">
        <v>2.52842760736811</v>
      </c>
      <c r="AR317" t="n">
        <v>2.65381366129534</v>
      </c>
      <c r="AS317" t="n">
        <v>2.75888801427898</v>
      </c>
      <c r="AT317" t="n">
        <v>2.84552453197228</v>
      </c>
      <c r="AU317" t="n">
        <v>2.91486382825113</v>
      </c>
      <c r="AV317" t="n">
        <v>2.97411307870486</v>
      </c>
      <c r="AW317" t="n">
        <v>3.02571645592467</v>
      </c>
      <c r="AX317" t="n">
        <v>3.07040721168791</v>
      </c>
      <c r="AY317" t="n">
        <v>3.10681911618719</v>
      </c>
      <c r="AZ317" t="n">
        <v>3.13344179610336</v>
      </c>
      <c r="BA317" t="n">
        <v>0</v>
      </c>
      <c r="BB317" t="n">
        <v>0</v>
      </c>
      <c r="BC317" t="n">
        <v>0</v>
      </c>
      <c r="BD317" t="n">
        <v>0</v>
      </c>
      <c r="BE317" t="n">
        <v>0</v>
      </c>
      <c r="BF317" t="n">
        <v>0</v>
      </c>
      <c r="BG317" t="n">
        <v>0</v>
      </c>
      <c r="BH317" t="n">
        <v>0</v>
      </c>
      <c r="BJ317" t="inlineStr">
        <is>
          <t>Med2</t>
        </is>
      </c>
      <c r="BL317" t="n">
        <v>0.8</v>
      </c>
      <c r="BM317" t="n">
        <v>0.797560975609756</v>
      </c>
      <c r="BN317" t="n">
        <v>0.785365853658536</v>
      </c>
      <c r="BO317" t="n">
        <v>0.773170731707317</v>
      </c>
      <c r="BP317" t="n">
        <v>0.760975609756097</v>
      </c>
      <c r="BQ317" t="n">
        <v>0.748780487804878</v>
      </c>
      <c r="BR317" t="n">
        <v>0.736585365853658</v>
      </c>
      <c r="BS317" t="n">
        <v>0.724390243902439</v>
      </c>
      <c r="BT317" t="n">
        <v>0.71219512195122</v>
      </c>
      <c r="BU317" t="n">
        <v>0.699999999999999</v>
      </c>
      <c r="BV317" t="n">
        <v>0.687499999999999</v>
      </c>
      <c r="BW317" t="n">
        <v>0.675</v>
      </c>
      <c r="BX317" t="n">
        <v>0.6625</v>
      </c>
      <c r="BY317" t="n">
        <v>0.649999999999999</v>
      </c>
      <c r="BZ317" t="n">
        <v>0.637499999999999</v>
      </c>
      <c r="CA317" t="n">
        <v>0.625</v>
      </c>
      <c r="CB317" t="n">
        <v>0.6125</v>
      </c>
      <c r="CC317" t="n">
        <v>0.6</v>
      </c>
      <c r="CD317" t="e">
        <v>#VALUE!</v>
      </c>
      <c r="CE317" t="e">
        <v>#VALUE!</v>
      </c>
      <c r="CF317" t="e">
        <v>#VALUE!</v>
      </c>
      <c r="CG317" t="e">
        <v>#VALUE!</v>
      </c>
      <c r="CH317" t="e">
        <v>#VALUE!</v>
      </c>
      <c r="CI317" t="e">
        <v>#VALUE!</v>
      </c>
      <c r="CJ317" t="e">
        <v>#VALUE!</v>
      </c>
      <c r="CK317" t="e">
        <v>#VALUE!</v>
      </c>
    </row>
    <row r="318" ht="12.5" customHeight="1" s="213">
      <c r="A318" t="inlineStr">
        <is>
          <t>SaudiArabia</t>
        </is>
      </c>
      <c r="B318" t="inlineStr">
        <is>
          <t>TTP</t>
        </is>
      </c>
      <c r="C318" t="inlineStr">
        <is>
          <t>TTP</t>
        </is>
      </c>
      <c r="E318" t="n">
        <v>0</v>
      </c>
      <c r="I318" t="n">
        <v>0</v>
      </c>
      <c r="J318" t="n">
        <v>0</v>
      </c>
      <c r="L318" t="n">
        <v>0</v>
      </c>
      <c r="V318" t="n">
        <v>0</v>
      </c>
      <c r="W318" t="n">
        <v>3</v>
      </c>
      <c r="AG318" s="223" t="inlineStr">
        <is>
          <t>POP</t>
        </is>
      </c>
      <c r="AI318" t="n">
        <v>1</v>
      </c>
      <c r="AJ318" t="n">
        <v>1.01679914151656</v>
      </c>
      <c r="AK318" t="n">
        <v>1.10079484909938</v>
      </c>
      <c r="AL318" t="n">
        <v>1.17634123765728</v>
      </c>
      <c r="AM318" t="n">
        <v>1.24400064839454</v>
      </c>
      <c r="AN318" t="n">
        <v>1.30333026953687</v>
      </c>
      <c r="AO318" t="n">
        <v>1.35274683429294</v>
      </c>
      <c r="AP318" t="n">
        <v>1.39103197881782</v>
      </c>
      <c r="AQ318" t="n">
        <v>1.41830062985863</v>
      </c>
      <c r="AR318" t="n">
        <v>1.43475513707264</v>
      </c>
      <c r="AS318" t="n">
        <v>1.43997615114236</v>
      </c>
      <c r="AT318" t="n">
        <v>1.43694581768264</v>
      </c>
      <c r="AU318" t="n">
        <v>1.42840009490283</v>
      </c>
      <c r="AV318" t="n">
        <v>1.41699675153305</v>
      </c>
      <c r="AW318" t="n">
        <v>1.40386569009785</v>
      </c>
      <c r="AX318" t="n">
        <v>1.3885442006389</v>
      </c>
      <c r="AY318" t="n">
        <v>1.36952731810462</v>
      </c>
      <c r="AZ318" t="n">
        <v>1.34669764601564</v>
      </c>
      <c r="BA318" t="n">
        <v>0</v>
      </c>
      <c r="BB318" t="n">
        <v>0</v>
      </c>
      <c r="BC318" t="n">
        <v>0</v>
      </c>
      <c r="BD318" t="n">
        <v>0</v>
      </c>
      <c r="BE318" t="n">
        <v>0</v>
      </c>
      <c r="BF318" t="n">
        <v>0</v>
      </c>
      <c r="BG318" t="n">
        <v>0</v>
      </c>
      <c r="BH318" t="n">
        <v>0</v>
      </c>
      <c r="BJ318" t="inlineStr">
        <is>
          <t>Med2</t>
        </is>
      </c>
      <c r="BL318" t="n">
        <v>0.8</v>
      </c>
      <c r="BM318" t="n">
        <v>0.797560975609756</v>
      </c>
      <c r="BN318" t="n">
        <v>0.785365853658536</v>
      </c>
      <c r="BO318" t="n">
        <v>0.773170731707317</v>
      </c>
      <c r="BP318" t="n">
        <v>0.760975609756097</v>
      </c>
      <c r="BQ318" t="n">
        <v>0.748780487804878</v>
      </c>
      <c r="BR318" t="n">
        <v>0.736585365853658</v>
      </c>
      <c r="BS318" t="n">
        <v>0.724390243902439</v>
      </c>
      <c r="BT318" t="n">
        <v>0.71219512195122</v>
      </c>
      <c r="BU318" t="n">
        <v>0.699999999999999</v>
      </c>
      <c r="BV318" t="n">
        <v>0.687499999999999</v>
      </c>
      <c r="BW318" t="n">
        <v>0.675</v>
      </c>
      <c r="BX318" t="n">
        <v>0.6625</v>
      </c>
      <c r="BY318" t="n">
        <v>0.649999999999999</v>
      </c>
      <c r="BZ318" t="n">
        <v>0.637499999999999</v>
      </c>
      <c r="CA318" t="n">
        <v>0.625</v>
      </c>
      <c r="CB318" t="n">
        <v>0.6125</v>
      </c>
      <c r="CC318" t="n">
        <v>0.6</v>
      </c>
      <c r="CD318" t="e">
        <v>#VALUE!</v>
      </c>
      <c r="CE318" t="e">
        <v>#VALUE!</v>
      </c>
      <c r="CF318" t="e">
        <v>#VALUE!</v>
      </c>
      <c r="CG318" t="e">
        <v>#VALUE!</v>
      </c>
      <c r="CH318" t="e">
        <v>#VALUE!</v>
      </c>
      <c r="CI318" t="e">
        <v>#VALUE!</v>
      </c>
      <c r="CJ318" t="e">
        <v>#VALUE!</v>
      </c>
      <c r="CK318" t="e">
        <v>#VALUE!</v>
      </c>
    </row>
    <row r="319" ht="12.5" customHeight="1" s="213">
      <c r="A319" t="inlineStr">
        <is>
          <t>SaudiArabia</t>
        </is>
      </c>
      <c r="B319" t="inlineStr">
        <is>
          <t>TWD</t>
        </is>
      </c>
      <c r="C319" t="inlineStr">
        <is>
          <t>TWD</t>
        </is>
      </c>
      <c r="E319" t="n">
        <v>0</v>
      </c>
      <c r="F319">
        <f>E319</f>
        <v/>
      </c>
      <c r="I319">
        <f>F319</f>
        <v/>
      </c>
      <c r="J319">
        <f>I319</f>
        <v/>
      </c>
      <c r="L319">
        <f>J319</f>
        <v/>
      </c>
      <c r="V319">
        <f>L319</f>
        <v/>
      </c>
      <c r="W319" t="n">
        <v>3</v>
      </c>
      <c r="AG319" s="223" t="inlineStr">
        <is>
          <t>GDP</t>
        </is>
      </c>
      <c r="AI319" t="n">
        <v>1</v>
      </c>
      <c r="AJ319" t="n">
        <v>1.0027249390837</v>
      </c>
      <c r="AK319" t="n">
        <v>1.21699113580074</v>
      </c>
      <c r="AL319" t="n">
        <v>1.50702668284416</v>
      </c>
      <c r="AM319" t="n">
        <v>1.767807364104</v>
      </c>
      <c r="AN319" t="n">
        <v>2.00151413358469</v>
      </c>
      <c r="AO319" t="n">
        <v>2.20393549389834</v>
      </c>
      <c r="AP319" t="n">
        <v>2.37738400834278</v>
      </c>
      <c r="AQ319" t="n">
        <v>2.52842760736811</v>
      </c>
      <c r="AR319" t="n">
        <v>2.65381366129534</v>
      </c>
      <c r="AS319" t="n">
        <v>2.75888801427898</v>
      </c>
      <c r="AT319" t="n">
        <v>2.84552453197228</v>
      </c>
      <c r="AU319" t="n">
        <v>2.91486382825113</v>
      </c>
      <c r="AV319" t="n">
        <v>2.97411307870486</v>
      </c>
      <c r="AW319" t="n">
        <v>3.02571645592467</v>
      </c>
      <c r="AX319" t="n">
        <v>3.07040721168791</v>
      </c>
      <c r="AY319" t="n">
        <v>3.10681911618719</v>
      </c>
      <c r="AZ319" t="n">
        <v>3.13344179610336</v>
      </c>
      <c r="BA319" t="n">
        <v>0</v>
      </c>
      <c r="BB319" t="n">
        <v>0</v>
      </c>
      <c r="BC319" t="n">
        <v>0</v>
      </c>
      <c r="BD319" t="n">
        <v>0</v>
      </c>
      <c r="BE319" t="n">
        <v>0</v>
      </c>
      <c r="BF319" t="n">
        <v>0</v>
      </c>
      <c r="BG319" t="n">
        <v>0</v>
      </c>
      <c r="BH319" t="n">
        <v>0</v>
      </c>
      <c r="BJ319" t="inlineStr">
        <is>
          <t>Med2</t>
        </is>
      </c>
      <c r="BL319" t="n">
        <v>0.8</v>
      </c>
      <c r="BM319" t="n">
        <v>0.797560975609756</v>
      </c>
      <c r="BN319" t="n">
        <v>0.785365853658536</v>
      </c>
      <c r="BO319" t="n">
        <v>0.773170731707317</v>
      </c>
      <c r="BP319" t="n">
        <v>0.760975609756097</v>
      </c>
      <c r="BQ319" t="n">
        <v>0.748780487804878</v>
      </c>
      <c r="BR319" t="n">
        <v>0.736585365853658</v>
      </c>
      <c r="BS319" t="n">
        <v>0.724390243902439</v>
      </c>
      <c r="BT319" t="n">
        <v>0.71219512195122</v>
      </c>
      <c r="BU319" t="n">
        <v>0.699999999999999</v>
      </c>
      <c r="BV319" t="n">
        <v>0.687499999999999</v>
      </c>
      <c r="BW319" t="n">
        <v>0.675</v>
      </c>
      <c r="BX319" t="n">
        <v>0.6625</v>
      </c>
      <c r="BY319" t="n">
        <v>0.649999999999999</v>
      </c>
      <c r="BZ319" t="n">
        <v>0.637499999999999</v>
      </c>
      <c r="CA319" t="n">
        <v>0.625</v>
      </c>
      <c r="CB319" t="n">
        <v>0.6125</v>
      </c>
      <c r="CC319" t="n">
        <v>0.6</v>
      </c>
      <c r="CD319" t="e">
        <v>#VALUE!</v>
      </c>
      <c r="CE319" t="e">
        <v>#VALUE!</v>
      </c>
      <c r="CF319" t="e">
        <v>#VALUE!</v>
      </c>
      <c r="CG319" t="e">
        <v>#VALUE!</v>
      </c>
      <c r="CH319" t="e">
        <v>#VALUE!</v>
      </c>
      <c r="CI319" t="e">
        <v>#VALUE!</v>
      </c>
      <c r="CJ319" t="e">
        <v>#VALUE!</v>
      </c>
      <c r="CK319" t="e">
        <v>#VALUE!</v>
      </c>
    </row>
    <row r="320" ht="12.5" customHeight="1" s="213">
      <c r="A320" t="inlineStr">
        <is>
          <t>SaudiArabia</t>
        </is>
      </c>
      <c r="B320" t="inlineStr">
        <is>
          <t>TWI</t>
        </is>
      </c>
      <c r="C320" t="inlineStr">
        <is>
          <t>TWI</t>
        </is>
      </c>
      <c r="E320" t="n">
        <v>135.303709517611</v>
      </c>
      <c r="F320">
        <f>E320</f>
        <v/>
      </c>
      <c r="I320">
        <f>F320</f>
        <v/>
      </c>
      <c r="J320">
        <f>I320</f>
        <v/>
      </c>
      <c r="L320">
        <f>J320</f>
        <v/>
      </c>
      <c r="V320">
        <f>L320</f>
        <v/>
      </c>
      <c r="W320" t="n">
        <v>3</v>
      </c>
      <c r="AG320" s="223" t="inlineStr">
        <is>
          <t>GDP</t>
        </is>
      </c>
      <c r="AI320" t="n">
        <v>1</v>
      </c>
      <c r="AJ320" t="n">
        <v>1.0027249390837</v>
      </c>
      <c r="AK320" t="n">
        <v>1.21699113580074</v>
      </c>
      <c r="AL320" t="n">
        <v>1.50702668284416</v>
      </c>
      <c r="AM320" t="n">
        <v>1.767807364104</v>
      </c>
      <c r="AN320" t="n">
        <v>2.00151413358469</v>
      </c>
      <c r="AO320" t="n">
        <v>2.20393549389834</v>
      </c>
      <c r="AP320" t="n">
        <v>2.37738400834278</v>
      </c>
      <c r="AQ320" t="n">
        <v>2.52842760736811</v>
      </c>
      <c r="AR320" t="n">
        <v>2.65381366129534</v>
      </c>
      <c r="AS320" t="n">
        <v>2.75888801427898</v>
      </c>
      <c r="AT320" t="n">
        <v>2.84552453197228</v>
      </c>
      <c r="AU320" t="n">
        <v>2.91486382825113</v>
      </c>
      <c r="AV320" t="n">
        <v>2.97411307870486</v>
      </c>
      <c r="AW320" t="n">
        <v>3.02571645592467</v>
      </c>
      <c r="AX320" t="n">
        <v>3.07040721168791</v>
      </c>
      <c r="AY320" t="n">
        <v>3.10681911618719</v>
      </c>
      <c r="AZ320" t="n">
        <v>3.13344179610336</v>
      </c>
      <c r="BA320" t="n">
        <v>0</v>
      </c>
      <c r="BB320" t="n">
        <v>0</v>
      </c>
      <c r="BC320" t="n">
        <v>0</v>
      </c>
      <c r="BD320" t="n">
        <v>0</v>
      </c>
      <c r="BE320" t="n">
        <v>0</v>
      </c>
      <c r="BF320" t="n">
        <v>0</v>
      </c>
      <c r="BG320" t="n">
        <v>0</v>
      </c>
      <c r="BH320" t="n">
        <v>0</v>
      </c>
      <c r="BJ320" t="inlineStr">
        <is>
          <t>Med2</t>
        </is>
      </c>
      <c r="BL320" t="n">
        <v>0.8</v>
      </c>
      <c r="BM320" t="n">
        <v>0.797560975609756</v>
      </c>
      <c r="BN320" t="n">
        <v>0.785365853658536</v>
      </c>
      <c r="BO320" t="n">
        <v>0.773170731707317</v>
      </c>
      <c r="BP320" t="n">
        <v>0.760975609756097</v>
      </c>
      <c r="BQ320" t="n">
        <v>0.748780487804878</v>
      </c>
      <c r="BR320" t="n">
        <v>0.736585365853658</v>
      </c>
      <c r="BS320" t="n">
        <v>0.724390243902439</v>
      </c>
      <c r="BT320" t="n">
        <v>0.71219512195122</v>
      </c>
      <c r="BU320" t="n">
        <v>0.699999999999999</v>
      </c>
      <c r="BV320" t="n">
        <v>0.687499999999999</v>
      </c>
      <c r="BW320" t="n">
        <v>0.675</v>
      </c>
      <c r="BX320" t="n">
        <v>0.6625</v>
      </c>
      <c r="BY320" t="n">
        <v>0.649999999999999</v>
      </c>
      <c r="BZ320" t="n">
        <v>0.637499999999999</v>
      </c>
      <c r="CA320" t="n">
        <v>0.625</v>
      </c>
      <c r="CB320" t="n">
        <v>0.6125</v>
      </c>
      <c r="CC320" t="n">
        <v>0.6</v>
      </c>
      <c r="CD320" t="e">
        <v>#VALUE!</v>
      </c>
      <c r="CE320" t="e">
        <v>#VALUE!</v>
      </c>
      <c r="CF320" t="e">
        <v>#VALUE!</v>
      </c>
      <c r="CG320" t="e">
        <v>#VALUE!</v>
      </c>
      <c r="CH320" t="e">
        <v>#VALUE!</v>
      </c>
      <c r="CI320" t="e">
        <v>#VALUE!</v>
      </c>
      <c r="CJ320" t="e">
        <v>#VALUE!</v>
      </c>
      <c r="CK320" t="e">
        <v>#VALUE!</v>
      </c>
    </row>
    <row r="321" ht="12.5" customHeight="1" s="213">
      <c r="A321" t="inlineStr">
        <is>
          <t>SaudiArabia</t>
        </is>
      </c>
      <c r="B321" t="inlineStr">
        <is>
          <t>Trd_2w</t>
        </is>
      </c>
      <c r="C321" t="inlineStr">
        <is>
          <t>Trd_2w</t>
        </is>
      </c>
      <c r="D321" t="n">
        <v>14.126</v>
      </c>
      <c r="E321" t="n">
        <v>14.3152649465648</v>
      </c>
      <c r="G321" t="n">
        <v>15.2440031861102</v>
      </c>
      <c r="H321" t="n">
        <v>16.0528788246618</v>
      </c>
      <c r="I321" t="n">
        <v>16.755495663707</v>
      </c>
      <c r="J321" t="n">
        <v>17.3538559576706</v>
      </c>
      <c r="K321" t="n">
        <v>17.8385159203282</v>
      </c>
      <c r="L321" t="n">
        <v>18.2042328604979</v>
      </c>
      <c r="M321" t="n">
        <v>18.4583874268113</v>
      </c>
      <c r="N321" t="n">
        <v>18.6082897563144</v>
      </c>
      <c r="O321" t="n">
        <v>18.6548436743545</v>
      </c>
      <c r="P321" t="n">
        <v>18.628344611904</v>
      </c>
      <c r="Q321" t="n">
        <v>18.5549492605634</v>
      </c>
      <c r="R321" t="n">
        <v>18.4586649646239</v>
      </c>
      <c r="S321" t="n">
        <v>18.3496185339122</v>
      </c>
      <c r="T321" t="n">
        <v>18.2244536548367</v>
      </c>
      <c r="U321" t="n">
        <v>18.0715773328401</v>
      </c>
      <c r="V321" t="n">
        <v>17.8908281739798</v>
      </c>
      <c r="W321" t="n">
        <v>3</v>
      </c>
      <c r="AG321" s="223" t="inlineStr">
        <is>
          <t>POP</t>
        </is>
      </c>
      <c r="AI321" t="n">
        <v>1</v>
      </c>
      <c r="AJ321" t="n">
        <v>1.01679914151656</v>
      </c>
      <c r="AK321" t="n">
        <v>1.10079484909938</v>
      </c>
      <c r="AL321" t="n">
        <v>1.17634123765728</v>
      </c>
      <c r="AM321" t="n">
        <v>1.24400064839454</v>
      </c>
      <c r="AN321" t="n">
        <v>1.30333026953687</v>
      </c>
      <c r="AO321" t="n">
        <v>1.35274683429294</v>
      </c>
      <c r="AP321" t="n">
        <v>1.39103197881782</v>
      </c>
      <c r="AQ321" t="n">
        <v>1.41830062985863</v>
      </c>
      <c r="AR321" t="n">
        <v>1.43475513707264</v>
      </c>
      <c r="AS321" t="n">
        <v>1.43997615114236</v>
      </c>
      <c r="AT321" t="n">
        <v>1.43694581768264</v>
      </c>
      <c r="AU321" t="n">
        <v>1.42840009490283</v>
      </c>
      <c r="AV321" t="n">
        <v>1.41699675153305</v>
      </c>
      <c r="AW321" t="n">
        <v>1.40386569009785</v>
      </c>
      <c r="AX321" t="n">
        <v>1.3885442006389</v>
      </c>
      <c r="AY321" t="n">
        <v>1.36952731810462</v>
      </c>
      <c r="AZ321" t="n">
        <v>1.34669764601564</v>
      </c>
      <c r="BA321" t="n">
        <v>0</v>
      </c>
      <c r="BB321" t="n">
        <v>0</v>
      </c>
      <c r="BC321" t="n">
        <v>0</v>
      </c>
      <c r="BD321" t="n">
        <v>0</v>
      </c>
      <c r="BE321" t="n">
        <v>0</v>
      </c>
      <c r="BF321" t="n">
        <v>0</v>
      </c>
      <c r="BG321" t="n">
        <v>0</v>
      </c>
      <c r="BH321" t="n">
        <v>0</v>
      </c>
      <c r="BJ321" t="inlineStr">
        <is>
          <t>Med2</t>
        </is>
      </c>
      <c r="BL321" t="n">
        <v>0.8</v>
      </c>
      <c r="BM321" t="n">
        <v>0.797560975609756</v>
      </c>
      <c r="BN321" t="n">
        <v>0.785365853658536</v>
      </c>
      <c r="BO321" t="n">
        <v>0.773170731707317</v>
      </c>
      <c r="BP321" t="n">
        <v>0.760975609756097</v>
      </c>
      <c r="BQ321" t="n">
        <v>0.748780487804878</v>
      </c>
      <c r="BR321" t="n">
        <v>0.736585365853658</v>
      </c>
      <c r="BS321" t="n">
        <v>0.724390243902439</v>
      </c>
      <c r="BT321" t="n">
        <v>0.71219512195122</v>
      </c>
      <c r="BU321" t="n">
        <v>0.699999999999999</v>
      </c>
      <c r="BV321" t="n">
        <v>0.687499999999999</v>
      </c>
      <c r="BW321" t="n">
        <v>0.675</v>
      </c>
      <c r="BX321" t="n">
        <v>0.6625</v>
      </c>
      <c r="BY321" t="n">
        <v>0.649999999999999</v>
      </c>
      <c r="BZ321" t="n">
        <v>0.637499999999999</v>
      </c>
      <c r="CA321" t="n">
        <v>0.625</v>
      </c>
      <c r="CB321" t="n">
        <v>0.6125</v>
      </c>
      <c r="CC321" t="n">
        <v>0.6</v>
      </c>
      <c r="CD321" t="e">
        <v>#VALUE!</v>
      </c>
      <c r="CE321" t="e">
        <v>#VALUE!</v>
      </c>
      <c r="CF321" t="e">
        <v>#VALUE!</v>
      </c>
      <c r="CG321" t="e">
        <v>#VALUE!</v>
      </c>
      <c r="CH321" t="e">
        <v>#VALUE!</v>
      </c>
      <c r="CI321" t="e">
        <v>#VALUE!</v>
      </c>
      <c r="CJ321" t="e">
        <v>#VALUE!</v>
      </c>
      <c r="CK321" t="e">
        <v>#VALUE!</v>
      </c>
    </row>
    <row r="322" ht="12.5" customHeight="1" s="213">
      <c r="A322" t="inlineStr">
        <is>
          <t>SaudiArabia</t>
        </is>
      </c>
      <c r="B322" t="inlineStr">
        <is>
          <t>Trd_3w</t>
        </is>
      </c>
      <c r="C322" t="inlineStr">
        <is>
          <t>Trd_3w</t>
        </is>
      </c>
      <c r="D322" t="n">
        <v>4.185</v>
      </c>
      <c r="E322" t="n">
        <v>4.24107205163343</v>
      </c>
      <c r="G322" t="n">
        <v>4.51622209640883</v>
      </c>
      <c r="H322" t="n">
        <v>4.75586138193469</v>
      </c>
      <c r="I322" t="n">
        <v>4.96402020052483</v>
      </c>
      <c r="J322" t="n">
        <v>5.14129174450315</v>
      </c>
      <c r="K322" t="n">
        <v>5.28487817687763</v>
      </c>
      <c r="L322" t="n">
        <v>5.39322628636441</v>
      </c>
      <c r="M322" t="n">
        <v>5.46852268024957</v>
      </c>
      <c r="N322" t="n">
        <v>5.51293307590086</v>
      </c>
      <c r="O322" t="n">
        <v>5.52672524261457</v>
      </c>
      <c r="P322" t="n">
        <v>5.51887457176967</v>
      </c>
      <c r="Q322" t="n">
        <v>5.49713030266584</v>
      </c>
      <c r="R322" t="n">
        <v>5.4686049042157</v>
      </c>
      <c r="S322" t="n">
        <v>5.43629856749418</v>
      </c>
      <c r="T322" t="n">
        <v>5.39921694361401</v>
      </c>
      <c r="U322" t="n">
        <v>5.35392546636952</v>
      </c>
      <c r="V322" t="n">
        <v>5.30037632083431</v>
      </c>
      <c r="W322" t="n">
        <v>3</v>
      </c>
      <c r="AG322" s="223" t="inlineStr">
        <is>
          <t>POP</t>
        </is>
      </c>
      <c r="AI322" t="n">
        <v>1</v>
      </c>
      <c r="AJ322" t="n">
        <v>1.01679914151656</v>
      </c>
      <c r="AK322" t="n">
        <v>1.10079484909938</v>
      </c>
      <c r="AL322" t="n">
        <v>1.17634123765728</v>
      </c>
      <c r="AM322" t="n">
        <v>1.24400064839454</v>
      </c>
      <c r="AN322" t="n">
        <v>1.30333026953687</v>
      </c>
      <c r="AO322" t="n">
        <v>1.35274683429294</v>
      </c>
      <c r="AP322" t="n">
        <v>1.39103197881782</v>
      </c>
      <c r="AQ322" t="n">
        <v>1.41830062985863</v>
      </c>
      <c r="AR322" t="n">
        <v>1.43475513707264</v>
      </c>
      <c r="AS322" t="n">
        <v>1.43997615114236</v>
      </c>
      <c r="AT322" t="n">
        <v>1.43694581768264</v>
      </c>
      <c r="AU322" t="n">
        <v>1.42840009490283</v>
      </c>
      <c r="AV322" t="n">
        <v>1.41699675153305</v>
      </c>
      <c r="AW322" t="n">
        <v>1.40386569009785</v>
      </c>
      <c r="AX322" t="n">
        <v>1.3885442006389</v>
      </c>
      <c r="AY322" t="n">
        <v>1.36952731810462</v>
      </c>
      <c r="AZ322" t="n">
        <v>1.34669764601564</v>
      </c>
      <c r="BA322" t="n">
        <v>0</v>
      </c>
      <c r="BB322" t="n">
        <v>0</v>
      </c>
      <c r="BC322" t="n">
        <v>0</v>
      </c>
      <c r="BD322" t="n">
        <v>0</v>
      </c>
      <c r="BE322" t="n">
        <v>0</v>
      </c>
      <c r="BF322" t="n">
        <v>0</v>
      </c>
      <c r="BG322" t="n">
        <v>0</v>
      </c>
      <c r="BH322" t="n">
        <v>0</v>
      </c>
      <c r="BJ322" t="inlineStr">
        <is>
          <t>Med2</t>
        </is>
      </c>
      <c r="BL322" t="n">
        <v>0.8</v>
      </c>
      <c r="BM322" t="n">
        <v>0.797560975609756</v>
      </c>
      <c r="BN322" t="n">
        <v>0.785365853658536</v>
      </c>
      <c r="BO322" t="n">
        <v>0.773170731707317</v>
      </c>
      <c r="BP322" t="n">
        <v>0.760975609756097</v>
      </c>
      <c r="BQ322" t="n">
        <v>0.748780487804878</v>
      </c>
      <c r="BR322" t="n">
        <v>0.736585365853658</v>
      </c>
      <c r="BS322" t="n">
        <v>0.724390243902439</v>
      </c>
      <c r="BT322" t="n">
        <v>0.71219512195122</v>
      </c>
      <c r="BU322" t="n">
        <v>0.699999999999999</v>
      </c>
      <c r="BV322" t="n">
        <v>0.687499999999999</v>
      </c>
      <c r="BW322" t="n">
        <v>0.675</v>
      </c>
      <c r="BX322" t="n">
        <v>0.6625</v>
      </c>
      <c r="BY322" t="n">
        <v>0.649999999999999</v>
      </c>
      <c r="BZ322" t="n">
        <v>0.637499999999999</v>
      </c>
      <c r="CA322" t="n">
        <v>0.625</v>
      </c>
      <c r="CB322" t="n">
        <v>0.6125</v>
      </c>
      <c r="CC322" t="n">
        <v>0.6</v>
      </c>
      <c r="CD322" t="e">
        <v>#VALUE!</v>
      </c>
      <c r="CE322" t="e">
        <v>#VALUE!</v>
      </c>
      <c r="CF322" t="e">
        <v>#VALUE!</v>
      </c>
      <c r="CG322" t="e">
        <v>#VALUE!</v>
      </c>
      <c r="CH322" t="e">
        <v>#VALUE!</v>
      </c>
      <c r="CI322" t="e">
        <v>#VALUE!</v>
      </c>
      <c r="CJ322" t="e">
        <v>#VALUE!</v>
      </c>
      <c r="CK322" t="e">
        <v>#VALUE!</v>
      </c>
    </row>
    <row r="323" ht="12.5" customHeight="1" s="213">
      <c r="A323" t="inlineStr">
        <is>
          <t>SaudiArabia</t>
        </is>
      </c>
      <c r="B323" t="inlineStr">
        <is>
          <t>Trd_bus</t>
        </is>
      </c>
      <c r="C323" t="inlineStr">
        <is>
          <t>Trd_bus</t>
        </is>
      </c>
      <c r="D323" t="n">
        <v>7.98</v>
      </c>
      <c r="E323" t="n">
        <v>8.086918750784889</v>
      </c>
      <c r="G323" t="n">
        <v>8.61157761752508</v>
      </c>
      <c r="H323" t="n">
        <v>9.068524212147871</v>
      </c>
      <c r="I323" t="n">
        <v>9.465443536484621</v>
      </c>
      <c r="J323" t="n">
        <v>9.803466695611741</v>
      </c>
      <c r="K323" t="n">
        <v>10.0772587458742</v>
      </c>
      <c r="L323" t="n">
        <v>10.2838580084081</v>
      </c>
      <c r="M323" t="n">
        <v>10.4274339279311</v>
      </c>
      <c r="N323" t="n">
        <v>10.5121161160547</v>
      </c>
      <c r="O323" t="n">
        <v>10.5384151579604</v>
      </c>
      <c r="P323" t="n">
        <v>10.5234454200052</v>
      </c>
      <c r="Q323" t="n">
        <v>10.481983229456</v>
      </c>
      <c r="R323" t="n">
        <v>10.4275907134149</v>
      </c>
      <c r="S323" t="n">
        <v>10.365988666333</v>
      </c>
      <c r="T323" t="n">
        <v>10.2952810537729</v>
      </c>
      <c r="U323" t="n">
        <v>10.208918810425</v>
      </c>
      <c r="V323" t="n">
        <v>10.1068107623077</v>
      </c>
      <c r="W323" t="n">
        <v>3</v>
      </c>
      <c r="AG323" s="223" t="inlineStr">
        <is>
          <t>POP</t>
        </is>
      </c>
      <c r="AI323" t="n">
        <v>1</v>
      </c>
      <c r="AJ323" t="n">
        <v>1.01679914151656</v>
      </c>
      <c r="AK323" t="n">
        <v>1.10079484909938</v>
      </c>
      <c r="AL323" t="n">
        <v>1.17634123765728</v>
      </c>
      <c r="AM323" t="n">
        <v>1.24400064839454</v>
      </c>
      <c r="AN323" t="n">
        <v>1.30333026953687</v>
      </c>
      <c r="AO323" t="n">
        <v>1.35274683429294</v>
      </c>
      <c r="AP323" t="n">
        <v>1.39103197881782</v>
      </c>
      <c r="AQ323" t="n">
        <v>1.41830062985863</v>
      </c>
      <c r="AR323" t="n">
        <v>1.43475513707264</v>
      </c>
      <c r="AS323" t="n">
        <v>1.43997615114236</v>
      </c>
      <c r="AT323" t="n">
        <v>1.43694581768264</v>
      </c>
      <c r="AU323" t="n">
        <v>1.42840009490283</v>
      </c>
      <c r="AV323" t="n">
        <v>1.41699675153305</v>
      </c>
      <c r="AW323" t="n">
        <v>1.40386569009785</v>
      </c>
      <c r="AX323" t="n">
        <v>1.3885442006389</v>
      </c>
      <c r="AY323" t="n">
        <v>1.36952731810462</v>
      </c>
      <c r="AZ323" t="n">
        <v>1.34669764601564</v>
      </c>
      <c r="BA323" t="n">
        <v>0</v>
      </c>
      <c r="BB323" t="n">
        <v>0</v>
      </c>
      <c r="BC323" t="n">
        <v>0</v>
      </c>
      <c r="BD323" t="n">
        <v>0</v>
      </c>
      <c r="BE323" t="n">
        <v>0</v>
      </c>
      <c r="BF323" t="n">
        <v>0</v>
      </c>
      <c r="BG323" t="n">
        <v>0</v>
      </c>
      <c r="BH323" t="n">
        <v>0</v>
      </c>
      <c r="BJ323" t="inlineStr">
        <is>
          <t>Med2</t>
        </is>
      </c>
      <c r="BL323" t="n">
        <v>0.8</v>
      </c>
      <c r="BM323" t="n">
        <v>0.797560975609756</v>
      </c>
      <c r="BN323" t="n">
        <v>0.785365853658536</v>
      </c>
      <c r="BO323" t="n">
        <v>0.773170731707317</v>
      </c>
      <c r="BP323" t="n">
        <v>0.760975609756097</v>
      </c>
      <c r="BQ323" t="n">
        <v>0.748780487804878</v>
      </c>
      <c r="BR323" t="n">
        <v>0.736585365853658</v>
      </c>
      <c r="BS323" t="n">
        <v>0.724390243902439</v>
      </c>
      <c r="BT323" t="n">
        <v>0.71219512195122</v>
      </c>
      <c r="BU323" t="n">
        <v>0.699999999999999</v>
      </c>
      <c r="BV323" t="n">
        <v>0.687499999999999</v>
      </c>
      <c r="BW323" t="n">
        <v>0.675</v>
      </c>
      <c r="BX323" t="n">
        <v>0.6625</v>
      </c>
      <c r="BY323" t="n">
        <v>0.649999999999999</v>
      </c>
      <c r="BZ323" t="n">
        <v>0.637499999999999</v>
      </c>
      <c r="CA323" t="n">
        <v>0.625</v>
      </c>
      <c r="CB323" t="n">
        <v>0.6125</v>
      </c>
      <c r="CC323" t="n">
        <v>0.6</v>
      </c>
      <c r="CD323" t="e">
        <v>#VALUE!</v>
      </c>
      <c r="CE323" t="e">
        <v>#VALUE!</v>
      </c>
      <c r="CF323" t="e">
        <v>#VALUE!</v>
      </c>
      <c r="CG323" t="e">
        <v>#VALUE!</v>
      </c>
      <c r="CH323" t="e">
        <v>#VALUE!</v>
      </c>
      <c r="CI323" t="e">
        <v>#VALUE!</v>
      </c>
      <c r="CJ323" t="e">
        <v>#VALUE!</v>
      </c>
      <c r="CK323" t="e">
        <v>#VALUE!</v>
      </c>
    </row>
    <row r="324" ht="12.5" customHeight="1" s="213">
      <c r="A324" t="inlineStr">
        <is>
          <t>SaudiArabia</t>
        </is>
      </c>
      <c r="B324" t="inlineStr">
        <is>
          <t>Trd_car</t>
        </is>
      </c>
      <c r="C324" t="inlineStr">
        <is>
          <t>Trd_car</t>
        </is>
      </c>
      <c r="D324" t="n">
        <v>367.536</v>
      </c>
      <c r="E324" t="n">
        <v>363.478557229985</v>
      </c>
      <c r="G324" t="n">
        <v>398.040856608938</v>
      </c>
      <c r="H324" t="n">
        <v>446.910564531527</v>
      </c>
      <c r="I324" t="n">
        <v>484.062815471466</v>
      </c>
      <c r="J324" t="n">
        <v>513.2992754764</v>
      </c>
      <c r="K324" t="n">
        <v>536.328318971612</v>
      </c>
      <c r="L324" t="n">
        <v>555.369469966788</v>
      </c>
      <c r="M324" t="n">
        <v>572.411231200172</v>
      </c>
      <c r="N324" t="n">
        <v>587.458376078734</v>
      </c>
      <c r="O324" t="n">
        <v>601.927048952381</v>
      </c>
      <c r="P324" t="n">
        <v>615.569730434503</v>
      </c>
      <c r="Q324" t="n">
        <v>628.006598989536</v>
      </c>
      <c r="R324" t="n">
        <v>639.65581699891</v>
      </c>
      <c r="S324" t="n">
        <v>650.611510947528</v>
      </c>
      <c r="T324" t="n">
        <v>661.170730331638</v>
      </c>
      <c r="U324" t="n">
        <v>671.663176037402</v>
      </c>
      <c r="V324" t="n">
        <v>682.006808405284</v>
      </c>
      <c r="W324" t="n">
        <v>3</v>
      </c>
      <c r="AG324" s="223" t="inlineStr">
        <is>
          <t>GDPPCAP</t>
        </is>
      </c>
      <c r="AI324" t="n">
        <v>1</v>
      </c>
      <c r="AJ324" t="n">
        <v>0.986158325810668</v>
      </c>
      <c r="AK324" t="n">
        <v>1.10555671367505</v>
      </c>
      <c r="AL324" t="n">
        <v>1.2811135362775</v>
      </c>
      <c r="AM324" t="n">
        <v>1.42106627226077</v>
      </c>
      <c r="AN324" t="n">
        <v>1.53569220355475</v>
      </c>
      <c r="AO324" t="n">
        <v>1.62922982928311</v>
      </c>
      <c r="AP324" t="n">
        <v>1.70907933429626</v>
      </c>
      <c r="AQ324" t="n">
        <v>1.78271626913127</v>
      </c>
      <c r="AR324" t="n">
        <v>1.84966311862104</v>
      </c>
      <c r="AS324" t="n">
        <v>1.91592618536794</v>
      </c>
      <c r="AT324" t="n">
        <v>1.98025875224805</v>
      </c>
      <c r="AU324" t="n">
        <v>2.04064942214206</v>
      </c>
      <c r="AV324" t="n">
        <v>2.09888489545736</v>
      </c>
      <c r="AW324" t="n">
        <v>2.15527487940374</v>
      </c>
      <c r="AX324" t="n">
        <v>2.21124196858491</v>
      </c>
      <c r="AY324" t="n">
        <v>2.26853387670055</v>
      </c>
      <c r="AZ324" t="n">
        <v>2.32675968906162</v>
      </c>
      <c r="BA324" t="n">
        <v>0</v>
      </c>
      <c r="BB324" t="n">
        <v>0</v>
      </c>
      <c r="BC324" t="n">
        <v>0</v>
      </c>
      <c r="BD324" t="n">
        <v>0</v>
      </c>
      <c r="BE324" t="n">
        <v>0</v>
      </c>
      <c r="BF324" t="n">
        <v>0</v>
      </c>
      <c r="BG324" t="n">
        <v>0</v>
      </c>
      <c r="BH324" t="n">
        <v>0</v>
      </c>
      <c r="BJ324" t="inlineStr">
        <is>
          <t>Med2</t>
        </is>
      </c>
      <c r="BL324" t="n">
        <v>0.8</v>
      </c>
      <c r="BM324" t="n">
        <v>0.797560975609756</v>
      </c>
      <c r="BN324" t="n">
        <v>0.785365853658536</v>
      </c>
      <c r="BO324" t="n">
        <v>0.773170731707317</v>
      </c>
      <c r="BP324" t="n">
        <v>0.760975609756097</v>
      </c>
      <c r="BQ324" t="n">
        <v>0.748780487804878</v>
      </c>
      <c r="BR324" t="n">
        <v>0.736585365853658</v>
      </c>
      <c r="BS324" t="n">
        <v>0.724390243902439</v>
      </c>
      <c r="BT324" t="n">
        <v>0.71219512195122</v>
      </c>
      <c r="BU324" t="n">
        <v>0.699999999999999</v>
      </c>
      <c r="BV324" t="n">
        <v>0.687499999999999</v>
      </c>
      <c r="BW324" t="n">
        <v>0.675</v>
      </c>
      <c r="BX324" t="n">
        <v>0.6625</v>
      </c>
      <c r="BY324" t="n">
        <v>0.649999999999999</v>
      </c>
      <c r="BZ324" t="n">
        <v>0.637499999999999</v>
      </c>
      <c r="CA324" t="n">
        <v>0.625</v>
      </c>
      <c r="CB324" t="n">
        <v>0.6125</v>
      </c>
      <c r="CC324" t="n">
        <v>0.6</v>
      </c>
      <c r="CD324" t="e">
        <v>#VALUE!</v>
      </c>
      <c r="CE324" t="e">
        <v>#VALUE!</v>
      </c>
      <c r="CF324" t="e">
        <v>#VALUE!</v>
      </c>
      <c r="CG324" t="e">
        <v>#VALUE!</v>
      </c>
      <c r="CH324" t="e">
        <v>#VALUE!</v>
      </c>
      <c r="CI324" t="e">
        <v>#VALUE!</v>
      </c>
      <c r="CJ324" t="e">
        <v>#VALUE!</v>
      </c>
      <c r="CK324" t="e">
        <v>#VALUE!</v>
      </c>
    </row>
    <row r="325" ht="12.5" customHeight="1" s="213">
      <c r="A325" t="inlineStr">
        <is>
          <t>SaudiArabia</t>
        </is>
      </c>
      <c r="B325" t="inlineStr">
        <is>
          <t>Trd_hdt</t>
        </is>
      </c>
      <c r="C325" t="inlineStr">
        <is>
          <t>Trd_hdt</t>
        </is>
      </c>
      <c r="D325" t="n">
        <v>95</v>
      </c>
      <c r="E325" t="n">
        <v>95.20646398203699</v>
      </c>
      <c r="G325" t="n">
        <v>111.184018010309</v>
      </c>
      <c r="H325" t="n">
        <v>131.671169742869</v>
      </c>
      <c r="I325" t="n">
        <v>149.009844687446</v>
      </c>
      <c r="J325" t="n">
        <v>163.760313862223</v>
      </c>
      <c r="K325" t="n">
        <v>175.959459782012</v>
      </c>
      <c r="L325" t="n">
        <v>185.990752832813</v>
      </c>
      <c r="M325" t="n">
        <v>194.406512706832</v>
      </c>
      <c r="N325" t="n">
        <v>201.155017505039</v>
      </c>
      <c r="O325" t="n">
        <v>206.630594262796</v>
      </c>
      <c r="P325" t="n">
        <v>211.01050553652</v>
      </c>
      <c r="Q325" t="n">
        <v>214.416995048552</v>
      </c>
      <c r="R325" t="n">
        <v>217.249933581297</v>
      </c>
      <c r="S325" t="n">
        <v>219.652970759196</v>
      </c>
      <c r="T325" t="n">
        <v>221.680684156144</v>
      </c>
      <c r="U325" t="n">
        <v>223.29088987102</v>
      </c>
      <c r="V325" t="n">
        <v>224.438932611892</v>
      </c>
      <c r="W325" t="n">
        <v>3</v>
      </c>
      <c r="AG325" s="223" t="inlineStr">
        <is>
          <t>GDP</t>
        </is>
      </c>
      <c r="AI325" t="n">
        <v>1</v>
      </c>
      <c r="AJ325" t="n">
        <v>1.0027249390837</v>
      </c>
      <c r="AK325" t="n">
        <v>1.21699113580074</v>
      </c>
      <c r="AL325" t="n">
        <v>1.50702668284416</v>
      </c>
      <c r="AM325" t="n">
        <v>1.767807364104</v>
      </c>
      <c r="AN325" t="n">
        <v>2.00151413358469</v>
      </c>
      <c r="AO325" t="n">
        <v>2.20393549389834</v>
      </c>
      <c r="AP325" t="n">
        <v>2.37738400834278</v>
      </c>
      <c r="AQ325" t="n">
        <v>2.52842760736811</v>
      </c>
      <c r="AR325" t="n">
        <v>2.65381366129534</v>
      </c>
      <c r="AS325" t="n">
        <v>2.75888801427898</v>
      </c>
      <c r="AT325" t="n">
        <v>2.84552453197228</v>
      </c>
      <c r="AU325" t="n">
        <v>2.91486382825113</v>
      </c>
      <c r="AV325" t="n">
        <v>2.97411307870486</v>
      </c>
      <c r="AW325" t="n">
        <v>3.02571645592467</v>
      </c>
      <c r="AX325" t="n">
        <v>3.07040721168791</v>
      </c>
      <c r="AY325" t="n">
        <v>3.10681911618719</v>
      </c>
      <c r="AZ325" t="n">
        <v>3.13344179610336</v>
      </c>
      <c r="BA325" t="n">
        <v>0</v>
      </c>
      <c r="BB325" t="n">
        <v>0</v>
      </c>
      <c r="BC325" t="n">
        <v>0</v>
      </c>
      <c r="BD325" t="n">
        <v>0</v>
      </c>
      <c r="BE325" t="n">
        <v>0</v>
      </c>
      <c r="BF325" t="n">
        <v>0</v>
      </c>
      <c r="BG325" t="n">
        <v>0</v>
      </c>
      <c r="BH325" t="n">
        <v>0</v>
      </c>
      <c r="BJ325" t="inlineStr">
        <is>
          <t>Med2</t>
        </is>
      </c>
      <c r="BL325" t="n">
        <v>0.8</v>
      </c>
      <c r="BM325" t="n">
        <v>0.797560975609756</v>
      </c>
      <c r="BN325" t="n">
        <v>0.785365853658536</v>
      </c>
      <c r="BO325" t="n">
        <v>0.773170731707317</v>
      </c>
      <c r="BP325" t="n">
        <v>0.760975609756097</v>
      </c>
      <c r="BQ325" t="n">
        <v>0.748780487804878</v>
      </c>
      <c r="BR325" t="n">
        <v>0.736585365853658</v>
      </c>
      <c r="BS325" t="n">
        <v>0.724390243902439</v>
      </c>
      <c r="BT325" t="n">
        <v>0.71219512195122</v>
      </c>
      <c r="BU325" t="n">
        <v>0.699999999999999</v>
      </c>
      <c r="BV325" t="n">
        <v>0.687499999999999</v>
      </c>
      <c r="BW325" t="n">
        <v>0.675</v>
      </c>
      <c r="BX325" t="n">
        <v>0.6625</v>
      </c>
      <c r="BY325" t="n">
        <v>0.649999999999999</v>
      </c>
      <c r="BZ325" t="n">
        <v>0.637499999999999</v>
      </c>
      <c r="CA325" t="n">
        <v>0.625</v>
      </c>
      <c r="CB325" t="n">
        <v>0.6125</v>
      </c>
      <c r="CC325" t="n">
        <v>0.6</v>
      </c>
      <c r="CD325" t="e">
        <v>#VALUE!</v>
      </c>
      <c r="CE325" t="e">
        <v>#VALUE!</v>
      </c>
      <c r="CF325" t="e">
        <v>#VALUE!</v>
      </c>
      <c r="CG325" t="e">
        <v>#VALUE!</v>
      </c>
      <c r="CH325" t="e">
        <v>#VALUE!</v>
      </c>
      <c r="CI325" t="e">
        <v>#VALUE!</v>
      </c>
      <c r="CJ325" t="e">
        <v>#VALUE!</v>
      </c>
      <c r="CK325" t="e">
        <v>#VALUE!</v>
      </c>
    </row>
    <row r="326" ht="12.5" customHeight="1" s="213">
      <c r="A326" t="inlineStr">
        <is>
          <t>SaudiArabia</t>
        </is>
      </c>
      <c r="B326" t="inlineStr">
        <is>
          <t>Trd_lcv</t>
        </is>
      </c>
      <c r="C326" t="inlineStr">
        <is>
          <t>Trd_lcv</t>
        </is>
      </c>
      <c r="D326" t="n">
        <v>106.32</v>
      </c>
      <c r="E326" t="n">
        <v>106.551065795475</v>
      </c>
      <c r="G326" t="n">
        <v>124.432471524801</v>
      </c>
      <c r="H326" t="n">
        <v>147.360829126967</v>
      </c>
      <c r="I326" t="n">
        <v>166.765544075466</v>
      </c>
      <c r="J326" t="n">
        <v>183.27364810349</v>
      </c>
      <c r="K326" t="n">
        <v>196.926418568669</v>
      </c>
      <c r="L326" t="n">
        <v>208.153019380891</v>
      </c>
      <c r="M326" t="n">
        <v>217.571583484109</v>
      </c>
      <c r="N326" t="n">
        <v>225.124225906692</v>
      </c>
      <c r="O326" t="n">
        <v>231.252260863374</v>
      </c>
      <c r="P326" t="n">
        <v>236.154073143609</v>
      </c>
      <c r="Q326" t="n">
        <v>239.966472774337</v>
      </c>
      <c r="R326" t="n">
        <v>243.136978298563</v>
      </c>
      <c r="S326" t="n">
        <v>245.826356327555</v>
      </c>
      <c r="T326" t="n">
        <v>248.095687784013</v>
      </c>
      <c r="U326" t="n">
        <v>249.897762221967</v>
      </c>
      <c r="V326" t="n">
        <v>251.182603318909</v>
      </c>
      <c r="W326" t="n">
        <v>3</v>
      </c>
      <c r="AG326" s="223" t="inlineStr">
        <is>
          <t>GDP</t>
        </is>
      </c>
      <c r="AI326" t="n">
        <v>1</v>
      </c>
      <c r="AJ326" t="n">
        <v>1.0027249390837</v>
      </c>
      <c r="AK326" t="n">
        <v>1.21699113580074</v>
      </c>
      <c r="AL326" t="n">
        <v>1.50702668284416</v>
      </c>
      <c r="AM326" t="n">
        <v>1.767807364104</v>
      </c>
      <c r="AN326" t="n">
        <v>2.00151413358469</v>
      </c>
      <c r="AO326" t="n">
        <v>2.20393549389834</v>
      </c>
      <c r="AP326" t="n">
        <v>2.37738400834278</v>
      </c>
      <c r="AQ326" t="n">
        <v>2.52842760736811</v>
      </c>
      <c r="AR326" t="n">
        <v>2.65381366129534</v>
      </c>
      <c r="AS326" t="n">
        <v>2.75888801427898</v>
      </c>
      <c r="AT326" t="n">
        <v>2.84552453197228</v>
      </c>
      <c r="AU326" t="n">
        <v>2.91486382825113</v>
      </c>
      <c r="AV326" t="n">
        <v>2.97411307870486</v>
      </c>
      <c r="AW326" t="n">
        <v>3.02571645592467</v>
      </c>
      <c r="AX326" t="n">
        <v>3.07040721168791</v>
      </c>
      <c r="AY326" t="n">
        <v>3.10681911618719</v>
      </c>
      <c r="AZ326" t="n">
        <v>3.13344179610336</v>
      </c>
      <c r="BA326" t="n">
        <v>0</v>
      </c>
      <c r="BB326" t="n">
        <v>0</v>
      </c>
      <c r="BC326" t="n">
        <v>0</v>
      </c>
      <c r="BD326" t="n">
        <v>0</v>
      </c>
      <c r="BE326" t="n">
        <v>0</v>
      </c>
      <c r="BF326" t="n">
        <v>0</v>
      </c>
      <c r="BG326" t="n">
        <v>0</v>
      </c>
      <c r="BH326" t="n">
        <v>0</v>
      </c>
      <c r="BJ326" t="inlineStr">
        <is>
          <t>Med2</t>
        </is>
      </c>
      <c r="BL326" t="n">
        <v>0.8</v>
      </c>
      <c r="BM326" t="n">
        <v>0.797560975609756</v>
      </c>
      <c r="BN326" t="n">
        <v>0.785365853658536</v>
      </c>
      <c r="BO326" t="n">
        <v>0.773170731707317</v>
      </c>
      <c r="BP326" t="n">
        <v>0.760975609756097</v>
      </c>
      <c r="BQ326" t="n">
        <v>0.748780487804878</v>
      </c>
      <c r="BR326" t="n">
        <v>0.736585365853658</v>
      </c>
      <c r="BS326" t="n">
        <v>0.724390243902439</v>
      </c>
      <c r="BT326" t="n">
        <v>0.71219512195122</v>
      </c>
      <c r="BU326" t="n">
        <v>0.699999999999999</v>
      </c>
      <c r="BV326" t="n">
        <v>0.687499999999999</v>
      </c>
      <c r="BW326" t="n">
        <v>0.675</v>
      </c>
      <c r="BX326" t="n">
        <v>0.6625</v>
      </c>
      <c r="BY326" t="n">
        <v>0.649999999999999</v>
      </c>
      <c r="BZ326" t="n">
        <v>0.637499999999999</v>
      </c>
      <c r="CA326" t="n">
        <v>0.625</v>
      </c>
      <c r="CB326" t="n">
        <v>0.6125</v>
      </c>
      <c r="CC326" t="n">
        <v>0.6</v>
      </c>
      <c r="CD326" t="e">
        <v>#VALUE!</v>
      </c>
      <c r="CE326" t="e">
        <v>#VALUE!</v>
      </c>
      <c r="CF326" t="e">
        <v>#VALUE!</v>
      </c>
      <c r="CG326" t="e">
        <v>#VALUE!</v>
      </c>
      <c r="CH326" t="e">
        <v>#VALUE!</v>
      </c>
      <c r="CI326" t="e">
        <v>#VALUE!</v>
      </c>
      <c r="CJ326" t="e">
        <v>#VALUE!</v>
      </c>
      <c r="CK326" t="e">
        <v>#VALUE!</v>
      </c>
    </row>
    <row r="327" ht="12.5" customHeight="1" s="213">
      <c r="A327" t="inlineStr">
        <is>
          <t>SouthAfrica</t>
        </is>
      </c>
      <c r="B327" t="inlineStr">
        <is>
          <t>TAD</t>
        </is>
      </c>
      <c r="C327" t="inlineStr">
        <is>
          <t>TAD</t>
        </is>
      </c>
      <c r="E327" t="n">
        <v>52.4749917783354</v>
      </c>
      <c r="F327">
        <f>E327</f>
        <v/>
      </c>
      <c r="I327">
        <f>F327</f>
        <v/>
      </c>
      <c r="J327">
        <f>I327</f>
        <v/>
      </c>
      <c r="L327">
        <f>J327</f>
        <v/>
      </c>
      <c r="V327">
        <f>L327</f>
        <v/>
      </c>
      <c r="W327" t="n">
        <v>3</v>
      </c>
      <c r="AG327" s="223" t="inlineStr">
        <is>
          <t>GDP</t>
        </is>
      </c>
      <c r="AI327" t="n">
        <v>1</v>
      </c>
      <c r="AJ327" t="n">
        <v>0.994900566012164</v>
      </c>
      <c r="AK327" t="n">
        <v>1.09338125038993</v>
      </c>
      <c r="AL327" t="n">
        <v>1.18552495423068</v>
      </c>
      <c r="AM327" t="n">
        <v>1.35507582325619</v>
      </c>
      <c r="AN327" t="n">
        <v>1.58710907835321</v>
      </c>
      <c r="AO327" t="n">
        <v>1.87180932424903</v>
      </c>
      <c r="AP327" t="n">
        <v>2.19758632707371</v>
      </c>
      <c r="AQ327" t="n">
        <v>2.56230221306238</v>
      </c>
      <c r="AR327" t="n">
        <v>2.96418214361779</v>
      </c>
      <c r="AS327" t="n">
        <v>3.39806295191155</v>
      </c>
      <c r="AT327" t="n">
        <v>3.85771925710635</v>
      </c>
      <c r="AU327" t="n">
        <v>4.33802822961463</v>
      </c>
      <c r="AV327" t="n">
        <v>4.83790076393356</v>
      </c>
      <c r="AW327" t="n">
        <v>5.3582377251087</v>
      </c>
      <c r="AX327" t="n">
        <v>5.89647097547281</v>
      </c>
      <c r="AY327" t="n">
        <v>6.44552805213077</v>
      </c>
      <c r="AZ327" t="n">
        <v>7.00058193192795</v>
      </c>
      <c r="BA327" t="n">
        <v>0</v>
      </c>
      <c r="BB327" t="n">
        <v>0</v>
      </c>
      <c r="BC327" t="n">
        <v>0</v>
      </c>
      <c r="BD327" t="n">
        <v>0</v>
      </c>
      <c r="BE327" t="n">
        <v>0</v>
      </c>
      <c r="BF327" t="n">
        <v>0</v>
      </c>
      <c r="BG327" t="n">
        <v>0</v>
      </c>
      <c r="BH327" t="n">
        <v>0</v>
      </c>
      <c r="BJ327" t="inlineStr">
        <is>
          <t>High2</t>
        </is>
      </c>
      <c r="BL327" t="n">
        <v>1</v>
      </c>
      <c r="BM327" t="n">
        <v>0.997560975609757</v>
      </c>
      <c r="BN327" t="n">
        <v>0.985365853658537</v>
      </c>
      <c r="BO327" t="n">
        <v>0.973170731707317</v>
      </c>
      <c r="BP327" t="n">
        <v>0.960975609756098</v>
      </c>
      <c r="BQ327" t="n">
        <v>0.948780487804878</v>
      </c>
      <c r="BR327" t="n">
        <v>0.936585365853658</v>
      </c>
      <c r="BS327" t="n">
        <v>0.924390243902439</v>
      </c>
      <c r="BT327" t="n">
        <v>0.91219512195122</v>
      </c>
      <c r="BU327" t="n">
        <v>0.9</v>
      </c>
      <c r="BV327" t="n">
        <v>0.8875</v>
      </c>
      <c r="BW327" t="n">
        <v>0.875000000000001</v>
      </c>
      <c r="BX327" t="n">
        <v>0.862500000000001</v>
      </c>
      <c r="BY327" t="n">
        <v>0.850000000000001</v>
      </c>
      <c r="BZ327" t="n">
        <v>0.8375</v>
      </c>
      <c r="CA327" t="n">
        <v>0.825000000000001</v>
      </c>
      <c r="CB327" t="n">
        <v>0.812500000000001</v>
      </c>
      <c r="CC327" t="n">
        <v>0.800000000000001</v>
      </c>
      <c r="CD327" t="e">
        <v>#VALUE!</v>
      </c>
      <c r="CE327" t="e">
        <v>#VALUE!</v>
      </c>
      <c r="CF327" t="e">
        <v>#VALUE!</v>
      </c>
      <c r="CG327" t="e">
        <v>#VALUE!</v>
      </c>
      <c r="CH327" t="e">
        <v>#VALUE!</v>
      </c>
      <c r="CI327" t="e">
        <v>#VALUE!</v>
      </c>
      <c r="CJ327" t="e">
        <v>#VALUE!</v>
      </c>
      <c r="CK327" t="e">
        <v>#VALUE!</v>
      </c>
    </row>
    <row r="328" ht="12.5" customHeight="1" s="213">
      <c r="A328" t="inlineStr">
        <is>
          <t>SouthAfrica</t>
        </is>
      </c>
      <c r="B328" t="inlineStr">
        <is>
          <t>TAI</t>
        </is>
      </c>
      <c r="C328" t="inlineStr">
        <is>
          <t>TAI</t>
        </is>
      </c>
      <c r="E328" t="n">
        <v>45.8382269487756</v>
      </c>
      <c r="F328">
        <f>E328</f>
        <v/>
      </c>
      <c r="I328">
        <f>F328</f>
        <v/>
      </c>
      <c r="J328">
        <f>I328</f>
        <v/>
      </c>
      <c r="L328">
        <f>J328</f>
        <v/>
      </c>
      <c r="V328">
        <f>L328</f>
        <v/>
      </c>
      <c r="W328" t="n">
        <v>3</v>
      </c>
      <c r="AG328" s="223" t="inlineStr">
        <is>
          <t>GDP</t>
        </is>
      </c>
      <c r="AI328" t="n">
        <v>1</v>
      </c>
      <c r="AJ328" t="n">
        <v>0.994900566012164</v>
      </c>
      <c r="AK328" t="n">
        <v>1.09338125038993</v>
      </c>
      <c r="AL328" t="n">
        <v>1.18552495423068</v>
      </c>
      <c r="AM328" t="n">
        <v>1.35507582325619</v>
      </c>
      <c r="AN328" t="n">
        <v>1.58710907835321</v>
      </c>
      <c r="AO328" t="n">
        <v>1.87180932424903</v>
      </c>
      <c r="AP328" t="n">
        <v>2.19758632707371</v>
      </c>
      <c r="AQ328" t="n">
        <v>2.56230221306238</v>
      </c>
      <c r="AR328" t="n">
        <v>2.96418214361779</v>
      </c>
      <c r="AS328" t="n">
        <v>3.39806295191155</v>
      </c>
      <c r="AT328" t="n">
        <v>3.85771925710635</v>
      </c>
      <c r="AU328" t="n">
        <v>4.33802822961463</v>
      </c>
      <c r="AV328" t="n">
        <v>4.83790076393356</v>
      </c>
      <c r="AW328" t="n">
        <v>5.3582377251087</v>
      </c>
      <c r="AX328" t="n">
        <v>5.89647097547281</v>
      </c>
      <c r="AY328" t="n">
        <v>6.44552805213077</v>
      </c>
      <c r="AZ328" t="n">
        <v>7.00058193192795</v>
      </c>
      <c r="BA328" t="n">
        <v>0</v>
      </c>
      <c r="BB328" t="n">
        <v>0</v>
      </c>
      <c r="BC328" t="n">
        <v>0</v>
      </c>
      <c r="BD328" t="n">
        <v>0</v>
      </c>
      <c r="BE328" t="n">
        <v>0</v>
      </c>
      <c r="BF328" t="n">
        <v>0</v>
      </c>
      <c r="BG328" t="n">
        <v>0</v>
      </c>
      <c r="BH328" t="n">
        <v>0</v>
      </c>
      <c r="BJ328" t="inlineStr">
        <is>
          <t>High2</t>
        </is>
      </c>
      <c r="BL328" t="n">
        <v>1</v>
      </c>
      <c r="BM328" t="n">
        <v>0.997560975609757</v>
      </c>
      <c r="BN328" t="n">
        <v>0.985365853658537</v>
      </c>
      <c r="BO328" t="n">
        <v>0.973170731707317</v>
      </c>
      <c r="BP328" t="n">
        <v>0.960975609756098</v>
      </c>
      <c r="BQ328" t="n">
        <v>0.948780487804878</v>
      </c>
      <c r="BR328" t="n">
        <v>0.936585365853658</v>
      </c>
      <c r="BS328" t="n">
        <v>0.924390243902439</v>
      </c>
      <c r="BT328" t="n">
        <v>0.91219512195122</v>
      </c>
      <c r="BU328" t="n">
        <v>0.9</v>
      </c>
      <c r="BV328" t="n">
        <v>0.8875</v>
      </c>
      <c r="BW328" t="n">
        <v>0.875000000000001</v>
      </c>
      <c r="BX328" t="n">
        <v>0.862500000000001</v>
      </c>
      <c r="BY328" t="n">
        <v>0.850000000000001</v>
      </c>
      <c r="BZ328" t="n">
        <v>0.8375</v>
      </c>
      <c r="CA328" t="n">
        <v>0.825000000000001</v>
      </c>
      <c r="CB328" t="n">
        <v>0.812500000000001</v>
      </c>
      <c r="CC328" t="n">
        <v>0.800000000000001</v>
      </c>
      <c r="CD328" t="e">
        <v>#VALUE!</v>
      </c>
      <c r="CE328" t="e">
        <v>#VALUE!</v>
      </c>
      <c r="CF328" t="e">
        <v>#VALUE!</v>
      </c>
      <c r="CG328" t="e">
        <v>#VALUE!</v>
      </c>
      <c r="CH328" t="e">
        <v>#VALUE!</v>
      </c>
      <c r="CI328" t="e">
        <v>#VALUE!</v>
      </c>
      <c r="CJ328" t="e">
        <v>#VALUE!</v>
      </c>
      <c r="CK328" t="e">
        <v>#VALUE!</v>
      </c>
    </row>
    <row r="329" ht="12.5" customHeight="1" s="213">
      <c r="A329" t="inlineStr">
        <is>
          <t>SouthAfrica</t>
        </is>
      </c>
      <c r="B329" t="inlineStr">
        <is>
          <t>TTF</t>
        </is>
      </c>
      <c r="C329" t="inlineStr">
        <is>
          <t>TTF</t>
        </is>
      </c>
      <c r="E329" t="n">
        <v>9.12676390579556</v>
      </c>
      <c r="I329" t="n">
        <v>12.3280833254511</v>
      </c>
      <c r="J329" t="n">
        <v>14.3309310966871</v>
      </c>
      <c r="L329" t="n">
        <v>19.4316201953666</v>
      </c>
      <c r="V329" t="n">
        <v>53.2382589133765</v>
      </c>
      <c r="W329" t="n">
        <v>3</v>
      </c>
      <c r="AG329" s="223" t="inlineStr">
        <is>
          <t>GDP</t>
        </is>
      </c>
      <c r="AI329" t="n">
        <v>1</v>
      </c>
      <c r="AJ329" t="n">
        <v>0.994900566012164</v>
      </c>
      <c r="AK329" t="n">
        <v>1.09338125038993</v>
      </c>
      <c r="AL329" t="n">
        <v>1.18552495423068</v>
      </c>
      <c r="AM329" t="n">
        <v>1.35507582325619</v>
      </c>
      <c r="AN329" t="n">
        <v>1.58710907835321</v>
      </c>
      <c r="AO329" t="n">
        <v>1.87180932424903</v>
      </c>
      <c r="AP329" t="n">
        <v>2.19758632707371</v>
      </c>
      <c r="AQ329" t="n">
        <v>2.56230221306238</v>
      </c>
      <c r="AR329" t="n">
        <v>2.96418214361779</v>
      </c>
      <c r="AS329" t="n">
        <v>3.39806295191155</v>
      </c>
      <c r="AT329" t="n">
        <v>3.85771925710635</v>
      </c>
      <c r="AU329" t="n">
        <v>4.33802822961463</v>
      </c>
      <c r="AV329" t="n">
        <v>4.83790076393356</v>
      </c>
      <c r="AW329" t="n">
        <v>5.3582377251087</v>
      </c>
      <c r="AX329" t="n">
        <v>5.89647097547281</v>
      </c>
      <c r="AY329" t="n">
        <v>6.44552805213077</v>
      </c>
      <c r="AZ329" t="n">
        <v>7.00058193192795</v>
      </c>
      <c r="BA329" t="n">
        <v>0</v>
      </c>
      <c r="BB329" t="n">
        <v>0</v>
      </c>
      <c r="BC329" t="n">
        <v>0</v>
      </c>
      <c r="BD329" t="n">
        <v>0</v>
      </c>
      <c r="BE329" t="n">
        <v>0</v>
      </c>
      <c r="BF329" t="n">
        <v>0</v>
      </c>
      <c r="BG329" t="n">
        <v>0</v>
      </c>
      <c r="BH329" t="n">
        <v>0</v>
      </c>
      <c r="BJ329" t="inlineStr">
        <is>
          <t>High2</t>
        </is>
      </c>
      <c r="BL329" t="n">
        <v>1</v>
      </c>
      <c r="BM329" t="n">
        <v>0.997560975609757</v>
      </c>
      <c r="BN329" t="n">
        <v>0.985365853658537</v>
      </c>
      <c r="BO329" t="n">
        <v>0.973170731707317</v>
      </c>
      <c r="BP329" t="n">
        <v>0.960975609756098</v>
      </c>
      <c r="BQ329" t="n">
        <v>0.948780487804878</v>
      </c>
      <c r="BR329" t="n">
        <v>0.936585365853658</v>
      </c>
      <c r="BS329" t="n">
        <v>0.924390243902439</v>
      </c>
      <c r="BT329" t="n">
        <v>0.91219512195122</v>
      </c>
      <c r="BU329" t="n">
        <v>0.9</v>
      </c>
      <c r="BV329" t="n">
        <v>0.8875</v>
      </c>
      <c r="BW329" t="n">
        <v>0.875000000000001</v>
      </c>
      <c r="BX329" t="n">
        <v>0.862500000000001</v>
      </c>
      <c r="BY329" t="n">
        <v>0.850000000000001</v>
      </c>
      <c r="BZ329" t="n">
        <v>0.8375</v>
      </c>
      <c r="CA329" t="n">
        <v>0.825000000000001</v>
      </c>
      <c r="CB329" t="n">
        <v>0.812500000000001</v>
      </c>
      <c r="CC329" t="n">
        <v>0.800000000000001</v>
      </c>
      <c r="CD329" t="e">
        <v>#VALUE!</v>
      </c>
      <c r="CE329" t="e">
        <v>#VALUE!</v>
      </c>
      <c r="CF329" t="e">
        <v>#VALUE!</v>
      </c>
      <c r="CG329" t="e">
        <v>#VALUE!</v>
      </c>
      <c r="CH329" t="e">
        <v>#VALUE!</v>
      </c>
      <c r="CI329" t="e">
        <v>#VALUE!</v>
      </c>
      <c r="CJ329" t="e">
        <v>#VALUE!</v>
      </c>
      <c r="CK329" t="e">
        <v>#VALUE!</v>
      </c>
    </row>
    <row r="330" ht="12.5" customHeight="1" s="213">
      <c r="A330" t="inlineStr">
        <is>
          <t>SouthAfrica</t>
        </is>
      </c>
      <c r="B330" t="inlineStr">
        <is>
          <t>TTP</t>
        </is>
      </c>
      <c r="C330" t="inlineStr">
        <is>
          <t>TTP</t>
        </is>
      </c>
      <c r="E330" t="n">
        <v>9.740700274711219</v>
      </c>
      <c r="I330" t="n">
        <v>10.8414100633482</v>
      </c>
      <c r="J330" t="n">
        <v>11.0821321791008</v>
      </c>
      <c r="L330" t="n">
        <v>11.335909074956</v>
      </c>
      <c r="V330" t="n">
        <v>9.992599490107949</v>
      </c>
      <c r="W330" t="n">
        <v>3</v>
      </c>
      <c r="AG330" s="223" t="inlineStr">
        <is>
          <t>POP</t>
        </is>
      </c>
      <c r="AI330" t="n">
        <v>1</v>
      </c>
      <c r="AJ330" t="n">
        <v>1.00815472466068</v>
      </c>
      <c r="AK330" t="n">
        <v>1.04892834796405</v>
      </c>
      <c r="AL330" t="n">
        <v>1.09111123927933</v>
      </c>
      <c r="AM330" t="n">
        <v>1.12521247998421</v>
      </c>
      <c r="AN330" t="n">
        <v>1.15154539977041</v>
      </c>
      <c r="AO330" t="n">
        <v>1.17016750535311</v>
      </c>
      <c r="AP330" t="n">
        <v>1.17983637578976</v>
      </c>
      <c r="AQ330" t="n">
        <v>1.1824192636067</v>
      </c>
      <c r="AR330" t="n">
        <v>1.1787026571958</v>
      </c>
      <c r="AS330" t="n">
        <v>1.16973362710189</v>
      </c>
      <c r="AT330" t="n">
        <v>1.15582715838238</v>
      </c>
      <c r="AU330" t="n">
        <v>1.13793012022618</v>
      </c>
      <c r="AV330" t="n">
        <v>1.1163359779364</v>
      </c>
      <c r="AW330" t="n">
        <v>1.09293353828048</v>
      </c>
      <c r="AX330" t="n">
        <v>1.06802312943191</v>
      </c>
      <c r="AY330" t="n">
        <v>1.04167236273411</v>
      </c>
      <c r="AZ330" t="n">
        <v>1.01409441825303</v>
      </c>
      <c r="BA330" t="n">
        <v>0</v>
      </c>
      <c r="BB330" t="n">
        <v>0</v>
      </c>
      <c r="BC330" t="n">
        <v>0</v>
      </c>
      <c r="BD330" t="n">
        <v>0</v>
      </c>
      <c r="BE330" t="n">
        <v>0</v>
      </c>
      <c r="BF330" t="n">
        <v>0</v>
      </c>
      <c r="BG330" t="n">
        <v>0</v>
      </c>
      <c r="BH330" t="n">
        <v>0</v>
      </c>
      <c r="BJ330" t="inlineStr">
        <is>
          <t>High2</t>
        </is>
      </c>
      <c r="BL330" t="n">
        <v>1</v>
      </c>
      <c r="BM330" t="n">
        <v>0.997560975609757</v>
      </c>
      <c r="BN330" t="n">
        <v>0.985365853658537</v>
      </c>
      <c r="BO330" t="n">
        <v>0.973170731707317</v>
      </c>
      <c r="BP330" t="n">
        <v>0.960975609756098</v>
      </c>
      <c r="BQ330" t="n">
        <v>0.948780487804878</v>
      </c>
      <c r="BR330" t="n">
        <v>0.936585365853658</v>
      </c>
      <c r="BS330" t="n">
        <v>0.924390243902439</v>
      </c>
      <c r="BT330" t="n">
        <v>0.91219512195122</v>
      </c>
      <c r="BU330" t="n">
        <v>0.9</v>
      </c>
      <c r="BV330" t="n">
        <v>0.8875</v>
      </c>
      <c r="BW330" t="n">
        <v>0.875000000000001</v>
      </c>
      <c r="BX330" t="n">
        <v>0.862500000000001</v>
      </c>
      <c r="BY330" t="n">
        <v>0.850000000000001</v>
      </c>
      <c r="BZ330" t="n">
        <v>0.8375</v>
      </c>
      <c r="CA330" t="n">
        <v>0.825000000000001</v>
      </c>
      <c r="CB330" t="n">
        <v>0.812500000000001</v>
      </c>
      <c r="CC330" t="n">
        <v>0.800000000000001</v>
      </c>
      <c r="CD330" t="e">
        <v>#VALUE!</v>
      </c>
      <c r="CE330" t="e">
        <v>#VALUE!</v>
      </c>
      <c r="CF330" t="e">
        <v>#VALUE!</v>
      </c>
      <c r="CG330" t="e">
        <v>#VALUE!</v>
      </c>
      <c r="CH330" t="e">
        <v>#VALUE!</v>
      </c>
      <c r="CI330" t="e">
        <v>#VALUE!</v>
      </c>
      <c r="CJ330" t="e">
        <v>#VALUE!</v>
      </c>
      <c r="CK330" t="e">
        <v>#VALUE!</v>
      </c>
    </row>
    <row r="331" ht="12.5" customHeight="1" s="213">
      <c r="A331" t="inlineStr">
        <is>
          <t>SouthAfrica</t>
        </is>
      </c>
      <c r="B331" t="inlineStr">
        <is>
          <t>TWD</t>
        </is>
      </c>
      <c r="C331" t="inlineStr">
        <is>
          <t>TWD</t>
        </is>
      </c>
      <c r="E331" t="n">
        <v>10.9989574210474</v>
      </c>
      <c r="F331">
        <f>E331</f>
        <v/>
      </c>
      <c r="I331">
        <f>F331</f>
        <v/>
      </c>
      <c r="J331">
        <f>I331</f>
        <v/>
      </c>
      <c r="L331">
        <f>J331</f>
        <v/>
      </c>
      <c r="V331">
        <f>L331</f>
        <v/>
      </c>
      <c r="W331" t="n">
        <v>3</v>
      </c>
      <c r="AG331" s="223" t="inlineStr">
        <is>
          <t>GDP</t>
        </is>
      </c>
      <c r="AI331" t="n">
        <v>1</v>
      </c>
      <c r="AJ331" t="n">
        <v>0.994900566012164</v>
      </c>
      <c r="AK331" t="n">
        <v>1.09338125038993</v>
      </c>
      <c r="AL331" t="n">
        <v>1.18552495423068</v>
      </c>
      <c r="AM331" t="n">
        <v>1.35507582325619</v>
      </c>
      <c r="AN331" t="n">
        <v>1.58710907835321</v>
      </c>
      <c r="AO331" t="n">
        <v>1.87180932424903</v>
      </c>
      <c r="AP331" t="n">
        <v>2.19758632707371</v>
      </c>
      <c r="AQ331" t="n">
        <v>2.56230221306238</v>
      </c>
      <c r="AR331" t="n">
        <v>2.96418214361779</v>
      </c>
      <c r="AS331" t="n">
        <v>3.39806295191155</v>
      </c>
      <c r="AT331" t="n">
        <v>3.85771925710635</v>
      </c>
      <c r="AU331" t="n">
        <v>4.33802822961463</v>
      </c>
      <c r="AV331" t="n">
        <v>4.83790076393356</v>
      </c>
      <c r="AW331" t="n">
        <v>5.3582377251087</v>
      </c>
      <c r="AX331" t="n">
        <v>5.89647097547281</v>
      </c>
      <c r="AY331" t="n">
        <v>6.44552805213077</v>
      </c>
      <c r="AZ331" t="n">
        <v>7.00058193192795</v>
      </c>
      <c r="BA331" t="n">
        <v>0</v>
      </c>
      <c r="BB331" t="n">
        <v>0</v>
      </c>
      <c r="BC331" t="n">
        <v>0</v>
      </c>
      <c r="BD331" t="n">
        <v>0</v>
      </c>
      <c r="BE331" t="n">
        <v>0</v>
      </c>
      <c r="BF331" t="n">
        <v>0</v>
      </c>
      <c r="BG331" t="n">
        <v>0</v>
      </c>
      <c r="BH331" t="n">
        <v>0</v>
      </c>
      <c r="BJ331" t="inlineStr">
        <is>
          <t>High2</t>
        </is>
      </c>
      <c r="BL331" t="n">
        <v>1</v>
      </c>
      <c r="BM331" t="n">
        <v>0.997560975609757</v>
      </c>
      <c r="BN331" t="n">
        <v>0.985365853658537</v>
      </c>
      <c r="BO331" t="n">
        <v>0.973170731707317</v>
      </c>
      <c r="BP331" t="n">
        <v>0.960975609756098</v>
      </c>
      <c r="BQ331" t="n">
        <v>0.948780487804878</v>
      </c>
      <c r="BR331" t="n">
        <v>0.936585365853658</v>
      </c>
      <c r="BS331" t="n">
        <v>0.924390243902439</v>
      </c>
      <c r="BT331" t="n">
        <v>0.91219512195122</v>
      </c>
      <c r="BU331" t="n">
        <v>0.9</v>
      </c>
      <c r="BV331" t="n">
        <v>0.8875</v>
      </c>
      <c r="BW331" t="n">
        <v>0.875000000000001</v>
      </c>
      <c r="BX331" t="n">
        <v>0.862500000000001</v>
      </c>
      <c r="BY331" t="n">
        <v>0.850000000000001</v>
      </c>
      <c r="BZ331" t="n">
        <v>0.8375</v>
      </c>
      <c r="CA331" t="n">
        <v>0.825000000000001</v>
      </c>
      <c r="CB331" t="n">
        <v>0.812500000000001</v>
      </c>
      <c r="CC331" t="n">
        <v>0.800000000000001</v>
      </c>
      <c r="CD331" t="e">
        <v>#VALUE!</v>
      </c>
      <c r="CE331" t="e">
        <v>#VALUE!</v>
      </c>
      <c r="CF331" t="e">
        <v>#VALUE!</v>
      </c>
      <c r="CG331" t="e">
        <v>#VALUE!</v>
      </c>
      <c r="CH331" t="e">
        <v>#VALUE!</v>
      </c>
      <c r="CI331" t="e">
        <v>#VALUE!</v>
      </c>
      <c r="CJ331" t="e">
        <v>#VALUE!</v>
      </c>
      <c r="CK331" t="e">
        <v>#VALUE!</v>
      </c>
    </row>
    <row r="332" ht="12.5" customHeight="1" s="213">
      <c r="A332" t="inlineStr">
        <is>
          <t>SouthAfrica</t>
        </is>
      </c>
      <c r="B332" t="inlineStr">
        <is>
          <t>TWI</t>
        </is>
      </c>
      <c r="C332" t="inlineStr">
        <is>
          <t>TWI</t>
        </is>
      </c>
      <c r="E332" t="n">
        <v>125.722145353272</v>
      </c>
      <c r="F332">
        <f>E332</f>
        <v/>
      </c>
      <c r="I332">
        <f>F332</f>
        <v/>
      </c>
      <c r="J332">
        <f>I332</f>
        <v/>
      </c>
      <c r="L332">
        <f>J332</f>
        <v/>
      </c>
      <c r="V332">
        <f>L332</f>
        <v/>
      </c>
      <c r="W332" t="n">
        <v>3</v>
      </c>
      <c r="AG332" s="223" t="inlineStr">
        <is>
          <t>GDP</t>
        </is>
      </c>
      <c r="AI332" t="n">
        <v>1</v>
      </c>
      <c r="AJ332" t="n">
        <v>0.994900566012164</v>
      </c>
      <c r="AK332" t="n">
        <v>1.09338125038993</v>
      </c>
      <c r="AL332" t="n">
        <v>1.18552495423068</v>
      </c>
      <c r="AM332" t="n">
        <v>1.35507582325619</v>
      </c>
      <c r="AN332" t="n">
        <v>1.58710907835321</v>
      </c>
      <c r="AO332" t="n">
        <v>1.87180932424903</v>
      </c>
      <c r="AP332" t="n">
        <v>2.19758632707371</v>
      </c>
      <c r="AQ332" t="n">
        <v>2.56230221306238</v>
      </c>
      <c r="AR332" t="n">
        <v>2.96418214361779</v>
      </c>
      <c r="AS332" t="n">
        <v>3.39806295191155</v>
      </c>
      <c r="AT332" t="n">
        <v>3.85771925710635</v>
      </c>
      <c r="AU332" t="n">
        <v>4.33802822961463</v>
      </c>
      <c r="AV332" t="n">
        <v>4.83790076393356</v>
      </c>
      <c r="AW332" t="n">
        <v>5.3582377251087</v>
      </c>
      <c r="AX332" t="n">
        <v>5.89647097547281</v>
      </c>
      <c r="AY332" t="n">
        <v>6.44552805213077</v>
      </c>
      <c r="AZ332" t="n">
        <v>7.00058193192795</v>
      </c>
      <c r="BA332" t="n">
        <v>0</v>
      </c>
      <c r="BB332" t="n">
        <v>0</v>
      </c>
      <c r="BC332" t="n">
        <v>0</v>
      </c>
      <c r="BD332" t="n">
        <v>0</v>
      </c>
      <c r="BE332" t="n">
        <v>0</v>
      </c>
      <c r="BF332" t="n">
        <v>0</v>
      </c>
      <c r="BG332" t="n">
        <v>0</v>
      </c>
      <c r="BH332" t="n">
        <v>0</v>
      </c>
      <c r="BJ332" t="inlineStr">
        <is>
          <t>High2</t>
        </is>
      </c>
      <c r="BL332" t="n">
        <v>1</v>
      </c>
      <c r="BM332" t="n">
        <v>0.997560975609757</v>
      </c>
      <c r="BN332" t="n">
        <v>0.985365853658537</v>
      </c>
      <c r="BO332" t="n">
        <v>0.973170731707317</v>
      </c>
      <c r="BP332" t="n">
        <v>0.960975609756098</v>
      </c>
      <c r="BQ332" t="n">
        <v>0.948780487804878</v>
      </c>
      <c r="BR332" t="n">
        <v>0.936585365853658</v>
      </c>
      <c r="BS332" t="n">
        <v>0.924390243902439</v>
      </c>
      <c r="BT332" t="n">
        <v>0.91219512195122</v>
      </c>
      <c r="BU332" t="n">
        <v>0.9</v>
      </c>
      <c r="BV332" t="n">
        <v>0.8875</v>
      </c>
      <c r="BW332" t="n">
        <v>0.875000000000001</v>
      </c>
      <c r="BX332" t="n">
        <v>0.862500000000001</v>
      </c>
      <c r="BY332" t="n">
        <v>0.850000000000001</v>
      </c>
      <c r="BZ332" t="n">
        <v>0.8375</v>
      </c>
      <c r="CA332" t="n">
        <v>0.825000000000001</v>
      </c>
      <c r="CB332" t="n">
        <v>0.812500000000001</v>
      </c>
      <c r="CC332" t="n">
        <v>0.800000000000001</v>
      </c>
      <c r="CD332" t="e">
        <v>#VALUE!</v>
      </c>
      <c r="CE332" t="e">
        <v>#VALUE!</v>
      </c>
      <c r="CF332" t="e">
        <v>#VALUE!</v>
      </c>
      <c r="CG332" t="e">
        <v>#VALUE!</v>
      </c>
      <c r="CH332" t="e">
        <v>#VALUE!</v>
      </c>
      <c r="CI332" t="e">
        <v>#VALUE!</v>
      </c>
      <c r="CJ332" t="e">
        <v>#VALUE!</v>
      </c>
      <c r="CK332" t="e">
        <v>#VALUE!</v>
      </c>
    </row>
    <row r="333" ht="12.5" customHeight="1" s="213">
      <c r="A333" t="inlineStr">
        <is>
          <t>SouthAfrica</t>
        </is>
      </c>
      <c r="B333" t="inlineStr">
        <is>
          <t>Trd_2w</t>
        </is>
      </c>
      <c r="C333" t="inlineStr">
        <is>
          <t>Trd_2w</t>
        </is>
      </c>
      <c r="D333" t="n">
        <v>109.69</v>
      </c>
      <c r="E333" t="n">
        <v>110.58231006084</v>
      </c>
      <c r="G333" t="n">
        <v>114.989231240778</v>
      </c>
      <c r="H333" t="n">
        <v>119.489482175879</v>
      </c>
      <c r="I333" t="n">
        <v>123.078232089162</v>
      </c>
      <c r="J333" t="n">
        <v>125.811054873143</v>
      </c>
      <c r="K333" t="n">
        <v>127.716576540045</v>
      </c>
      <c r="L333" t="n">
        <v>128.692083402129</v>
      </c>
      <c r="M333" t="n">
        <v>128.949077612265</v>
      </c>
      <c r="N333" t="n">
        <v>128.584293575878</v>
      </c>
      <c r="O333" t="n">
        <v>127.715938187362</v>
      </c>
      <c r="P333" t="n">
        <v>126.387372477224</v>
      </c>
      <c r="Q333" t="n">
        <v>124.699455590404</v>
      </c>
      <c r="R333" t="n">
        <v>122.68803056643</v>
      </c>
      <c r="S333" t="n">
        <v>120.533993247749</v>
      </c>
      <c r="T333" t="n">
        <v>118.267520007521</v>
      </c>
      <c r="U333" t="n">
        <v>115.896684311005</v>
      </c>
      <c r="V333" t="n">
        <v>113.442022027689</v>
      </c>
      <c r="W333" t="n">
        <v>3</v>
      </c>
      <c r="AG333" s="223" t="inlineStr">
        <is>
          <t>POP</t>
        </is>
      </c>
      <c r="AI333" t="n">
        <v>1</v>
      </c>
      <c r="AJ333" t="n">
        <v>1.00815472466068</v>
      </c>
      <c r="AK333" t="n">
        <v>1.04892834796405</v>
      </c>
      <c r="AL333" t="n">
        <v>1.09111123927933</v>
      </c>
      <c r="AM333" t="n">
        <v>1.12521247998421</v>
      </c>
      <c r="AN333" t="n">
        <v>1.15154539977041</v>
      </c>
      <c r="AO333" t="n">
        <v>1.17016750535311</v>
      </c>
      <c r="AP333" t="n">
        <v>1.17983637578976</v>
      </c>
      <c r="AQ333" t="n">
        <v>1.1824192636067</v>
      </c>
      <c r="AR333" t="n">
        <v>1.1787026571958</v>
      </c>
      <c r="AS333" t="n">
        <v>1.16973362710189</v>
      </c>
      <c r="AT333" t="n">
        <v>1.15582715838238</v>
      </c>
      <c r="AU333" t="n">
        <v>1.13793012022618</v>
      </c>
      <c r="AV333" t="n">
        <v>1.1163359779364</v>
      </c>
      <c r="AW333" t="n">
        <v>1.09293353828048</v>
      </c>
      <c r="AX333" t="n">
        <v>1.06802312943191</v>
      </c>
      <c r="AY333" t="n">
        <v>1.04167236273411</v>
      </c>
      <c r="AZ333" t="n">
        <v>1.01409441825303</v>
      </c>
      <c r="BA333" t="n">
        <v>0</v>
      </c>
      <c r="BB333" t="n">
        <v>0</v>
      </c>
      <c r="BC333" t="n">
        <v>0</v>
      </c>
      <c r="BD333" t="n">
        <v>0</v>
      </c>
      <c r="BE333" t="n">
        <v>0</v>
      </c>
      <c r="BF333" t="n">
        <v>0</v>
      </c>
      <c r="BG333" t="n">
        <v>0</v>
      </c>
      <c r="BH333" t="n">
        <v>0</v>
      </c>
      <c r="BJ333" t="inlineStr">
        <is>
          <t>High2</t>
        </is>
      </c>
      <c r="BL333" t="n">
        <v>1</v>
      </c>
      <c r="BM333" t="n">
        <v>0.997560975609757</v>
      </c>
      <c r="BN333" t="n">
        <v>0.985365853658537</v>
      </c>
      <c r="BO333" t="n">
        <v>0.973170731707317</v>
      </c>
      <c r="BP333" t="n">
        <v>0.960975609756098</v>
      </c>
      <c r="BQ333" t="n">
        <v>0.948780487804878</v>
      </c>
      <c r="BR333" t="n">
        <v>0.936585365853658</v>
      </c>
      <c r="BS333" t="n">
        <v>0.924390243902439</v>
      </c>
      <c r="BT333" t="n">
        <v>0.91219512195122</v>
      </c>
      <c r="BU333" t="n">
        <v>0.9</v>
      </c>
      <c r="BV333" t="n">
        <v>0.8875</v>
      </c>
      <c r="BW333" t="n">
        <v>0.875000000000001</v>
      </c>
      <c r="BX333" t="n">
        <v>0.862500000000001</v>
      </c>
      <c r="BY333" t="n">
        <v>0.850000000000001</v>
      </c>
      <c r="BZ333" t="n">
        <v>0.8375</v>
      </c>
      <c r="CA333" t="n">
        <v>0.825000000000001</v>
      </c>
      <c r="CB333" t="n">
        <v>0.812500000000001</v>
      </c>
      <c r="CC333" t="n">
        <v>0.800000000000001</v>
      </c>
      <c r="CD333" t="e">
        <v>#VALUE!</v>
      </c>
      <c r="CE333" t="e">
        <v>#VALUE!</v>
      </c>
      <c r="CF333" t="e">
        <v>#VALUE!</v>
      </c>
      <c r="CG333" t="e">
        <v>#VALUE!</v>
      </c>
      <c r="CH333" t="e">
        <v>#VALUE!</v>
      </c>
      <c r="CI333" t="e">
        <v>#VALUE!</v>
      </c>
      <c r="CJ333" t="e">
        <v>#VALUE!</v>
      </c>
      <c r="CK333" t="e">
        <v>#VALUE!</v>
      </c>
    </row>
    <row r="334" ht="12.5" customHeight="1" s="213">
      <c r="A334" t="inlineStr">
        <is>
          <t>SouthAfrica</t>
        </is>
      </c>
      <c r="B334" t="inlineStr">
        <is>
          <t>Trd_3w</t>
        </is>
      </c>
      <c r="C334" t="inlineStr">
        <is>
          <t>Trd_3w</t>
        </is>
      </c>
      <c r="D334" t="n">
        <v>18.585</v>
      </c>
      <c r="E334" t="n">
        <v>18.7361859101167</v>
      </c>
      <c r="G334" t="n">
        <v>19.4828595369666</v>
      </c>
      <c r="H334" t="n">
        <v>20.2453462142283</v>
      </c>
      <c r="I334" t="n">
        <v>20.8533954177872</v>
      </c>
      <c r="J334" t="n">
        <v>21.3164231453857</v>
      </c>
      <c r="K334" t="n">
        <v>21.63927956055</v>
      </c>
      <c r="L334" t="n">
        <v>21.8045616740684</v>
      </c>
      <c r="M334" t="n">
        <v>21.8481047262644</v>
      </c>
      <c r="N334" t="n">
        <v>21.7862986243749</v>
      </c>
      <c r="O334" t="n">
        <v>21.6391714031554</v>
      </c>
      <c r="P334" t="n">
        <v>21.4140698102764</v>
      </c>
      <c r="Q334" t="n">
        <v>21.1280826159873</v>
      </c>
      <c r="R334" t="n">
        <v>20.7872827794431</v>
      </c>
      <c r="S334" t="n">
        <v>20.4223198514853</v>
      </c>
      <c r="T334" t="n">
        <v>20.0383066764498</v>
      </c>
      <c r="U334" t="n">
        <v>19.6366111579909</v>
      </c>
      <c r="V334" t="n">
        <v>19.2207127302817</v>
      </c>
      <c r="W334" t="n">
        <v>3</v>
      </c>
      <c r="AG334" s="223" t="inlineStr">
        <is>
          <t>POP</t>
        </is>
      </c>
      <c r="AI334" t="n">
        <v>1</v>
      </c>
      <c r="AJ334" t="n">
        <v>1.00815472466068</v>
      </c>
      <c r="AK334" t="n">
        <v>1.04892834796405</v>
      </c>
      <c r="AL334" t="n">
        <v>1.09111123927933</v>
      </c>
      <c r="AM334" t="n">
        <v>1.12521247998421</v>
      </c>
      <c r="AN334" t="n">
        <v>1.15154539977041</v>
      </c>
      <c r="AO334" t="n">
        <v>1.17016750535311</v>
      </c>
      <c r="AP334" t="n">
        <v>1.17983637578976</v>
      </c>
      <c r="AQ334" t="n">
        <v>1.1824192636067</v>
      </c>
      <c r="AR334" t="n">
        <v>1.1787026571958</v>
      </c>
      <c r="AS334" t="n">
        <v>1.16973362710189</v>
      </c>
      <c r="AT334" t="n">
        <v>1.15582715838238</v>
      </c>
      <c r="AU334" t="n">
        <v>1.13793012022618</v>
      </c>
      <c r="AV334" t="n">
        <v>1.1163359779364</v>
      </c>
      <c r="AW334" t="n">
        <v>1.09293353828048</v>
      </c>
      <c r="AX334" t="n">
        <v>1.06802312943191</v>
      </c>
      <c r="AY334" t="n">
        <v>1.04167236273411</v>
      </c>
      <c r="AZ334" t="n">
        <v>1.01409441825303</v>
      </c>
      <c r="BA334" t="n">
        <v>0</v>
      </c>
      <c r="BB334" t="n">
        <v>0</v>
      </c>
      <c r="BC334" t="n">
        <v>0</v>
      </c>
      <c r="BD334" t="n">
        <v>0</v>
      </c>
      <c r="BE334" t="n">
        <v>0</v>
      </c>
      <c r="BF334" t="n">
        <v>0</v>
      </c>
      <c r="BG334" t="n">
        <v>0</v>
      </c>
      <c r="BH334" t="n">
        <v>0</v>
      </c>
      <c r="BJ334" t="inlineStr">
        <is>
          <t>High2</t>
        </is>
      </c>
      <c r="BL334" t="n">
        <v>1</v>
      </c>
      <c r="BM334" t="n">
        <v>0.997560975609757</v>
      </c>
      <c r="BN334" t="n">
        <v>0.985365853658537</v>
      </c>
      <c r="BO334" t="n">
        <v>0.973170731707317</v>
      </c>
      <c r="BP334" t="n">
        <v>0.960975609756098</v>
      </c>
      <c r="BQ334" t="n">
        <v>0.948780487804878</v>
      </c>
      <c r="BR334" t="n">
        <v>0.936585365853658</v>
      </c>
      <c r="BS334" t="n">
        <v>0.924390243902439</v>
      </c>
      <c r="BT334" t="n">
        <v>0.91219512195122</v>
      </c>
      <c r="BU334" t="n">
        <v>0.9</v>
      </c>
      <c r="BV334" t="n">
        <v>0.8875</v>
      </c>
      <c r="BW334" t="n">
        <v>0.875000000000001</v>
      </c>
      <c r="BX334" t="n">
        <v>0.862500000000001</v>
      </c>
      <c r="BY334" t="n">
        <v>0.850000000000001</v>
      </c>
      <c r="BZ334" t="n">
        <v>0.8375</v>
      </c>
      <c r="CA334" t="n">
        <v>0.825000000000001</v>
      </c>
      <c r="CB334" t="n">
        <v>0.812500000000001</v>
      </c>
      <c r="CC334" t="n">
        <v>0.800000000000001</v>
      </c>
      <c r="CD334" t="e">
        <v>#VALUE!</v>
      </c>
      <c r="CE334" t="e">
        <v>#VALUE!</v>
      </c>
      <c r="CF334" t="e">
        <v>#VALUE!</v>
      </c>
      <c r="CG334" t="e">
        <v>#VALUE!</v>
      </c>
      <c r="CH334" t="e">
        <v>#VALUE!</v>
      </c>
      <c r="CI334" t="e">
        <v>#VALUE!</v>
      </c>
      <c r="CJ334" t="e">
        <v>#VALUE!</v>
      </c>
      <c r="CK334" t="e">
        <v>#VALUE!</v>
      </c>
    </row>
    <row r="335" ht="12.5" customHeight="1" s="213">
      <c r="A335" t="inlineStr">
        <is>
          <t>SouthAfrica</t>
        </is>
      </c>
      <c r="B335" t="inlineStr">
        <is>
          <t>Trd_bus</t>
        </is>
      </c>
      <c r="C335" t="inlineStr">
        <is>
          <t>Trd_bus</t>
        </is>
      </c>
      <c r="D335" t="n">
        <v>7.945</v>
      </c>
      <c r="E335" t="n">
        <v>8.009631264776839</v>
      </c>
      <c r="G335" t="n">
        <v>8.3288307248426</v>
      </c>
      <c r="H335" t="n">
        <v>8.654790189510029</v>
      </c>
      <c r="I335" t="n">
        <v>8.91472836127628</v>
      </c>
      <c r="J335" t="n">
        <v>9.11267053484473</v>
      </c>
      <c r="K335" t="n">
        <v>9.250690132287851</v>
      </c>
      <c r="L335" t="n">
        <v>9.321347457652591</v>
      </c>
      <c r="M335" t="n">
        <v>9.33996190746141</v>
      </c>
      <c r="N335" t="n">
        <v>9.31354008989287</v>
      </c>
      <c r="O335" t="n">
        <v>9.250643895510891</v>
      </c>
      <c r="P335" t="n">
        <v>9.154414024355439</v>
      </c>
      <c r="Q335" t="n">
        <v>9.03215584525258</v>
      </c>
      <c r="R335" t="n">
        <v>8.88646551964891</v>
      </c>
      <c r="S335" t="n">
        <v>8.730445586228161</v>
      </c>
      <c r="T335" t="n">
        <v>8.566281761872141</v>
      </c>
      <c r="U335" t="n">
        <v>8.39455881895281</v>
      </c>
      <c r="V335" t="n">
        <v>8.21676419919763</v>
      </c>
      <c r="W335" t="n">
        <v>3</v>
      </c>
      <c r="AG335" s="223" t="inlineStr">
        <is>
          <t>POP</t>
        </is>
      </c>
      <c r="AI335" t="n">
        <v>1</v>
      </c>
      <c r="AJ335" t="n">
        <v>1.00815472466068</v>
      </c>
      <c r="AK335" t="n">
        <v>1.04892834796405</v>
      </c>
      <c r="AL335" t="n">
        <v>1.09111123927933</v>
      </c>
      <c r="AM335" t="n">
        <v>1.12521247998421</v>
      </c>
      <c r="AN335" t="n">
        <v>1.15154539977041</v>
      </c>
      <c r="AO335" t="n">
        <v>1.17016750535311</v>
      </c>
      <c r="AP335" t="n">
        <v>1.17983637578976</v>
      </c>
      <c r="AQ335" t="n">
        <v>1.1824192636067</v>
      </c>
      <c r="AR335" t="n">
        <v>1.1787026571958</v>
      </c>
      <c r="AS335" t="n">
        <v>1.16973362710189</v>
      </c>
      <c r="AT335" t="n">
        <v>1.15582715838238</v>
      </c>
      <c r="AU335" t="n">
        <v>1.13793012022618</v>
      </c>
      <c r="AV335" t="n">
        <v>1.1163359779364</v>
      </c>
      <c r="AW335" t="n">
        <v>1.09293353828048</v>
      </c>
      <c r="AX335" t="n">
        <v>1.06802312943191</v>
      </c>
      <c r="AY335" t="n">
        <v>1.04167236273411</v>
      </c>
      <c r="AZ335" t="n">
        <v>1.01409441825303</v>
      </c>
      <c r="BA335" t="n">
        <v>0</v>
      </c>
      <c r="BB335" t="n">
        <v>0</v>
      </c>
      <c r="BC335" t="n">
        <v>0</v>
      </c>
      <c r="BD335" t="n">
        <v>0</v>
      </c>
      <c r="BE335" t="n">
        <v>0</v>
      </c>
      <c r="BF335" t="n">
        <v>0</v>
      </c>
      <c r="BG335" t="n">
        <v>0</v>
      </c>
      <c r="BH335" t="n">
        <v>0</v>
      </c>
      <c r="BJ335" t="inlineStr">
        <is>
          <t>High2</t>
        </is>
      </c>
      <c r="BL335" t="n">
        <v>1</v>
      </c>
      <c r="BM335" t="n">
        <v>0.997560975609757</v>
      </c>
      <c r="BN335" t="n">
        <v>0.985365853658537</v>
      </c>
      <c r="BO335" t="n">
        <v>0.973170731707317</v>
      </c>
      <c r="BP335" t="n">
        <v>0.960975609756098</v>
      </c>
      <c r="BQ335" t="n">
        <v>0.948780487804878</v>
      </c>
      <c r="BR335" t="n">
        <v>0.936585365853658</v>
      </c>
      <c r="BS335" t="n">
        <v>0.924390243902439</v>
      </c>
      <c r="BT335" t="n">
        <v>0.91219512195122</v>
      </c>
      <c r="BU335" t="n">
        <v>0.9</v>
      </c>
      <c r="BV335" t="n">
        <v>0.8875</v>
      </c>
      <c r="BW335" t="n">
        <v>0.875000000000001</v>
      </c>
      <c r="BX335" t="n">
        <v>0.862500000000001</v>
      </c>
      <c r="BY335" t="n">
        <v>0.850000000000001</v>
      </c>
      <c r="BZ335" t="n">
        <v>0.8375</v>
      </c>
      <c r="CA335" t="n">
        <v>0.825000000000001</v>
      </c>
      <c r="CB335" t="n">
        <v>0.812500000000001</v>
      </c>
      <c r="CC335" t="n">
        <v>0.800000000000001</v>
      </c>
      <c r="CD335" t="e">
        <v>#VALUE!</v>
      </c>
      <c r="CE335" t="e">
        <v>#VALUE!</v>
      </c>
      <c r="CF335" t="e">
        <v>#VALUE!</v>
      </c>
      <c r="CG335" t="e">
        <v>#VALUE!</v>
      </c>
      <c r="CH335" t="e">
        <v>#VALUE!</v>
      </c>
      <c r="CI335" t="e">
        <v>#VALUE!</v>
      </c>
      <c r="CJ335" t="e">
        <v>#VALUE!</v>
      </c>
      <c r="CK335" t="e">
        <v>#VALUE!</v>
      </c>
    </row>
    <row r="336" ht="12.5" customHeight="1" s="213">
      <c r="A336" t="inlineStr">
        <is>
          <t>SouthAfrica</t>
        </is>
      </c>
      <c r="B336" t="inlineStr">
        <is>
          <t>Trd_car</t>
        </is>
      </c>
      <c r="C336" t="inlineStr">
        <is>
          <t>Trd_car</t>
        </is>
      </c>
      <c r="D336" t="n">
        <v>99.66</v>
      </c>
      <c r="E336" t="n">
        <v>98.3529707431704</v>
      </c>
      <c r="G336" t="n">
        <v>103.805917225593</v>
      </c>
      <c r="H336" t="n">
        <v>108.084709235096</v>
      </c>
      <c r="I336" t="n">
        <v>119.341446492584</v>
      </c>
      <c r="J336" t="n">
        <v>135.697301449449</v>
      </c>
      <c r="K336" t="n">
        <v>156.110092215582</v>
      </c>
      <c r="L336" t="n">
        <v>179.837352283857</v>
      </c>
      <c r="M336" t="n">
        <v>206.645067701619</v>
      </c>
      <c r="N336" t="n">
        <v>236.493270061296</v>
      </c>
      <c r="O336" t="n">
        <v>269.060394912842</v>
      </c>
      <c r="P336" t="n">
        <v>304.122482923034</v>
      </c>
      <c r="Q336" t="n">
        <v>341.420207140228</v>
      </c>
      <c r="R336" t="n">
        <v>381.121451577387</v>
      </c>
      <c r="S336" t="n">
        <v>423.021353581731</v>
      </c>
      <c r="T336" t="n">
        <v>467.03504533259</v>
      </c>
      <c r="U336" t="n">
        <v>512.862520830738</v>
      </c>
      <c r="V336" t="n">
        <v>560.313003520519</v>
      </c>
      <c r="W336" t="n">
        <v>3</v>
      </c>
      <c r="AG336" s="223" t="inlineStr">
        <is>
          <t>GDPPCAP</t>
        </is>
      </c>
      <c r="AI336" t="n">
        <v>1</v>
      </c>
      <c r="AJ336" t="n">
        <v>0.986853051099898</v>
      </c>
      <c r="AK336" t="n">
        <v>1.04237935080328</v>
      </c>
      <c r="AL336" t="n">
        <v>1.08652987115567</v>
      </c>
      <c r="AM336" t="n">
        <v>1.20428438838076</v>
      </c>
      <c r="AN336" t="n">
        <v>1.37824273247902</v>
      </c>
      <c r="AO336" t="n">
        <v>1.59960801824197</v>
      </c>
      <c r="AP336" t="n">
        <v>1.86261957350035</v>
      </c>
      <c r="AQ336" t="n">
        <v>2.16699971991886</v>
      </c>
      <c r="AR336" t="n">
        <v>2.51478362717001</v>
      </c>
      <c r="AS336" t="n">
        <v>2.90498868561258</v>
      </c>
      <c r="AT336" t="n">
        <v>3.33762641682978</v>
      </c>
      <c r="AU336" t="n">
        <v>3.8122096888976</v>
      </c>
      <c r="AV336" t="n">
        <v>4.33373183302453</v>
      </c>
      <c r="AW336" t="n">
        <v>4.90261991002567</v>
      </c>
      <c r="AX336" t="n">
        <v>5.5209206738895</v>
      </c>
      <c r="AY336" t="n">
        <v>6.18767309445842</v>
      </c>
      <c r="AZ336" t="n">
        <v>6.90328415768994</v>
      </c>
      <c r="BA336" t="n">
        <v>0</v>
      </c>
      <c r="BB336" t="n">
        <v>0</v>
      </c>
      <c r="BC336" t="n">
        <v>0</v>
      </c>
      <c r="BD336" t="n">
        <v>0</v>
      </c>
      <c r="BE336" t="n">
        <v>0</v>
      </c>
      <c r="BF336" t="n">
        <v>0</v>
      </c>
      <c r="BG336" t="n">
        <v>0</v>
      </c>
      <c r="BH336" t="n">
        <v>0</v>
      </c>
      <c r="BJ336" t="inlineStr">
        <is>
          <t>High2</t>
        </is>
      </c>
      <c r="BL336" t="n">
        <v>1</v>
      </c>
      <c r="BM336" t="n">
        <v>0.997560975609757</v>
      </c>
      <c r="BN336" t="n">
        <v>0.985365853658537</v>
      </c>
      <c r="BO336" t="n">
        <v>0.973170731707317</v>
      </c>
      <c r="BP336" t="n">
        <v>0.960975609756098</v>
      </c>
      <c r="BQ336" t="n">
        <v>0.948780487804878</v>
      </c>
      <c r="BR336" t="n">
        <v>0.936585365853658</v>
      </c>
      <c r="BS336" t="n">
        <v>0.924390243902439</v>
      </c>
      <c r="BT336" t="n">
        <v>0.91219512195122</v>
      </c>
      <c r="BU336" t="n">
        <v>0.9</v>
      </c>
      <c r="BV336" t="n">
        <v>0.8875</v>
      </c>
      <c r="BW336" t="n">
        <v>0.875000000000001</v>
      </c>
      <c r="BX336" t="n">
        <v>0.862500000000001</v>
      </c>
      <c r="BY336" t="n">
        <v>0.850000000000001</v>
      </c>
      <c r="BZ336" t="n">
        <v>0.8375</v>
      </c>
      <c r="CA336" t="n">
        <v>0.825000000000001</v>
      </c>
      <c r="CB336" t="n">
        <v>0.812500000000001</v>
      </c>
      <c r="CC336" t="n">
        <v>0.800000000000001</v>
      </c>
      <c r="CD336" t="e">
        <v>#VALUE!</v>
      </c>
      <c r="CE336" t="e">
        <v>#VALUE!</v>
      </c>
      <c r="CF336" t="e">
        <v>#VALUE!</v>
      </c>
      <c r="CG336" t="e">
        <v>#VALUE!</v>
      </c>
      <c r="CH336" t="e">
        <v>#VALUE!</v>
      </c>
      <c r="CI336" t="e">
        <v>#VALUE!</v>
      </c>
      <c r="CJ336" t="e">
        <v>#VALUE!</v>
      </c>
      <c r="CK336" t="e">
        <v>#VALUE!</v>
      </c>
    </row>
    <row r="337" ht="12.5" customHeight="1" s="213">
      <c r="A337" t="inlineStr">
        <is>
          <t>SouthAfrica</t>
        </is>
      </c>
      <c r="B337" t="inlineStr">
        <is>
          <t>Trd_hdt</t>
        </is>
      </c>
      <c r="C337" t="inlineStr">
        <is>
          <t>Trd_hdt</t>
        </is>
      </c>
      <c r="D337" t="n">
        <v>19.6</v>
      </c>
      <c r="E337" t="n">
        <v>19.5002948716583</v>
      </c>
      <c r="G337" t="n">
        <v>21.4022929201511</v>
      </c>
      <c r="H337" t="n">
        <v>23.1575607197183</v>
      </c>
      <c r="I337" t="n">
        <v>26.3402518713137</v>
      </c>
      <c r="J337" t="n">
        <v>30.6195476354285</v>
      </c>
      <c r="K337" t="n">
        <v>35.7638584966043</v>
      </c>
      <c r="L337" t="n">
        <v>41.5177085278935</v>
      </c>
      <c r="M337" t="n">
        <v>47.8030641830236</v>
      </c>
      <c r="N337" t="n">
        <v>54.5508954164533</v>
      </c>
      <c r="O337" t="n">
        <v>61.6374608117572</v>
      </c>
      <c r="P337" t="n">
        <v>68.9329529529742</v>
      </c>
      <c r="Q337" t="n">
        <v>76.3354129243782</v>
      </c>
      <c r="R337" t="n">
        <v>83.8121461664193</v>
      </c>
      <c r="S337" t="n">
        <v>91.3616689125539</v>
      </c>
      <c r="T337" t="n">
        <v>98.93290029415699</v>
      </c>
      <c r="U337" t="n">
        <v>106.417859520275</v>
      </c>
      <c r="V337" t="n">
        <v>113.749162132406</v>
      </c>
      <c r="W337" t="n">
        <v>3</v>
      </c>
      <c r="AG337" s="223" t="inlineStr">
        <is>
          <t>GDP</t>
        </is>
      </c>
      <c r="AI337" t="n">
        <v>1</v>
      </c>
      <c r="AJ337" t="n">
        <v>0.994900566012164</v>
      </c>
      <c r="AK337" t="n">
        <v>1.09338125038993</v>
      </c>
      <c r="AL337" t="n">
        <v>1.18552495423068</v>
      </c>
      <c r="AM337" t="n">
        <v>1.35507582325619</v>
      </c>
      <c r="AN337" t="n">
        <v>1.58710907835321</v>
      </c>
      <c r="AO337" t="n">
        <v>1.87180932424903</v>
      </c>
      <c r="AP337" t="n">
        <v>2.19758632707371</v>
      </c>
      <c r="AQ337" t="n">
        <v>2.56230221306238</v>
      </c>
      <c r="AR337" t="n">
        <v>2.96418214361779</v>
      </c>
      <c r="AS337" t="n">
        <v>3.39806295191155</v>
      </c>
      <c r="AT337" t="n">
        <v>3.85771925710635</v>
      </c>
      <c r="AU337" t="n">
        <v>4.33802822961463</v>
      </c>
      <c r="AV337" t="n">
        <v>4.83790076393356</v>
      </c>
      <c r="AW337" t="n">
        <v>5.3582377251087</v>
      </c>
      <c r="AX337" t="n">
        <v>5.89647097547281</v>
      </c>
      <c r="AY337" t="n">
        <v>6.44552805213077</v>
      </c>
      <c r="AZ337" t="n">
        <v>7.00058193192795</v>
      </c>
      <c r="BA337" t="n">
        <v>0</v>
      </c>
      <c r="BB337" t="n">
        <v>0</v>
      </c>
      <c r="BC337" t="n">
        <v>0</v>
      </c>
      <c r="BD337" t="n">
        <v>0</v>
      </c>
      <c r="BE337" t="n">
        <v>0</v>
      </c>
      <c r="BF337" t="n">
        <v>0</v>
      </c>
      <c r="BG337" t="n">
        <v>0</v>
      </c>
      <c r="BH337" t="n">
        <v>0</v>
      </c>
      <c r="BJ337" t="inlineStr">
        <is>
          <t>High2</t>
        </is>
      </c>
      <c r="BL337" t="n">
        <v>1</v>
      </c>
      <c r="BM337" t="n">
        <v>0.997560975609757</v>
      </c>
      <c r="BN337" t="n">
        <v>0.985365853658537</v>
      </c>
      <c r="BO337" t="n">
        <v>0.973170731707317</v>
      </c>
      <c r="BP337" t="n">
        <v>0.960975609756098</v>
      </c>
      <c r="BQ337" t="n">
        <v>0.948780487804878</v>
      </c>
      <c r="BR337" t="n">
        <v>0.936585365853658</v>
      </c>
      <c r="BS337" t="n">
        <v>0.924390243902439</v>
      </c>
      <c r="BT337" t="n">
        <v>0.91219512195122</v>
      </c>
      <c r="BU337" t="n">
        <v>0.9</v>
      </c>
      <c r="BV337" t="n">
        <v>0.8875</v>
      </c>
      <c r="BW337" t="n">
        <v>0.875000000000001</v>
      </c>
      <c r="BX337" t="n">
        <v>0.862500000000001</v>
      </c>
      <c r="BY337" t="n">
        <v>0.850000000000001</v>
      </c>
      <c r="BZ337" t="n">
        <v>0.8375</v>
      </c>
      <c r="CA337" t="n">
        <v>0.825000000000001</v>
      </c>
      <c r="CB337" t="n">
        <v>0.812500000000001</v>
      </c>
      <c r="CC337" t="n">
        <v>0.800000000000001</v>
      </c>
      <c r="CD337" t="e">
        <v>#VALUE!</v>
      </c>
      <c r="CE337" t="e">
        <v>#VALUE!</v>
      </c>
      <c r="CF337" t="e">
        <v>#VALUE!</v>
      </c>
      <c r="CG337" t="e">
        <v>#VALUE!</v>
      </c>
      <c r="CH337" t="e">
        <v>#VALUE!</v>
      </c>
      <c r="CI337" t="e">
        <v>#VALUE!</v>
      </c>
      <c r="CJ337" t="e">
        <v>#VALUE!</v>
      </c>
      <c r="CK337" t="e">
        <v>#VALUE!</v>
      </c>
    </row>
    <row r="338" ht="12.5" customHeight="1" s="213">
      <c r="A338" t="inlineStr">
        <is>
          <t>SouthAfrica</t>
        </is>
      </c>
      <c r="B338" t="inlineStr">
        <is>
          <t>Trd_lcv</t>
        </is>
      </c>
      <c r="C338" t="inlineStr">
        <is>
          <t>Trd_lcv</t>
        </is>
      </c>
      <c r="D338" t="n">
        <v>23.8</v>
      </c>
      <c r="E338" t="n">
        <v>23.6789294870137</v>
      </c>
      <c r="G338" t="n">
        <v>25.9884985458977</v>
      </c>
      <c r="H338" t="n">
        <v>28.1198951596579</v>
      </c>
      <c r="I338" t="n">
        <v>31.9845915580238</v>
      </c>
      <c r="J338" t="n">
        <v>37.1808792715917</v>
      </c>
      <c r="K338" t="n">
        <v>43.4275424601624</v>
      </c>
      <c r="L338" t="n">
        <v>50.4143603552992</v>
      </c>
      <c r="M338" t="n">
        <v>58.0465779365286</v>
      </c>
      <c r="N338" t="n">
        <v>66.2403730056932</v>
      </c>
      <c r="O338" t="n">
        <v>74.84548812856229</v>
      </c>
      <c r="P338" t="n">
        <v>83.7043000143259</v>
      </c>
      <c r="Q338" t="n">
        <v>92.6930014081736</v>
      </c>
      <c r="R338" t="n">
        <v>101.771891773509</v>
      </c>
      <c r="S338" t="n">
        <v>110.939169393816</v>
      </c>
      <c r="T338" t="n">
        <v>120.132807500048</v>
      </c>
      <c r="U338" t="n">
        <v>129.221686560334</v>
      </c>
      <c r="V338" t="n">
        <v>138.123982589351</v>
      </c>
      <c r="W338" t="n">
        <v>3</v>
      </c>
      <c r="AG338" s="223" t="inlineStr">
        <is>
          <t>GDP</t>
        </is>
      </c>
      <c r="AI338" t="n">
        <v>1</v>
      </c>
      <c r="AJ338" t="n">
        <v>0.994900566012164</v>
      </c>
      <c r="AK338" t="n">
        <v>1.09338125038993</v>
      </c>
      <c r="AL338" t="n">
        <v>1.18552495423068</v>
      </c>
      <c r="AM338" t="n">
        <v>1.35507582325619</v>
      </c>
      <c r="AN338" t="n">
        <v>1.58710907835321</v>
      </c>
      <c r="AO338" t="n">
        <v>1.87180932424903</v>
      </c>
      <c r="AP338" t="n">
        <v>2.19758632707371</v>
      </c>
      <c r="AQ338" t="n">
        <v>2.56230221306238</v>
      </c>
      <c r="AR338" t="n">
        <v>2.96418214361779</v>
      </c>
      <c r="AS338" t="n">
        <v>3.39806295191155</v>
      </c>
      <c r="AT338" t="n">
        <v>3.85771925710635</v>
      </c>
      <c r="AU338" t="n">
        <v>4.33802822961463</v>
      </c>
      <c r="AV338" t="n">
        <v>4.83790076393356</v>
      </c>
      <c r="AW338" t="n">
        <v>5.3582377251087</v>
      </c>
      <c r="AX338" t="n">
        <v>5.89647097547281</v>
      </c>
      <c r="AY338" t="n">
        <v>6.44552805213077</v>
      </c>
      <c r="AZ338" t="n">
        <v>7.00058193192795</v>
      </c>
      <c r="BA338" t="n">
        <v>0</v>
      </c>
      <c r="BB338" t="n">
        <v>0</v>
      </c>
      <c r="BC338" t="n">
        <v>0</v>
      </c>
      <c r="BD338" t="n">
        <v>0</v>
      </c>
      <c r="BE338" t="n">
        <v>0</v>
      </c>
      <c r="BF338" t="n">
        <v>0</v>
      </c>
      <c r="BG338" t="n">
        <v>0</v>
      </c>
      <c r="BH338" t="n">
        <v>0</v>
      </c>
      <c r="BJ338" t="inlineStr">
        <is>
          <t>High2</t>
        </is>
      </c>
      <c r="BL338" t="n">
        <v>1</v>
      </c>
      <c r="BM338" t="n">
        <v>0.997560975609757</v>
      </c>
      <c r="BN338" t="n">
        <v>0.985365853658537</v>
      </c>
      <c r="BO338" t="n">
        <v>0.973170731707317</v>
      </c>
      <c r="BP338" t="n">
        <v>0.960975609756098</v>
      </c>
      <c r="BQ338" t="n">
        <v>0.948780487804878</v>
      </c>
      <c r="BR338" t="n">
        <v>0.936585365853658</v>
      </c>
      <c r="BS338" t="n">
        <v>0.924390243902439</v>
      </c>
      <c r="BT338" t="n">
        <v>0.91219512195122</v>
      </c>
      <c r="BU338" t="n">
        <v>0.9</v>
      </c>
      <c r="BV338" t="n">
        <v>0.8875</v>
      </c>
      <c r="BW338" t="n">
        <v>0.875000000000001</v>
      </c>
      <c r="BX338" t="n">
        <v>0.862500000000001</v>
      </c>
      <c r="BY338" t="n">
        <v>0.850000000000001</v>
      </c>
      <c r="BZ338" t="n">
        <v>0.8375</v>
      </c>
      <c r="CA338" t="n">
        <v>0.825000000000001</v>
      </c>
      <c r="CB338" t="n">
        <v>0.812500000000001</v>
      </c>
      <c r="CC338" t="n">
        <v>0.800000000000001</v>
      </c>
      <c r="CD338" t="e">
        <v>#VALUE!</v>
      </c>
      <c r="CE338" t="e">
        <v>#VALUE!</v>
      </c>
      <c r="CF338" t="e">
        <v>#VALUE!</v>
      </c>
      <c r="CG338" t="e">
        <v>#VALUE!</v>
      </c>
      <c r="CH338" t="e">
        <v>#VALUE!</v>
      </c>
      <c r="CI338" t="e">
        <v>#VALUE!</v>
      </c>
      <c r="CJ338" t="e">
        <v>#VALUE!</v>
      </c>
      <c r="CK338" t="e">
        <v>#VALUE!</v>
      </c>
    </row>
    <row r="339" ht="12.5" customHeight="1" s="213">
      <c r="A339" t="inlineStr">
        <is>
          <t>SpainPor</t>
        </is>
      </c>
      <c r="B339" t="inlineStr">
        <is>
          <t>TAD</t>
        </is>
      </c>
      <c r="C339" t="inlineStr">
        <is>
          <t>TAD</t>
        </is>
      </c>
      <c r="E339" t="n">
        <v>103.891851463989</v>
      </c>
      <c r="F339">
        <f>E339</f>
        <v/>
      </c>
      <c r="I339">
        <f>F339</f>
        <v/>
      </c>
      <c r="J339">
        <f>I339</f>
        <v/>
      </c>
      <c r="L339">
        <f>J339</f>
        <v/>
      </c>
      <c r="V339">
        <f>L339</f>
        <v/>
      </c>
      <c r="W339" t="n">
        <v>3</v>
      </c>
      <c r="AG339" s="223" t="inlineStr">
        <is>
          <t>GDP</t>
        </is>
      </c>
      <c r="AI339" t="n">
        <v>1</v>
      </c>
      <c r="AJ339" t="n">
        <v>0.997879594864605</v>
      </c>
      <c r="AK339" t="n">
        <v>1.18950075332934</v>
      </c>
      <c r="AL339" t="n">
        <v>1.28031640877814</v>
      </c>
      <c r="AM339" t="n">
        <v>1.39550156259639</v>
      </c>
      <c r="AN339" t="n">
        <v>1.52644808091834</v>
      </c>
      <c r="AO339" t="n">
        <v>1.66315618331258</v>
      </c>
      <c r="AP339" t="n">
        <v>1.80282166535448</v>
      </c>
      <c r="AQ339" t="n">
        <v>1.94568971195739</v>
      </c>
      <c r="AR339" t="n">
        <v>2.08969585569535</v>
      </c>
      <c r="AS339" t="n">
        <v>2.22772084678191</v>
      </c>
      <c r="AT339" t="n">
        <v>2.34984070822368</v>
      </c>
      <c r="AU339" t="n">
        <v>2.45755268861725</v>
      </c>
      <c r="AV339" t="n">
        <v>2.55464277760526</v>
      </c>
      <c r="AW339" t="n">
        <v>2.64490271543598</v>
      </c>
      <c r="AX339" t="n">
        <v>2.7285614807705</v>
      </c>
      <c r="AY339" t="n">
        <v>2.8022675160834</v>
      </c>
      <c r="AZ339" t="n">
        <v>2.86060061416468</v>
      </c>
      <c r="BA339" t="n">
        <v>0</v>
      </c>
      <c r="BB339" t="n">
        <v>0</v>
      </c>
      <c r="BC339" t="n">
        <v>0</v>
      </c>
      <c r="BD339" t="n">
        <v>0</v>
      </c>
      <c r="BE339" t="n">
        <v>0</v>
      </c>
      <c r="BF339" t="n">
        <v>0</v>
      </c>
      <c r="BG339" t="n">
        <v>0</v>
      </c>
      <c r="BH339" t="n">
        <v>0</v>
      </c>
      <c r="BJ339" t="inlineStr">
        <is>
          <t>Med2</t>
        </is>
      </c>
      <c r="BL339" t="n">
        <v>0.8</v>
      </c>
      <c r="BM339" t="n">
        <v>0.797560975609756</v>
      </c>
      <c r="BN339" t="n">
        <v>0.785365853658536</v>
      </c>
      <c r="BO339" t="n">
        <v>0.773170731707317</v>
      </c>
      <c r="BP339" t="n">
        <v>0.760975609756097</v>
      </c>
      <c r="BQ339" t="n">
        <v>0.748780487804878</v>
      </c>
      <c r="BR339" t="n">
        <v>0.736585365853658</v>
      </c>
      <c r="BS339" t="n">
        <v>0.724390243902439</v>
      </c>
      <c r="BT339" t="n">
        <v>0.71219512195122</v>
      </c>
      <c r="BU339" t="n">
        <v>0.699999999999999</v>
      </c>
      <c r="BV339" t="n">
        <v>0.687499999999999</v>
      </c>
      <c r="BW339" t="n">
        <v>0.675</v>
      </c>
      <c r="BX339" t="n">
        <v>0.6625</v>
      </c>
      <c r="BY339" t="n">
        <v>0.649999999999999</v>
      </c>
      <c r="BZ339" t="n">
        <v>0.637499999999999</v>
      </c>
      <c r="CA339" t="n">
        <v>0.625</v>
      </c>
      <c r="CB339" t="n">
        <v>0.6125</v>
      </c>
      <c r="CC339" t="n">
        <v>0.6</v>
      </c>
      <c r="CD339" t="e">
        <v>#VALUE!</v>
      </c>
      <c r="CE339" t="e">
        <v>#VALUE!</v>
      </c>
      <c r="CF339" t="e">
        <v>#VALUE!</v>
      </c>
      <c r="CG339" t="e">
        <v>#VALUE!</v>
      </c>
      <c r="CH339" t="e">
        <v>#VALUE!</v>
      </c>
      <c r="CI339" t="e">
        <v>#VALUE!</v>
      </c>
      <c r="CJ339" t="e">
        <v>#VALUE!</v>
      </c>
      <c r="CK339" t="e">
        <v>#VALUE!</v>
      </c>
    </row>
    <row r="340" ht="12.5" customHeight="1" s="213">
      <c r="A340" t="inlineStr">
        <is>
          <t>SpainPor</t>
        </is>
      </c>
      <c r="B340" t="inlineStr">
        <is>
          <t>TAI</t>
        </is>
      </c>
      <c r="C340" t="inlineStr">
        <is>
          <t>TAI</t>
        </is>
      </c>
      <c r="E340" t="n">
        <v>260.258225243851</v>
      </c>
      <c r="F340">
        <f>E340</f>
        <v/>
      </c>
      <c r="I340">
        <f>F340</f>
        <v/>
      </c>
      <c r="J340">
        <f>I340</f>
        <v/>
      </c>
      <c r="L340">
        <f>J340</f>
        <v/>
      </c>
      <c r="V340">
        <f>L340</f>
        <v/>
      </c>
      <c r="W340" t="n">
        <v>3</v>
      </c>
      <c r="AG340" s="223" t="inlineStr">
        <is>
          <t>GDP</t>
        </is>
      </c>
      <c r="AI340" t="n">
        <v>1</v>
      </c>
      <c r="AJ340" t="n">
        <v>0.997879594864605</v>
      </c>
      <c r="AK340" t="n">
        <v>1.18950075332934</v>
      </c>
      <c r="AL340" t="n">
        <v>1.28031640877814</v>
      </c>
      <c r="AM340" t="n">
        <v>1.39550156259639</v>
      </c>
      <c r="AN340" t="n">
        <v>1.52644808091834</v>
      </c>
      <c r="AO340" t="n">
        <v>1.66315618331258</v>
      </c>
      <c r="AP340" t="n">
        <v>1.80282166535448</v>
      </c>
      <c r="AQ340" t="n">
        <v>1.94568971195739</v>
      </c>
      <c r="AR340" t="n">
        <v>2.08969585569535</v>
      </c>
      <c r="AS340" t="n">
        <v>2.22772084678191</v>
      </c>
      <c r="AT340" t="n">
        <v>2.34984070822368</v>
      </c>
      <c r="AU340" t="n">
        <v>2.45755268861725</v>
      </c>
      <c r="AV340" t="n">
        <v>2.55464277760526</v>
      </c>
      <c r="AW340" t="n">
        <v>2.64490271543598</v>
      </c>
      <c r="AX340" t="n">
        <v>2.7285614807705</v>
      </c>
      <c r="AY340" t="n">
        <v>2.8022675160834</v>
      </c>
      <c r="AZ340" t="n">
        <v>2.86060061416468</v>
      </c>
      <c r="BA340" t="n">
        <v>0</v>
      </c>
      <c r="BB340" t="n">
        <v>0</v>
      </c>
      <c r="BC340" t="n">
        <v>0</v>
      </c>
      <c r="BD340" t="n">
        <v>0</v>
      </c>
      <c r="BE340" t="n">
        <v>0</v>
      </c>
      <c r="BF340" t="n">
        <v>0</v>
      </c>
      <c r="BG340" t="n">
        <v>0</v>
      </c>
      <c r="BH340" t="n">
        <v>0</v>
      </c>
      <c r="BJ340" t="inlineStr">
        <is>
          <t>Med2</t>
        </is>
      </c>
      <c r="BL340" t="n">
        <v>0.8</v>
      </c>
      <c r="BM340" t="n">
        <v>0.797560975609756</v>
      </c>
      <c r="BN340" t="n">
        <v>0.785365853658536</v>
      </c>
      <c r="BO340" t="n">
        <v>0.773170731707317</v>
      </c>
      <c r="BP340" t="n">
        <v>0.760975609756097</v>
      </c>
      <c r="BQ340" t="n">
        <v>0.748780487804878</v>
      </c>
      <c r="BR340" t="n">
        <v>0.736585365853658</v>
      </c>
      <c r="BS340" t="n">
        <v>0.724390243902439</v>
      </c>
      <c r="BT340" t="n">
        <v>0.71219512195122</v>
      </c>
      <c r="BU340" t="n">
        <v>0.699999999999999</v>
      </c>
      <c r="BV340" t="n">
        <v>0.687499999999999</v>
      </c>
      <c r="BW340" t="n">
        <v>0.675</v>
      </c>
      <c r="BX340" t="n">
        <v>0.6625</v>
      </c>
      <c r="BY340" t="n">
        <v>0.649999999999999</v>
      </c>
      <c r="BZ340" t="n">
        <v>0.637499999999999</v>
      </c>
      <c r="CA340" t="n">
        <v>0.625</v>
      </c>
      <c r="CB340" t="n">
        <v>0.6125</v>
      </c>
      <c r="CC340" t="n">
        <v>0.6</v>
      </c>
      <c r="CD340" t="e">
        <v>#VALUE!</v>
      </c>
      <c r="CE340" t="e">
        <v>#VALUE!</v>
      </c>
      <c r="CF340" t="e">
        <v>#VALUE!</v>
      </c>
      <c r="CG340" t="e">
        <v>#VALUE!</v>
      </c>
      <c r="CH340" t="e">
        <v>#VALUE!</v>
      </c>
      <c r="CI340" t="e">
        <v>#VALUE!</v>
      </c>
      <c r="CJ340" t="e">
        <v>#VALUE!</v>
      </c>
      <c r="CK340" t="e">
        <v>#VALUE!</v>
      </c>
    </row>
    <row r="341" ht="12.5" customHeight="1" s="213">
      <c r="A341" t="inlineStr">
        <is>
          <t>SpainPor</t>
        </is>
      </c>
      <c r="B341" t="inlineStr">
        <is>
          <t>TTF</t>
        </is>
      </c>
      <c r="C341" t="inlineStr">
        <is>
          <t>TTF</t>
        </is>
      </c>
      <c r="E341" t="n">
        <v>3.47343215679999</v>
      </c>
      <c r="I341" t="n">
        <v>4.5230426202522</v>
      </c>
      <c r="J341" t="n">
        <v>4.8408389135394</v>
      </c>
      <c r="L341" t="n">
        <v>5.47408246075369</v>
      </c>
      <c r="V341" t="n">
        <v>7.4792063275324</v>
      </c>
      <c r="W341" t="n">
        <v>3</v>
      </c>
      <c r="AG341" s="223" t="inlineStr">
        <is>
          <t>GDP</t>
        </is>
      </c>
      <c r="AI341" t="n">
        <v>1</v>
      </c>
      <c r="AJ341" t="n">
        <v>0.997879594864605</v>
      </c>
      <c r="AK341" t="n">
        <v>1.18950075332934</v>
      </c>
      <c r="AL341" t="n">
        <v>1.28031640877814</v>
      </c>
      <c r="AM341" t="n">
        <v>1.39550156259639</v>
      </c>
      <c r="AN341" t="n">
        <v>1.52644808091834</v>
      </c>
      <c r="AO341" t="n">
        <v>1.66315618331258</v>
      </c>
      <c r="AP341" t="n">
        <v>1.80282166535448</v>
      </c>
      <c r="AQ341" t="n">
        <v>1.94568971195739</v>
      </c>
      <c r="AR341" t="n">
        <v>2.08969585569535</v>
      </c>
      <c r="AS341" t="n">
        <v>2.22772084678191</v>
      </c>
      <c r="AT341" t="n">
        <v>2.34984070822368</v>
      </c>
      <c r="AU341" t="n">
        <v>2.45755268861725</v>
      </c>
      <c r="AV341" t="n">
        <v>2.55464277760526</v>
      </c>
      <c r="AW341" t="n">
        <v>2.64490271543598</v>
      </c>
      <c r="AX341" t="n">
        <v>2.7285614807705</v>
      </c>
      <c r="AY341" t="n">
        <v>2.8022675160834</v>
      </c>
      <c r="AZ341" t="n">
        <v>2.86060061416468</v>
      </c>
      <c r="BA341" t="n">
        <v>0</v>
      </c>
      <c r="BB341" t="n">
        <v>0</v>
      </c>
      <c r="BC341" t="n">
        <v>0</v>
      </c>
      <c r="BD341" t="n">
        <v>0</v>
      </c>
      <c r="BE341" t="n">
        <v>0</v>
      </c>
      <c r="BF341" t="n">
        <v>0</v>
      </c>
      <c r="BG341" t="n">
        <v>0</v>
      </c>
      <c r="BH341" t="n">
        <v>0</v>
      </c>
      <c r="BJ341" t="inlineStr">
        <is>
          <t>Med2</t>
        </is>
      </c>
      <c r="BL341" t="n">
        <v>0.8</v>
      </c>
      <c r="BM341" t="n">
        <v>0.797560975609756</v>
      </c>
      <c r="BN341" t="n">
        <v>0.785365853658536</v>
      </c>
      <c r="BO341" t="n">
        <v>0.773170731707317</v>
      </c>
      <c r="BP341" t="n">
        <v>0.760975609756097</v>
      </c>
      <c r="BQ341" t="n">
        <v>0.748780487804878</v>
      </c>
      <c r="BR341" t="n">
        <v>0.736585365853658</v>
      </c>
      <c r="BS341" t="n">
        <v>0.724390243902439</v>
      </c>
      <c r="BT341" t="n">
        <v>0.71219512195122</v>
      </c>
      <c r="BU341" t="n">
        <v>0.699999999999999</v>
      </c>
      <c r="BV341" t="n">
        <v>0.687499999999999</v>
      </c>
      <c r="BW341" t="n">
        <v>0.675</v>
      </c>
      <c r="BX341" t="n">
        <v>0.6625</v>
      </c>
      <c r="BY341" t="n">
        <v>0.649999999999999</v>
      </c>
      <c r="BZ341" t="n">
        <v>0.637499999999999</v>
      </c>
      <c r="CA341" t="n">
        <v>0.625</v>
      </c>
      <c r="CB341" t="n">
        <v>0.6125</v>
      </c>
      <c r="CC341" t="n">
        <v>0.6</v>
      </c>
      <c r="CD341" t="e">
        <v>#VALUE!</v>
      </c>
      <c r="CE341" t="e">
        <v>#VALUE!</v>
      </c>
      <c r="CF341" t="e">
        <v>#VALUE!</v>
      </c>
      <c r="CG341" t="e">
        <v>#VALUE!</v>
      </c>
      <c r="CH341" t="e">
        <v>#VALUE!</v>
      </c>
      <c r="CI341" t="e">
        <v>#VALUE!</v>
      </c>
      <c r="CJ341" t="e">
        <v>#VALUE!</v>
      </c>
      <c r="CK341" t="e">
        <v>#VALUE!</v>
      </c>
    </row>
    <row r="342" ht="12.5" customHeight="1" s="213">
      <c r="A342" t="inlineStr">
        <is>
          <t>SpainPor</t>
        </is>
      </c>
      <c r="B342" t="inlineStr">
        <is>
          <t>TTP</t>
        </is>
      </c>
      <c r="C342" t="inlineStr">
        <is>
          <t>TTP</t>
        </is>
      </c>
      <c r="E342" t="n">
        <v>14.626041583712</v>
      </c>
      <c r="I342" t="n">
        <v>14.7086189446099</v>
      </c>
      <c r="J342" t="n">
        <v>14.7592524756673</v>
      </c>
      <c r="L342" t="n">
        <v>14.8957022241977</v>
      </c>
      <c r="V342" t="n">
        <v>14.2703428586092</v>
      </c>
      <c r="W342" t="n">
        <v>3</v>
      </c>
      <c r="AG342" s="223" t="inlineStr">
        <is>
          <t>POP</t>
        </is>
      </c>
      <c r="AI342" t="n">
        <v>1</v>
      </c>
      <c r="AJ342" t="n">
        <v>1.00057539501197</v>
      </c>
      <c r="AK342" t="n">
        <v>1.00345237007185</v>
      </c>
      <c r="AL342" t="n">
        <v>1.00499696016419</v>
      </c>
      <c r="AM342" t="n">
        <v>1.00788575912277</v>
      </c>
      <c r="AN342" t="n">
        <v>1.01251940786193</v>
      </c>
      <c r="AO342" t="n">
        <v>1.01843003766146</v>
      </c>
      <c r="AP342" t="n">
        <v>1.02535276541024</v>
      </c>
      <c r="AQ342" t="n">
        <v>1.02777984199243</v>
      </c>
      <c r="AR342" t="n">
        <v>1.02565513427365</v>
      </c>
      <c r="AS342" t="n">
        <v>1.01876282571803</v>
      </c>
      <c r="AT342" t="n">
        <v>1.00946233103805</v>
      </c>
      <c r="AU342" t="n">
        <v>0.9999669937864279</v>
      </c>
      <c r="AV342" t="n">
        <v>0.992198744423495</v>
      </c>
      <c r="AW342" t="n">
        <v>0.986303671471603</v>
      </c>
      <c r="AX342" t="n">
        <v>0.98017186010727</v>
      </c>
      <c r="AY342" t="n">
        <v>0.971420421446115</v>
      </c>
      <c r="AZ342" t="n">
        <v>0.958795501348584</v>
      </c>
      <c r="BA342" t="n">
        <v>0</v>
      </c>
      <c r="BB342" t="n">
        <v>0</v>
      </c>
      <c r="BC342" t="n">
        <v>0</v>
      </c>
      <c r="BD342" t="n">
        <v>0</v>
      </c>
      <c r="BE342" t="n">
        <v>0</v>
      </c>
      <c r="BF342" t="n">
        <v>0</v>
      </c>
      <c r="BG342" t="n">
        <v>0</v>
      </c>
      <c r="BH342" t="n">
        <v>0</v>
      </c>
      <c r="BJ342" t="inlineStr">
        <is>
          <t>Med2</t>
        </is>
      </c>
      <c r="BL342" t="n">
        <v>0.8</v>
      </c>
      <c r="BM342" t="n">
        <v>0.797560975609756</v>
      </c>
      <c r="BN342" t="n">
        <v>0.785365853658536</v>
      </c>
      <c r="BO342" t="n">
        <v>0.773170731707317</v>
      </c>
      <c r="BP342" t="n">
        <v>0.760975609756097</v>
      </c>
      <c r="BQ342" t="n">
        <v>0.748780487804878</v>
      </c>
      <c r="BR342" t="n">
        <v>0.736585365853658</v>
      </c>
      <c r="BS342" t="n">
        <v>0.724390243902439</v>
      </c>
      <c r="BT342" t="n">
        <v>0.71219512195122</v>
      </c>
      <c r="BU342" t="n">
        <v>0.699999999999999</v>
      </c>
      <c r="BV342" t="n">
        <v>0.687499999999999</v>
      </c>
      <c r="BW342" t="n">
        <v>0.675</v>
      </c>
      <c r="BX342" t="n">
        <v>0.6625</v>
      </c>
      <c r="BY342" t="n">
        <v>0.649999999999999</v>
      </c>
      <c r="BZ342" t="n">
        <v>0.637499999999999</v>
      </c>
      <c r="CA342" t="n">
        <v>0.625</v>
      </c>
      <c r="CB342" t="n">
        <v>0.6125</v>
      </c>
      <c r="CC342" t="n">
        <v>0.6</v>
      </c>
      <c r="CD342" t="e">
        <v>#VALUE!</v>
      </c>
      <c r="CE342" t="e">
        <v>#VALUE!</v>
      </c>
      <c r="CF342" t="e">
        <v>#VALUE!</v>
      </c>
      <c r="CG342" t="e">
        <v>#VALUE!</v>
      </c>
      <c r="CH342" t="e">
        <v>#VALUE!</v>
      </c>
      <c r="CI342" t="e">
        <v>#VALUE!</v>
      </c>
      <c r="CJ342" t="e">
        <v>#VALUE!</v>
      </c>
      <c r="CK342" t="e">
        <v>#VALUE!</v>
      </c>
    </row>
    <row r="343" ht="12.5" customHeight="1" s="213">
      <c r="A343" t="inlineStr">
        <is>
          <t>SpainPor</t>
        </is>
      </c>
      <c r="B343" t="inlineStr">
        <is>
          <t>TWD</t>
        </is>
      </c>
      <c r="C343" t="inlineStr">
        <is>
          <t>TWD</t>
        </is>
      </c>
      <c r="E343" t="n">
        <v>46.6214604970415</v>
      </c>
      <c r="F343">
        <f>E343</f>
        <v/>
      </c>
      <c r="I343">
        <f>F343</f>
        <v/>
      </c>
      <c r="J343">
        <f>I343</f>
        <v/>
      </c>
      <c r="L343">
        <f>J343</f>
        <v/>
      </c>
      <c r="V343">
        <f>L343</f>
        <v/>
      </c>
      <c r="W343" t="n">
        <v>3</v>
      </c>
      <c r="AG343" s="223" t="inlineStr">
        <is>
          <t>GDP</t>
        </is>
      </c>
      <c r="AI343" t="n">
        <v>1</v>
      </c>
      <c r="AJ343" t="n">
        <v>0.997879594864605</v>
      </c>
      <c r="AK343" t="n">
        <v>1.18950075332934</v>
      </c>
      <c r="AL343" t="n">
        <v>1.28031640877814</v>
      </c>
      <c r="AM343" t="n">
        <v>1.39550156259639</v>
      </c>
      <c r="AN343" t="n">
        <v>1.52644808091834</v>
      </c>
      <c r="AO343" t="n">
        <v>1.66315618331258</v>
      </c>
      <c r="AP343" t="n">
        <v>1.80282166535448</v>
      </c>
      <c r="AQ343" t="n">
        <v>1.94568971195739</v>
      </c>
      <c r="AR343" t="n">
        <v>2.08969585569535</v>
      </c>
      <c r="AS343" t="n">
        <v>2.22772084678191</v>
      </c>
      <c r="AT343" t="n">
        <v>2.34984070822368</v>
      </c>
      <c r="AU343" t="n">
        <v>2.45755268861725</v>
      </c>
      <c r="AV343" t="n">
        <v>2.55464277760526</v>
      </c>
      <c r="AW343" t="n">
        <v>2.64490271543598</v>
      </c>
      <c r="AX343" t="n">
        <v>2.7285614807705</v>
      </c>
      <c r="AY343" t="n">
        <v>2.8022675160834</v>
      </c>
      <c r="AZ343" t="n">
        <v>2.86060061416468</v>
      </c>
      <c r="BA343" t="n">
        <v>0</v>
      </c>
      <c r="BB343" t="n">
        <v>0</v>
      </c>
      <c r="BC343" t="n">
        <v>0</v>
      </c>
      <c r="BD343" t="n">
        <v>0</v>
      </c>
      <c r="BE343" t="n">
        <v>0</v>
      </c>
      <c r="BF343" t="n">
        <v>0</v>
      </c>
      <c r="BG343" t="n">
        <v>0</v>
      </c>
      <c r="BH343" t="n">
        <v>0</v>
      </c>
      <c r="BJ343" t="inlineStr">
        <is>
          <t>Med2</t>
        </is>
      </c>
      <c r="BL343" t="n">
        <v>0.8</v>
      </c>
      <c r="BM343" t="n">
        <v>0.797560975609756</v>
      </c>
      <c r="BN343" t="n">
        <v>0.785365853658536</v>
      </c>
      <c r="BO343" t="n">
        <v>0.773170731707317</v>
      </c>
      <c r="BP343" t="n">
        <v>0.760975609756097</v>
      </c>
      <c r="BQ343" t="n">
        <v>0.748780487804878</v>
      </c>
      <c r="BR343" t="n">
        <v>0.736585365853658</v>
      </c>
      <c r="BS343" t="n">
        <v>0.724390243902439</v>
      </c>
      <c r="BT343" t="n">
        <v>0.71219512195122</v>
      </c>
      <c r="BU343" t="n">
        <v>0.699999999999999</v>
      </c>
      <c r="BV343" t="n">
        <v>0.687499999999999</v>
      </c>
      <c r="BW343" t="n">
        <v>0.675</v>
      </c>
      <c r="BX343" t="n">
        <v>0.6625</v>
      </c>
      <c r="BY343" t="n">
        <v>0.649999999999999</v>
      </c>
      <c r="BZ343" t="n">
        <v>0.637499999999999</v>
      </c>
      <c r="CA343" t="n">
        <v>0.625</v>
      </c>
      <c r="CB343" t="n">
        <v>0.6125</v>
      </c>
      <c r="CC343" t="n">
        <v>0.6</v>
      </c>
      <c r="CD343" t="e">
        <v>#VALUE!</v>
      </c>
      <c r="CE343" t="e">
        <v>#VALUE!</v>
      </c>
      <c r="CF343" t="e">
        <v>#VALUE!</v>
      </c>
      <c r="CG343" t="e">
        <v>#VALUE!</v>
      </c>
      <c r="CH343" t="e">
        <v>#VALUE!</v>
      </c>
      <c r="CI343" t="e">
        <v>#VALUE!</v>
      </c>
      <c r="CJ343" t="e">
        <v>#VALUE!</v>
      </c>
      <c r="CK343" t="e">
        <v>#VALUE!</v>
      </c>
    </row>
    <row r="344" ht="12.5" customHeight="1" s="213">
      <c r="A344" t="inlineStr">
        <is>
          <t>SpainPor</t>
        </is>
      </c>
      <c r="B344" t="inlineStr">
        <is>
          <t>TWI</t>
        </is>
      </c>
      <c r="C344" t="inlineStr">
        <is>
          <t>TWI</t>
        </is>
      </c>
      <c r="E344" t="n">
        <v>337.154179744827</v>
      </c>
      <c r="F344">
        <f>E344</f>
        <v/>
      </c>
      <c r="I344">
        <f>F344</f>
        <v/>
      </c>
      <c r="J344">
        <f>I344</f>
        <v/>
      </c>
      <c r="L344">
        <f>J344</f>
        <v/>
      </c>
      <c r="V344">
        <f>L344</f>
        <v/>
      </c>
      <c r="W344" t="n">
        <v>3</v>
      </c>
      <c r="AG344" s="223" t="inlineStr">
        <is>
          <t>GDP</t>
        </is>
      </c>
      <c r="AI344" t="n">
        <v>1</v>
      </c>
      <c r="AJ344" t="n">
        <v>0.997879594864605</v>
      </c>
      <c r="AK344" t="n">
        <v>1.18950075332934</v>
      </c>
      <c r="AL344" t="n">
        <v>1.28031640877814</v>
      </c>
      <c r="AM344" t="n">
        <v>1.39550156259639</v>
      </c>
      <c r="AN344" t="n">
        <v>1.52644808091834</v>
      </c>
      <c r="AO344" t="n">
        <v>1.66315618331258</v>
      </c>
      <c r="AP344" t="n">
        <v>1.80282166535448</v>
      </c>
      <c r="AQ344" t="n">
        <v>1.94568971195739</v>
      </c>
      <c r="AR344" t="n">
        <v>2.08969585569535</v>
      </c>
      <c r="AS344" t="n">
        <v>2.22772084678191</v>
      </c>
      <c r="AT344" t="n">
        <v>2.34984070822368</v>
      </c>
      <c r="AU344" t="n">
        <v>2.45755268861725</v>
      </c>
      <c r="AV344" t="n">
        <v>2.55464277760526</v>
      </c>
      <c r="AW344" t="n">
        <v>2.64490271543598</v>
      </c>
      <c r="AX344" t="n">
        <v>2.7285614807705</v>
      </c>
      <c r="AY344" t="n">
        <v>2.8022675160834</v>
      </c>
      <c r="AZ344" t="n">
        <v>2.86060061416468</v>
      </c>
      <c r="BA344" t="n">
        <v>0</v>
      </c>
      <c r="BB344" t="n">
        <v>0</v>
      </c>
      <c r="BC344" t="n">
        <v>0</v>
      </c>
      <c r="BD344" t="n">
        <v>0</v>
      </c>
      <c r="BE344" t="n">
        <v>0</v>
      </c>
      <c r="BF344" t="n">
        <v>0</v>
      </c>
      <c r="BG344" t="n">
        <v>0</v>
      </c>
      <c r="BH344" t="n">
        <v>0</v>
      </c>
      <c r="BJ344" t="inlineStr">
        <is>
          <t>Med2</t>
        </is>
      </c>
      <c r="BL344" t="n">
        <v>0.8</v>
      </c>
      <c r="BM344" t="n">
        <v>0.797560975609756</v>
      </c>
      <c r="BN344" t="n">
        <v>0.785365853658536</v>
      </c>
      <c r="BO344" t="n">
        <v>0.773170731707317</v>
      </c>
      <c r="BP344" t="n">
        <v>0.760975609756097</v>
      </c>
      <c r="BQ344" t="n">
        <v>0.748780487804878</v>
      </c>
      <c r="BR344" t="n">
        <v>0.736585365853658</v>
      </c>
      <c r="BS344" t="n">
        <v>0.724390243902439</v>
      </c>
      <c r="BT344" t="n">
        <v>0.71219512195122</v>
      </c>
      <c r="BU344" t="n">
        <v>0.699999999999999</v>
      </c>
      <c r="BV344" t="n">
        <v>0.687499999999999</v>
      </c>
      <c r="BW344" t="n">
        <v>0.675</v>
      </c>
      <c r="BX344" t="n">
        <v>0.6625</v>
      </c>
      <c r="BY344" t="n">
        <v>0.649999999999999</v>
      </c>
      <c r="BZ344" t="n">
        <v>0.637499999999999</v>
      </c>
      <c r="CA344" t="n">
        <v>0.625</v>
      </c>
      <c r="CB344" t="n">
        <v>0.6125</v>
      </c>
      <c r="CC344" t="n">
        <v>0.6</v>
      </c>
      <c r="CD344" t="e">
        <v>#VALUE!</v>
      </c>
      <c r="CE344" t="e">
        <v>#VALUE!</v>
      </c>
      <c r="CF344" t="e">
        <v>#VALUE!</v>
      </c>
      <c r="CG344" t="e">
        <v>#VALUE!</v>
      </c>
      <c r="CH344" t="e">
        <v>#VALUE!</v>
      </c>
      <c r="CI344" t="e">
        <v>#VALUE!</v>
      </c>
      <c r="CJ344" t="e">
        <v>#VALUE!</v>
      </c>
      <c r="CK344" t="e">
        <v>#VALUE!</v>
      </c>
    </row>
    <row r="345" ht="12.5" customHeight="1" s="213">
      <c r="A345" t="inlineStr">
        <is>
          <t>SpainPor</t>
        </is>
      </c>
      <c r="B345" t="inlineStr">
        <is>
          <t>Trd_2w</t>
        </is>
      </c>
      <c r="C345" t="inlineStr">
        <is>
          <t>Trd_2w</t>
        </is>
      </c>
      <c r="D345" t="n">
        <v>1.3</v>
      </c>
      <c r="E345" t="n">
        <v>1.30059658638924</v>
      </c>
      <c r="G345" t="n">
        <v>1.30353356580575</v>
      </c>
      <c r="H345" t="n">
        <v>1.3050849312225</v>
      </c>
      <c r="I345" t="n">
        <v>1.30793964179368</v>
      </c>
      <c r="J345" t="n">
        <v>1.31244214489906</v>
      </c>
      <c r="K345" t="n">
        <v>1.31808545163749</v>
      </c>
      <c r="L345" t="n">
        <v>1.3245757133794</v>
      </c>
      <c r="M345" t="n">
        <v>1.32680869914922</v>
      </c>
      <c r="N345" t="n">
        <v>1.32488868048523</v>
      </c>
      <c r="O345" t="n">
        <v>1.31876777821331</v>
      </c>
      <c r="P345" t="n">
        <v>1.31064124977396</v>
      </c>
      <c r="Q345" t="n">
        <v>1.30247373381161</v>
      </c>
      <c r="R345" t="n">
        <v>1.29589685524435</v>
      </c>
      <c r="S345" t="n">
        <v>1.29098844181308</v>
      </c>
      <c r="T345" t="n">
        <v>1.28597217639472</v>
      </c>
      <c r="U345" t="n">
        <v>1.27893959304243</v>
      </c>
      <c r="V345" t="n">
        <v>1.26896666485484</v>
      </c>
      <c r="W345" t="n">
        <v>3</v>
      </c>
      <c r="AG345" s="223" t="inlineStr">
        <is>
          <t>POP</t>
        </is>
      </c>
      <c r="AI345" t="n">
        <v>1</v>
      </c>
      <c r="AJ345" t="n">
        <v>1.00057539501197</v>
      </c>
      <c r="AK345" t="n">
        <v>1.00345237007185</v>
      </c>
      <c r="AL345" t="n">
        <v>1.00499696016419</v>
      </c>
      <c r="AM345" t="n">
        <v>1.00788575912277</v>
      </c>
      <c r="AN345" t="n">
        <v>1.01251940786193</v>
      </c>
      <c r="AO345" t="n">
        <v>1.01843003766146</v>
      </c>
      <c r="AP345" t="n">
        <v>1.02535276541024</v>
      </c>
      <c r="AQ345" t="n">
        <v>1.02777984199243</v>
      </c>
      <c r="AR345" t="n">
        <v>1.02565513427365</v>
      </c>
      <c r="AS345" t="n">
        <v>1.01876282571803</v>
      </c>
      <c r="AT345" t="n">
        <v>1.00946233103805</v>
      </c>
      <c r="AU345" t="n">
        <v>0.9999669937864279</v>
      </c>
      <c r="AV345" t="n">
        <v>0.992198744423495</v>
      </c>
      <c r="AW345" t="n">
        <v>0.986303671471603</v>
      </c>
      <c r="AX345" t="n">
        <v>0.98017186010727</v>
      </c>
      <c r="AY345" t="n">
        <v>0.971420421446115</v>
      </c>
      <c r="AZ345" t="n">
        <v>0.958795501348584</v>
      </c>
      <c r="BA345" t="n">
        <v>0</v>
      </c>
      <c r="BB345" t="n">
        <v>0</v>
      </c>
      <c r="BC345" t="n">
        <v>0</v>
      </c>
      <c r="BD345" t="n">
        <v>0</v>
      </c>
      <c r="BE345" t="n">
        <v>0</v>
      </c>
      <c r="BF345" t="n">
        <v>0</v>
      </c>
      <c r="BG345" t="n">
        <v>0</v>
      </c>
      <c r="BH345" t="n">
        <v>0</v>
      </c>
      <c r="BJ345" t="inlineStr">
        <is>
          <t>Med2</t>
        </is>
      </c>
      <c r="BL345" t="n">
        <v>0.8</v>
      </c>
      <c r="BM345" t="n">
        <v>0.797560975609756</v>
      </c>
      <c r="BN345" t="n">
        <v>0.785365853658536</v>
      </c>
      <c r="BO345" t="n">
        <v>0.773170731707317</v>
      </c>
      <c r="BP345" t="n">
        <v>0.760975609756097</v>
      </c>
      <c r="BQ345" t="n">
        <v>0.748780487804878</v>
      </c>
      <c r="BR345" t="n">
        <v>0.736585365853658</v>
      </c>
      <c r="BS345" t="n">
        <v>0.724390243902439</v>
      </c>
      <c r="BT345" t="n">
        <v>0.71219512195122</v>
      </c>
      <c r="BU345" t="n">
        <v>0.699999999999999</v>
      </c>
      <c r="BV345" t="n">
        <v>0.687499999999999</v>
      </c>
      <c r="BW345" t="n">
        <v>0.675</v>
      </c>
      <c r="BX345" t="n">
        <v>0.6625</v>
      </c>
      <c r="BY345" t="n">
        <v>0.649999999999999</v>
      </c>
      <c r="BZ345" t="n">
        <v>0.637499999999999</v>
      </c>
      <c r="CA345" t="n">
        <v>0.625</v>
      </c>
      <c r="CB345" t="n">
        <v>0.6125</v>
      </c>
      <c r="CC345" t="n">
        <v>0.6</v>
      </c>
      <c r="CD345" t="e">
        <v>#VALUE!</v>
      </c>
      <c r="CE345" t="e">
        <v>#VALUE!</v>
      </c>
      <c r="CF345" t="e">
        <v>#VALUE!</v>
      </c>
      <c r="CG345" t="e">
        <v>#VALUE!</v>
      </c>
      <c r="CH345" t="e">
        <v>#VALUE!</v>
      </c>
      <c r="CI345" t="e">
        <v>#VALUE!</v>
      </c>
      <c r="CJ345" t="e">
        <v>#VALUE!</v>
      </c>
      <c r="CK345" t="e">
        <v>#VALUE!</v>
      </c>
    </row>
    <row r="346" ht="12.5" customHeight="1" s="213">
      <c r="A346" t="inlineStr">
        <is>
          <t>SpainPor</t>
        </is>
      </c>
      <c r="B346" t="inlineStr">
        <is>
          <t>Trd_3w</t>
        </is>
      </c>
      <c r="C346" t="inlineStr">
        <is>
          <t>Trd_3w</t>
        </is>
      </c>
      <c r="D346" t="n">
        <v>0.78</v>
      </c>
      <c r="E346" t="n">
        <v>0.780357951833544</v>
      </c>
      <c r="G346" t="n">
        <v>0.782120139483452</v>
      </c>
      <c r="H346" t="n">
        <v>0.7830509587335009</v>
      </c>
      <c r="I346" t="n">
        <v>0.784763785076207</v>
      </c>
      <c r="J346" t="n">
        <v>0.787465286939439</v>
      </c>
      <c r="K346" t="n">
        <v>0.790851270982497</v>
      </c>
      <c r="L346" t="n">
        <v>0.794745428027642</v>
      </c>
      <c r="M346" t="n">
        <v>0.79608521948953</v>
      </c>
      <c r="N346" t="n">
        <v>0.794933208291136</v>
      </c>
      <c r="O346" t="n">
        <v>0.791260666927985</v>
      </c>
      <c r="P346" t="n">
        <v>0.786384749864377</v>
      </c>
      <c r="Q346" t="n">
        <v>0.7814842402869639</v>
      </c>
      <c r="R346" t="n">
        <v>0.77753811314661</v>
      </c>
      <c r="S346" t="n">
        <v>0.774593065087848</v>
      </c>
      <c r="T346" t="n">
        <v>0.77158330583683</v>
      </c>
      <c r="U346" t="n">
        <v>0.767363755825456</v>
      </c>
      <c r="V346" t="n">
        <v>0.761379998912904</v>
      </c>
      <c r="W346" t="n">
        <v>3</v>
      </c>
      <c r="AG346" s="223" t="inlineStr">
        <is>
          <t>POP</t>
        </is>
      </c>
      <c r="AI346" t="n">
        <v>1</v>
      </c>
      <c r="AJ346" t="n">
        <v>1.00057539501197</v>
      </c>
      <c r="AK346" t="n">
        <v>1.00345237007185</v>
      </c>
      <c r="AL346" t="n">
        <v>1.00499696016419</v>
      </c>
      <c r="AM346" t="n">
        <v>1.00788575912277</v>
      </c>
      <c r="AN346" t="n">
        <v>1.01251940786193</v>
      </c>
      <c r="AO346" t="n">
        <v>1.01843003766146</v>
      </c>
      <c r="AP346" t="n">
        <v>1.02535276541024</v>
      </c>
      <c r="AQ346" t="n">
        <v>1.02777984199243</v>
      </c>
      <c r="AR346" t="n">
        <v>1.02565513427365</v>
      </c>
      <c r="AS346" t="n">
        <v>1.01876282571803</v>
      </c>
      <c r="AT346" t="n">
        <v>1.00946233103805</v>
      </c>
      <c r="AU346" t="n">
        <v>0.9999669937864279</v>
      </c>
      <c r="AV346" t="n">
        <v>0.992198744423495</v>
      </c>
      <c r="AW346" t="n">
        <v>0.986303671471603</v>
      </c>
      <c r="AX346" t="n">
        <v>0.98017186010727</v>
      </c>
      <c r="AY346" t="n">
        <v>0.971420421446115</v>
      </c>
      <c r="AZ346" t="n">
        <v>0.958795501348584</v>
      </c>
      <c r="BA346" t="n">
        <v>0</v>
      </c>
      <c r="BB346" t="n">
        <v>0</v>
      </c>
      <c r="BC346" t="n">
        <v>0</v>
      </c>
      <c r="BD346" t="n">
        <v>0</v>
      </c>
      <c r="BE346" t="n">
        <v>0</v>
      </c>
      <c r="BF346" t="n">
        <v>0</v>
      </c>
      <c r="BG346" t="n">
        <v>0</v>
      </c>
      <c r="BH346" t="n">
        <v>0</v>
      </c>
      <c r="BJ346" t="inlineStr">
        <is>
          <t>Med2</t>
        </is>
      </c>
      <c r="BL346" t="n">
        <v>0.8</v>
      </c>
      <c r="BM346" t="n">
        <v>0.797560975609756</v>
      </c>
      <c r="BN346" t="n">
        <v>0.785365853658536</v>
      </c>
      <c r="BO346" t="n">
        <v>0.773170731707317</v>
      </c>
      <c r="BP346" t="n">
        <v>0.760975609756097</v>
      </c>
      <c r="BQ346" t="n">
        <v>0.748780487804878</v>
      </c>
      <c r="BR346" t="n">
        <v>0.736585365853658</v>
      </c>
      <c r="BS346" t="n">
        <v>0.724390243902439</v>
      </c>
      <c r="BT346" t="n">
        <v>0.71219512195122</v>
      </c>
      <c r="BU346" t="n">
        <v>0.699999999999999</v>
      </c>
      <c r="BV346" t="n">
        <v>0.687499999999999</v>
      </c>
      <c r="BW346" t="n">
        <v>0.675</v>
      </c>
      <c r="BX346" t="n">
        <v>0.6625</v>
      </c>
      <c r="BY346" t="n">
        <v>0.649999999999999</v>
      </c>
      <c r="BZ346" t="n">
        <v>0.637499999999999</v>
      </c>
      <c r="CA346" t="n">
        <v>0.625</v>
      </c>
      <c r="CB346" t="n">
        <v>0.6125</v>
      </c>
      <c r="CC346" t="n">
        <v>0.6</v>
      </c>
      <c r="CD346" t="e">
        <v>#VALUE!</v>
      </c>
      <c r="CE346" t="e">
        <v>#VALUE!</v>
      </c>
      <c r="CF346" t="e">
        <v>#VALUE!</v>
      </c>
      <c r="CG346" t="e">
        <v>#VALUE!</v>
      </c>
      <c r="CH346" t="e">
        <v>#VALUE!</v>
      </c>
      <c r="CI346" t="e">
        <v>#VALUE!</v>
      </c>
      <c r="CJ346" t="e">
        <v>#VALUE!</v>
      </c>
      <c r="CK346" t="e">
        <v>#VALUE!</v>
      </c>
    </row>
    <row r="347" ht="12.5" customHeight="1" s="213">
      <c r="A347" t="inlineStr">
        <is>
          <t>SpainPor</t>
        </is>
      </c>
      <c r="B347" t="inlineStr">
        <is>
          <t>Trd_bus</t>
        </is>
      </c>
      <c r="C347" t="inlineStr">
        <is>
          <t>Trd_bus</t>
        </is>
      </c>
      <c r="D347" t="n">
        <v>3.5</v>
      </c>
      <c r="E347" t="n">
        <v>3.50160619412488</v>
      </c>
      <c r="G347" t="n">
        <v>3.50951344640011</v>
      </c>
      <c r="H347" t="n">
        <v>3.5136901994452</v>
      </c>
      <c r="I347" t="n">
        <v>3.52137595867529</v>
      </c>
      <c r="J347" t="n">
        <v>3.53349808242056</v>
      </c>
      <c r="K347" t="n">
        <v>3.54869160056248</v>
      </c>
      <c r="L347" t="n">
        <v>3.56616538217531</v>
      </c>
      <c r="M347" t="n">
        <v>3.5721772669402</v>
      </c>
      <c r="N347" t="n">
        <v>3.56700798592176</v>
      </c>
      <c r="O347" t="n">
        <v>3.55052863365121</v>
      </c>
      <c r="P347" t="n">
        <v>3.5286495186222</v>
      </c>
      <c r="Q347" t="n">
        <v>3.50666005256971</v>
      </c>
      <c r="R347" t="n">
        <v>3.48895307181171</v>
      </c>
      <c r="S347" t="n">
        <v>3.47573811257368</v>
      </c>
      <c r="T347" t="n">
        <v>3.46223278260116</v>
      </c>
      <c r="U347" t="n">
        <v>3.443298904345</v>
      </c>
      <c r="V347" t="n">
        <v>3.41644871307072</v>
      </c>
      <c r="W347" t="n">
        <v>3</v>
      </c>
      <c r="AG347" s="223" t="inlineStr">
        <is>
          <t>POP</t>
        </is>
      </c>
      <c r="AI347" t="n">
        <v>1</v>
      </c>
      <c r="AJ347" t="n">
        <v>1.00057539501197</v>
      </c>
      <c r="AK347" t="n">
        <v>1.00345237007185</v>
      </c>
      <c r="AL347" t="n">
        <v>1.00499696016419</v>
      </c>
      <c r="AM347" t="n">
        <v>1.00788575912277</v>
      </c>
      <c r="AN347" t="n">
        <v>1.01251940786193</v>
      </c>
      <c r="AO347" t="n">
        <v>1.01843003766146</v>
      </c>
      <c r="AP347" t="n">
        <v>1.02535276541024</v>
      </c>
      <c r="AQ347" t="n">
        <v>1.02777984199243</v>
      </c>
      <c r="AR347" t="n">
        <v>1.02565513427365</v>
      </c>
      <c r="AS347" t="n">
        <v>1.01876282571803</v>
      </c>
      <c r="AT347" t="n">
        <v>1.00946233103805</v>
      </c>
      <c r="AU347" t="n">
        <v>0.9999669937864279</v>
      </c>
      <c r="AV347" t="n">
        <v>0.992198744423495</v>
      </c>
      <c r="AW347" t="n">
        <v>0.986303671471603</v>
      </c>
      <c r="AX347" t="n">
        <v>0.98017186010727</v>
      </c>
      <c r="AY347" t="n">
        <v>0.971420421446115</v>
      </c>
      <c r="AZ347" t="n">
        <v>0.958795501348584</v>
      </c>
      <c r="BA347" t="n">
        <v>0</v>
      </c>
      <c r="BB347" t="n">
        <v>0</v>
      </c>
      <c r="BC347" t="n">
        <v>0</v>
      </c>
      <c r="BD347" t="n">
        <v>0</v>
      </c>
      <c r="BE347" t="n">
        <v>0</v>
      </c>
      <c r="BF347" t="n">
        <v>0</v>
      </c>
      <c r="BG347" t="n">
        <v>0</v>
      </c>
      <c r="BH347" t="n">
        <v>0</v>
      </c>
      <c r="BJ347" t="inlineStr">
        <is>
          <t>Med2</t>
        </is>
      </c>
      <c r="BL347" t="n">
        <v>0.8</v>
      </c>
      <c r="BM347" t="n">
        <v>0.797560975609756</v>
      </c>
      <c r="BN347" t="n">
        <v>0.785365853658536</v>
      </c>
      <c r="BO347" t="n">
        <v>0.773170731707317</v>
      </c>
      <c r="BP347" t="n">
        <v>0.760975609756097</v>
      </c>
      <c r="BQ347" t="n">
        <v>0.748780487804878</v>
      </c>
      <c r="BR347" t="n">
        <v>0.736585365853658</v>
      </c>
      <c r="BS347" t="n">
        <v>0.724390243902439</v>
      </c>
      <c r="BT347" t="n">
        <v>0.71219512195122</v>
      </c>
      <c r="BU347" t="n">
        <v>0.699999999999999</v>
      </c>
      <c r="BV347" t="n">
        <v>0.687499999999999</v>
      </c>
      <c r="BW347" t="n">
        <v>0.675</v>
      </c>
      <c r="BX347" t="n">
        <v>0.6625</v>
      </c>
      <c r="BY347" t="n">
        <v>0.649999999999999</v>
      </c>
      <c r="BZ347" t="n">
        <v>0.637499999999999</v>
      </c>
      <c r="CA347" t="n">
        <v>0.625</v>
      </c>
      <c r="CB347" t="n">
        <v>0.6125</v>
      </c>
      <c r="CC347" t="n">
        <v>0.6</v>
      </c>
      <c r="CD347" t="e">
        <v>#VALUE!</v>
      </c>
      <c r="CE347" t="e">
        <v>#VALUE!</v>
      </c>
      <c r="CF347" t="e">
        <v>#VALUE!</v>
      </c>
      <c r="CG347" t="e">
        <v>#VALUE!</v>
      </c>
      <c r="CH347" t="e">
        <v>#VALUE!</v>
      </c>
      <c r="CI347" t="e">
        <v>#VALUE!</v>
      </c>
      <c r="CJ347" t="e">
        <v>#VALUE!</v>
      </c>
      <c r="CK347" t="e">
        <v>#VALUE!</v>
      </c>
    </row>
    <row r="348" ht="12.5" customHeight="1" s="213">
      <c r="A348" t="inlineStr">
        <is>
          <t>SpainPor</t>
        </is>
      </c>
      <c r="B348" t="inlineStr">
        <is>
          <t>Trd_car</t>
        </is>
      </c>
      <c r="C348" t="inlineStr">
        <is>
          <t>Trd_car</t>
        </is>
      </c>
      <c r="D348" t="n">
        <v>247.788</v>
      </c>
      <c r="E348" t="n">
        <v>247.255546066212</v>
      </c>
      <c r="G348" t="n">
        <v>283.881115241011</v>
      </c>
      <c r="H348" t="n">
        <v>300.275475407278</v>
      </c>
      <c r="I348" t="n">
        <v>320.119097206353</v>
      </c>
      <c r="J348" t="n">
        <v>341.411303655968</v>
      </c>
      <c r="K348" t="n">
        <v>362.343417344013</v>
      </c>
      <c r="L348" t="n">
        <v>382.464364274469</v>
      </c>
      <c r="M348" t="n">
        <v>403.356155785293</v>
      </c>
      <c r="N348" t="n">
        <v>424.88184218882</v>
      </c>
      <c r="O348" t="n">
        <v>446.282278467291</v>
      </c>
      <c r="P348" t="n">
        <v>465.723339590649</v>
      </c>
      <c r="Q348" t="n">
        <v>482.930372910929</v>
      </c>
      <c r="R348" t="n">
        <v>497.886508345663</v>
      </c>
      <c r="S348" t="n">
        <v>511.065014321247</v>
      </c>
      <c r="T348" t="n">
        <v>523.229611628041</v>
      </c>
      <c r="U348" t="n">
        <v>534.851766264126</v>
      </c>
      <c r="V348" t="n">
        <v>545.84552789317</v>
      </c>
      <c r="W348" t="n">
        <v>3</v>
      </c>
      <c r="AG348" s="223" t="inlineStr">
        <is>
          <t>GDPPCAP</t>
        </is>
      </c>
      <c r="AI348" t="n">
        <v>1</v>
      </c>
      <c r="AJ348" t="n">
        <v>0.997305750110579</v>
      </c>
      <c r="AK348" t="n">
        <v>1.18540828524245</v>
      </c>
      <c r="AL348" t="n">
        <v>1.27395052873491</v>
      </c>
      <c r="AM348" t="n">
        <v>1.38458307398944</v>
      </c>
      <c r="AN348" t="n">
        <v>1.50757414531109</v>
      </c>
      <c r="AO348" t="n">
        <v>1.6330588472543</v>
      </c>
      <c r="AP348" t="n">
        <v>1.7582452851075</v>
      </c>
      <c r="AQ348" t="n">
        <v>1.89309970137722</v>
      </c>
      <c r="AR348" t="n">
        <v>2.03742543264821</v>
      </c>
      <c r="AS348" t="n">
        <v>2.18669231988497</v>
      </c>
      <c r="AT348" t="n">
        <v>2.32781416004627</v>
      </c>
      <c r="AU348" t="n">
        <v>2.45763380580353</v>
      </c>
      <c r="AV348" t="n">
        <v>2.57472889576131</v>
      </c>
      <c r="AW348" t="n">
        <v>2.68163121758402</v>
      </c>
      <c r="AX348" t="n">
        <v>2.78375822834976</v>
      </c>
      <c r="AY348" t="n">
        <v>2.88471135073708</v>
      </c>
      <c r="AZ348" t="n">
        <v>2.98353570718796</v>
      </c>
      <c r="BA348" t="n">
        <v>0</v>
      </c>
      <c r="BB348" t="n">
        <v>0</v>
      </c>
      <c r="BC348" t="n">
        <v>0</v>
      </c>
      <c r="BD348" t="n">
        <v>0</v>
      </c>
      <c r="BE348" t="n">
        <v>0</v>
      </c>
      <c r="BF348" t="n">
        <v>0</v>
      </c>
      <c r="BG348" t="n">
        <v>0</v>
      </c>
      <c r="BH348" t="n">
        <v>0</v>
      </c>
      <c r="BJ348" t="inlineStr">
        <is>
          <t>Med2</t>
        </is>
      </c>
      <c r="BL348" t="n">
        <v>0.8</v>
      </c>
      <c r="BM348" t="n">
        <v>0.797560975609756</v>
      </c>
      <c r="BN348" t="n">
        <v>0.785365853658536</v>
      </c>
      <c r="BO348" t="n">
        <v>0.773170731707317</v>
      </c>
      <c r="BP348" t="n">
        <v>0.760975609756097</v>
      </c>
      <c r="BQ348" t="n">
        <v>0.748780487804878</v>
      </c>
      <c r="BR348" t="n">
        <v>0.736585365853658</v>
      </c>
      <c r="BS348" t="n">
        <v>0.724390243902439</v>
      </c>
      <c r="BT348" t="n">
        <v>0.71219512195122</v>
      </c>
      <c r="BU348" t="n">
        <v>0.699999999999999</v>
      </c>
      <c r="BV348" t="n">
        <v>0.687499999999999</v>
      </c>
      <c r="BW348" t="n">
        <v>0.675</v>
      </c>
      <c r="BX348" t="n">
        <v>0.6625</v>
      </c>
      <c r="BY348" t="n">
        <v>0.649999999999999</v>
      </c>
      <c r="BZ348" t="n">
        <v>0.637499999999999</v>
      </c>
      <c r="CA348" t="n">
        <v>0.625</v>
      </c>
      <c r="CB348" t="n">
        <v>0.6125</v>
      </c>
      <c r="CC348" t="n">
        <v>0.6</v>
      </c>
      <c r="CD348" t="e">
        <v>#VALUE!</v>
      </c>
      <c r="CE348" t="e">
        <v>#VALUE!</v>
      </c>
      <c r="CF348" t="e">
        <v>#VALUE!</v>
      </c>
      <c r="CG348" t="e">
        <v>#VALUE!</v>
      </c>
      <c r="CH348" t="e">
        <v>#VALUE!</v>
      </c>
      <c r="CI348" t="e">
        <v>#VALUE!</v>
      </c>
      <c r="CJ348" t="e">
        <v>#VALUE!</v>
      </c>
      <c r="CK348" t="e">
        <v>#VALUE!</v>
      </c>
    </row>
    <row r="349" ht="12.5" customHeight="1" s="213">
      <c r="A349" t="inlineStr">
        <is>
          <t>SpainPor</t>
        </is>
      </c>
      <c r="B349" t="inlineStr">
        <is>
          <t>Trd_hdt</t>
        </is>
      </c>
      <c r="C349" t="inlineStr">
        <is>
          <t>Trd_hdt</t>
        </is>
      </c>
      <c r="D349" t="n">
        <v>102.375</v>
      </c>
      <c r="E349" t="n">
        <v>102.20186827423</v>
      </c>
      <c r="G349" t="n">
        <v>117.615187358833</v>
      </c>
      <c r="H349" t="n">
        <v>124.557989849019</v>
      </c>
      <c r="I349" t="n">
        <v>133.085485826681</v>
      </c>
      <c r="J349" t="n">
        <v>142.436287408049</v>
      </c>
      <c r="K349" t="n">
        <v>151.832567396818</v>
      </c>
      <c r="L349" t="n">
        <v>161.068772706833</v>
      </c>
      <c r="M349" t="n">
        <v>170.159375509302</v>
      </c>
      <c r="N349" t="n">
        <v>178.975168046084</v>
      </c>
      <c r="O349" t="n">
        <v>187.102352708401</v>
      </c>
      <c r="P349" t="n">
        <v>194.025579448996</v>
      </c>
      <c r="Q349" t="n">
        <v>199.917684203294</v>
      </c>
      <c r="R349" t="n">
        <v>205.051456836393</v>
      </c>
      <c r="S349" t="n">
        <v>209.670030748802</v>
      </c>
      <c r="T349" t="n">
        <v>213.814969567753</v>
      </c>
      <c r="U349" t="n">
        <v>217.352608524279</v>
      </c>
      <c r="V349" t="n">
        <v>220.067306737458</v>
      </c>
      <c r="W349" t="n">
        <v>3</v>
      </c>
      <c r="AG349" s="223" t="inlineStr">
        <is>
          <t>GDP</t>
        </is>
      </c>
      <c r="AI349" t="n">
        <v>1</v>
      </c>
      <c r="AJ349" t="n">
        <v>0.997879594864605</v>
      </c>
      <c r="AK349" t="n">
        <v>1.18950075332934</v>
      </c>
      <c r="AL349" t="n">
        <v>1.28031640877814</v>
      </c>
      <c r="AM349" t="n">
        <v>1.39550156259639</v>
      </c>
      <c r="AN349" t="n">
        <v>1.52644808091834</v>
      </c>
      <c r="AO349" t="n">
        <v>1.66315618331258</v>
      </c>
      <c r="AP349" t="n">
        <v>1.80282166535448</v>
      </c>
      <c r="AQ349" t="n">
        <v>1.94568971195739</v>
      </c>
      <c r="AR349" t="n">
        <v>2.08969585569535</v>
      </c>
      <c r="AS349" t="n">
        <v>2.22772084678191</v>
      </c>
      <c r="AT349" t="n">
        <v>2.34984070822368</v>
      </c>
      <c r="AU349" t="n">
        <v>2.45755268861725</v>
      </c>
      <c r="AV349" t="n">
        <v>2.55464277760526</v>
      </c>
      <c r="AW349" t="n">
        <v>2.64490271543598</v>
      </c>
      <c r="AX349" t="n">
        <v>2.7285614807705</v>
      </c>
      <c r="AY349" t="n">
        <v>2.8022675160834</v>
      </c>
      <c r="AZ349" t="n">
        <v>2.86060061416468</v>
      </c>
      <c r="BA349" t="n">
        <v>0</v>
      </c>
      <c r="BB349" t="n">
        <v>0</v>
      </c>
      <c r="BC349" t="n">
        <v>0</v>
      </c>
      <c r="BD349" t="n">
        <v>0</v>
      </c>
      <c r="BE349" t="n">
        <v>0</v>
      </c>
      <c r="BF349" t="n">
        <v>0</v>
      </c>
      <c r="BG349" t="n">
        <v>0</v>
      </c>
      <c r="BH349" t="n">
        <v>0</v>
      </c>
      <c r="BJ349" t="inlineStr">
        <is>
          <t>Med2</t>
        </is>
      </c>
      <c r="BL349" t="n">
        <v>0.8</v>
      </c>
      <c r="BM349" t="n">
        <v>0.797560975609756</v>
      </c>
      <c r="BN349" t="n">
        <v>0.785365853658536</v>
      </c>
      <c r="BO349" t="n">
        <v>0.773170731707317</v>
      </c>
      <c r="BP349" t="n">
        <v>0.760975609756097</v>
      </c>
      <c r="BQ349" t="n">
        <v>0.748780487804878</v>
      </c>
      <c r="BR349" t="n">
        <v>0.736585365853658</v>
      </c>
      <c r="BS349" t="n">
        <v>0.724390243902439</v>
      </c>
      <c r="BT349" t="n">
        <v>0.71219512195122</v>
      </c>
      <c r="BU349" t="n">
        <v>0.699999999999999</v>
      </c>
      <c r="BV349" t="n">
        <v>0.687499999999999</v>
      </c>
      <c r="BW349" t="n">
        <v>0.675</v>
      </c>
      <c r="BX349" t="n">
        <v>0.6625</v>
      </c>
      <c r="BY349" t="n">
        <v>0.649999999999999</v>
      </c>
      <c r="BZ349" t="n">
        <v>0.637499999999999</v>
      </c>
      <c r="CA349" t="n">
        <v>0.625</v>
      </c>
      <c r="CB349" t="n">
        <v>0.6125</v>
      </c>
      <c r="CC349" t="n">
        <v>0.6</v>
      </c>
      <c r="CD349" t="e">
        <v>#VALUE!</v>
      </c>
      <c r="CE349" t="e">
        <v>#VALUE!</v>
      </c>
      <c r="CF349" t="e">
        <v>#VALUE!</v>
      </c>
      <c r="CG349" t="e">
        <v>#VALUE!</v>
      </c>
      <c r="CH349" t="e">
        <v>#VALUE!</v>
      </c>
      <c r="CI349" t="e">
        <v>#VALUE!</v>
      </c>
      <c r="CJ349" t="e">
        <v>#VALUE!</v>
      </c>
      <c r="CK349" t="e">
        <v>#VALUE!</v>
      </c>
    </row>
    <row r="350" ht="12.5" customHeight="1" s="213">
      <c r="A350" t="inlineStr">
        <is>
          <t>SpainPor</t>
        </is>
      </c>
      <c r="B350" t="inlineStr">
        <is>
          <t>Trd_lcv</t>
        </is>
      </c>
      <c r="C350" t="inlineStr">
        <is>
          <t>Trd_lcv</t>
        </is>
      </c>
      <c r="D350" t="n">
        <v>55.775</v>
      </c>
      <c r="E350" t="n">
        <v>55.6806759755329</v>
      </c>
      <c r="G350" t="n">
        <v>64.07801782602129</v>
      </c>
      <c r="H350" t="n">
        <v>67.8605312217734</v>
      </c>
      <c r="I350" t="n">
        <v>72.506402656734</v>
      </c>
      <c r="J350" t="n">
        <v>77.6008198308563</v>
      </c>
      <c r="K350" t="n">
        <v>82.7200141299881</v>
      </c>
      <c r="L350" t="n">
        <v>87.7519980241623</v>
      </c>
      <c r="M350" t="n">
        <v>92.70465610775381</v>
      </c>
      <c r="N350" t="n">
        <v>97.5075946058151</v>
      </c>
      <c r="O350" t="n">
        <v>101.935372134907</v>
      </c>
      <c r="P350" t="n">
        <v>105.707220451944</v>
      </c>
      <c r="Q350" t="n">
        <v>108.917302431636</v>
      </c>
      <c r="R350" t="n">
        <v>111.714236923564</v>
      </c>
      <c r="S350" t="n">
        <v>114.230485616747</v>
      </c>
      <c r="T350" t="n">
        <v>116.488692821895</v>
      </c>
      <c r="U350" t="n">
        <v>118.416036536671</v>
      </c>
      <c r="V350" t="n">
        <v>119.895033292129</v>
      </c>
      <c r="W350" t="n">
        <v>3</v>
      </c>
      <c r="AG350" s="223" t="inlineStr">
        <is>
          <t>GDP</t>
        </is>
      </c>
      <c r="AI350" t="n">
        <v>1</v>
      </c>
      <c r="AJ350" t="n">
        <v>0.997879594864605</v>
      </c>
      <c r="AK350" t="n">
        <v>1.18950075332934</v>
      </c>
      <c r="AL350" t="n">
        <v>1.28031640877814</v>
      </c>
      <c r="AM350" t="n">
        <v>1.39550156259639</v>
      </c>
      <c r="AN350" t="n">
        <v>1.52644808091834</v>
      </c>
      <c r="AO350" t="n">
        <v>1.66315618331258</v>
      </c>
      <c r="AP350" t="n">
        <v>1.80282166535448</v>
      </c>
      <c r="AQ350" t="n">
        <v>1.94568971195739</v>
      </c>
      <c r="AR350" t="n">
        <v>2.08969585569535</v>
      </c>
      <c r="AS350" t="n">
        <v>2.22772084678191</v>
      </c>
      <c r="AT350" t="n">
        <v>2.34984070822368</v>
      </c>
      <c r="AU350" t="n">
        <v>2.45755268861725</v>
      </c>
      <c r="AV350" t="n">
        <v>2.55464277760526</v>
      </c>
      <c r="AW350" t="n">
        <v>2.64490271543598</v>
      </c>
      <c r="AX350" t="n">
        <v>2.7285614807705</v>
      </c>
      <c r="AY350" t="n">
        <v>2.8022675160834</v>
      </c>
      <c r="AZ350" t="n">
        <v>2.86060061416468</v>
      </c>
      <c r="BA350" t="n">
        <v>0</v>
      </c>
      <c r="BB350" t="n">
        <v>0</v>
      </c>
      <c r="BC350" t="n">
        <v>0</v>
      </c>
      <c r="BD350" t="n">
        <v>0</v>
      </c>
      <c r="BE350" t="n">
        <v>0</v>
      </c>
      <c r="BF350" t="n">
        <v>0</v>
      </c>
      <c r="BG350" t="n">
        <v>0</v>
      </c>
      <c r="BH350" t="n">
        <v>0</v>
      </c>
      <c r="BJ350" t="inlineStr">
        <is>
          <t>Med2</t>
        </is>
      </c>
      <c r="BL350" t="n">
        <v>0.8</v>
      </c>
      <c r="BM350" t="n">
        <v>0.797560975609756</v>
      </c>
      <c r="BN350" t="n">
        <v>0.785365853658536</v>
      </c>
      <c r="BO350" t="n">
        <v>0.773170731707317</v>
      </c>
      <c r="BP350" t="n">
        <v>0.760975609756097</v>
      </c>
      <c r="BQ350" t="n">
        <v>0.748780487804878</v>
      </c>
      <c r="BR350" t="n">
        <v>0.736585365853658</v>
      </c>
      <c r="BS350" t="n">
        <v>0.724390243902439</v>
      </c>
      <c r="BT350" t="n">
        <v>0.71219512195122</v>
      </c>
      <c r="BU350" t="n">
        <v>0.699999999999999</v>
      </c>
      <c r="BV350" t="n">
        <v>0.687499999999999</v>
      </c>
      <c r="BW350" t="n">
        <v>0.675</v>
      </c>
      <c r="BX350" t="n">
        <v>0.6625</v>
      </c>
      <c r="BY350" t="n">
        <v>0.649999999999999</v>
      </c>
      <c r="BZ350" t="n">
        <v>0.637499999999999</v>
      </c>
      <c r="CA350" t="n">
        <v>0.625</v>
      </c>
      <c r="CB350" t="n">
        <v>0.6125</v>
      </c>
      <c r="CC350" t="n">
        <v>0.6</v>
      </c>
      <c r="CD350" t="e">
        <v>#VALUE!</v>
      </c>
      <c r="CE350" t="e">
        <v>#VALUE!</v>
      </c>
      <c r="CF350" t="e">
        <v>#VALUE!</v>
      </c>
      <c r="CG350" t="e">
        <v>#VALUE!</v>
      </c>
      <c r="CH350" t="e">
        <v>#VALUE!</v>
      </c>
      <c r="CI350" t="e">
        <v>#VALUE!</v>
      </c>
      <c r="CJ350" t="e">
        <v>#VALUE!</v>
      </c>
      <c r="CK350" t="e">
        <v>#VALUE!</v>
      </c>
    </row>
    <row r="351" ht="12.5" customHeight="1" s="213">
      <c r="A351" t="inlineStr">
        <is>
          <t>SweFinDen</t>
        </is>
      </c>
      <c r="B351" t="inlineStr">
        <is>
          <t>TAD</t>
        </is>
      </c>
      <c r="C351" t="inlineStr">
        <is>
          <t>TAD</t>
        </is>
      </c>
      <c r="E351" t="n">
        <v>10.8787135219328</v>
      </c>
      <c r="F351">
        <f>E351</f>
        <v/>
      </c>
      <c r="I351">
        <f>F351</f>
        <v/>
      </c>
      <c r="J351">
        <f>I351</f>
        <v/>
      </c>
      <c r="L351">
        <f>J351</f>
        <v/>
      </c>
      <c r="V351">
        <f>L351</f>
        <v/>
      </c>
      <c r="W351" t="n">
        <v>3</v>
      </c>
      <c r="AG351" s="223" t="inlineStr">
        <is>
          <t>GDP</t>
        </is>
      </c>
      <c r="AI351" t="n">
        <v>1</v>
      </c>
      <c r="AJ351" t="n">
        <v>1.01249244177222</v>
      </c>
      <c r="AK351" t="n">
        <v>1.13138941807915</v>
      </c>
      <c r="AL351" t="n">
        <v>1.24760189562937</v>
      </c>
      <c r="AM351" t="n">
        <v>1.34810455246965</v>
      </c>
      <c r="AN351" t="n">
        <v>1.44349661274636</v>
      </c>
      <c r="AO351" t="n">
        <v>1.53893173984805</v>
      </c>
      <c r="AP351" t="n">
        <v>1.6358789910266</v>
      </c>
      <c r="AQ351" t="n">
        <v>1.73602084357765</v>
      </c>
      <c r="AR351" t="n">
        <v>1.84198437382463</v>
      </c>
      <c r="AS351" t="n">
        <v>1.95347672735771</v>
      </c>
      <c r="AT351" t="n">
        <v>2.063527777815</v>
      </c>
      <c r="AU351" t="n">
        <v>2.1690147018656</v>
      </c>
      <c r="AV351" t="n">
        <v>2.26870387423415</v>
      </c>
      <c r="AW351" t="n">
        <v>2.36111858134433</v>
      </c>
      <c r="AX351" t="n">
        <v>2.44611431007233</v>
      </c>
      <c r="AY351" t="n">
        <v>2.52490841600409</v>
      </c>
      <c r="AZ351" t="n">
        <v>2.5973563860158</v>
      </c>
      <c r="BA351" t="n">
        <v>0</v>
      </c>
      <c r="BB351" t="n">
        <v>0</v>
      </c>
      <c r="BC351" t="n">
        <v>0</v>
      </c>
      <c r="BD351" t="n">
        <v>0</v>
      </c>
      <c r="BE351" t="n">
        <v>0</v>
      </c>
      <c r="BF351" t="n">
        <v>0</v>
      </c>
      <c r="BG351" t="n">
        <v>0</v>
      </c>
      <c r="BH351" t="n">
        <v>0</v>
      </c>
      <c r="BJ351" t="inlineStr">
        <is>
          <t>Med2</t>
        </is>
      </c>
      <c r="BL351" t="n">
        <v>0.8</v>
      </c>
      <c r="BM351" t="n">
        <v>0.797560975609756</v>
      </c>
      <c r="BN351" t="n">
        <v>0.785365853658536</v>
      </c>
      <c r="BO351" t="n">
        <v>0.773170731707317</v>
      </c>
      <c r="BP351" t="n">
        <v>0.760975609756097</v>
      </c>
      <c r="BQ351" t="n">
        <v>0.748780487804878</v>
      </c>
      <c r="BR351" t="n">
        <v>0.736585365853658</v>
      </c>
      <c r="BS351" t="n">
        <v>0.724390243902439</v>
      </c>
      <c r="BT351" t="n">
        <v>0.71219512195122</v>
      </c>
      <c r="BU351" t="n">
        <v>0.699999999999999</v>
      </c>
      <c r="BV351" t="n">
        <v>0.687499999999999</v>
      </c>
      <c r="BW351" t="n">
        <v>0.675</v>
      </c>
      <c r="BX351" t="n">
        <v>0.6625</v>
      </c>
      <c r="BY351" t="n">
        <v>0.649999999999999</v>
      </c>
      <c r="BZ351" t="n">
        <v>0.637499999999999</v>
      </c>
      <c r="CA351" t="n">
        <v>0.625</v>
      </c>
      <c r="CB351" t="n">
        <v>0.6125</v>
      </c>
      <c r="CC351" t="n">
        <v>0.6</v>
      </c>
      <c r="CD351" t="e">
        <v>#VALUE!</v>
      </c>
      <c r="CE351" t="e">
        <v>#VALUE!</v>
      </c>
      <c r="CF351" t="e">
        <v>#VALUE!</v>
      </c>
      <c r="CG351" t="e">
        <v>#VALUE!</v>
      </c>
      <c r="CH351" t="e">
        <v>#VALUE!</v>
      </c>
      <c r="CI351" t="e">
        <v>#VALUE!</v>
      </c>
      <c r="CJ351" t="e">
        <v>#VALUE!</v>
      </c>
      <c r="CK351" t="e">
        <v>#VALUE!</v>
      </c>
    </row>
    <row r="352" ht="12.5" customHeight="1" s="213">
      <c r="A352" t="inlineStr">
        <is>
          <t>SweFinDen</t>
        </is>
      </c>
      <c r="B352" t="inlineStr">
        <is>
          <t>TAI</t>
        </is>
      </c>
      <c r="C352" t="inlineStr">
        <is>
          <t>TAI</t>
        </is>
      </c>
      <c r="E352" t="n">
        <v>116.616235183285</v>
      </c>
      <c r="F352">
        <f>E352</f>
        <v/>
      </c>
      <c r="I352">
        <f>F352</f>
        <v/>
      </c>
      <c r="J352">
        <f>I352</f>
        <v/>
      </c>
      <c r="L352">
        <f>J352</f>
        <v/>
      </c>
      <c r="V352">
        <f>L352</f>
        <v/>
      </c>
      <c r="W352" t="n">
        <v>3</v>
      </c>
      <c r="AG352" s="223" t="inlineStr">
        <is>
          <t>GDP</t>
        </is>
      </c>
      <c r="AI352" t="n">
        <v>1</v>
      </c>
      <c r="AJ352" t="n">
        <v>1.01249244177222</v>
      </c>
      <c r="AK352" t="n">
        <v>1.13138941807915</v>
      </c>
      <c r="AL352" t="n">
        <v>1.24760189562937</v>
      </c>
      <c r="AM352" t="n">
        <v>1.34810455246965</v>
      </c>
      <c r="AN352" t="n">
        <v>1.44349661274636</v>
      </c>
      <c r="AO352" t="n">
        <v>1.53893173984805</v>
      </c>
      <c r="AP352" t="n">
        <v>1.6358789910266</v>
      </c>
      <c r="AQ352" t="n">
        <v>1.73602084357765</v>
      </c>
      <c r="AR352" t="n">
        <v>1.84198437382463</v>
      </c>
      <c r="AS352" t="n">
        <v>1.95347672735771</v>
      </c>
      <c r="AT352" t="n">
        <v>2.063527777815</v>
      </c>
      <c r="AU352" t="n">
        <v>2.1690147018656</v>
      </c>
      <c r="AV352" t="n">
        <v>2.26870387423415</v>
      </c>
      <c r="AW352" t="n">
        <v>2.36111858134433</v>
      </c>
      <c r="AX352" t="n">
        <v>2.44611431007233</v>
      </c>
      <c r="AY352" t="n">
        <v>2.52490841600409</v>
      </c>
      <c r="AZ352" t="n">
        <v>2.5973563860158</v>
      </c>
      <c r="BA352" t="n">
        <v>0</v>
      </c>
      <c r="BB352" t="n">
        <v>0</v>
      </c>
      <c r="BC352" t="n">
        <v>0</v>
      </c>
      <c r="BD352" t="n">
        <v>0</v>
      </c>
      <c r="BE352" t="n">
        <v>0</v>
      </c>
      <c r="BF352" t="n">
        <v>0</v>
      </c>
      <c r="BG352" t="n">
        <v>0</v>
      </c>
      <c r="BH352" t="n">
        <v>0</v>
      </c>
      <c r="BJ352" t="inlineStr">
        <is>
          <t>Med2</t>
        </is>
      </c>
      <c r="BL352" t="n">
        <v>0.8</v>
      </c>
      <c r="BM352" t="n">
        <v>0.797560975609756</v>
      </c>
      <c r="BN352" t="n">
        <v>0.785365853658536</v>
      </c>
      <c r="BO352" t="n">
        <v>0.773170731707317</v>
      </c>
      <c r="BP352" t="n">
        <v>0.760975609756097</v>
      </c>
      <c r="BQ352" t="n">
        <v>0.748780487804878</v>
      </c>
      <c r="BR352" t="n">
        <v>0.736585365853658</v>
      </c>
      <c r="BS352" t="n">
        <v>0.724390243902439</v>
      </c>
      <c r="BT352" t="n">
        <v>0.71219512195122</v>
      </c>
      <c r="BU352" t="n">
        <v>0.699999999999999</v>
      </c>
      <c r="BV352" t="n">
        <v>0.687499999999999</v>
      </c>
      <c r="BW352" t="n">
        <v>0.675</v>
      </c>
      <c r="BX352" t="n">
        <v>0.6625</v>
      </c>
      <c r="BY352" t="n">
        <v>0.649999999999999</v>
      </c>
      <c r="BZ352" t="n">
        <v>0.637499999999999</v>
      </c>
      <c r="CA352" t="n">
        <v>0.625</v>
      </c>
      <c r="CB352" t="n">
        <v>0.6125</v>
      </c>
      <c r="CC352" t="n">
        <v>0.6</v>
      </c>
      <c r="CD352" t="e">
        <v>#VALUE!</v>
      </c>
      <c r="CE352" t="e">
        <v>#VALUE!</v>
      </c>
      <c r="CF352" t="e">
        <v>#VALUE!</v>
      </c>
      <c r="CG352" t="e">
        <v>#VALUE!</v>
      </c>
      <c r="CH352" t="e">
        <v>#VALUE!</v>
      </c>
      <c r="CI352" t="e">
        <v>#VALUE!</v>
      </c>
      <c r="CJ352" t="e">
        <v>#VALUE!</v>
      </c>
      <c r="CK352" t="e">
        <v>#VALUE!</v>
      </c>
    </row>
    <row r="353" ht="12.5" customHeight="1" s="213">
      <c r="A353" t="inlineStr">
        <is>
          <t>SweFinDen</t>
        </is>
      </c>
      <c r="B353" t="inlineStr">
        <is>
          <t>TTF</t>
        </is>
      </c>
      <c r="C353" t="inlineStr">
        <is>
          <t>TTF</t>
        </is>
      </c>
      <c r="E353" t="n">
        <v>4.13885072055123</v>
      </c>
      <c r="I353" t="n">
        <v>5.17869535206599</v>
      </c>
      <c r="J353" t="n">
        <v>5.45308235480547</v>
      </c>
      <c r="L353" t="n">
        <v>5.97960378256308</v>
      </c>
      <c r="V353" t="n">
        <v>8.15145189420441</v>
      </c>
      <c r="W353" t="n">
        <v>3</v>
      </c>
      <c r="AG353" s="223" t="inlineStr">
        <is>
          <t>GDP</t>
        </is>
      </c>
      <c r="AI353" t="n">
        <v>1</v>
      </c>
      <c r="AJ353" t="n">
        <v>1.01249244177222</v>
      </c>
      <c r="AK353" t="n">
        <v>1.13138941807915</v>
      </c>
      <c r="AL353" t="n">
        <v>1.24760189562937</v>
      </c>
      <c r="AM353" t="n">
        <v>1.34810455246965</v>
      </c>
      <c r="AN353" t="n">
        <v>1.44349661274636</v>
      </c>
      <c r="AO353" t="n">
        <v>1.53893173984805</v>
      </c>
      <c r="AP353" t="n">
        <v>1.6358789910266</v>
      </c>
      <c r="AQ353" t="n">
        <v>1.73602084357765</v>
      </c>
      <c r="AR353" t="n">
        <v>1.84198437382463</v>
      </c>
      <c r="AS353" t="n">
        <v>1.95347672735771</v>
      </c>
      <c r="AT353" t="n">
        <v>2.063527777815</v>
      </c>
      <c r="AU353" t="n">
        <v>2.1690147018656</v>
      </c>
      <c r="AV353" t="n">
        <v>2.26870387423415</v>
      </c>
      <c r="AW353" t="n">
        <v>2.36111858134433</v>
      </c>
      <c r="AX353" t="n">
        <v>2.44611431007233</v>
      </c>
      <c r="AY353" t="n">
        <v>2.52490841600409</v>
      </c>
      <c r="AZ353" t="n">
        <v>2.5973563860158</v>
      </c>
      <c r="BA353" t="n">
        <v>0</v>
      </c>
      <c r="BB353" t="n">
        <v>0</v>
      </c>
      <c r="BC353" t="n">
        <v>0</v>
      </c>
      <c r="BD353" t="n">
        <v>0</v>
      </c>
      <c r="BE353" t="n">
        <v>0</v>
      </c>
      <c r="BF353" t="n">
        <v>0</v>
      </c>
      <c r="BG353" t="n">
        <v>0</v>
      </c>
      <c r="BH353" t="n">
        <v>0</v>
      </c>
      <c r="BJ353" t="inlineStr">
        <is>
          <t>Med2</t>
        </is>
      </c>
      <c r="BL353" t="n">
        <v>0.8</v>
      </c>
      <c r="BM353" t="n">
        <v>0.797560975609756</v>
      </c>
      <c r="BN353" t="n">
        <v>0.785365853658536</v>
      </c>
      <c r="BO353" t="n">
        <v>0.773170731707317</v>
      </c>
      <c r="BP353" t="n">
        <v>0.760975609756097</v>
      </c>
      <c r="BQ353" t="n">
        <v>0.748780487804878</v>
      </c>
      <c r="BR353" t="n">
        <v>0.736585365853658</v>
      </c>
      <c r="BS353" t="n">
        <v>0.724390243902439</v>
      </c>
      <c r="BT353" t="n">
        <v>0.71219512195122</v>
      </c>
      <c r="BU353" t="n">
        <v>0.699999999999999</v>
      </c>
      <c r="BV353" t="n">
        <v>0.687499999999999</v>
      </c>
      <c r="BW353" t="n">
        <v>0.675</v>
      </c>
      <c r="BX353" t="n">
        <v>0.6625</v>
      </c>
      <c r="BY353" t="n">
        <v>0.649999999999999</v>
      </c>
      <c r="BZ353" t="n">
        <v>0.637499999999999</v>
      </c>
      <c r="CA353" t="n">
        <v>0.625</v>
      </c>
      <c r="CB353" t="n">
        <v>0.6125</v>
      </c>
      <c r="CC353" t="n">
        <v>0.6</v>
      </c>
      <c r="CD353" t="e">
        <v>#VALUE!</v>
      </c>
      <c r="CE353" t="e">
        <v>#VALUE!</v>
      </c>
      <c r="CF353" t="e">
        <v>#VALUE!</v>
      </c>
      <c r="CG353" t="e">
        <v>#VALUE!</v>
      </c>
      <c r="CH353" t="e">
        <v>#VALUE!</v>
      </c>
      <c r="CI353" t="e">
        <v>#VALUE!</v>
      </c>
      <c r="CJ353" t="e">
        <v>#VALUE!</v>
      </c>
      <c r="CK353" t="e">
        <v>#VALUE!</v>
      </c>
    </row>
    <row r="354" ht="12.5" customHeight="1" s="213">
      <c r="A354" t="inlineStr">
        <is>
          <t>SweFinDen</t>
        </is>
      </c>
      <c r="B354" t="inlineStr">
        <is>
          <t>TTP</t>
        </is>
      </c>
      <c r="C354" t="inlineStr">
        <is>
          <t>TTP</t>
        </is>
      </c>
      <c r="E354" t="n">
        <v>13.7458008530983</v>
      </c>
      <c r="I354" t="n">
        <v>14.148885907274</v>
      </c>
      <c r="J354" t="n">
        <v>14.2616938690585</v>
      </c>
      <c r="L354" t="n">
        <v>14.5485180546064</v>
      </c>
      <c r="V354" t="n">
        <v>15.3661972671952</v>
      </c>
      <c r="W354" t="n">
        <v>3</v>
      </c>
      <c r="AG354" s="223" t="inlineStr">
        <is>
          <t>POP</t>
        </is>
      </c>
      <c r="AI354" t="n">
        <v>1</v>
      </c>
      <c r="AJ354" t="n">
        <v>1.00327699628325</v>
      </c>
      <c r="AK354" t="n">
        <v>1.0196619776995</v>
      </c>
      <c r="AL354" t="n">
        <v>1.03084791455404</v>
      </c>
      <c r="AM354" t="n">
        <v>1.04133499382809</v>
      </c>
      <c r="AN354" t="n">
        <v>1.05242299982453</v>
      </c>
      <c r="AO354" t="n">
        <v>1.06541333821808</v>
      </c>
      <c r="AP354" t="n">
        <v>1.08147469381852</v>
      </c>
      <c r="AQ354" t="n">
        <v>1.09620281853163</v>
      </c>
      <c r="AR354" t="n">
        <v>1.10998040243245</v>
      </c>
      <c r="AS354" t="n">
        <v>1.12274416569501</v>
      </c>
      <c r="AT354" t="n">
        <v>1.13549472635844</v>
      </c>
      <c r="AU354" t="n">
        <v>1.14791225724948</v>
      </c>
      <c r="AV354" t="n">
        <v>1.15855132855068</v>
      </c>
      <c r="AW354" t="n">
        <v>1.16578199833114</v>
      </c>
      <c r="AX354" t="n">
        <v>1.16944263898258</v>
      </c>
      <c r="AY354" t="n">
        <v>1.17121248213932</v>
      </c>
      <c r="AZ354" t="n">
        <v>1.17253075008098</v>
      </c>
      <c r="BA354" t="n">
        <v>0</v>
      </c>
      <c r="BB354" t="n">
        <v>0</v>
      </c>
      <c r="BC354" t="n">
        <v>0</v>
      </c>
      <c r="BD354" t="n">
        <v>0</v>
      </c>
      <c r="BE354" t="n">
        <v>0</v>
      </c>
      <c r="BF354" t="n">
        <v>0</v>
      </c>
      <c r="BG354" t="n">
        <v>0</v>
      </c>
      <c r="BH354" t="n">
        <v>0</v>
      </c>
      <c r="BJ354" t="inlineStr">
        <is>
          <t>Med2</t>
        </is>
      </c>
      <c r="BL354" t="n">
        <v>0.8</v>
      </c>
      <c r="BM354" t="n">
        <v>0.797560975609756</v>
      </c>
      <c r="BN354" t="n">
        <v>0.785365853658536</v>
      </c>
      <c r="BO354" t="n">
        <v>0.773170731707317</v>
      </c>
      <c r="BP354" t="n">
        <v>0.760975609756097</v>
      </c>
      <c r="BQ354" t="n">
        <v>0.748780487804878</v>
      </c>
      <c r="BR354" t="n">
        <v>0.736585365853658</v>
      </c>
      <c r="BS354" t="n">
        <v>0.724390243902439</v>
      </c>
      <c r="BT354" t="n">
        <v>0.71219512195122</v>
      </c>
      <c r="BU354" t="n">
        <v>0.699999999999999</v>
      </c>
      <c r="BV354" t="n">
        <v>0.687499999999999</v>
      </c>
      <c r="BW354" t="n">
        <v>0.675</v>
      </c>
      <c r="BX354" t="n">
        <v>0.6625</v>
      </c>
      <c r="BY354" t="n">
        <v>0.649999999999999</v>
      </c>
      <c r="BZ354" t="n">
        <v>0.637499999999999</v>
      </c>
      <c r="CA354" t="n">
        <v>0.625</v>
      </c>
      <c r="CB354" t="n">
        <v>0.6125</v>
      </c>
      <c r="CC354" t="n">
        <v>0.6</v>
      </c>
      <c r="CD354" t="e">
        <v>#VALUE!</v>
      </c>
      <c r="CE354" t="e">
        <v>#VALUE!</v>
      </c>
      <c r="CF354" t="e">
        <v>#VALUE!</v>
      </c>
      <c r="CG354" t="e">
        <v>#VALUE!</v>
      </c>
      <c r="CH354" t="e">
        <v>#VALUE!</v>
      </c>
      <c r="CI354" t="e">
        <v>#VALUE!</v>
      </c>
      <c r="CJ354" t="e">
        <v>#VALUE!</v>
      </c>
      <c r="CK354" t="e">
        <v>#VALUE!</v>
      </c>
    </row>
    <row r="355" ht="12.5" customHeight="1" s="213">
      <c r="A355" t="inlineStr">
        <is>
          <t>SweFinDen</t>
        </is>
      </c>
      <c r="B355" t="inlineStr">
        <is>
          <t>TWD</t>
        </is>
      </c>
      <c r="C355" t="inlineStr">
        <is>
          <t>TWD</t>
        </is>
      </c>
      <c r="E355" t="n">
        <v>16.6107321567818</v>
      </c>
      <c r="F355">
        <f>E355</f>
        <v/>
      </c>
      <c r="I355">
        <f>F355</f>
        <v/>
      </c>
      <c r="J355">
        <f>I355</f>
        <v/>
      </c>
      <c r="L355">
        <f>J355</f>
        <v/>
      </c>
      <c r="V355">
        <f>L355</f>
        <v/>
      </c>
      <c r="W355" t="n">
        <v>3</v>
      </c>
      <c r="AG355" s="223" t="inlineStr">
        <is>
          <t>GDP</t>
        </is>
      </c>
      <c r="AI355" t="n">
        <v>1</v>
      </c>
      <c r="AJ355" t="n">
        <v>1.01249244177222</v>
      </c>
      <c r="AK355" t="n">
        <v>1.13138941807915</v>
      </c>
      <c r="AL355" t="n">
        <v>1.24760189562937</v>
      </c>
      <c r="AM355" t="n">
        <v>1.34810455246965</v>
      </c>
      <c r="AN355" t="n">
        <v>1.44349661274636</v>
      </c>
      <c r="AO355" t="n">
        <v>1.53893173984805</v>
      </c>
      <c r="AP355" t="n">
        <v>1.6358789910266</v>
      </c>
      <c r="AQ355" t="n">
        <v>1.73602084357765</v>
      </c>
      <c r="AR355" t="n">
        <v>1.84198437382463</v>
      </c>
      <c r="AS355" t="n">
        <v>1.95347672735771</v>
      </c>
      <c r="AT355" t="n">
        <v>2.063527777815</v>
      </c>
      <c r="AU355" t="n">
        <v>2.1690147018656</v>
      </c>
      <c r="AV355" t="n">
        <v>2.26870387423415</v>
      </c>
      <c r="AW355" t="n">
        <v>2.36111858134433</v>
      </c>
      <c r="AX355" t="n">
        <v>2.44611431007233</v>
      </c>
      <c r="AY355" t="n">
        <v>2.52490841600409</v>
      </c>
      <c r="AZ355" t="n">
        <v>2.5973563860158</v>
      </c>
      <c r="BA355" t="n">
        <v>0</v>
      </c>
      <c r="BB355" t="n">
        <v>0</v>
      </c>
      <c r="BC355" t="n">
        <v>0</v>
      </c>
      <c r="BD355" t="n">
        <v>0</v>
      </c>
      <c r="BE355" t="n">
        <v>0</v>
      </c>
      <c r="BF355" t="n">
        <v>0</v>
      </c>
      <c r="BG355" t="n">
        <v>0</v>
      </c>
      <c r="BH355" t="n">
        <v>0</v>
      </c>
      <c r="BJ355" t="inlineStr">
        <is>
          <t>Med2</t>
        </is>
      </c>
      <c r="BL355" t="n">
        <v>0.8</v>
      </c>
      <c r="BM355" t="n">
        <v>0.797560975609756</v>
      </c>
      <c r="BN355" t="n">
        <v>0.785365853658536</v>
      </c>
      <c r="BO355" t="n">
        <v>0.773170731707317</v>
      </c>
      <c r="BP355" t="n">
        <v>0.760975609756097</v>
      </c>
      <c r="BQ355" t="n">
        <v>0.748780487804878</v>
      </c>
      <c r="BR355" t="n">
        <v>0.736585365853658</v>
      </c>
      <c r="BS355" t="n">
        <v>0.724390243902439</v>
      </c>
      <c r="BT355" t="n">
        <v>0.71219512195122</v>
      </c>
      <c r="BU355" t="n">
        <v>0.699999999999999</v>
      </c>
      <c r="BV355" t="n">
        <v>0.687499999999999</v>
      </c>
      <c r="BW355" t="n">
        <v>0.675</v>
      </c>
      <c r="BX355" t="n">
        <v>0.6625</v>
      </c>
      <c r="BY355" t="n">
        <v>0.649999999999999</v>
      </c>
      <c r="BZ355" t="n">
        <v>0.637499999999999</v>
      </c>
      <c r="CA355" t="n">
        <v>0.625</v>
      </c>
      <c r="CB355" t="n">
        <v>0.6125</v>
      </c>
      <c r="CC355" t="n">
        <v>0.6</v>
      </c>
      <c r="CD355" t="e">
        <v>#VALUE!</v>
      </c>
      <c r="CE355" t="e">
        <v>#VALUE!</v>
      </c>
      <c r="CF355" t="e">
        <v>#VALUE!</v>
      </c>
      <c r="CG355" t="e">
        <v>#VALUE!</v>
      </c>
      <c r="CH355" t="e">
        <v>#VALUE!</v>
      </c>
      <c r="CI355" t="e">
        <v>#VALUE!</v>
      </c>
      <c r="CJ355" t="e">
        <v>#VALUE!</v>
      </c>
      <c r="CK355" t="e">
        <v>#VALUE!</v>
      </c>
    </row>
    <row r="356" ht="12.5" customHeight="1" s="213">
      <c r="A356" t="inlineStr">
        <is>
          <t>SweFinDen</t>
        </is>
      </c>
      <c r="B356" t="inlineStr">
        <is>
          <t>TWI</t>
        </is>
      </c>
      <c r="C356" t="inlineStr">
        <is>
          <t>TWI</t>
        </is>
      </c>
      <c r="E356" t="n">
        <v>129.840269242668</v>
      </c>
      <c r="F356">
        <f>E356</f>
        <v/>
      </c>
      <c r="I356">
        <f>F356</f>
        <v/>
      </c>
      <c r="J356">
        <f>I356</f>
        <v/>
      </c>
      <c r="L356">
        <f>J356</f>
        <v/>
      </c>
      <c r="V356">
        <f>L356</f>
        <v/>
      </c>
      <c r="W356" t="n">
        <v>3</v>
      </c>
      <c r="AG356" s="223" t="inlineStr">
        <is>
          <t>GDP</t>
        </is>
      </c>
      <c r="AI356" t="n">
        <v>1</v>
      </c>
      <c r="AJ356" t="n">
        <v>1.01249244177222</v>
      </c>
      <c r="AK356" t="n">
        <v>1.13138941807915</v>
      </c>
      <c r="AL356" t="n">
        <v>1.24760189562937</v>
      </c>
      <c r="AM356" t="n">
        <v>1.34810455246965</v>
      </c>
      <c r="AN356" t="n">
        <v>1.44349661274636</v>
      </c>
      <c r="AO356" t="n">
        <v>1.53893173984805</v>
      </c>
      <c r="AP356" t="n">
        <v>1.6358789910266</v>
      </c>
      <c r="AQ356" t="n">
        <v>1.73602084357765</v>
      </c>
      <c r="AR356" t="n">
        <v>1.84198437382463</v>
      </c>
      <c r="AS356" t="n">
        <v>1.95347672735771</v>
      </c>
      <c r="AT356" t="n">
        <v>2.063527777815</v>
      </c>
      <c r="AU356" t="n">
        <v>2.1690147018656</v>
      </c>
      <c r="AV356" t="n">
        <v>2.26870387423415</v>
      </c>
      <c r="AW356" t="n">
        <v>2.36111858134433</v>
      </c>
      <c r="AX356" t="n">
        <v>2.44611431007233</v>
      </c>
      <c r="AY356" t="n">
        <v>2.52490841600409</v>
      </c>
      <c r="AZ356" t="n">
        <v>2.5973563860158</v>
      </c>
      <c r="BA356" t="n">
        <v>0</v>
      </c>
      <c r="BB356" t="n">
        <v>0</v>
      </c>
      <c r="BC356" t="n">
        <v>0</v>
      </c>
      <c r="BD356" t="n">
        <v>0</v>
      </c>
      <c r="BE356" t="n">
        <v>0</v>
      </c>
      <c r="BF356" t="n">
        <v>0</v>
      </c>
      <c r="BG356" t="n">
        <v>0</v>
      </c>
      <c r="BH356" t="n">
        <v>0</v>
      </c>
      <c r="BJ356" t="inlineStr">
        <is>
          <t>Med2</t>
        </is>
      </c>
      <c r="BL356" t="n">
        <v>0.8</v>
      </c>
      <c r="BM356" t="n">
        <v>0.797560975609756</v>
      </c>
      <c r="BN356" t="n">
        <v>0.785365853658536</v>
      </c>
      <c r="BO356" t="n">
        <v>0.773170731707317</v>
      </c>
      <c r="BP356" t="n">
        <v>0.760975609756097</v>
      </c>
      <c r="BQ356" t="n">
        <v>0.748780487804878</v>
      </c>
      <c r="BR356" t="n">
        <v>0.736585365853658</v>
      </c>
      <c r="BS356" t="n">
        <v>0.724390243902439</v>
      </c>
      <c r="BT356" t="n">
        <v>0.71219512195122</v>
      </c>
      <c r="BU356" t="n">
        <v>0.699999999999999</v>
      </c>
      <c r="BV356" t="n">
        <v>0.687499999999999</v>
      </c>
      <c r="BW356" t="n">
        <v>0.675</v>
      </c>
      <c r="BX356" t="n">
        <v>0.6625</v>
      </c>
      <c r="BY356" t="n">
        <v>0.649999999999999</v>
      </c>
      <c r="BZ356" t="n">
        <v>0.637499999999999</v>
      </c>
      <c r="CA356" t="n">
        <v>0.625</v>
      </c>
      <c r="CB356" t="n">
        <v>0.6125</v>
      </c>
      <c r="CC356" t="n">
        <v>0.6</v>
      </c>
      <c r="CD356" t="e">
        <v>#VALUE!</v>
      </c>
      <c r="CE356" t="e">
        <v>#VALUE!</v>
      </c>
      <c r="CF356" t="e">
        <v>#VALUE!</v>
      </c>
      <c r="CG356" t="e">
        <v>#VALUE!</v>
      </c>
      <c r="CH356" t="e">
        <v>#VALUE!</v>
      </c>
      <c r="CI356" t="e">
        <v>#VALUE!</v>
      </c>
      <c r="CJ356" t="e">
        <v>#VALUE!</v>
      </c>
      <c r="CK356" t="e">
        <v>#VALUE!</v>
      </c>
    </row>
    <row r="357" ht="12.5" customHeight="1" s="213">
      <c r="A357" t="inlineStr">
        <is>
          <t>SweFinDen</t>
        </is>
      </c>
      <c r="B357" t="inlineStr">
        <is>
          <t>Trd_2w</t>
        </is>
      </c>
      <c r="C357" t="inlineStr">
        <is>
          <t>Trd_2w</t>
        </is>
      </c>
      <c r="D357" t="n">
        <v>0.91</v>
      </c>
      <c r="E357" t="n">
        <v>0.912378379960992</v>
      </c>
      <c r="G357" t="n">
        <v>0.924080703445745</v>
      </c>
      <c r="H357" t="n">
        <v>0.9319186346128679</v>
      </c>
      <c r="I357" t="n">
        <v>0.939133175308723</v>
      </c>
      <c r="J357" t="n">
        <v>0.946620810734229</v>
      </c>
      <c r="K357" t="n">
        <v>0.955227364137573</v>
      </c>
      <c r="L357" t="n">
        <v>0.9656587837516331</v>
      </c>
      <c r="M357" t="n">
        <v>0.975024775728481</v>
      </c>
      <c r="N357" t="n">
        <v>0.983602969287297</v>
      </c>
      <c r="O357" t="n">
        <v>0.991378964114832</v>
      </c>
      <c r="P357" t="n">
        <v>0.998978585342731</v>
      </c>
      <c r="Q357" t="n">
        <v>1.00621614553584</v>
      </c>
      <c r="R357" t="n">
        <v>1.01227791847359</v>
      </c>
      <c r="S357" t="n">
        <v>1.01630548943529</v>
      </c>
      <c r="T357" t="n">
        <v>1.01830003536789</v>
      </c>
      <c r="U357" t="n">
        <v>1.01924396084532</v>
      </c>
      <c r="V357" t="n">
        <v>1.01993229195114</v>
      </c>
      <c r="W357" t="n">
        <v>3</v>
      </c>
      <c r="AG357" s="223" t="inlineStr">
        <is>
          <t>POP</t>
        </is>
      </c>
      <c r="AI357" t="n">
        <v>1</v>
      </c>
      <c r="AJ357" t="n">
        <v>1.00327699628325</v>
      </c>
      <c r="AK357" t="n">
        <v>1.0196619776995</v>
      </c>
      <c r="AL357" t="n">
        <v>1.03084791455404</v>
      </c>
      <c r="AM357" t="n">
        <v>1.04133499382809</v>
      </c>
      <c r="AN357" t="n">
        <v>1.05242299982453</v>
      </c>
      <c r="AO357" t="n">
        <v>1.06541333821808</v>
      </c>
      <c r="AP357" t="n">
        <v>1.08147469381852</v>
      </c>
      <c r="AQ357" t="n">
        <v>1.09620281853163</v>
      </c>
      <c r="AR357" t="n">
        <v>1.10998040243245</v>
      </c>
      <c r="AS357" t="n">
        <v>1.12274416569501</v>
      </c>
      <c r="AT357" t="n">
        <v>1.13549472635844</v>
      </c>
      <c r="AU357" t="n">
        <v>1.14791225724948</v>
      </c>
      <c r="AV357" t="n">
        <v>1.15855132855068</v>
      </c>
      <c r="AW357" t="n">
        <v>1.16578199833114</v>
      </c>
      <c r="AX357" t="n">
        <v>1.16944263898258</v>
      </c>
      <c r="AY357" t="n">
        <v>1.17121248213932</v>
      </c>
      <c r="AZ357" t="n">
        <v>1.17253075008098</v>
      </c>
      <c r="BA357" t="n">
        <v>0</v>
      </c>
      <c r="BB357" t="n">
        <v>0</v>
      </c>
      <c r="BC357" t="n">
        <v>0</v>
      </c>
      <c r="BD357" t="n">
        <v>0</v>
      </c>
      <c r="BE357" t="n">
        <v>0</v>
      </c>
      <c r="BF357" t="n">
        <v>0</v>
      </c>
      <c r="BG357" t="n">
        <v>0</v>
      </c>
      <c r="BH357" t="n">
        <v>0</v>
      </c>
      <c r="BJ357" t="inlineStr">
        <is>
          <t>Med2</t>
        </is>
      </c>
      <c r="BL357" t="n">
        <v>0.8</v>
      </c>
      <c r="BM357" t="n">
        <v>0.797560975609756</v>
      </c>
      <c r="BN357" t="n">
        <v>0.785365853658536</v>
      </c>
      <c r="BO357" t="n">
        <v>0.773170731707317</v>
      </c>
      <c r="BP357" t="n">
        <v>0.760975609756097</v>
      </c>
      <c r="BQ357" t="n">
        <v>0.748780487804878</v>
      </c>
      <c r="BR357" t="n">
        <v>0.736585365853658</v>
      </c>
      <c r="BS357" t="n">
        <v>0.724390243902439</v>
      </c>
      <c r="BT357" t="n">
        <v>0.71219512195122</v>
      </c>
      <c r="BU357" t="n">
        <v>0.699999999999999</v>
      </c>
      <c r="BV357" t="n">
        <v>0.687499999999999</v>
      </c>
      <c r="BW357" t="n">
        <v>0.675</v>
      </c>
      <c r="BX357" t="n">
        <v>0.6625</v>
      </c>
      <c r="BY357" t="n">
        <v>0.649999999999999</v>
      </c>
      <c r="BZ357" t="n">
        <v>0.637499999999999</v>
      </c>
      <c r="CA357" t="n">
        <v>0.625</v>
      </c>
      <c r="CB357" t="n">
        <v>0.6125</v>
      </c>
      <c r="CC357" t="n">
        <v>0.6</v>
      </c>
      <c r="CD357" t="e">
        <v>#VALUE!</v>
      </c>
      <c r="CE357" t="e">
        <v>#VALUE!</v>
      </c>
      <c r="CF357" t="e">
        <v>#VALUE!</v>
      </c>
      <c r="CG357" t="e">
        <v>#VALUE!</v>
      </c>
      <c r="CH357" t="e">
        <v>#VALUE!</v>
      </c>
      <c r="CI357" t="e">
        <v>#VALUE!</v>
      </c>
      <c r="CJ357" t="e">
        <v>#VALUE!</v>
      </c>
      <c r="CK357" t="e">
        <v>#VALUE!</v>
      </c>
    </row>
    <row r="358" ht="12.5" customHeight="1" s="213">
      <c r="A358" t="inlineStr">
        <is>
          <t>SweFinDen</t>
        </is>
      </c>
      <c r="B358" t="inlineStr">
        <is>
          <t>Trd_3w</t>
        </is>
      </c>
      <c r="C358" t="inlineStr">
        <is>
          <t>Trd_3w</t>
        </is>
      </c>
      <c r="D358" t="n">
        <v>0.54</v>
      </c>
      <c r="E358" t="n">
        <v>0.5414113463504791</v>
      </c>
      <c r="G358" t="n">
        <v>0.548355582264508</v>
      </c>
      <c r="H358" t="n">
        <v>0.553006662297746</v>
      </c>
      <c r="I358" t="n">
        <v>0.557287818315066</v>
      </c>
      <c r="J358" t="n">
        <v>0.561731030545586</v>
      </c>
      <c r="K358" t="n">
        <v>0.566838216081637</v>
      </c>
      <c r="L358" t="n">
        <v>0.573028289259211</v>
      </c>
      <c r="M358" t="n">
        <v>0.578586130652065</v>
      </c>
      <c r="N358" t="n">
        <v>0.583676487269385</v>
      </c>
      <c r="O358" t="n">
        <v>0.58829081387034</v>
      </c>
      <c r="P358" t="n">
        <v>0.592800479214368</v>
      </c>
      <c r="Q358" t="n">
        <v>0.597095295153135</v>
      </c>
      <c r="R358" t="n">
        <v>0.600692391182128</v>
      </c>
      <c r="S358" t="n">
        <v>0.603082378346216</v>
      </c>
      <c r="T358" t="n">
        <v>0.604265955053473</v>
      </c>
      <c r="U358" t="n">
        <v>0.604826086655463</v>
      </c>
      <c r="V358" t="n">
        <v>0.605234546872107</v>
      </c>
      <c r="W358" t="n">
        <v>3</v>
      </c>
      <c r="AG358" s="223" t="inlineStr">
        <is>
          <t>POP</t>
        </is>
      </c>
      <c r="AI358" t="n">
        <v>1</v>
      </c>
      <c r="AJ358" t="n">
        <v>1.00327699628325</v>
      </c>
      <c r="AK358" t="n">
        <v>1.0196619776995</v>
      </c>
      <c r="AL358" t="n">
        <v>1.03084791455404</v>
      </c>
      <c r="AM358" t="n">
        <v>1.04133499382809</v>
      </c>
      <c r="AN358" t="n">
        <v>1.05242299982453</v>
      </c>
      <c r="AO358" t="n">
        <v>1.06541333821808</v>
      </c>
      <c r="AP358" t="n">
        <v>1.08147469381852</v>
      </c>
      <c r="AQ358" t="n">
        <v>1.09620281853163</v>
      </c>
      <c r="AR358" t="n">
        <v>1.10998040243245</v>
      </c>
      <c r="AS358" t="n">
        <v>1.12274416569501</v>
      </c>
      <c r="AT358" t="n">
        <v>1.13549472635844</v>
      </c>
      <c r="AU358" t="n">
        <v>1.14791225724948</v>
      </c>
      <c r="AV358" t="n">
        <v>1.15855132855068</v>
      </c>
      <c r="AW358" t="n">
        <v>1.16578199833114</v>
      </c>
      <c r="AX358" t="n">
        <v>1.16944263898258</v>
      </c>
      <c r="AY358" t="n">
        <v>1.17121248213932</v>
      </c>
      <c r="AZ358" t="n">
        <v>1.17253075008098</v>
      </c>
      <c r="BA358" t="n">
        <v>0</v>
      </c>
      <c r="BB358" t="n">
        <v>0</v>
      </c>
      <c r="BC358" t="n">
        <v>0</v>
      </c>
      <c r="BD358" t="n">
        <v>0</v>
      </c>
      <c r="BE358" t="n">
        <v>0</v>
      </c>
      <c r="BF358" t="n">
        <v>0</v>
      </c>
      <c r="BG358" t="n">
        <v>0</v>
      </c>
      <c r="BH358" t="n">
        <v>0</v>
      </c>
      <c r="BJ358" t="inlineStr">
        <is>
          <t>Med2</t>
        </is>
      </c>
      <c r="BL358" t="n">
        <v>0.8</v>
      </c>
      <c r="BM358" t="n">
        <v>0.797560975609756</v>
      </c>
      <c r="BN358" t="n">
        <v>0.785365853658536</v>
      </c>
      <c r="BO358" t="n">
        <v>0.773170731707317</v>
      </c>
      <c r="BP358" t="n">
        <v>0.760975609756097</v>
      </c>
      <c r="BQ358" t="n">
        <v>0.748780487804878</v>
      </c>
      <c r="BR358" t="n">
        <v>0.736585365853658</v>
      </c>
      <c r="BS358" t="n">
        <v>0.724390243902439</v>
      </c>
      <c r="BT358" t="n">
        <v>0.71219512195122</v>
      </c>
      <c r="BU358" t="n">
        <v>0.699999999999999</v>
      </c>
      <c r="BV358" t="n">
        <v>0.687499999999999</v>
      </c>
      <c r="BW358" t="n">
        <v>0.675</v>
      </c>
      <c r="BX358" t="n">
        <v>0.6625</v>
      </c>
      <c r="BY358" t="n">
        <v>0.649999999999999</v>
      </c>
      <c r="BZ358" t="n">
        <v>0.637499999999999</v>
      </c>
      <c r="CA358" t="n">
        <v>0.625</v>
      </c>
      <c r="CB358" t="n">
        <v>0.6125</v>
      </c>
      <c r="CC358" t="n">
        <v>0.6</v>
      </c>
      <c r="CD358" t="e">
        <v>#VALUE!</v>
      </c>
      <c r="CE358" t="e">
        <v>#VALUE!</v>
      </c>
      <c r="CF358" t="e">
        <v>#VALUE!</v>
      </c>
      <c r="CG358" t="e">
        <v>#VALUE!</v>
      </c>
      <c r="CH358" t="e">
        <v>#VALUE!</v>
      </c>
      <c r="CI358" t="e">
        <v>#VALUE!</v>
      </c>
      <c r="CJ358" t="e">
        <v>#VALUE!</v>
      </c>
      <c r="CK358" t="e">
        <v>#VALUE!</v>
      </c>
    </row>
    <row r="359" ht="12.5" customHeight="1" s="213">
      <c r="A359" t="inlineStr">
        <is>
          <t>SweFinDen</t>
        </is>
      </c>
      <c r="B359" t="inlineStr">
        <is>
          <t>Trd_bus</t>
        </is>
      </c>
      <c r="C359" t="inlineStr">
        <is>
          <t>Trd_bus</t>
        </is>
      </c>
      <c r="D359" t="n">
        <v>1.295</v>
      </c>
      <c r="E359" t="n">
        <v>1.2983846176368</v>
      </c>
      <c r="G359" t="n">
        <v>1.31503792413433</v>
      </c>
      <c r="H359" t="n">
        <v>1.32619190310293</v>
      </c>
      <c r="I359" t="n">
        <v>1.3364587494778</v>
      </c>
      <c r="J359" t="n">
        <v>1.34711423066025</v>
      </c>
      <c r="K359" t="n">
        <v>1.35936201819578</v>
      </c>
      <c r="L359" t="n">
        <v>1.37420673072348</v>
      </c>
      <c r="M359" t="n">
        <v>1.38753525776745</v>
      </c>
      <c r="N359" t="n">
        <v>1.39974268706269</v>
      </c>
      <c r="O359" t="n">
        <v>1.41080852585572</v>
      </c>
      <c r="P359" t="n">
        <v>1.42162337144927</v>
      </c>
      <c r="Q359" t="n">
        <v>1.43192297633946</v>
      </c>
      <c r="R359" t="n">
        <v>1.4405493455201</v>
      </c>
      <c r="S359" t="n">
        <v>1.44628088881176</v>
      </c>
      <c r="T359" t="n">
        <v>1.44911928110046</v>
      </c>
      <c r="U359" t="n">
        <v>1.45046255966449</v>
      </c>
      <c r="V359" t="n">
        <v>1.45144210777663</v>
      </c>
      <c r="W359" t="n">
        <v>3</v>
      </c>
      <c r="AG359" s="223" t="inlineStr">
        <is>
          <t>POP</t>
        </is>
      </c>
      <c r="AI359" t="n">
        <v>1</v>
      </c>
      <c r="AJ359" t="n">
        <v>1.00327699628325</v>
      </c>
      <c r="AK359" t="n">
        <v>1.0196619776995</v>
      </c>
      <c r="AL359" t="n">
        <v>1.03084791455404</v>
      </c>
      <c r="AM359" t="n">
        <v>1.04133499382809</v>
      </c>
      <c r="AN359" t="n">
        <v>1.05242299982453</v>
      </c>
      <c r="AO359" t="n">
        <v>1.06541333821808</v>
      </c>
      <c r="AP359" t="n">
        <v>1.08147469381852</v>
      </c>
      <c r="AQ359" t="n">
        <v>1.09620281853163</v>
      </c>
      <c r="AR359" t="n">
        <v>1.10998040243245</v>
      </c>
      <c r="AS359" t="n">
        <v>1.12274416569501</v>
      </c>
      <c r="AT359" t="n">
        <v>1.13549472635844</v>
      </c>
      <c r="AU359" t="n">
        <v>1.14791225724948</v>
      </c>
      <c r="AV359" t="n">
        <v>1.15855132855068</v>
      </c>
      <c r="AW359" t="n">
        <v>1.16578199833114</v>
      </c>
      <c r="AX359" t="n">
        <v>1.16944263898258</v>
      </c>
      <c r="AY359" t="n">
        <v>1.17121248213932</v>
      </c>
      <c r="AZ359" t="n">
        <v>1.17253075008098</v>
      </c>
      <c r="BA359" t="n">
        <v>0</v>
      </c>
      <c r="BB359" t="n">
        <v>0</v>
      </c>
      <c r="BC359" t="n">
        <v>0</v>
      </c>
      <c r="BD359" t="n">
        <v>0</v>
      </c>
      <c r="BE359" t="n">
        <v>0</v>
      </c>
      <c r="BF359" t="n">
        <v>0</v>
      </c>
      <c r="BG359" t="n">
        <v>0</v>
      </c>
      <c r="BH359" t="n">
        <v>0</v>
      </c>
      <c r="BJ359" t="inlineStr">
        <is>
          <t>Med2</t>
        </is>
      </c>
      <c r="BL359" t="n">
        <v>0.8</v>
      </c>
      <c r="BM359" t="n">
        <v>0.797560975609756</v>
      </c>
      <c r="BN359" t="n">
        <v>0.785365853658536</v>
      </c>
      <c r="BO359" t="n">
        <v>0.773170731707317</v>
      </c>
      <c r="BP359" t="n">
        <v>0.760975609756097</v>
      </c>
      <c r="BQ359" t="n">
        <v>0.748780487804878</v>
      </c>
      <c r="BR359" t="n">
        <v>0.736585365853658</v>
      </c>
      <c r="BS359" t="n">
        <v>0.724390243902439</v>
      </c>
      <c r="BT359" t="n">
        <v>0.71219512195122</v>
      </c>
      <c r="BU359" t="n">
        <v>0.699999999999999</v>
      </c>
      <c r="BV359" t="n">
        <v>0.687499999999999</v>
      </c>
      <c r="BW359" t="n">
        <v>0.675</v>
      </c>
      <c r="BX359" t="n">
        <v>0.6625</v>
      </c>
      <c r="BY359" t="n">
        <v>0.649999999999999</v>
      </c>
      <c r="BZ359" t="n">
        <v>0.637499999999999</v>
      </c>
      <c r="CA359" t="n">
        <v>0.625</v>
      </c>
      <c r="CB359" t="n">
        <v>0.6125</v>
      </c>
      <c r="CC359" t="n">
        <v>0.6</v>
      </c>
      <c r="CD359" t="e">
        <v>#VALUE!</v>
      </c>
      <c r="CE359" t="e">
        <v>#VALUE!</v>
      </c>
      <c r="CF359" t="e">
        <v>#VALUE!</v>
      </c>
      <c r="CG359" t="e">
        <v>#VALUE!</v>
      </c>
      <c r="CH359" t="e">
        <v>#VALUE!</v>
      </c>
      <c r="CI359" t="e">
        <v>#VALUE!</v>
      </c>
      <c r="CJ359" t="e">
        <v>#VALUE!</v>
      </c>
      <c r="CK359" t="e">
        <v>#VALUE!</v>
      </c>
    </row>
    <row r="360" ht="12.5" customHeight="1" s="213">
      <c r="A360" t="inlineStr">
        <is>
          <t>SweFinDen</t>
        </is>
      </c>
      <c r="B360" t="inlineStr">
        <is>
          <t>Trd_car</t>
        </is>
      </c>
      <c r="C360" t="inlineStr">
        <is>
          <t>Trd_car</t>
        </is>
      </c>
      <c r="D360" t="n">
        <v>129.828</v>
      </c>
      <c r="E360" t="n">
        <v>130.779103418656</v>
      </c>
      <c r="G360" t="n">
        <v>140.996019415507</v>
      </c>
      <c r="H360" t="n">
        <v>150.889127209822</v>
      </c>
      <c r="I360" t="n">
        <v>158.889369906315</v>
      </c>
      <c r="J360" t="n">
        <v>165.965772660955</v>
      </c>
      <c r="K360" t="n">
        <v>172.458970125086</v>
      </c>
      <c r="L360" t="n">
        <v>178.35674327232</v>
      </c>
      <c r="M360" t="n">
        <v>184.321557918893</v>
      </c>
      <c r="N360" t="n">
        <v>190.497740827703</v>
      </c>
      <c r="O360" t="n">
        <v>196.845972436944</v>
      </c>
      <c r="P360" t="n">
        <v>202.755320097654</v>
      </c>
      <c r="Q360" t="n">
        <v>208.094650392729</v>
      </c>
      <c r="R360" t="n">
        <v>213.012142310774</v>
      </c>
      <c r="S360" t="n">
        <v>217.667136650226</v>
      </c>
      <c r="T360" t="n">
        <v>222.123211533299</v>
      </c>
      <c r="U360" t="n">
        <v>226.293450990218</v>
      </c>
      <c r="V360" t="n">
        <v>230.032283184352</v>
      </c>
      <c r="W360" t="n">
        <v>3</v>
      </c>
      <c r="AG360" s="223" t="inlineStr">
        <is>
          <t>GDPPCAP</t>
        </is>
      </c>
      <c r="AI360" t="n">
        <v>1</v>
      </c>
      <c r="AJ360" t="n">
        <v>1.00918534514706</v>
      </c>
      <c r="AK360" t="n">
        <v>1.1095730181405</v>
      </c>
      <c r="AL360" t="n">
        <v>1.21026766219836</v>
      </c>
      <c r="AM360" t="n">
        <v>1.29459257631768</v>
      </c>
      <c r="AN360" t="n">
        <v>1.37159356360231</v>
      </c>
      <c r="AO360" t="n">
        <v>1.44444572321756</v>
      </c>
      <c r="AP360" t="n">
        <v>1.51263732787917</v>
      </c>
      <c r="AQ360" t="n">
        <v>1.58366756062812</v>
      </c>
      <c r="AR360" t="n">
        <v>1.65947468062322</v>
      </c>
      <c r="AS360" t="n">
        <v>1.73991260613539</v>
      </c>
      <c r="AT360" t="n">
        <v>1.81729402164005</v>
      </c>
      <c r="AU360" t="n">
        <v>1.88953004741214</v>
      </c>
      <c r="AV360" t="n">
        <v>1.95822474009178</v>
      </c>
      <c r="AW360" t="n">
        <v>2.02535172504325</v>
      </c>
      <c r="AX360" t="n">
        <v>2.09169242554766</v>
      </c>
      <c r="AY360" t="n">
        <v>2.15580729757264</v>
      </c>
      <c r="AZ360" t="n">
        <v>2.21517123183031</v>
      </c>
      <c r="BA360" t="n">
        <v>0</v>
      </c>
      <c r="BB360" t="n">
        <v>0</v>
      </c>
      <c r="BC360" t="n">
        <v>0</v>
      </c>
      <c r="BD360" t="n">
        <v>0</v>
      </c>
      <c r="BE360" t="n">
        <v>0</v>
      </c>
      <c r="BF360" t="n">
        <v>0</v>
      </c>
      <c r="BG360" t="n">
        <v>0</v>
      </c>
      <c r="BH360" t="n">
        <v>0</v>
      </c>
      <c r="BJ360" t="inlineStr">
        <is>
          <t>Med2</t>
        </is>
      </c>
      <c r="BL360" t="n">
        <v>0.8</v>
      </c>
      <c r="BM360" t="n">
        <v>0.797560975609756</v>
      </c>
      <c r="BN360" t="n">
        <v>0.785365853658536</v>
      </c>
      <c r="BO360" t="n">
        <v>0.773170731707317</v>
      </c>
      <c r="BP360" t="n">
        <v>0.760975609756097</v>
      </c>
      <c r="BQ360" t="n">
        <v>0.748780487804878</v>
      </c>
      <c r="BR360" t="n">
        <v>0.736585365853658</v>
      </c>
      <c r="BS360" t="n">
        <v>0.724390243902439</v>
      </c>
      <c r="BT360" t="n">
        <v>0.71219512195122</v>
      </c>
      <c r="BU360" t="n">
        <v>0.699999999999999</v>
      </c>
      <c r="BV360" t="n">
        <v>0.687499999999999</v>
      </c>
      <c r="BW360" t="n">
        <v>0.675</v>
      </c>
      <c r="BX360" t="n">
        <v>0.6625</v>
      </c>
      <c r="BY360" t="n">
        <v>0.649999999999999</v>
      </c>
      <c r="BZ360" t="n">
        <v>0.637499999999999</v>
      </c>
      <c r="CA360" t="n">
        <v>0.625</v>
      </c>
      <c r="CB360" t="n">
        <v>0.6125</v>
      </c>
      <c r="CC360" t="n">
        <v>0.6</v>
      </c>
      <c r="CD360" t="e">
        <v>#VALUE!</v>
      </c>
      <c r="CE360" t="e">
        <v>#VALUE!</v>
      </c>
      <c r="CF360" t="e">
        <v>#VALUE!</v>
      </c>
      <c r="CG360" t="e">
        <v>#VALUE!</v>
      </c>
      <c r="CH360" t="e">
        <v>#VALUE!</v>
      </c>
      <c r="CI360" t="e">
        <v>#VALUE!</v>
      </c>
      <c r="CJ360" t="e">
        <v>#VALUE!</v>
      </c>
      <c r="CK360" t="e">
        <v>#VALUE!</v>
      </c>
    </row>
    <row r="361" ht="12.5" customHeight="1" s="213">
      <c r="A361" t="inlineStr">
        <is>
          <t>SweFinDen</t>
        </is>
      </c>
      <c r="B361" t="inlineStr">
        <is>
          <t>Trd_hdt</t>
        </is>
      </c>
      <c r="C361" t="inlineStr">
        <is>
          <t>Trd_hdt</t>
        </is>
      </c>
      <c r="D361" t="n">
        <v>35.2</v>
      </c>
      <c r="E361" t="n">
        <v>35.5507146384755</v>
      </c>
      <c r="G361" t="n">
        <v>38.829397197982</v>
      </c>
      <c r="H361" t="n">
        <v>41.9131297239351</v>
      </c>
      <c r="I361" t="n">
        <v>44.4824742643479</v>
      </c>
      <c r="J361" t="n">
        <v>46.8393251617387</v>
      </c>
      <c r="K361" t="n">
        <v>49.1203299802284</v>
      </c>
      <c r="L361" t="n">
        <v>51.3618881370857</v>
      </c>
      <c r="M361" t="n">
        <v>53.6011476180372</v>
      </c>
      <c r="N361" t="n">
        <v>55.8913486795833</v>
      </c>
      <c r="O361" t="n">
        <v>58.2171704619482</v>
      </c>
      <c r="P361" t="n">
        <v>60.4309828688878</v>
      </c>
      <c r="Q361" t="n">
        <v>62.4775870153316</v>
      </c>
      <c r="R361" t="n">
        <v>64.34406597845739</v>
      </c>
      <c r="S361" t="n">
        <v>66.0149717874951</v>
      </c>
      <c r="T361" t="n">
        <v>67.5002293149998</v>
      </c>
      <c r="U361" t="n">
        <v>68.8319965471208</v>
      </c>
      <c r="V361" t="n">
        <v>70.0170070742553</v>
      </c>
      <c r="W361" t="n">
        <v>3</v>
      </c>
      <c r="AG361" s="223" t="inlineStr">
        <is>
          <t>GDP</t>
        </is>
      </c>
      <c r="AI361" t="n">
        <v>1</v>
      </c>
      <c r="AJ361" t="n">
        <v>1.01249244177222</v>
      </c>
      <c r="AK361" t="n">
        <v>1.13138941807915</v>
      </c>
      <c r="AL361" t="n">
        <v>1.24760189562937</v>
      </c>
      <c r="AM361" t="n">
        <v>1.34810455246965</v>
      </c>
      <c r="AN361" t="n">
        <v>1.44349661274636</v>
      </c>
      <c r="AO361" t="n">
        <v>1.53893173984805</v>
      </c>
      <c r="AP361" t="n">
        <v>1.6358789910266</v>
      </c>
      <c r="AQ361" t="n">
        <v>1.73602084357765</v>
      </c>
      <c r="AR361" t="n">
        <v>1.84198437382463</v>
      </c>
      <c r="AS361" t="n">
        <v>1.95347672735771</v>
      </c>
      <c r="AT361" t="n">
        <v>2.063527777815</v>
      </c>
      <c r="AU361" t="n">
        <v>2.1690147018656</v>
      </c>
      <c r="AV361" t="n">
        <v>2.26870387423415</v>
      </c>
      <c r="AW361" t="n">
        <v>2.36111858134433</v>
      </c>
      <c r="AX361" t="n">
        <v>2.44611431007233</v>
      </c>
      <c r="AY361" t="n">
        <v>2.52490841600409</v>
      </c>
      <c r="AZ361" t="n">
        <v>2.5973563860158</v>
      </c>
      <c r="BA361" t="n">
        <v>0</v>
      </c>
      <c r="BB361" t="n">
        <v>0</v>
      </c>
      <c r="BC361" t="n">
        <v>0</v>
      </c>
      <c r="BD361" t="n">
        <v>0</v>
      </c>
      <c r="BE361" t="n">
        <v>0</v>
      </c>
      <c r="BF361" t="n">
        <v>0</v>
      </c>
      <c r="BG361" t="n">
        <v>0</v>
      </c>
      <c r="BH361" t="n">
        <v>0</v>
      </c>
      <c r="BJ361" t="inlineStr">
        <is>
          <t>Med2</t>
        </is>
      </c>
      <c r="BL361" t="n">
        <v>0.8</v>
      </c>
      <c r="BM361" t="n">
        <v>0.797560975609756</v>
      </c>
      <c r="BN361" t="n">
        <v>0.785365853658536</v>
      </c>
      <c r="BO361" t="n">
        <v>0.773170731707317</v>
      </c>
      <c r="BP361" t="n">
        <v>0.760975609756097</v>
      </c>
      <c r="BQ361" t="n">
        <v>0.748780487804878</v>
      </c>
      <c r="BR361" t="n">
        <v>0.736585365853658</v>
      </c>
      <c r="BS361" t="n">
        <v>0.724390243902439</v>
      </c>
      <c r="BT361" t="n">
        <v>0.71219512195122</v>
      </c>
      <c r="BU361" t="n">
        <v>0.699999999999999</v>
      </c>
      <c r="BV361" t="n">
        <v>0.687499999999999</v>
      </c>
      <c r="BW361" t="n">
        <v>0.675</v>
      </c>
      <c r="BX361" t="n">
        <v>0.6625</v>
      </c>
      <c r="BY361" t="n">
        <v>0.649999999999999</v>
      </c>
      <c r="BZ361" t="n">
        <v>0.637499999999999</v>
      </c>
      <c r="CA361" t="n">
        <v>0.625</v>
      </c>
      <c r="CB361" t="n">
        <v>0.6125</v>
      </c>
      <c r="CC361" t="n">
        <v>0.6</v>
      </c>
      <c r="CD361" t="e">
        <v>#VALUE!</v>
      </c>
      <c r="CE361" t="e">
        <v>#VALUE!</v>
      </c>
      <c r="CF361" t="e">
        <v>#VALUE!</v>
      </c>
      <c r="CG361" t="e">
        <v>#VALUE!</v>
      </c>
      <c r="CH361" t="e">
        <v>#VALUE!</v>
      </c>
      <c r="CI361" t="e">
        <v>#VALUE!</v>
      </c>
      <c r="CJ361" t="e">
        <v>#VALUE!</v>
      </c>
      <c r="CK361" t="e">
        <v>#VALUE!</v>
      </c>
    </row>
    <row r="362" ht="12.5" customHeight="1" s="213">
      <c r="A362" t="inlineStr">
        <is>
          <t>SweFinDen</t>
        </is>
      </c>
      <c r="B362" t="inlineStr">
        <is>
          <t>Trd_lcv</t>
        </is>
      </c>
      <c r="C362" t="inlineStr">
        <is>
          <t>Trd_lcv</t>
        </is>
      </c>
      <c r="D362" t="n">
        <v>19.96</v>
      </c>
      <c r="E362" t="n">
        <v>20.1588711415901</v>
      </c>
      <c r="G362" t="n">
        <v>22.0180331838557</v>
      </c>
      <c r="H362" t="n">
        <v>23.7666496957314</v>
      </c>
      <c r="I362" t="n">
        <v>25.2235848385336</v>
      </c>
      <c r="J362" t="n">
        <v>26.5600264269405</v>
      </c>
      <c r="K362" t="n">
        <v>27.8534598410613</v>
      </c>
      <c r="L362" t="n">
        <v>29.1245252050066</v>
      </c>
      <c r="M362" t="n">
        <v>30.3942871152279</v>
      </c>
      <c r="N362" t="n">
        <v>31.6929352171728</v>
      </c>
      <c r="O362" t="n">
        <v>33.0117818869456</v>
      </c>
      <c r="P362" t="n">
        <v>34.267114149517</v>
      </c>
      <c r="Q362" t="n">
        <v>35.4276317280119</v>
      </c>
      <c r="R362" t="n">
        <v>36.4860101400571</v>
      </c>
      <c r="S362" t="n">
        <v>37.4334896840455</v>
      </c>
      <c r="T362" t="n">
        <v>38.2756982138464</v>
      </c>
      <c r="U362" t="n">
        <v>39.0308707693333</v>
      </c>
      <c r="V362" t="n">
        <v>39.7028256023334</v>
      </c>
      <c r="W362" t="n">
        <v>3</v>
      </c>
      <c r="AG362" s="223" t="inlineStr">
        <is>
          <t>GDP</t>
        </is>
      </c>
      <c r="AI362" t="n">
        <v>1</v>
      </c>
      <c r="AJ362" t="n">
        <v>1.01249244177222</v>
      </c>
      <c r="AK362" t="n">
        <v>1.13138941807915</v>
      </c>
      <c r="AL362" t="n">
        <v>1.24760189562937</v>
      </c>
      <c r="AM362" t="n">
        <v>1.34810455246965</v>
      </c>
      <c r="AN362" t="n">
        <v>1.44349661274636</v>
      </c>
      <c r="AO362" t="n">
        <v>1.53893173984805</v>
      </c>
      <c r="AP362" t="n">
        <v>1.6358789910266</v>
      </c>
      <c r="AQ362" t="n">
        <v>1.73602084357765</v>
      </c>
      <c r="AR362" t="n">
        <v>1.84198437382463</v>
      </c>
      <c r="AS362" t="n">
        <v>1.95347672735771</v>
      </c>
      <c r="AT362" t="n">
        <v>2.063527777815</v>
      </c>
      <c r="AU362" t="n">
        <v>2.1690147018656</v>
      </c>
      <c r="AV362" t="n">
        <v>2.26870387423415</v>
      </c>
      <c r="AW362" t="n">
        <v>2.36111858134433</v>
      </c>
      <c r="AX362" t="n">
        <v>2.44611431007233</v>
      </c>
      <c r="AY362" t="n">
        <v>2.52490841600409</v>
      </c>
      <c r="AZ362" t="n">
        <v>2.5973563860158</v>
      </c>
      <c r="BA362" t="n">
        <v>0</v>
      </c>
      <c r="BB362" t="n">
        <v>0</v>
      </c>
      <c r="BC362" t="n">
        <v>0</v>
      </c>
      <c r="BD362" t="n">
        <v>0</v>
      </c>
      <c r="BE362" t="n">
        <v>0</v>
      </c>
      <c r="BF362" t="n">
        <v>0</v>
      </c>
      <c r="BG362" t="n">
        <v>0</v>
      </c>
      <c r="BH362" t="n">
        <v>0</v>
      </c>
      <c r="BJ362" t="inlineStr">
        <is>
          <t>Med2</t>
        </is>
      </c>
      <c r="BL362" t="n">
        <v>0.8</v>
      </c>
      <c r="BM362" t="n">
        <v>0.797560975609756</v>
      </c>
      <c r="BN362" t="n">
        <v>0.785365853658536</v>
      </c>
      <c r="BO362" t="n">
        <v>0.773170731707317</v>
      </c>
      <c r="BP362" t="n">
        <v>0.760975609756097</v>
      </c>
      <c r="BQ362" t="n">
        <v>0.748780487804878</v>
      </c>
      <c r="BR362" t="n">
        <v>0.736585365853658</v>
      </c>
      <c r="BS362" t="n">
        <v>0.724390243902439</v>
      </c>
      <c r="BT362" t="n">
        <v>0.71219512195122</v>
      </c>
      <c r="BU362" t="n">
        <v>0.699999999999999</v>
      </c>
      <c r="BV362" t="n">
        <v>0.687499999999999</v>
      </c>
      <c r="BW362" t="n">
        <v>0.675</v>
      </c>
      <c r="BX362" t="n">
        <v>0.6625</v>
      </c>
      <c r="BY362" t="n">
        <v>0.649999999999999</v>
      </c>
      <c r="BZ362" t="n">
        <v>0.637499999999999</v>
      </c>
      <c r="CA362" t="n">
        <v>0.625</v>
      </c>
      <c r="CB362" t="n">
        <v>0.6125</v>
      </c>
      <c r="CC362" t="n">
        <v>0.6</v>
      </c>
      <c r="CD362" t="e">
        <v>#VALUE!</v>
      </c>
      <c r="CE362" t="e">
        <v>#VALUE!</v>
      </c>
      <c r="CF362" t="e">
        <v>#VALUE!</v>
      </c>
      <c r="CG362" t="e">
        <v>#VALUE!</v>
      </c>
      <c r="CH362" t="e">
        <v>#VALUE!</v>
      </c>
      <c r="CI362" t="e">
        <v>#VALUE!</v>
      </c>
      <c r="CJ362" t="e">
        <v>#VALUE!</v>
      </c>
      <c r="CK362" t="e">
        <v>#VALUE!</v>
      </c>
    </row>
    <row r="363" ht="12.5" customHeight="1" s="213">
      <c r="A363" t="inlineStr">
        <is>
          <t>Switzerland</t>
        </is>
      </c>
      <c r="B363" t="inlineStr">
        <is>
          <t>TAD</t>
        </is>
      </c>
      <c r="C363" t="inlineStr">
        <is>
          <t>TAD</t>
        </is>
      </c>
      <c r="E363" t="n">
        <v>2.7922333831801</v>
      </c>
      <c r="F363">
        <f>E363</f>
        <v/>
      </c>
      <c r="I363">
        <f>F363</f>
        <v/>
      </c>
      <c r="J363">
        <f>I363</f>
        <v/>
      </c>
      <c r="L363">
        <f>J363</f>
        <v/>
      </c>
      <c r="V363">
        <f>L363</f>
        <v/>
      </c>
      <c r="W363" t="n">
        <v>3</v>
      </c>
      <c r="AG363" s="223" t="inlineStr">
        <is>
          <t>GDP</t>
        </is>
      </c>
      <c r="AI363" t="n">
        <v>1</v>
      </c>
      <c r="AJ363" t="n">
        <v>1.01014620275503</v>
      </c>
      <c r="AK363" t="n">
        <v>1.12738821387204</v>
      </c>
      <c r="AL363" t="n">
        <v>1.19071587294486</v>
      </c>
      <c r="AM363" t="n">
        <v>1.25597341974685</v>
      </c>
      <c r="AN363" t="n">
        <v>1.31575732913481</v>
      </c>
      <c r="AO363" t="n">
        <v>1.37456830524255</v>
      </c>
      <c r="AP363" t="n">
        <v>1.43391013363274</v>
      </c>
      <c r="AQ363" t="n">
        <v>1.4945267176711</v>
      </c>
      <c r="AR363" t="n">
        <v>1.55938656911768</v>
      </c>
      <c r="AS363" t="n">
        <v>1.62911108696532</v>
      </c>
      <c r="AT363" t="n">
        <v>1.70037134803812</v>
      </c>
      <c r="AU363" t="n">
        <v>1.77032134494888</v>
      </c>
      <c r="AV363" t="n">
        <v>1.83536406524192</v>
      </c>
      <c r="AW363" t="n">
        <v>1.89354476522836</v>
      </c>
      <c r="AX363" t="n">
        <v>1.94497884757828</v>
      </c>
      <c r="AY363" t="n">
        <v>1.99044749959698</v>
      </c>
      <c r="AZ363" t="n">
        <v>2.02968440743037</v>
      </c>
      <c r="BA363" t="n">
        <v>0</v>
      </c>
      <c r="BB363" t="n">
        <v>0</v>
      </c>
      <c r="BC363" t="n">
        <v>0</v>
      </c>
      <c r="BD363" t="n">
        <v>0</v>
      </c>
      <c r="BE363" t="n">
        <v>0</v>
      </c>
      <c r="BF363" t="n">
        <v>0</v>
      </c>
      <c r="BG363" t="n">
        <v>0</v>
      </c>
      <c r="BH363" t="n">
        <v>0</v>
      </c>
      <c r="BJ363" t="inlineStr">
        <is>
          <t>Med2</t>
        </is>
      </c>
      <c r="BL363" t="n">
        <v>0.8</v>
      </c>
      <c r="BM363" t="n">
        <v>0.797560975609756</v>
      </c>
      <c r="BN363" t="n">
        <v>0.785365853658536</v>
      </c>
      <c r="BO363" t="n">
        <v>0.773170731707317</v>
      </c>
      <c r="BP363" t="n">
        <v>0.760975609756097</v>
      </c>
      <c r="BQ363" t="n">
        <v>0.748780487804878</v>
      </c>
      <c r="BR363" t="n">
        <v>0.736585365853658</v>
      </c>
      <c r="BS363" t="n">
        <v>0.724390243902439</v>
      </c>
      <c r="BT363" t="n">
        <v>0.71219512195122</v>
      </c>
      <c r="BU363" t="n">
        <v>0.699999999999999</v>
      </c>
      <c r="BV363" t="n">
        <v>0.687499999999999</v>
      </c>
      <c r="BW363" t="n">
        <v>0.675</v>
      </c>
      <c r="BX363" t="n">
        <v>0.6625</v>
      </c>
      <c r="BY363" t="n">
        <v>0.649999999999999</v>
      </c>
      <c r="BZ363" t="n">
        <v>0.637499999999999</v>
      </c>
      <c r="CA363" t="n">
        <v>0.625</v>
      </c>
      <c r="CB363" t="n">
        <v>0.6125</v>
      </c>
      <c r="CC363" t="n">
        <v>0.6</v>
      </c>
      <c r="CD363" t="e">
        <v>#VALUE!</v>
      </c>
      <c r="CE363" t="e">
        <v>#VALUE!</v>
      </c>
      <c r="CF363" t="e">
        <v>#VALUE!</v>
      </c>
      <c r="CG363" t="e">
        <v>#VALUE!</v>
      </c>
      <c r="CH363" t="e">
        <v>#VALUE!</v>
      </c>
      <c r="CI363" t="e">
        <v>#VALUE!</v>
      </c>
      <c r="CJ363" t="e">
        <v>#VALUE!</v>
      </c>
      <c r="CK363" t="e">
        <v>#VALUE!</v>
      </c>
    </row>
    <row r="364" ht="12.5" customHeight="1" s="213">
      <c r="A364" t="inlineStr">
        <is>
          <t>Switzerland</t>
        </is>
      </c>
      <c r="B364" t="inlineStr">
        <is>
          <t>TAI</t>
        </is>
      </c>
      <c r="C364" t="inlineStr">
        <is>
          <t>TAI</t>
        </is>
      </c>
      <c r="E364" t="n">
        <v>78.58097540840519</v>
      </c>
      <c r="F364">
        <f>E364</f>
        <v/>
      </c>
      <c r="I364">
        <f>F364</f>
        <v/>
      </c>
      <c r="J364">
        <f>I364</f>
        <v/>
      </c>
      <c r="L364">
        <f>J364</f>
        <v/>
      </c>
      <c r="V364">
        <f>L364</f>
        <v/>
      </c>
      <c r="W364" t="n">
        <v>3</v>
      </c>
      <c r="AG364" s="223" t="inlineStr">
        <is>
          <t>GDP</t>
        </is>
      </c>
      <c r="AI364" t="n">
        <v>1</v>
      </c>
      <c r="AJ364" t="n">
        <v>1.01014620275503</v>
      </c>
      <c r="AK364" t="n">
        <v>1.12738821387204</v>
      </c>
      <c r="AL364" t="n">
        <v>1.19071587294486</v>
      </c>
      <c r="AM364" t="n">
        <v>1.25597341974685</v>
      </c>
      <c r="AN364" t="n">
        <v>1.31575732913481</v>
      </c>
      <c r="AO364" t="n">
        <v>1.37456830524255</v>
      </c>
      <c r="AP364" t="n">
        <v>1.43391013363274</v>
      </c>
      <c r="AQ364" t="n">
        <v>1.4945267176711</v>
      </c>
      <c r="AR364" t="n">
        <v>1.55938656911768</v>
      </c>
      <c r="AS364" t="n">
        <v>1.62911108696532</v>
      </c>
      <c r="AT364" t="n">
        <v>1.70037134803812</v>
      </c>
      <c r="AU364" t="n">
        <v>1.77032134494888</v>
      </c>
      <c r="AV364" t="n">
        <v>1.83536406524192</v>
      </c>
      <c r="AW364" t="n">
        <v>1.89354476522836</v>
      </c>
      <c r="AX364" t="n">
        <v>1.94497884757828</v>
      </c>
      <c r="AY364" t="n">
        <v>1.99044749959698</v>
      </c>
      <c r="AZ364" t="n">
        <v>2.02968440743037</v>
      </c>
      <c r="BA364" t="n">
        <v>0</v>
      </c>
      <c r="BB364" t="n">
        <v>0</v>
      </c>
      <c r="BC364" t="n">
        <v>0</v>
      </c>
      <c r="BD364" t="n">
        <v>0</v>
      </c>
      <c r="BE364" t="n">
        <v>0</v>
      </c>
      <c r="BF364" t="n">
        <v>0</v>
      </c>
      <c r="BG364" t="n">
        <v>0</v>
      </c>
      <c r="BH364" t="n">
        <v>0</v>
      </c>
      <c r="BJ364" t="inlineStr">
        <is>
          <t>Med2</t>
        </is>
      </c>
      <c r="BL364" t="n">
        <v>0.8</v>
      </c>
      <c r="BM364" t="n">
        <v>0.797560975609756</v>
      </c>
      <c r="BN364" t="n">
        <v>0.785365853658536</v>
      </c>
      <c r="BO364" t="n">
        <v>0.773170731707317</v>
      </c>
      <c r="BP364" t="n">
        <v>0.760975609756097</v>
      </c>
      <c r="BQ364" t="n">
        <v>0.748780487804878</v>
      </c>
      <c r="BR364" t="n">
        <v>0.736585365853658</v>
      </c>
      <c r="BS364" t="n">
        <v>0.724390243902439</v>
      </c>
      <c r="BT364" t="n">
        <v>0.71219512195122</v>
      </c>
      <c r="BU364" t="n">
        <v>0.699999999999999</v>
      </c>
      <c r="BV364" t="n">
        <v>0.687499999999999</v>
      </c>
      <c r="BW364" t="n">
        <v>0.675</v>
      </c>
      <c r="BX364" t="n">
        <v>0.6625</v>
      </c>
      <c r="BY364" t="n">
        <v>0.649999999999999</v>
      </c>
      <c r="BZ364" t="n">
        <v>0.637499999999999</v>
      </c>
      <c r="CA364" t="n">
        <v>0.625</v>
      </c>
      <c r="CB364" t="n">
        <v>0.6125</v>
      </c>
      <c r="CC364" t="n">
        <v>0.6</v>
      </c>
      <c r="CD364" t="e">
        <v>#VALUE!</v>
      </c>
      <c r="CE364" t="e">
        <v>#VALUE!</v>
      </c>
      <c r="CF364" t="e">
        <v>#VALUE!</v>
      </c>
      <c r="CG364" t="e">
        <v>#VALUE!</v>
      </c>
      <c r="CH364" t="e">
        <v>#VALUE!</v>
      </c>
      <c r="CI364" t="e">
        <v>#VALUE!</v>
      </c>
      <c r="CJ364" t="e">
        <v>#VALUE!</v>
      </c>
      <c r="CK364" t="e">
        <v>#VALUE!</v>
      </c>
    </row>
    <row r="365" ht="12.5" customHeight="1" s="213">
      <c r="A365" t="inlineStr">
        <is>
          <t>Switzerland</t>
        </is>
      </c>
      <c r="B365" t="inlineStr">
        <is>
          <t>TTF</t>
        </is>
      </c>
      <c r="C365" t="inlineStr">
        <is>
          <t>TTF</t>
        </is>
      </c>
      <c r="E365" t="n">
        <v>0.356036346642533</v>
      </c>
      <c r="I365" t="n">
        <v>0.422268318976179</v>
      </c>
      <c r="J365" t="n">
        <v>0.437318678711944</v>
      </c>
      <c r="L365" t="n">
        <v>0.465843190262119</v>
      </c>
      <c r="V365" t="n">
        <v>0.587643350380561</v>
      </c>
      <c r="W365" t="n">
        <v>3</v>
      </c>
      <c r="AG365" s="223" t="inlineStr">
        <is>
          <t>GDP</t>
        </is>
      </c>
      <c r="AI365" t="n">
        <v>1</v>
      </c>
      <c r="AJ365" t="n">
        <v>1.01014620275503</v>
      </c>
      <c r="AK365" t="n">
        <v>1.12738821387204</v>
      </c>
      <c r="AL365" t="n">
        <v>1.19071587294486</v>
      </c>
      <c r="AM365" t="n">
        <v>1.25597341974685</v>
      </c>
      <c r="AN365" t="n">
        <v>1.31575732913481</v>
      </c>
      <c r="AO365" t="n">
        <v>1.37456830524255</v>
      </c>
      <c r="AP365" t="n">
        <v>1.43391013363274</v>
      </c>
      <c r="AQ365" t="n">
        <v>1.4945267176711</v>
      </c>
      <c r="AR365" t="n">
        <v>1.55938656911768</v>
      </c>
      <c r="AS365" t="n">
        <v>1.62911108696532</v>
      </c>
      <c r="AT365" t="n">
        <v>1.70037134803812</v>
      </c>
      <c r="AU365" t="n">
        <v>1.77032134494888</v>
      </c>
      <c r="AV365" t="n">
        <v>1.83536406524192</v>
      </c>
      <c r="AW365" t="n">
        <v>1.89354476522836</v>
      </c>
      <c r="AX365" t="n">
        <v>1.94497884757828</v>
      </c>
      <c r="AY365" t="n">
        <v>1.99044749959698</v>
      </c>
      <c r="AZ365" t="n">
        <v>2.02968440743037</v>
      </c>
      <c r="BA365" t="n">
        <v>0</v>
      </c>
      <c r="BB365" t="n">
        <v>0</v>
      </c>
      <c r="BC365" t="n">
        <v>0</v>
      </c>
      <c r="BD365" t="n">
        <v>0</v>
      </c>
      <c r="BE365" t="n">
        <v>0</v>
      </c>
      <c r="BF365" t="n">
        <v>0</v>
      </c>
      <c r="BG365" t="n">
        <v>0</v>
      </c>
      <c r="BH365" t="n">
        <v>0</v>
      </c>
      <c r="BJ365" t="inlineStr">
        <is>
          <t>Med2</t>
        </is>
      </c>
      <c r="BL365" t="n">
        <v>0.8</v>
      </c>
      <c r="BM365" t="n">
        <v>0.797560975609756</v>
      </c>
      <c r="BN365" t="n">
        <v>0.785365853658536</v>
      </c>
      <c r="BO365" t="n">
        <v>0.773170731707317</v>
      </c>
      <c r="BP365" t="n">
        <v>0.760975609756097</v>
      </c>
      <c r="BQ365" t="n">
        <v>0.748780487804878</v>
      </c>
      <c r="BR365" t="n">
        <v>0.736585365853658</v>
      </c>
      <c r="BS365" t="n">
        <v>0.724390243902439</v>
      </c>
      <c r="BT365" t="n">
        <v>0.71219512195122</v>
      </c>
      <c r="BU365" t="n">
        <v>0.699999999999999</v>
      </c>
      <c r="BV365" t="n">
        <v>0.687499999999999</v>
      </c>
      <c r="BW365" t="n">
        <v>0.675</v>
      </c>
      <c r="BX365" t="n">
        <v>0.6625</v>
      </c>
      <c r="BY365" t="n">
        <v>0.649999999999999</v>
      </c>
      <c r="BZ365" t="n">
        <v>0.637499999999999</v>
      </c>
      <c r="CA365" t="n">
        <v>0.625</v>
      </c>
      <c r="CB365" t="n">
        <v>0.6125</v>
      </c>
      <c r="CC365" t="n">
        <v>0.6</v>
      </c>
      <c r="CD365" t="e">
        <v>#VALUE!</v>
      </c>
      <c r="CE365" t="e">
        <v>#VALUE!</v>
      </c>
      <c r="CF365" t="e">
        <v>#VALUE!</v>
      </c>
      <c r="CG365" t="e">
        <v>#VALUE!</v>
      </c>
      <c r="CH365" t="e">
        <v>#VALUE!</v>
      </c>
      <c r="CI365" t="e">
        <v>#VALUE!</v>
      </c>
      <c r="CJ365" t="e">
        <v>#VALUE!</v>
      </c>
      <c r="CK365" t="e">
        <v>#VALUE!</v>
      </c>
    </row>
    <row r="366" ht="12.5" customHeight="1" s="213">
      <c r="A366" t="inlineStr">
        <is>
          <t>Switzerland</t>
        </is>
      </c>
      <c r="B366" t="inlineStr">
        <is>
          <t>TTP</t>
        </is>
      </c>
      <c r="C366" t="inlineStr">
        <is>
          <t>TTP</t>
        </is>
      </c>
      <c r="E366" t="n">
        <v>11.0388847973258</v>
      </c>
      <c r="I366" t="n">
        <v>11.6000229964462</v>
      </c>
      <c r="J366" t="n">
        <v>11.7445834962148</v>
      </c>
      <c r="L366" t="n">
        <v>12.0632503469926</v>
      </c>
      <c r="V366" t="n">
        <v>12.6327834024112</v>
      </c>
      <c r="W366" t="n">
        <v>3</v>
      </c>
      <c r="AG366" s="223" t="inlineStr">
        <is>
          <t>POP</t>
        </is>
      </c>
      <c r="AI366" t="n">
        <v>1</v>
      </c>
      <c r="AJ366" t="n">
        <v>1.00566380610023</v>
      </c>
      <c r="AK366" t="n">
        <v>1.03398283660137</v>
      </c>
      <c r="AL366" t="n">
        <v>1.05380147225352</v>
      </c>
      <c r="AM366" t="n">
        <v>1.07191818270051</v>
      </c>
      <c r="AN366" t="n">
        <v>1.08975830839221</v>
      </c>
      <c r="AO366" t="n">
        <v>1.108976099595</v>
      </c>
      <c r="AP366" t="n">
        <v>1.13035083122775</v>
      </c>
      <c r="AQ366" t="n">
        <v>1.14952830906317</v>
      </c>
      <c r="AR366" t="n">
        <v>1.16580474350217</v>
      </c>
      <c r="AS366" t="n">
        <v>1.17840740324494</v>
      </c>
      <c r="AT366" t="n">
        <v>1.18938864766694</v>
      </c>
      <c r="AU366" t="n">
        <v>1.19927395274811</v>
      </c>
      <c r="AV366" t="n">
        <v>1.20718682408651</v>
      </c>
      <c r="AW366" t="n">
        <v>1.21211463663389</v>
      </c>
      <c r="AX366" t="n">
        <v>1.21380242294789</v>
      </c>
      <c r="AY366" t="n">
        <v>1.21250853913074</v>
      </c>
      <c r="AZ366" t="n">
        <v>1.20846469940706</v>
      </c>
      <c r="BA366" t="n">
        <v>0</v>
      </c>
      <c r="BB366" t="n">
        <v>0</v>
      </c>
      <c r="BC366" t="n">
        <v>0</v>
      </c>
      <c r="BD366" t="n">
        <v>0</v>
      </c>
      <c r="BE366" t="n">
        <v>0</v>
      </c>
      <c r="BF366" t="n">
        <v>0</v>
      </c>
      <c r="BG366" t="n">
        <v>0</v>
      </c>
      <c r="BH366" t="n">
        <v>0</v>
      </c>
      <c r="BJ366" t="inlineStr">
        <is>
          <t>Med2</t>
        </is>
      </c>
      <c r="BL366" t="n">
        <v>0.8</v>
      </c>
      <c r="BM366" t="n">
        <v>0.797560975609756</v>
      </c>
      <c r="BN366" t="n">
        <v>0.785365853658536</v>
      </c>
      <c r="BO366" t="n">
        <v>0.773170731707317</v>
      </c>
      <c r="BP366" t="n">
        <v>0.760975609756097</v>
      </c>
      <c r="BQ366" t="n">
        <v>0.748780487804878</v>
      </c>
      <c r="BR366" t="n">
        <v>0.736585365853658</v>
      </c>
      <c r="BS366" t="n">
        <v>0.724390243902439</v>
      </c>
      <c r="BT366" t="n">
        <v>0.71219512195122</v>
      </c>
      <c r="BU366" t="n">
        <v>0.699999999999999</v>
      </c>
      <c r="BV366" t="n">
        <v>0.687499999999999</v>
      </c>
      <c r="BW366" t="n">
        <v>0.675</v>
      </c>
      <c r="BX366" t="n">
        <v>0.6625</v>
      </c>
      <c r="BY366" t="n">
        <v>0.649999999999999</v>
      </c>
      <c r="BZ366" t="n">
        <v>0.637499999999999</v>
      </c>
      <c r="CA366" t="n">
        <v>0.625</v>
      </c>
      <c r="CB366" t="n">
        <v>0.6125</v>
      </c>
      <c r="CC366" t="n">
        <v>0.6</v>
      </c>
      <c r="CD366" t="e">
        <v>#VALUE!</v>
      </c>
      <c r="CE366" t="e">
        <v>#VALUE!</v>
      </c>
      <c r="CF366" t="e">
        <v>#VALUE!</v>
      </c>
      <c r="CG366" t="e">
        <v>#VALUE!</v>
      </c>
      <c r="CH366" t="e">
        <v>#VALUE!</v>
      </c>
      <c r="CI366" t="e">
        <v>#VALUE!</v>
      </c>
      <c r="CJ366" t="e">
        <v>#VALUE!</v>
      </c>
      <c r="CK366" t="e">
        <v>#VALUE!</v>
      </c>
    </row>
    <row r="367" ht="12.5" customHeight="1" s="213">
      <c r="A367" t="inlineStr">
        <is>
          <t>Switzerland</t>
        </is>
      </c>
      <c r="B367" t="inlineStr">
        <is>
          <t>TWD</t>
        </is>
      </c>
      <c r="C367" t="inlineStr">
        <is>
          <t>TWD</t>
        </is>
      </c>
      <c r="E367" t="n">
        <v>1.5612086088509</v>
      </c>
      <c r="F367">
        <f>E367</f>
        <v/>
      </c>
      <c r="I367">
        <f>F367</f>
        <v/>
      </c>
      <c r="J367">
        <f>I367</f>
        <v/>
      </c>
      <c r="L367">
        <f>J367</f>
        <v/>
      </c>
      <c r="V367">
        <f>L367</f>
        <v/>
      </c>
      <c r="W367" t="n">
        <v>3</v>
      </c>
      <c r="AG367" s="223" t="inlineStr">
        <is>
          <t>GDP</t>
        </is>
      </c>
      <c r="AI367" t="n">
        <v>1</v>
      </c>
      <c r="AJ367" t="n">
        <v>1.01014620275503</v>
      </c>
      <c r="AK367" t="n">
        <v>1.12738821387204</v>
      </c>
      <c r="AL367" t="n">
        <v>1.19071587294486</v>
      </c>
      <c r="AM367" t="n">
        <v>1.25597341974685</v>
      </c>
      <c r="AN367" t="n">
        <v>1.31575732913481</v>
      </c>
      <c r="AO367" t="n">
        <v>1.37456830524255</v>
      </c>
      <c r="AP367" t="n">
        <v>1.43391013363274</v>
      </c>
      <c r="AQ367" t="n">
        <v>1.4945267176711</v>
      </c>
      <c r="AR367" t="n">
        <v>1.55938656911768</v>
      </c>
      <c r="AS367" t="n">
        <v>1.62911108696532</v>
      </c>
      <c r="AT367" t="n">
        <v>1.70037134803812</v>
      </c>
      <c r="AU367" t="n">
        <v>1.77032134494888</v>
      </c>
      <c r="AV367" t="n">
        <v>1.83536406524192</v>
      </c>
      <c r="AW367" t="n">
        <v>1.89354476522836</v>
      </c>
      <c r="AX367" t="n">
        <v>1.94497884757828</v>
      </c>
      <c r="AY367" t="n">
        <v>1.99044749959698</v>
      </c>
      <c r="AZ367" t="n">
        <v>2.02968440743037</v>
      </c>
      <c r="BA367" t="n">
        <v>0</v>
      </c>
      <c r="BB367" t="n">
        <v>0</v>
      </c>
      <c r="BC367" t="n">
        <v>0</v>
      </c>
      <c r="BD367" t="n">
        <v>0</v>
      </c>
      <c r="BE367" t="n">
        <v>0</v>
      </c>
      <c r="BF367" t="n">
        <v>0</v>
      </c>
      <c r="BG367" t="n">
        <v>0</v>
      </c>
      <c r="BH367" t="n">
        <v>0</v>
      </c>
      <c r="BJ367" t="inlineStr">
        <is>
          <t>Med2</t>
        </is>
      </c>
      <c r="BL367" t="n">
        <v>0.8</v>
      </c>
      <c r="BM367" t="n">
        <v>0.797560975609756</v>
      </c>
      <c r="BN367" t="n">
        <v>0.785365853658536</v>
      </c>
      <c r="BO367" t="n">
        <v>0.773170731707317</v>
      </c>
      <c r="BP367" t="n">
        <v>0.760975609756097</v>
      </c>
      <c r="BQ367" t="n">
        <v>0.748780487804878</v>
      </c>
      <c r="BR367" t="n">
        <v>0.736585365853658</v>
      </c>
      <c r="BS367" t="n">
        <v>0.724390243902439</v>
      </c>
      <c r="BT367" t="n">
        <v>0.71219512195122</v>
      </c>
      <c r="BU367" t="n">
        <v>0.699999999999999</v>
      </c>
      <c r="BV367" t="n">
        <v>0.687499999999999</v>
      </c>
      <c r="BW367" t="n">
        <v>0.675</v>
      </c>
      <c r="BX367" t="n">
        <v>0.6625</v>
      </c>
      <c r="BY367" t="n">
        <v>0.649999999999999</v>
      </c>
      <c r="BZ367" t="n">
        <v>0.637499999999999</v>
      </c>
      <c r="CA367" t="n">
        <v>0.625</v>
      </c>
      <c r="CB367" t="n">
        <v>0.6125</v>
      </c>
      <c r="CC367" t="n">
        <v>0.6</v>
      </c>
      <c r="CD367" t="e">
        <v>#VALUE!</v>
      </c>
      <c r="CE367" t="e">
        <v>#VALUE!</v>
      </c>
      <c r="CF367" t="e">
        <v>#VALUE!</v>
      </c>
      <c r="CG367" t="e">
        <v>#VALUE!</v>
      </c>
      <c r="CH367" t="e">
        <v>#VALUE!</v>
      </c>
      <c r="CI367" t="e">
        <v>#VALUE!</v>
      </c>
      <c r="CJ367" t="e">
        <v>#VALUE!</v>
      </c>
      <c r="CK367" t="e">
        <v>#VALUE!</v>
      </c>
    </row>
    <row r="368" ht="12.5" customHeight="1" s="213">
      <c r="A368" t="inlineStr">
        <is>
          <t>Switzerland</t>
        </is>
      </c>
      <c r="B368" t="inlineStr">
        <is>
          <t>TWI</t>
        </is>
      </c>
      <c r="C368" t="inlineStr">
        <is>
          <t>TWI</t>
        </is>
      </c>
      <c r="E368" t="n">
        <v>0.112388280015901</v>
      </c>
      <c r="F368">
        <f>E368</f>
        <v/>
      </c>
      <c r="I368">
        <f>F368</f>
        <v/>
      </c>
      <c r="J368">
        <f>I368</f>
        <v/>
      </c>
      <c r="L368">
        <f>J368</f>
        <v/>
      </c>
      <c r="V368">
        <f>L368</f>
        <v/>
      </c>
      <c r="W368" t="n">
        <v>3</v>
      </c>
      <c r="AG368" s="223" t="inlineStr">
        <is>
          <t>GDP</t>
        </is>
      </c>
      <c r="AI368" t="n">
        <v>1</v>
      </c>
      <c r="AJ368" t="n">
        <v>1.01014620275503</v>
      </c>
      <c r="AK368" t="n">
        <v>1.12738821387204</v>
      </c>
      <c r="AL368" t="n">
        <v>1.19071587294486</v>
      </c>
      <c r="AM368" t="n">
        <v>1.25597341974685</v>
      </c>
      <c r="AN368" t="n">
        <v>1.31575732913481</v>
      </c>
      <c r="AO368" t="n">
        <v>1.37456830524255</v>
      </c>
      <c r="AP368" t="n">
        <v>1.43391013363274</v>
      </c>
      <c r="AQ368" t="n">
        <v>1.4945267176711</v>
      </c>
      <c r="AR368" t="n">
        <v>1.55938656911768</v>
      </c>
      <c r="AS368" t="n">
        <v>1.62911108696532</v>
      </c>
      <c r="AT368" t="n">
        <v>1.70037134803812</v>
      </c>
      <c r="AU368" t="n">
        <v>1.77032134494888</v>
      </c>
      <c r="AV368" t="n">
        <v>1.83536406524192</v>
      </c>
      <c r="AW368" t="n">
        <v>1.89354476522836</v>
      </c>
      <c r="AX368" t="n">
        <v>1.94497884757828</v>
      </c>
      <c r="AY368" t="n">
        <v>1.99044749959698</v>
      </c>
      <c r="AZ368" t="n">
        <v>2.02968440743037</v>
      </c>
      <c r="BA368" t="n">
        <v>0</v>
      </c>
      <c r="BB368" t="n">
        <v>0</v>
      </c>
      <c r="BC368" t="n">
        <v>0</v>
      </c>
      <c r="BD368" t="n">
        <v>0</v>
      </c>
      <c r="BE368" t="n">
        <v>0</v>
      </c>
      <c r="BF368" t="n">
        <v>0</v>
      </c>
      <c r="BG368" t="n">
        <v>0</v>
      </c>
      <c r="BH368" t="n">
        <v>0</v>
      </c>
      <c r="BJ368" t="inlineStr">
        <is>
          <t>Med2</t>
        </is>
      </c>
      <c r="BL368" t="n">
        <v>0.8</v>
      </c>
      <c r="BM368" t="n">
        <v>0.797560975609756</v>
      </c>
      <c r="BN368" t="n">
        <v>0.785365853658536</v>
      </c>
      <c r="BO368" t="n">
        <v>0.773170731707317</v>
      </c>
      <c r="BP368" t="n">
        <v>0.760975609756097</v>
      </c>
      <c r="BQ368" t="n">
        <v>0.748780487804878</v>
      </c>
      <c r="BR368" t="n">
        <v>0.736585365853658</v>
      </c>
      <c r="BS368" t="n">
        <v>0.724390243902439</v>
      </c>
      <c r="BT368" t="n">
        <v>0.71219512195122</v>
      </c>
      <c r="BU368" t="n">
        <v>0.699999999999999</v>
      </c>
      <c r="BV368" t="n">
        <v>0.687499999999999</v>
      </c>
      <c r="BW368" t="n">
        <v>0.675</v>
      </c>
      <c r="BX368" t="n">
        <v>0.6625</v>
      </c>
      <c r="BY368" t="n">
        <v>0.649999999999999</v>
      </c>
      <c r="BZ368" t="n">
        <v>0.637499999999999</v>
      </c>
      <c r="CA368" t="n">
        <v>0.625</v>
      </c>
      <c r="CB368" t="n">
        <v>0.6125</v>
      </c>
      <c r="CC368" t="n">
        <v>0.6</v>
      </c>
      <c r="CD368" t="e">
        <v>#VALUE!</v>
      </c>
      <c r="CE368" t="e">
        <v>#VALUE!</v>
      </c>
      <c r="CF368" t="e">
        <v>#VALUE!</v>
      </c>
      <c r="CG368" t="e">
        <v>#VALUE!</v>
      </c>
      <c r="CH368" t="e">
        <v>#VALUE!</v>
      </c>
      <c r="CI368" t="e">
        <v>#VALUE!</v>
      </c>
      <c r="CJ368" t="e">
        <v>#VALUE!</v>
      </c>
      <c r="CK368" t="e">
        <v>#VALUE!</v>
      </c>
    </row>
    <row r="369" ht="12.5" customHeight="1" s="213">
      <c r="A369" t="inlineStr">
        <is>
          <t>Switzerland</t>
        </is>
      </c>
      <c r="B369" t="inlineStr">
        <is>
          <t>Trd_2w</t>
        </is>
      </c>
      <c r="C369" t="inlineStr">
        <is>
          <t>Trd_2w</t>
        </is>
      </c>
      <c r="D369" t="n">
        <v>0.483</v>
      </c>
      <c r="E369" t="n">
        <v>0.48518182243726</v>
      </c>
      <c r="G369" t="n">
        <v>0.495911881130451</v>
      </c>
      <c r="H369" t="n">
        <v>0.503261085804945</v>
      </c>
      <c r="I369" t="n">
        <v>0.509845007087426</v>
      </c>
      <c r="J369" t="n">
        <v>0.516198740097412</v>
      </c>
      <c r="K369" t="n">
        <v>0.522903964366043</v>
      </c>
      <c r="L369" t="n">
        <v>0.530204807399444</v>
      </c>
      <c r="M369" t="n">
        <v>0.536611308238805</v>
      </c>
      <c r="N369" t="n">
        <v>0.541929909874136</v>
      </c>
      <c r="O369" t="n">
        <v>0.545957564444029</v>
      </c>
      <c r="P369" t="n">
        <v>0.549391710456534</v>
      </c>
      <c r="Q369" t="n">
        <v>0.552416772406551</v>
      </c>
      <c r="R369" t="n">
        <v>0.554785940721169</v>
      </c>
      <c r="S369" t="n">
        <v>0.556229668551109</v>
      </c>
      <c r="T369" t="n">
        <v>0.556713738288434</v>
      </c>
      <c r="U369" t="n">
        <v>0.556350254276603</v>
      </c>
      <c r="V369" t="n">
        <v>0.555236963349941</v>
      </c>
      <c r="W369" t="n">
        <v>3</v>
      </c>
      <c r="AG369" s="223" t="inlineStr">
        <is>
          <t>POP</t>
        </is>
      </c>
      <c r="AI369" t="n">
        <v>1</v>
      </c>
      <c r="AJ369" t="n">
        <v>1.00566380610023</v>
      </c>
      <c r="AK369" t="n">
        <v>1.03398283660137</v>
      </c>
      <c r="AL369" t="n">
        <v>1.05380147225352</v>
      </c>
      <c r="AM369" t="n">
        <v>1.07191818270051</v>
      </c>
      <c r="AN369" t="n">
        <v>1.08975830839221</v>
      </c>
      <c r="AO369" t="n">
        <v>1.108976099595</v>
      </c>
      <c r="AP369" t="n">
        <v>1.13035083122775</v>
      </c>
      <c r="AQ369" t="n">
        <v>1.14952830906317</v>
      </c>
      <c r="AR369" t="n">
        <v>1.16580474350217</v>
      </c>
      <c r="AS369" t="n">
        <v>1.17840740324494</v>
      </c>
      <c r="AT369" t="n">
        <v>1.18938864766694</v>
      </c>
      <c r="AU369" t="n">
        <v>1.19927395274811</v>
      </c>
      <c r="AV369" t="n">
        <v>1.20718682408651</v>
      </c>
      <c r="AW369" t="n">
        <v>1.21211463663389</v>
      </c>
      <c r="AX369" t="n">
        <v>1.21380242294789</v>
      </c>
      <c r="AY369" t="n">
        <v>1.21250853913074</v>
      </c>
      <c r="AZ369" t="n">
        <v>1.20846469940706</v>
      </c>
      <c r="BA369" t="n">
        <v>0</v>
      </c>
      <c r="BB369" t="n">
        <v>0</v>
      </c>
      <c r="BC369" t="n">
        <v>0</v>
      </c>
      <c r="BD369" t="n">
        <v>0</v>
      </c>
      <c r="BE369" t="n">
        <v>0</v>
      </c>
      <c r="BF369" t="n">
        <v>0</v>
      </c>
      <c r="BG369" t="n">
        <v>0</v>
      </c>
      <c r="BH369" t="n">
        <v>0</v>
      </c>
      <c r="BJ369" t="inlineStr">
        <is>
          <t>Med2</t>
        </is>
      </c>
      <c r="BL369" t="n">
        <v>0.8</v>
      </c>
      <c r="BM369" t="n">
        <v>0.797560975609756</v>
      </c>
      <c r="BN369" t="n">
        <v>0.785365853658536</v>
      </c>
      <c r="BO369" t="n">
        <v>0.773170731707317</v>
      </c>
      <c r="BP369" t="n">
        <v>0.760975609756097</v>
      </c>
      <c r="BQ369" t="n">
        <v>0.748780487804878</v>
      </c>
      <c r="BR369" t="n">
        <v>0.736585365853658</v>
      </c>
      <c r="BS369" t="n">
        <v>0.724390243902439</v>
      </c>
      <c r="BT369" t="n">
        <v>0.71219512195122</v>
      </c>
      <c r="BU369" t="n">
        <v>0.699999999999999</v>
      </c>
      <c r="BV369" t="n">
        <v>0.687499999999999</v>
      </c>
      <c r="BW369" t="n">
        <v>0.675</v>
      </c>
      <c r="BX369" t="n">
        <v>0.6625</v>
      </c>
      <c r="BY369" t="n">
        <v>0.649999999999999</v>
      </c>
      <c r="BZ369" t="n">
        <v>0.637499999999999</v>
      </c>
      <c r="CA369" t="n">
        <v>0.625</v>
      </c>
      <c r="CB369" t="n">
        <v>0.6125</v>
      </c>
      <c r="CC369" t="n">
        <v>0.6</v>
      </c>
      <c r="CD369" t="e">
        <v>#VALUE!</v>
      </c>
      <c r="CE369" t="e">
        <v>#VALUE!</v>
      </c>
      <c r="CF369" t="e">
        <v>#VALUE!</v>
      </c>
      <c r="CG369" t="e">
        <v>#VALUE!</v>
      </c>
      <c r="CH369" t="e">
        <v>#VALUE!</v>
      </c>
      <c r="CI369" t="e">
        <v>#VALUE!</v>
      </c>
      <c r="CJ369" t="e">
        <v>#VALUE!</v>
      </c>
      <c r="CK369" t="e">
        <v>#VALUE!</v>
      </c>
    </row>
    <row r="370" ht="12.5" customHeight="1" s="213">
      <c r="A370" t="inlineStr">
        <is>
          <t>Switzerland</t>
        </is>
      </c>
      <c r="B370" t="inlineStr">
        <is>
          <t>Trd_3w</t>
        </is>
      </c>
      <c r="C370" t="inlineStr">
        <is>
          <t>Trd_3w</t>
        </is>
      </c>
      <c r="D370" t="n">
        <v>0.285</v>
      </c>
      <c r="E370" t="n">
        <v>0.286287410754905</v>
      </c>
      <c r="G370" t="n">
        <v>0.29261881184716</v>
      </c>
      <c r="H370" t="n">
        <v>0.296955299077452</v>
      </c>
      <c r="I370" t="n">
        <v>0.300840221573326</v>
      </c>
      <c r="J370" t="n">
        <v>0.30458931869102</v>
      </c>
      <c r="K370" t="n">
        <v>0.308545817483069</v>
      </c>
      <c r="L370" t="n">
        <v>0.312853768341287</v>
      </c>
      <c r="M370" t="n">
        <v>0.316634001755817</v>
      </c>
      <c r="N370" t="n">
        <v>0.319772307068589</v>
      </c>
      <c r="O370" t="n">
        <v>0.322148873429706</v>
      </c>
      <c r="P370" t="n">
        <v>0.324175232878079</v>
      </c>
      <c r="Q370" t="n">
        <v>0.325960207320636</v>
      </c>
      <c r="R370" t="n">
        <v>0.327358163779572</v>
      </c>
      <c r="S370" t="n">
        <v>0.328210052871772</v>
      </c>
      <c r="T370" t="n">
        <v>0.328495684083237</v>
      </c>
      <c r="U370" t="n">
        <v>0.32828120593961</v>
      </c>
      <c r="V370" t="n">
        <v>0.327624295144375</v>
      </c>
      <c r="W370" t="n">
        <v>3</v>
      </c>
      <c r="AG370" s="223" t="inlineStr">
        <is>
          <t>POP</t>
        </is>
      </c>
      <c r="AI370" t="n">
        <v>1</v>
      </c>
      <c r="AJ370" t="n">
        <v>1.00566380610023</v>
      </c>
      <c r="AK370" t="n">
        <v>1.03398283660137</v>
      </c>
      <c r="AL370" t="n">
        <v>1.05380147225352</v>
      </c>
      <c r="AM370" t="n">
        <v>1.07191818270051</v>
      </c>
      <c r="AN370" t="n">
        <v>1.08975830839221</v>
      </c>
      <c r="AO370" t="n">
        <v>1.108976099595</v>
      </c>
      <c r="AP370" t="n">
        <v>1.13035083122775</v>
      </c>
      <c r="AQ370" t="n">
        <v>1.14952830906317</v>
      </c>
      <c r="AR370" t="n">
        <v>1.16580474350217</v>
      </c>
      <c r="AS370" t="n">
        <v>1.17840740324494</v>
      </c>
      <c r="AT370" t="n">
        <v>1.18938864766694</v>
      </c>
      <c r="AU370" t="n">
        <v>1.19927395274811</v>
      </c>
      <c r="AV370" t="n">
        <v>1.20718682408651</v>
      </c>
      <c r="AW370" t="n">
        <v>1.21211463663389</v>
      </c>
      <c r="AX370" t="n">
        <v>1.21380242294789</v>
      </c>
      <c r="AY370" t="n">
        <v>1.21250853913074</v>
      </c>
      <c r="AZ370" t="n">
        <v>1.20846469940706</v>
      </c>
      <c r="BA370" t="n">
        <v>0</v>
      </c>
      <c r="BB370" t="n">
        <v>0</v>
      </c>
      <c r="BC370" t="n">
        <v>0</v>
      </c>
      <c r="BD370" t="n">
        <v>0</v>
      </c>
      <c r="BE370" t="n">
        <v>0</v>
      </c>
      <c r="BF370" t="n">
        <v>0</v>
      </c>
      <c r="BG370" t="n">
        <v>0</v>
      </c>
      <c r="BH370" t="n">
        <v>0</v>
      </c>
      <c r="BJ370" t="inlineStr">
        <is>
          <t>Med2</t>
        </is>
      </c>
      <c r="BL370" t="n">
        <v>0.8</v>
      </c>
      <c r="BM370" t="n">
        <v>0.797560975609756</v>
      </c>
      <c r="BN370" t="n">
        <v>0.785365853658536</v>
      </c>
      <c r="BO370" t="n">
        <v>0.773170731707317</v>
      </c>
      <c r="BP370" t="n">
        <v>0.760975609756097</v>
      </c>
      <c r="BQ370" t="n">
        <v>0.748780487804878</v>
      </c>
      <c r="BR370" t="n">
        <v>0.736585365853658</v>
      </c>
      <c r="BS370" t="n">
        <v>0.724390243902439</v>
      </c>
      <c r="BT370" t="n">
        <v>0.71219512195122</v>
      </c>
      <c r="BU370" t="n">
        <v>0.699999999999999</v>
      </c>
      <c r="BV370" t="n">
        <v>0.687499999999999</v>
      </c>
      <c r="BW370" t="n">
        <v>0.675</v>
      </c>
      <c r="BX370" t="n">
        <v>0.6625</v>
      </c>
      <c r="BY370" t="n">
        <v>0.649999999999999</v>
      </c>
      <c r="BZ370" t="n">
        <v>0.637499999999999</v>
      </c>
      <c r="CA370" t="n">
        <v>0.625</v>
      </c>
      <c r="CB370" t="n">
        <v>0.6125</v>
      </c>
      <c r="CC370" t="n">
        <v>0.6</v>
      </c>
      <c r="CD370" t="e">
        <v>#VALUE!</v>
      </c>
      <c r="CE370" t="e">
        <v>#VALUE!</v>
      </c>
      <c r="CF370" t="e">
        <v>#VALUE!</v>
      </c>
      <c r="CG370" t="e">
        <v>#VALUE!</v>
      </c>
      <c r="CH370" t="e">
        <v>#VALUE!</v>
      </c>
      <c r="CI370" t="e">
        <v>#VALUE!</v>
      </c>
      <c r="CJ370" t="e">
        <v>#VALUE!</v>
      </c>
      <c r="CK370" t="e">
        <v>#VALUE!</v>
      </c>
    </row>
    <row r="371" ht="12.5" customHeight="1" s="213">
      <c r="A371" t="inlineStr">
        <is>
          <t>Switzerland</t>
        </is>
      </c>
      <c r="B371" t="inlineStr">
        <is>
          <t>Trd_bus</t>
        </is>
      </c>
      <c r="C371" t="inlineStr">
        <is>
          <t>Trd_bus</t>
        </is>
      </c>
      <c r="D371" t="n">
        <v>0.35</v>
      </c>
      <c r="E371" t="n">
        <v>0.351581030751637</v>
      </c>
      <c r="G371" t="n">
        <v>0.359356435601776</v>
      </c>
      <c r="H371" t="n">
        <v>0.364681946235467</v>
      </c>
      <c r="I371" t="n">
        <v>0.369452903686541</v>
      </c>
      <c r="J371" t="n">
        <v>0.374057058041603</v>
      </c>
      <c r="K371" t="n">
        <v>0.378915916207278</v>
      </c>
      <c r="L371" t="n">
        <v>0.38420638217351</v>
      </c>
      <c r="M371" t="n">
        <v>0.388848774086091</v>
      </c>
      <c r="N371" t="n">
        <v>0.392702833242127</v>
      </c>
      <c r="O371" t="n">
        <v>0.395621423510166</v>
      </c>
      <c r="P371" t="n">
        <v>0.39810993511343</v>
      </c>
      <c r="Q371" t="n">
        <v>0.400302008990255</v>
      </c>
      <c r="R371" t="n">
        <v>0.402018797624036</v>
      </c>
      <c r="S371" t="n">
        <v>0.403064977210948</v>
      </c>
      <c r="T371" t="n">
        <v>0.403415752382923</v>
      </c>
      <c r="U371" t="n">
        <v>0.403152358171451</v>
      </c>
      <c r="V371" t="n">
        <v>0.402345625615899</v>
      </c>
      <c r="W371" t="n">
        <v>3</v>
      </c>
      <c r="AG371" s="223" t="inlineStr">
        <is>
          <t>POP</t>
        </is>
      </c>
      <c r="AI371" t="n">
        <v>1</v>
      </c>
      <c r="AJ371" t="n">
        <v>1.00566380610023</v>
      </c>
      <c r="AK371" t="n">
        <v>1.03398283660137</v>
      </c>
      <c r="AL371" t="n">
        <v>1.05380147225352</v>
      </c>
      <c r="AM371" t="n">
        <v>1.07191818270051</v>
      </c>
      <c r="AN371" t="n">
        <v>1.08975830839221</v>
      </c>
      <c r="AO371" t="n">
        <v>1.108976099595</v>
      </c>
      <c r="AP371" t="n">
        <v>1.13035083122775</v>
      </c>
      <c r="AQ371" t="n">
        <v>1.14952830906317</v>
      </c>
      <c r="AR371" t="n">
        <v>1.16580474350217</v>
      </c>
      <c r="AS371" t="n">
        <v>1.17840740324494</v>
      </c>
      <c r="AT371" t="n">
        <v>1.18938864766694</v>
      </c>
      <c r="AU371" t="n">
        <v>1.19927395274811</v>
      </c>
      <c r="AV371" t="n">
        <v>1.20718682408651</v>
      </c>
      <c r="AW371" t="n">
        <v>1.21211463663389</v>
      </c>
      <c r="AX371" t="n">
        <v>1.21380242294789</v>
      </c>
      <c r="AY371" t="n">
        <v>1.21250853913074</v>
      </c>
      <c r="AZ371" t="n">
        <v>1.20846469940706</v>
      </c>
      <c r="BA371" t="n">
        <v>0</v>
      </c>
      <c r="BB371" t="n">
        <v>0</v>
      </c>
      <c r="BC371" t="n">
        <v>0</v>
      </c>
      <c r="BD371" t="n">
        <v>0</v>
      </c>
      <c r="BE371" t="n">
        <v>0</v>
      </c>
      <c r="BF371" t="n">
        <v>0</v>
      </c>
      <c r="BG371" t="n">
        <v>0</v>
      </c>
      <c r="BH371" t="n">
        <v>0</v>
      </c>
      <c r="BJ371" t="inlineStr">
        <is>
          <t>Med2</t>
        </is>
      </c>
      <c r="BL371" t="n">
        <v>0.8</v>
      </c>
      <c r="BM371" t="n">
        <v>0.797560975609756</v>
      </c>
      <c r="BN371" t="n">
        <v>0.785365853658536</v>
      </c>
      <c r="BO371" t="n">
        <v>0.773170731707317</v>
      </c>
      <c r="BP371" t="n">
        <v>0.760975609756097</v>
      </c>
      <c r="BQ371" t="n">
        <v>0.748780487804878</v>
      </c>
      <c r="BR371" t="n">
        <v>0.736585365853658</v>
      </c>
      <c r="BS371" t="n">
        <v>0.724390243902439</v>
      </c>
      <c r="BT371" t="n">
        <v>0.71219512195122</v>
      </c>
      <c r="BU371" t="n">
        <v>0.699999999999999</v>
      </c>
      <c r="BV371" t="n">
        <v>0.687499999999999</v>
      </c>
      <c r="BW371" t="n">
        <v>0.675</v>
      </c>
      <c r="BX371" t="n">
        <v>0.6625</v>
      </c>
      <c r="BY371" t="n">
        <v>0.649999999999999</v>
      </c>
      <c r="BZ371" t="n">
        <v>0.637499999999999</v>
      </c>
      <c r="CA371" t="n">
        <v>0.625</v>
      </c>
      <c r="CB371" t="n">
        <v>0.6125</v>
      </c>
      <c r="CC371" t="n">
        <v>0.6</v>
      </c>
      <c r="CD371" t="e">
        <v>#VALUE!</v>
      </c>
      <c r="CE371" t="e">
        <v>#VALUE!</v>
      </c>
      <c r="CF371" t="e">
        <v>#VALUE!</v>
      </c>
      <c r="CG371" t="e">
        <v>#VALUE!</v>
      </c>
      <c r="CH371" t="e">
        <v>#VALUE!</v>
      </c>
      <c r="CI371" t="e">
        <v>#VALUE!</v>
      </c>
      <c r="CJ371" t="e">
        <v>#VALUE!</v>
      </c>
      <c r="CK371" t="e">
        <v>#VALUE!</v>
      </c>
    </row>
    <row r="372" ht="12.5" customHeight="1" s="213">
      <c r="A372" t="inlineStr">
        <is>
          <t>Switzerland</t>
        </is>
      </c>
      <c r="B372" t="inlineStr">
        <is>
          <t>Trd_car</t>
        </is>
      </c>
      <c r="C372" t="inlineStr">
        <is>
          <t>Trd_car</t>
        </is>
      </c>
      <c r="D372" t="n">
        <v>57.564</v>
      </c>
      <c r="E372" t="n">
        <v>57.7686314236342</v>
      </c>
      <c r="G372" t="n">
        <v>61.6476017768071</v>
      </c>
      <c r="H372" t="n">
        <v>63.3782283286491</v>
      </c>
      <c r="I372" t="n">
        <v>65.1616423283287</v>
      </c>
      <c r="J372" t="n">
        <v>66.64733711826391</v>
      </c>
      <c r="K372" t="n">
        <v>67.9528530131528</v>
      </c>
      <c r="L372" t="n">
        <v>69.1069219435617</v>
      </c>
      <c r="M372" t="n">
        <v>70.33172540343131</v>
      </c>
      <c r="N372" t="n">
        <v>71.7511295394044</v>
      </c>
      <c r="O372" t="n">
        <v>73.4056181300633</v>
      </c>
      <c r="P372" t="n">
        <v>75.095493175947</v>
      </c>
      <c r="Q372" t="n">
        <v>76.7151909420303</v>
      </c>
      <c r="R372" t="n">
        <v>78.20839455405491</v>
      </c>
      <c r="S372" t="n">
        <v>79.57975830833691</v>
      </c>
      <c r="T372" t="n">
        <v>80.8597286074797</v>
      </c>
      <c r="U372" t="n">
        <v>82.0716199812662</v>
      </c>
      <c r="V372" t="n">
        <v>83.2103554351266</v>
      </c>
      <c r="W372" t="n">
        <v>3</v>
      </c>
      <c r="AG372" s="223" t="inlineStr">
        <is>
          <t>GDPPCAP</t>
        </is>
      </c>
      <c r="AI372" t="n">
        <v>1</v>
      </c>
      <c r="AJ372" t="n">
        <v>1.00445715220894</v>
      </c>
      <c r="AK372" t="n">
        <v>1.0903355200534</v>
      </c>
      <c r="AL372" t="n">
        <v>1.12992428298524</v>
      </c>
      <c r="AM372" t="n">
        <v>1.17170642313637</v>
      </c>
      <c r="AN372" t="n">
        <v>1.2073845356371</v>
      </c>
      <c r="AO372" t="n">
        <v>1.23949317369828</v>
      </c>
      <c r="AP372" t="n">
        <v>1.26855317306687</v>
      </c>
      <c r="AQ372" t="n">
        <v>1.30012171591415</v>
      </c>
      <c r="AR372" t="n">
        <v>1.3376052703587</v>
      </c>
      <c r="AS372" t="n">
        <v>1.38246847607992</v>
      </c>
      <c r="AT372" t="n">
        <v>1.42961793974871</v>
      </c>
      <c r="AU372" t="n">
        <v>1.47616092294194</v>
      </c>
      <c r="AV372" t="n">
        <v>1.52036456049854</v>
      </c>
      <c r="AW372" t="n">
        <v>1.56218290580736</v>
      </c>
      <c r="AX372" t="n">
        <v>1.6023850429089</v>
      </c>
      <c r="AY372" t="n">
        <v>1.64159462416979</v>
      </c>
      <c r="AZ372" t="n">
        <v>1.67955622404714</v>
      </c>
      <c r="BA372" t="n">
        <v>0</v>
      </c>
      <c r="BB372" t="n">
        <v>0</v>
      </c>
      <c r="BC372" t="n">
        <v>0</v>
      </c>
      <c r="BD372" t="n">
        <v>0</v>
      </c>
      <c r="BE372" t="n">
        <v>0</v>
      </c>
      <c r="BF372" t="n">
        <v>0</v>
      </c>
      <c r="BG372" t="n">
        <v>0</v>
      </c>
      <c r="BH372" t="n">
        <v>0</v>
      </c>
      <c r="BJ372" t="inlineStr">
        <is>
          <t>Med2</t>
        </is>
      </c>
      <c r="BL372" t="n">
        <v>0.8</v>
      </c>
      <c r="BM372" t="n">
        <v>0.797560975609756</v>
      </c>
      <c r="BN372" t="n">
        <v>0.785365853658536</v>
      </c>
      <c r="BO372" t="n">
        <v>0.773170731707317</v>
      </c>
      <c r="BP372" t="n">
        <v>0.760975609756097</v>
      </c>
      <c r="BQ372" t="n">
        <v>0.748780487804878</v>
      </c>
      <c r="BR372" t="n">
        <v>0.736585365853658</v>
      </c>
      <c r="BS372" t="n">
        <v>0.724390243902439</v>
      </c>
      <c r="BT372" t="n">
        <v>0.71219512195122</v>
      </c>
      <c r="BU372" t="n">
        <v>0.699999999999999</v>
      </c>
      <c r="BV372" t="n">
        <v>0.687499999999999</v>
      </c>
      <c r="BW372" t="n">
        <v>0.675</v>
      </c>
      <c r="BX372" t="n">
        <v>0.6625</v>
      </c>
      <c r="BY372" t="n">
        <v>0.649999999999999</v>
      </c>
      <c r="BZ372" t="n">
        <v>0.637499999999999</v>
      </c>
      <c r="CA372" t="n">
        <v>0.625</v>
      </c>
      <c r="CB372" t="n">
        <v>0.6125</v>
      </c>
      <c r="CC372" t="n">
        <v>0.6</v>
      </c>
      <c r="CD372" t="e">
        <v>#VALUE!</v>
      </c>
      <c r="CE372" t="e">
        <v>#VALUE!</v>
      </c>
      <c r="CF372" t="e">
        <v>#VALUE!</v>
      </c>
      <c r="CG372" t="e">
        <v>#VALUE!</v>
      </c>
      <c r="CH372" t="e">
        <v>#VALUE!</v>
      </c>
      <c r="CI372" t="e">
        <v>#VALUE!</v>
      </c>
      <c r="CJ372" t="e">
        <v>#VALUE!</v>
      </c>
      <c r="CK372" t="e">
        <v>#VALUE!</v>
      </c>
    </row>
    <row r="373" ht="12.5" customHeight="1" s="213">
      <c r="A373" t="inlineStr">
        <is>
          <t>Switzerland</t>
        </is>
      </c>
      <c r="B373" t="inlineStr">
        <is>
          <t>Trd_hdt</t>
        </is>
      </c>
      <c r="C373" t="inlineStr">
        <is>
          <t>Trd_hdt</t>
        </is>
      </c>
      <c r="D373" t="n">
        <v>10.8</v>
      </c>
      <c r="E373" t="n">
        <v>10.8873959259748</v>
      </c>
      <c r="G373" t="n">
        <v>11.8798148919975</v>
      </c>
      <c r="H373" t="n">
        <v>12.3957618110037</v>
      </c>
      <c r="I373" t="n">
        <v>12.9127332617682</v>
      </c>
      <c r="J373" t="n">
        <v>13.372964996019</v>
      </c>
      <c r="K373" t="n">
        <v>13.8132494830826</v>
      </c>
      <c r="L373" t="n">
        <v>14.245228892024</v>
      </c>
      <c r="M373" t="n">
        <v>14.6741110222106</v>
      </c>
      <c r="N373" t="n">
        <v>15.1198925895994</v>
      </c>
      <c r="O373" t="n">
        <v>15.5846786975454</v>
      </c>
      <c r="P373" t="n">
        <v>16.0448275419587</v>
      </c>
      <c r="Q373" t="n">
        <v>16.4821128210633</v>
      </c>
      <c r="R373" t="n">
        <v>16.8757288993681</v>
      </c>
      <c r="S373" t="n">
        <v>17.216764287631</v>
      </c>
      <c r="T373" t="n">
        <v>17.5090495851687</v>
      </c>
      <c r="U373" t="n">
        <v>17.7597562400516</v>
      </c>
      <c r="V373" t="n">
        <v>17.9698108892324</v>
      </c>
      <c r="W373" t="n">
        <v>3</v>
      </c>
      <c r="AG373" s="223" t="inlineStr">
        <is>
          <t>GDP</t>
        </is>
      </c>
      <c r="AI373" t="n">
        <v>1</v>
      </c>
      <c r="AJ373" t="n">
        <v>1.01014620275503</v>
      </c>
      <c r="AK373" t="n">
        <v>1.12738821387204</v>
      </c>
      <c r="AL373" t="n">
        <v>1.19071587294486</v>
      </c>
      <c r="AM373" t="n">
        <v>1.25597341974685</v>
      </c>
      <c r="AN373" t="n">
        <v>1.31575732913481</v>
      </c>
      <c r="AO373" t="n">
        <v>1.37456830524255</v>
      </c>
      <c r="AP373" t="n">
        <v>1.43391013363274</v>
      </c>
      <c r="AQ373" t="n">
        <v>1.4945267176711</v>
      </c>
      <c r="AR373" t="n">
        <v>1.55938656911768</v>
      </c>
      <c r="AS373" t="n">
        <v>1.62911108696532</v>
      </c>
      <c r="AT373" t="n">
        <v>1.70037134803812</v>
      </c>
      <c r="AU373" t="n">
        <v>1.77032134494888</v>
      </c>
      <c r="AV373" t="n">
        <v>1.83536406524192</v>
      </c>
      <c r="AW373" t="n">
        <v>1.89354476522836</v>
      </c>
      <c r="AX373" t="n">
        <v>1.94497884757828</v>
      </c>
      <c r="AY373" t="n">
        <v>1.99044749959698</v>
      </c>
      <c r="AZ373" t="n">
        <v>2.02968440743037</v>
      </c>
      <c r="BA373" t="n">
        <v>0</v>
      </c>
      <c r="BB373" t="n">
        <v>0</v>
      </c>
      <c r="BC373" t="n">
        <v>0</v>
      </c>
      <c r="BD373" t="n">
        <v>0</v>
      </c>
      <c r="BE373" t="n">
        <v>0</v>
      </c>
      <c r="BF373" t="n">
        <v>0</v>
      </c>
      <c r="BG373" t="n">
        <v>0</v>
      </c>
      <c r="BH373" t="n">
        <v>0</v>
      </c>
      <c r="BJ373" t="inlineStr">
        <is>
          <t>Med2</t>
        </is>
      </c>
      <c r="BL373" t="n">
        <v>0.8</v>
      </c>
      <c r="BM373" t="n">
        <v>0.797560975609756</v>
      </c>
      <c r="BN373" t="n">
        <v>0.785365853658536</v>
      </c>
      <c r="BO373" t="n">
        <v>0.773170731707317</v>
      </c>
      <c r="BP373" t="n">
        <v>0.760975609756097</v>
      </c>
      <c r="BQ373" t="n">
        <v>0.748780487804878</v>
      </c>
      <c r="BR373" t="n">
        <v>0.736585365853658</v>
      </c>
      <c r="BS373" t="n">
        <v>0.724390243902439</v>
      </c>
      <c r="BT373" t="n">
        <v>0.71219512195122</v>
      </c>
      <c r="BU373" t="n">
        <v>0.699999999999999</v>
      </c>
      <c r="BV373" t="n">
        <v>0.687499999999999</v>
      </c>
      <c r="BW373" t="n">
        <v>0.675</v>
      </c>
      <c r="BX373" t="n">
        <v>0.6625</v>
      </c>
      <c r="BY373" t="n">
        <v>0.649999999999999</v>
      </c>
      <c r="BZ373" t="n">
        <v>0.637499999999999</v>
      </c>
      <c r="CA373" t="n">
        <v>0.625</v>
      </c>
      <c r="CB373" t="n">
        <v>0.6125</v>
      </c>
      <c r="CC373" t="n">
        <v>0.6</v>
      </c>
      <c r="CD373" t="e">
        <v>#VALUE!</v>
      </c>
      <c r="CE373" t="e">
        <v>#VALUE!</v>
      </c>
      <c r="CF373" t="e">
        <v>#VALUE!</v>
      </c>
      <c r="CG373" t="e">
        <v>#VALUE!</v>
      </c>
      <c r="CH373" t="e">
        <v>#VALUE!</v>
      </c>
      <c r="CI373" t="e">
        <v>#VALUE!</v>
      </c>
      <c r="CJ373" t="e">
        <v>#VALUE!</v>
      </c>
      <c r="CK373" t="e">
        <v>#VALUE!</v>
      </c>
    </row>
    <row r="374" ht="12.5" customHeight="1" s="213">
      <c r="A374" t="inlineStr">
        <is>
          <t>Switzerland</t>
        </is>
      </c>
      <c r="B374" t="inlineStr">
        <is>
          <t>Trd_lcv</t>
        </is>
      </c>
      <c r="C374" t="inlineStr">
        <is>
          <t>Trd_lcv</t>
        </is>
      </c>
      <c r="D374" t="n">
        <v>6.56</v>
      </c>
      <c r="E374" t="n">
        <v>6.61308493281432</v>
      </c>
      <c r="G374" t="n">
        <v>7.21588756402812</v>
      </c>
      <c r="H374" t="n">
        <v>7.52927754446151</v>
      </c>
      <c r="I374" t="n">
        <v>7.84328983307403</v>
      </c>
      <c r="J374" t="n">
        <v>8.12283799758193</v>
      </c>
      <c r="K374" t="n">
        <v>8.39027005639093</v>
      </c>
      <c r="L374" t="n">
        <v>8.652657549229399</v>
      </c>
      <c r="M374" t="n">
        <v>8.913163732009391</v>
      </c>
      <c r="N374" t="n">
        <v>9.18393475812702</v>
      </c>
      <c r="O374" t="n">
        <v>9.46624928295352</v>
      </c>
      <c r="P374" t="n">
        <v>9.74574709956007</v>
      </c>
      <c r="Q374" t="n">
        <v>10.0113574172384</v>
      </c>
      <c r="R374" t="n">
        <v>10.2504427388755</v>
      </c>
      <c r="S374" t="n">
        <v>10.4575901598944</v>
      </c>
      <c r="T374" t="n">
        <v>10.6351264146951</v>
      </c>
      <c r="U374" t="n">
        <v>10.7874074939572</v>
      </c>
      <c r="V374" t="n">
        <v>10.91499624383</v>
      </c>
      <c r="W374" t="n">
        <v>3</v>
      </c>
      <c r="AG374" s="223" t="inlineStr">
        <is>
          <t>GDP</t>
        </is>
      </c>
      <c r="AI374" t="n">
        <v>1</v>
      </c>
      <c r="AJ374" t="n">
        <v>1.01014620275503</v>
      </c>
      <c r="AK374" t="n">
        <v>1.12738821387204</v>
      </c>
      <c r="AL374" t="n">
        <v>1.19071587294486</v>
      </c>
      <c r="AM374" t="n">
        <v>1.25597341974685</v>
      </c>
      <c r="AN374" t="n">
        <v>1.31575732913481</v>
      </c>
      <c r="AO374" t="n">
        <v>1.37456830524255</v>
      </c>
      <c r="AP374" t="n">
        <v>1.43391013363274</v>
      </c>
      <c r="AQ374" t="n">
        <v>1.4945267176711</v>
      </c>
      <c r="AR374" t="n">
        <v>1.55938656911768</v>
      </c>
      <c r="AS374" t="n">
        <v>1.62911108696532</v>
      </c>
      <c r="AT374" t="n">
        <v>1.70037134803812</v>
      </c>
      <c r="AU374" t="n">
        <v>1.77032134494888</v>
      </c>
      <c r="AV374" t="n">
        <v>1.83536406524192</v>
      </c>
      <c r="AW374" t="n">
        <v>1.89354476522836</v>
      </c>
      <c r="AX374" t="n">
        <v>1.94497884757828</v>
      </c>
      <c r="AY374" t="n">
        <v>1.99044749959698</v>
      </c>
      <c r="AZ374" t="n">
        <v>2.02968440743037</v>
      </c>
      <c r="BA374" t="n">
        <v>0</v>
      </c>
      <c r="BB374" t="n">
        <v>0</v>
      </c>
      <c r="BC374" t="n">
        <v>0</v>
      </c>
      <c r="BD374" t="n">
        <v>0</v>
      </c>
      <c r="BE374" t="n">
        <v>0</v>
      </c>
      <c r="BF374" t="n">
        <v>0</v>
      </c>
      <c r="BG374" t="n">
        <v>0</v>
      </c>
      <c r="BH374" t="n">
        <v>0</v>
      </c>
      <c r="BJ374" t="inlineStr">
        <is>
          <t>Med2</t>
        </is>
      </c>
      <c r="BL374" t="n">
        <v>0.8</v>
      </c>
      <c r="BM374" t="n">
        <v>0.797560975609756</v>
      </c>
      <c r="BN374" t="n">
        <v>0.785365853658536</v>
      </c>
      <c r="BO374" t="n">
        <v>0.773170731707317</v>
      </c>
      <c r="BP374" t="n">
        <v>0.760975609756097</v>
      </c>
      <c r="BQ374" t="n">
        <v>0.748780487804878</v>
      </c>
      <c r="BR374" t="n">
        <v>0.736585365853658</v>
      </c>
      <c r="BS374" t="n">
        <v>0.724390243902439</v>
      </c>
      <c r="BT374" t="n">
        <v>0.71219512195122</v>
      </c>
      <c r="BU374" t="n">
        <v>0.699999999999999</v>
      </c>
      <c r="BV374" t="n">
        <v>0.687499999999999</v>
      </c>
      <c r="BW374" t="n">
        <v>0.675</v>
      </c>
      <c r="BX374" t="n">
        <v>0.6625</v>
      </c>
      <c r="BY374" t="n">
        <v>0.649999999999999</v>
      </c>
      <c r="BZ374" t="n">
        <v>0.637499999999999</v>
      </c>
      <c r="CA374" t="n">
        <v>0.625</v>
      </c>
      <c r="CB374" t="n">
        <v>0.6125</v>
      </c>
      <c r="CC374" t="n">
        <v>0.6</v>
      </c>
      <c r="CD374" t="e">
        <v>#VALUE!</v>
      </c>
      <c r="CE374" t="e">
        <v>#VALUE!</v>
      </c>
      <c r="CF374" t="e">
        <v>#VALUE!</v>
      </c>
      <c r="CG374" t="e">
        <v>#VALUE!</v>
      </c>
      <c r="CH374" t="e">
        <v>#VALUE!</v>
      </c>
      <c r="CI374" t="e">
        <v>#VALUE!</v>
      </c>
      <c r="CJ374" t="e">
        <v>#VALUE!</v>
      </c>
      <c r="CK374" t="e">
        <v>#VALUE!</v>
      </c>
    </row>
    <row r="375" ht="12.5" customHeight="1" s="213">
      <c r="A375" t="inlineStr">
        <is>
          <t>Turkey</t>
        </is>
      </c>
      <c r="B375" t="inlineStr">
        <is>
          <t>TAD</t>
        </is>
      </c>
      <c r="C375" t="inlineStr">
        <is>
          <t>TAD</t>
        </is>
      </c>
      <c r="E375" t="n">
        <v>51.6742677900742</v>
      </c>
      <c r="F375">
        <f>E375</f>
        <v/>
      </c>
      <c r="I375">
        <f>F375</f>
        <v/>
      </c>
      <c r="J375">
        <f>I375</f>
        <v/>
      </c>
      <c r="L375">
        <f>J375</f>
        <v/>
      </c>
      <c r="V375">
        <f>L375</f>
        <v/>
      </c>
      <c r="W375" t="n">
        <v>3</v>
      </c>
      <c r="AG375" s="223" t="inlineStr">
        <is>
          <t>GDP</t>
        </is>
      </c>
      <c r="AI375" t="n">
        <v>1</v>
      </c>
      <c r="AJ375" t="n">
        <v>1.03070655003645</v>
      </c>
      <c r="AK375" t="n">
        <v>1.34428477211982</v>
      </c>
      <c r="AL375" t="n">
        <v>1.62652730049637</v>
      </c>
      <c r="AM375" t="n">
        <v>1.90676524697143</v>
      </c>
      <c r="AN375" t="n">
        <v>2.16523048352945</v>
      </c>
      <c r="AO375" t="n">
        <v>2.41021468985387</v>
      </c>
      <c r="AP375" t="n">
        <v>2.63742233329862</v>
      </c>
      <c r="AQ375" t="n">
        <v>2.85196032489847</v>
      </c>
      <c r="AR375" t="n">
        <v>3.05092592592593</v>
      </c>
      <c r="AS375" t="n">
        <v>3.22479520288799</v>
      </c>
      <c r="AT375" t="n">
        <v>3.36675170953521</v>
      </c>
      <c r="AU375" t="n">
        <v>3.48119945156028</v>
      </c>
      <c r="AV375" t="n">
        <v>3.57173973411087</v>
      </c>
      <c r="AW375" t="n">
        <v>3.64571835190392</v>
      </c>
      <c r="AX375" t="n">
        <v>3.70923582908119</v>
      </c>
      <c r="AY375" t="n">
        <v>3.76525998819813</v>
      </c>
      <c r="AZ375" t="n">
        <v>3.81412926516019</v>
      </c>
      <c r="BA375" t="n">
        <v>0</v>
      </c>
      <c r="BB375" t="n">
        <v>0</v>
      </c>
      <c r="BC375" t="n">
        <v>0</v>
      </c>
      <c r="BD375" t="n">
        <v>0</v>
      </c>
      <c r="BE375" t="n">
        <v>0</v>
      </c>
      <c r="BF375" t="n">
        <v>0</v>
      </c>
      <c r="BG375" t="n">
        <v>0</v>
      </c>
      <c r="BH375" t="n">
        <v>0</v>
      </c>
      <c r="BJ375" t="inlineStr">
        <is>
          <t>Med2</t>
        </is>
      </c>
      <c r="BL375" t="n">
        <v>0.8</v>
      </c>
      <c r="BM375" t="n">
        <v>0.797560975609756</v>
      </c>
      <c r="BN375" t="n">
        <v>0.785365853658536</v>
      </c>
      <c r="BO375" t="n">
        <v>0.773170731707317</v>
      </c>
      <c r="BP375" t="n">
        <v>0.760975609756097</v>
      </c>
      <c r="BQ375" t="n">
        <v>0.748780487804878</v>
      </c>
      <c r="BR375" t="n">
        <v>0.736585365853658</v>
      </c>
      <c r="BS375" t="n">
        <v>0.724390243902439</v>
      </c>
      <c r="BT375" t="n">
        <v>0.71219512195122</v>
      </c>
      <c r="BU375" t="n">
        <v>0.699999999999999</v>
      </c>
      <c r="BV375" t="n">
        <v>0.687499999999999</v>
      </c>
      <c r="BW375" t="n">
        <v>0.675</v>
      </c>
      <c r="BX375" t="n">
        <v>0.6625</v>
      </c>
      <c r="BY375" t="n">
        <v>0.649999999999999</v>
      </c>
      <c r="BZ375" t="n">
        <v>0.637499999999999</v>
      </c>
      <c r="CA375" t="n">
        <v>0.625</v>
      </c>
      <c r="CB375" t="n">
        <v>0.6125</v>
      </c>
      <c r="CC375" t="n">
        <v>0.6</v>
      </c>
      <c r="CD375" t="e">
        <v>#VALUE!</v>
      </c>
      <c r="CE375" t="e">
        <v>#VALUE!</v>
      </c>
      <c r="CF375" t="e">
        <v>#VALUE!</v>
      </c>
      <c r="CG375" t="e">
        <v>#VALUE!</v>
      </c>
      <c r="CH375" t="e">
        <v>#VALUE!</v>
      </c>
      <c r="CI375" t="e">
        <v>#VALUE!</v>
      </c>
      <c r="CJ375" t="e">
        <v>#VALUE!</v>
      </c>
      <c r="CK375" t="e">
        <v>#VALUE!</v>
      </c>
    </row>
    <row r="376" ht="12.5" customHeight="1" s="213">
      <c r="A376" t="inlineStr">
        <is>
          <t>Turkey</t>
        </is>
      </c>
      <c r="B376" t="inlineStr">
        <is>
          <t>TAI</t>
        </is>
      </c>
      <c r="C376" t="inlineStr">
        <is>
          <t>TAI</t>
        </is>
      </c>
      <c r="E376" t="n">
        <v>188.943680282024</v>
      </c>
      <c r="F376">
        <f>E376</f>
        <v/>
      </c>
      <c r="I376">
        <f>F376</f>
        <v/>
      </c>
      <c r="J376">
        <f>I376</f>
        <v/>
      </c>
      <c r="L376">
        <f>J376</f>
        <v/>
      </c>
      <c r="V376">
        <f>L376</f>
        <v/>
      </c>
      <c r="W376" t="n">
        <v>3</v>
      </c>
      <c r="AG376" s="223" t="inlineStr">
        <is>
          <t>GDP</t>
        </is>
      </c>
      <c r="AI376" t="n">
        <v>1</v>
      </c>
      <c r="AJ376" t="n">
        <v>1.03070655003645</v>
      </c>
      <c r="AK376" t="n">
        <v>1.34428477211982</v>
      </c>
      <c r="AL376" t="n">
        <v>1.62652730049637</v>
      </c>
      <c r="AM376" t="n">
        <v>1.90676524697143</v>
      </c>
      <c r="AN376" t="n">
        <v>2.16523048352945</v>
      </c>
      <c r="AO376" t="n">
        <v>2.41021468985387</v>
      </c>
      <c r="AP376" t="n">
        <v>2.63742233329862</v>
      </c>
      <c r="AQ376" t="n">
        <v>2.85196032489847</v>
      </c>
      <c r="AR376" t="n">
        <v>3.05092592592593</v>
      </c>
      <c r="AS376" t="n">
        <v>3.22479520288799</v>
      </c>
      <c r="AT376" t="n">
        <v>3.36675170953521</v>
      </c>
      <c r="AU376" t="n">
        <v>3.48119945156028</v>
      </c>
      <c r="AV376" t="n">
        <v>3.57173973411087</v>
      </c>
      <c r="AW376" t="n">
        <v>3.64571835190392</v>
      </c>
      <c r="AX376" t="n">
        <v>3.70923582908119</v>
      </c>
      <c r="AY376" t="n">
        <v>3.76525998819813</v>
      </c>
      <c r="AZ376" t="n">
        <v>3.81412926516019</v>
      </c>
      <c r="BA376" t="n">
        <v>0</v>
      </c>
      <c r="BB376" t="n">
        <v>0</v>
      </c>
      <c r="BC376" t="n">
        <v>0</v>
      </c>
      <c r="BD376" t="n">
        <v>0</v>
      </c>
      <c r="BE376" t="n">
        <v>0</v>
      </c>
      <c r="BF376" t="n">
        <v>0</v>
      </c>
      <c r="BG376" t="n">
        <v>0</v>
      </c>
      <c r="BH376" t="n">
        <v>0</v>
      </c>
      <c r="BJ376" t="inlineStr">
        <is>
          <t>Med2</t>
        </is>
      </c>
      <c r="BL376" t="n">
        <v>0.8</v>
      </c>
      <c r="BM376" t="n">
        <v>0.797560975609756</v>
      </c>
      <c r="BN376" t="n">
        <v>0.785365853658536</v>
      </c>
      <c r="BO376" t="n">
        <v>0.773170731707317</v>
      </c>
      <c r="BP376" t="n">
        <v>0.760975609756097</v>
      </c>
      <c r="BQ376" t="n">
        <v>0.748780487804878</v>
      </c>
      <c r="BR376" t="n">
        <v>0.736585365853658</v>
      </c>
      <c r="BS376" t="n">
        <v>0.724390243902439</v>
      </c>
      <c r="BT376" t="n">
        <v>0.71219512195122</v>
      </c>
      <c r="BU376" t="n">
        <v>0.699999999999999</v>
      </c>
      <c r="BV376" t="n">
        <v>0.687499999999999</v>
      </c>
      <c r="BW376" t="n">
        <v>0.675</v>
      </c>
      <c r="BX376" t="n">
        <v>0.6625</v>
      </c>
      <c r="BY376" t="n">
        <v>0.649999999999999</v>
      </c>
      <c r="BZ376" t="n">
        <v>0.637499999999999</v>
      </c>
      <c r="CA376" t="n">
        <v>0.625</v>
      </c>
      <c r="CB376" t="n">
        <v>0.6125</v>
      </c>
      <c r="CC376" t="n">
        <v>0.6</v>
      </c>
      <c r="CD376" t="e">
        <v>#VALUE!</v>
      </c>
      <c r="CE376" t="e">
        <v>#VALUE!</v>
      </c>
      <c r="CF376" t="e">
        <v>#VALUE!</v>
      </c>
      <c r="CG376" t="e">
        <v>#VALUE!</v>
      </c>
      <c r="CH376" t="e">
        <v>#VALUE!</v>
      </c>
      <c r="CI376" t="e">
        <v>#VALUE!</v>
      </c>
      <c r="CJ376" t="e">
        <v>#VALUE!</v>
      </c>
      <c r="CK376" t="e">
        <v>#VALUE!</v>
      </c>
    </row>
    <row r="377" ht="12.5" customHeight="1" s="213">
      <c r="A377" t="inlineStr">
        <is>
          <t>Turkey</t>
        </is>
      </c>
      <c r="B377" t="inlineStr">
        <is>
          <t>TTF</t>
        </is>
      </c>
      <c r="C377" t="inlineStr">
        <is>
          <t>TTF</t>
        </is>
      </c>
      <c r="E377" t="n">
        <v>3.95764867674044</v>
      </c>
      <c r="I377" t="n">
        <v>6.4464674603342</v>
      </c>
      <c r="J377" t="n">
        <v>7.10077394538316</v>
      </c>
      <c r="L377" t="n">
        <v>8.21786107201598</v>
      </c>
      <c r="V377" t="n">
        <v>10.5694547388171</v>
      </c>
      <c r="W377" t="n">
        <v>3</v>
      </c>
      <c r="AG377" s="223" t="inlineStr">
        <is>
          <t>GDP</t>
        </is>
      </c>
      <c r="AI377" t="n">
        <v>1</v>
      </c>
      <c r="AJ377" t="n">
        <v>1.03070655003645</v>
      </c>
      <c r="AK377" t="n">
        <v>1.34428477211982</v>
      </c>
      <c r="AL377" t="n">
        <v>1.62652730049637</v>
      </c>
      <c r="AM377" t="n">
        <v>1.90676524697143</v>
      </c>
      <c r="AN377" t="n">
        <v>2.16523048352945</v>
      </c>
      <c r="AO377" t="n">
        <v>2.41021468985387</v>
      </c>
      <c r="AP377" t="n">
        <v>2.63742233329862</v>
      </c>
      <c r="AQ377" t="n">
        <v>2.85196032489847</v>
      </c>
      <c r="AR377" t="n">
        <v>3.05092592592593</v>
      </c>
      <c r="AS377" t="n">
        <v>3.22479520288799</v>
      </c>
      <c r="AT377" t="n">
        <v>3.36675170953521</v>
      </c>
      <c r="AU377" t="n">
        <v>3.48119945156028</v>
      </c>
      <c r="AV377" t="n">
        <v>3.57173973411087</v>
      </c>
      <c r="AW377" t="n">
        <v>3.64571835190392</v>
      </c>
      <c r="AX377" t="n">
        <v>3.70923582908119</v>
      </c>
      <c r="AY377" t="n">
        <v>3.76525998819813</v>
      </c>
      <c r="AZ377" t="n">
        <v>3.81412926516019</v>
      </c>
      <c r="BA377" t="n">
        <v>0</v>
      </c>
      <c r="BB377" t="n">
        <v>0</v>
      </c>
      <c r="BC377" t="n">
        <v>0</v>
      </c>
      <c r="BD377" t="n">
        <v>0</v>
      </c>
      <c r="BE377" t="n">
        <v>0</v>
      </c>
      <c r="BF377" t="n">
        <v>0</v>
      </c>
      <c r="BG377" t="n">
        <v>0</v>
      </c>
      <c r="BH377" t="n">
        <v>0</v>
      </c>
      <c r="BJ377" t="inlineStr">
        <is>
          <t>Med2</t>
        </is>
      </c>
      <c r="BL377" t="n">
        <v>0.8</v>
      </c>
      <c r="BM377" t="n">
        <v>0.797560975609756</v>
      </c>
      <c r="BN377" t="n">
        <v>0.785365853658536</v>
      </c>
      <c r="BO377" t="n">
        <v>0.773170731707317</v>
      </c>
      <c r="BP377" t="n">
        <v>0.760975609756097</v>
      </c>
      <c r="BQ377" t="n">
        <v>0.748780487804878</v>
      </c>
      <c r="BR377" t="n">
        <v>0.736585365853658</v>
      </c>
      <c r="BS377" t="n">
        <v>0.724390243902439</v>
      </c>
      <c r="BT377" t="n">
        <v>0.71219512195122</v>
      </c>
      <c r="BU377" t="n">
        <v>0.699999999999999</v>
      </c>
      <c r="BV377" t="n">
        <v>0.687499999999999</v>
      </c>
      <c r="BW377" t="n">
        <v>0.675</v>
      </c>
      <c r="BX377" t="n">
        <v>0.6625</v>
      </c>
      <c r="BY377" t="n">
        <v>0.649999999999999</v>
      </c>
      <c r="BZ377" t="n">
        <v>0.637499999999999</v>
      </c>
      <c r="CA377" t="n">
        <v>0.625</v>
      </c>
      <c r="CB377" t="n">
        <v>0.6125</v>
      </c>
      <c r="CC377" t="n">
        <v>0.6</v>
      </c>
      <c r="CD377" t="e">
        <v>#VALUE!</v>
      </c>
      <c r="CE377" t="e">
        <v>#VALUE!</v>
      </c>
      <c r="CF377" t="e">
        <v>#VALUE!</v>
      </c>
      <c r="CG377" t="e">
        <v>#VALUE!</v>
      </c>
      <c r="CH377" t="e">
        <v>#VALUE!</v>
      </c>
      <c r="CI377" t="e">
        <v>#VALUE!</v>
      </c>
      <c r="CJ377" t="e">
        <v>#VALUE!</v>
      </c>
      <c r="CK377" t="e">
        <v>#VALUE!</v>
      </c>
    </row>
    <row r="378" ht="12.5" customHeight="1" s="213">
      <c r="A378" t="inlineStr">
        <is>
          <t>Turkey</t>
        </is>
      </c>
      <c r="B378" t="inlineStr">
        <is>
          <t>TTP</t>
        </is>
      </c>
      <c r="C378" t="inlineStr">
        <is>
          <t>TTP</t>
        </is>
      </c>
      <c r="E378" t="n">
        <v>5.66430246258363</v>
      </c>
      <c r="I378" t="n">
        <v>6.10401954633122</v>
      </c>
      <c r="J378" t="n">
        <v>6.19700482916527</v>
      </c>
      <c r="L378" t="n">
        <v>6.30371330506704</v>
      </c>
      <c r="V378" t="n">
        <v>5.7761418345808</v>
      </c>
      <c r="W378" t="n">
        <v>3</v>
      </c>
      <c r="AG378" s="223" t="inlineStr">
        <is>
          <t>POP</t>
        </is>
      </c>
      <c r="AI378" t="n">
        <v>1</v>
      </c>
      <c r="AJ378" t="n">
        <v>1.00786822566407</v>
      </c>
      <c r="AK378" t="n">
        <v>1.04720935398443</v>
      </c>
      <c r="AL378" t="n">
        <v>1.0816769759546</v>
      </c>
      <c r="AM378" t="n">
        <v>1.10957813291271</v>
      </c>
      <c r="AN378" t="n">
        <v>1.13215177689108</v>
      </c>
      <c r="AO378" t="n">
        <v>1.14910195098027</v>
      </c>
      <c r="AP378" t="n">
        <v>1.15881636284435</v>
      </c>
      <c r="AQ378" t="n">
        <v>1.16158245541562</v>
      </c>
      <c r="AR378" t="n">
        <v>1.15725502209209</v>
      </c>
      <c r="AS378" t="n">
        <v>1.14748269594269</v>
      </c>
      <c r="AT378" t="n">
        <v>1.13394754062466</v>
      </c>
      <c r="AU378" t="n">
        <v>1.11752354956462</v>
      </c>
      <c r="AV378" t="n">
        <v>1.09870962017849</v>
      </c>
      <c r="AW378" t="n">
        <v>1.07797469463202</v>
      </c>
      <c r="AX378" t="n">
        <v>1.05592007857487</v>
      </c>
      <c r="AY378" t="n">
        <v>1.03306606259438</v>
      </c>
      <c r="AZ378" t="n">
        <v>1.00962178027359</v>
      </c>
      <c r="BA378" t="n">
        <v>0</v>
      </c>
      <c r="BB378" t="n">
        <v>0</v>
      </c>
      <c r="BC378" t="n">
        <v>0</v>
      </c>
      <c r="BD378" t="n">
        <v>0</v>
      </c>
      <c r="BE378" t="n">
        <v>0</v>
      </c>
      <c r="BF378" t="n">
        <v>0</v>
      </c>
      <c r="BG378" t="n">
        <v>0</v>
      </c>
      <c r="BH378" t="n">
        <v>0</v>
      </c>
      <c r="BJ378" t="inlineStr">
        <is>
          <t>Med2</t>
        </is>
      </c>
      <c r="BL378" t="n">
        <v>0.8</v>
      </c>
      <c r="BM378" t="n">
        <v>0.797560975609756</v>
      </c>
      <c r="BN378" t="n">
        <v>0.785365853658536</v>
      </c>
      <c r="BO378" t="n">
        <v>0.773170731707317</v>
      </c>
      <c r="BP378" t="n">
        <v>0.760975609756097</v>
      </c>
      <c r="BQ378" t="n">
        <v>0.748780487804878</v>
      </c>
      <c r="BR378" t="n">
        <v>0.736585365853658</v>
      </c>
      <c r="BS378" t="n">
        <v>0.724390243902439</v>
      </c>
      <c r="BT378" t="n">
        <v>0.71219512195122</v>
      </c>
      <c r="BU378" t="n">
        <v>0.699999999999999</v>
      </c>
      <c r="BV378" t="n">
        <v>0.687499999999999</v>
      </c>
      <c r="BW378" t="n">
        <v>0.675</v>
      </c>
      <c r="BX378" t="n">
        <v>0.6625</v>
      </c>
      <c r="BY378" t="n">
        <v>0.649999999999999</v>
      </c>
      <c r="BZ378" t="n">
        <v>0.637499999999999</v>
      </c>
      <c r="CA378" t="n">
        <v>0.625</v>
      </c>
      <c r="CB378" t="n">
        <v>0.6125</v>
      </c>
      <c r="CC378" t="n">
        <v>0.6</v>
      </c>
      <c r="CD378" t="e">
        <v>#VALUE!</v>
      </c>
      <c r="CE378" t="e">
        <v>#VALUE!</v>
      </c>
      <c r="CF378" t="e">
        <v>#VALUE!</v>
      </c>
      <c r="CG378" t="e">
        <v>#VALUE!</v>
      </c>
      <c r="CH378" t="e">
        <v>#VALUE!</v>
      </c>
      <c r="CI378" t="e">
        <v>#VALUE!</v>
      </c>
      <c r="CJ378" t="e">
        <v>#VALUE!</v>
      </c>
      <c r="CK378" t="e">
        <v>#VALUE!</v>
      </c>
    </row>
    <row r="379" ht="12.5" customHeight="1" s="213">
      <c r="A379" t="inlineStr">
        <is>
          <t>Turkey</t>
        </is>
      </c>
      <c r="B379" t="inlineStr">
        <is>
          <t>TWD</t>
        </is>
      </c>
      <c r="C379" t="inlineStr">
        <is>
          <t>TWD</t>
        </is>
      </c>
      <c r="E379" t="n">
        <v>16.622151379341</v>
      </c>
      <c r="F379">
        <f>E379</f>
        <v/>
      </c>
      <c r="I379">
        <f>F379</f>
        <v/>
      </c>
      <c r="J379">
        <f>I379</f>
        <v/>
      </c>
      <c r="L379">
        <f>J379</f>
        <v/>
      </c>
      <c r="V379">
        <f>L379</f>
        <v/>
      </c>
      <c r="W379" t="n">
        <v>3</v>
      </c>
      <c r="AG379" s="223" t="inlineStr">
        <is>
          <t>GDP</t>
        </is>
      </c>
      <c r="AI379" t="n">
        <v>1</v>
      </c>
      <c r="AJ379" t="n">
        <v>1.03070655003645</v>
      </c>
      <c r="AK379" t="n">
        <v>1.34428477211982</v>
      </c>
      <c r="AL379" t="n">
        <v>1.62652730049637</v>
      </c>
      <c r="AM379" t="n">
        <v>1.90676524697143</v>
      </c>
      <c r="AN379" t="n">
        <v>2.16523048352945</v>
      </c>
      <c r="AO379" t="n">
        <v>2.41021468985387</v>
      </c>
      <c r="AP379" t="n">
        <v>2.63742233329862</v>
      </c>
      <c r="AQ379" t="n">
        <v>2.85196032489847</v>
      </c>
      <c r="AR379" t="n">
        <v>3.05092592592593</v>
      </c>
      <c r="AS379" t="n">
        <v>3.22479520288799</v>
      </c>
      <c r="AT379" t="n">
        <v>3.36675170953521</v>
      </c>
      <c r="AU379" t="n">
        <v>3.48119945156028</v>
      </c>
      <c r="AV379" t="n">
        <v>3.57173973411087</v>
      </c>
      <c r="AW379" t="n">
        <v>3.64571835190392</v>
      </c>
      <c r="AX379" t="n">
        <v>3.70923582908119</v>
      </c>
      <c r="AY379" t="n">
        <v>3.76525998819813</v>
      </c>
      <c r="AZ379" t="n">
        <v>3.81412926516019</v>
      </c>
      <c r="BA379" t="n">
        <v>0</v>
      </c>
      <c r="BB379" t="n">
        <v>0</v>
      </c>
      <c r="BC379" t="n">
        <v>0</v>
      </c>
      <c r="BD379" t="n">
        <v>0</v>
      </c>
      <c r="BE379" t="n">
        <v>0</v>
      </c>
      <c r="BF379" t="n">
        <v>0</v>
      </c>
      <c r="BG379" t="n">
        <v>0</v>
      </c>
      <c r="BH379" t="n">
        <v>0</v>
      </c>
      <c r="BJ379" t="inlineStr">
        <is>
          <t>Med2</t>
        </is>
      </c>
      <c r="BL379" t="n">
        <v>0.8</v>
      </c>
      <c r="BM379" t="n">
        <v>0.797560975609756</v>
      </c>
      <c r="BN379" t="n">
        <v>0.785365853658536</v>
      </c>
      <c r="BO379" t="n">
        <v>0.773170731707317</v>
      </c>
      <c r="BP379" t="n">
        <v>0.760975609756097</v>
      </c>
      <c r="BQ379" t="n">
        <v>0.748780487804878</v>
      </c>
      <c r="BR379" t="n">
        <v>0.736585365853658</v>
      </c>
      <c r="BS379" t="n">
        <v>0.724390243902439</v>
      </c>
      <c r="BT379" t="n">
        <v>0.71219512195122</v>
      </c>
      <c r="BU379" t="n">
        <v>0.699999999999999</v>
      </c>
      <c r="BV379" t="n">
        <v>0.687499999999999</v>
      </c>
      <c r="BW379" t="n">
        <v>0.675</v>
      </c>
      <c r="BX379" t="n">
        <v>0.6625</v>
      </c>
      <c r="BY379" t="n">
        <v>0.649999999999999</v>
      </c>
      <c r="BZ379" t="n">
        <v>0.637499999999999</v>
      </c>
      <c r="CA379" t="n">
        <v>0.625</v>
      </c>
      <c r="CB379" t="n">
        <v>0.6125</v>
      </c>
      <c r="CC379" t="n">
        <v>0.6</v>
      </c>
      <c r="CD379" t="e">
        <v>#VALUE!</v>
      </c>
      <c r="CE379" t="e">
        <v>#VALUE!</v>
      </c>
      <c r="CF379" t="e">
        <v>#VALUE!</v>
      </c>
      <c r="CG379" t="e">
        <v>#VALUE!</v>
      </c>
      <c r="CH379" t="e">
        <v>#VALUE!</v>
      </c>
      <c r="CI379" t="e">
        <v>#VALUE!</v>
      </c>
      <c r="CJ379" t="e">
        <v>#VALUE!</v>
      </c>
      <c r="CK379" t="e">
        <v>#VALUE!</v>
      </c>
    </row>
    <row r="380" ht="12.5" customHeight="1" s="213">
      <c r="A380" t="inlineStr">
        <is>
          <t>Turkey</t>
        </is>
      </c>
      <c r="B380" t="inlineStr">
        <is>
          <t>TWI</t>
        </is>
      </c>
      <c r="C380" t="inlineStr">
        <is>
          <t>TWI</t>
        </is>
      </c>
      <c r="E380" t="n">
        <v>37.8006200912268</v>
      </c>
      <c r="F380">
        <f>E380</f>
        <v/>
      </c>
      <c r="I380">
        <f>F380</f>
        <v/>
      </c>
      <c r="J380">
        <f>I380</f>
        <v/>
      </c>
      <c r="L380">
        <f>J380</f>
        <v/>
      </c>
      <c r="V380">
        <f>L380</f>
        <v/>
      </c>
      <c r="W380" t="n">
        <v>3</v>
      </c>
      <c r="AG380" s="223" t="inlineStr">
        <is>
          <t>GDP</t>
        </is>
      </c>
      <c r="AI380" t="n">
        <v>1</v>
      </c>
      <c r="AJ380" t="n">
        <v>1.03070655003645</v>
      </c>
      <c r="AK380" t="n">
        <v>1.34428477211982</v>
      </c>
      <c r="AL380" t="n">
        <v>1.62652730049637</v>
      </c>
      <c r="AM380" t="n">
        <v>1.90676524697143</v>
      </c>
      <c r="AN380" t="n">
        <v>2.16523048352945</v>
      </c>
      <c r="AO380" t="n">
        <v>2.41021468985387</v>
      </c>
      <c r="AP380" t="n">
        <v>2.63742233329862</v>
      </c>
      <c r="AQ380" t="n">
        <v>2.85196032489847</v>
      </c>
      <c r="AR380" t="n">
        <v>3.05092592592593</v>
      </c>
      <c r="AS380" t="n">
        <v>3.22479520288799</v>
      </c>
      <c r="AT380" t="n">
        <v>3.36675170953521</v>
      </c>
      <c r="AU380" t="n">
        <v>3.48119945156028</v>
      </c>
      <c r="AV380" t="n">
        <v>3.57173973411087</v>
      </c>
      <c r="AW380" t="n">
        <v>3.64571835190392</v>
      </c>
      <c r="AX380" t="n">
        <v>3.70923582908119</v>
      </c>
      <c r="AY380" t="n">
        <v>3.76525998819813</v>
      </c>
      <c r="AZ380" t="n">
        <v>3.81412926516019</v>
      </c>
      <c r="BA380" t="n">
        <v>0</v>
      </c>
      <c r="BB380" t="n">
        <v>0</v>
      </c>
      <c r="BC380" t="n">
        <v>0</v>
      </c>
      <c r="BD380" t="n">
        <v>0</v>
      </c>
      <c r="BE380" t="n">
        <v>0</v>
      </c>
      <c r="BF380" t="n">
        <v>0</v>
      </c>
      <c r="BG380" t="n">
        <v>0</v>
      </c>
      <c r="BH380" t="n">
        <v>0</v>
      </c>
      <c r="BJ380" t="inlineStr">
        <is>
          <t>Med2</t>
        </is>
      </c>
      <c r="BL380" t="n">
        <v>0.8</v>
      </c>
      <c r="BM380" t="n">
        <v>0.797560975609756</v>
      </c>
      <c r="BN380" t="n">
        <v>0.785365853658536</v>
      </c>
      <c r="BO380" t="n">
        <v>0.773170731707317</v>
      </c>
      <c r="BP380" t="n">
        <v>0.760975609756097</v>
      </c>
      <c r="BQ380" t="n">
        <v>0.748780487804878</v>
      </c>
      <c r="BR380" t="n">
        <v>0.736585365853658</v>
      </c>
      <c r="BS380" t="n">
        <v>0.724390243902439</v>
      </c>
      <c r="BT380" t="n">
        <v>0.71219512195122</v>
      </c>
      <c r="BU380" t="n">
        <v>0.699999999999999</v>
      </c>
      <c r="BV380" t="n">
        <v>0.687499999999999</v>
      </c>
      <c r="BW380" t="n">
        <v>0.675</v>
      </c>
      <c r="BX380" t="n">
        <v>0.6625</v>
      </c>
      <c r="BY380" t="n">
        <v>0.649999999999999</v>
      </c>
      <c r="BZ380" t="n">
        <v>0.637499999999999</v>
      </c>
      <c r="CA380" t="n">
        <v>0.625</v>
      </c>
      <c r="CB380" t="n">
        <v>0.6125</v>
      </c>
      <c r="CC380" t="n">
        <v>0.6</v>
      </c>
      <c r="CD380" t="e">
        <v>#VALUE!</v>
      </c>
      <c r="CE380" t="e">
        <v>#VALUE!</v>
      </c>
      <c r="CF380" t="e">
        <v>#VALUE!</v>
      </c>
      <c r="CG380" t="e">
        <v>#VALUE!</v>
      </c>
      <c r="CH380" t="e">
        <v>#VALUE!</v>
      </c>
      <c r="CI380" t="e">
        <v>#VALUE!</v>
      </c>
      <c r="CJ380" t="e">
        <v>#VALUE!</v>
      </c>
      <c r="CK380" t="e">
        <v>#VALUE!</v>
      </c>
    </row>
    <row r="381" ht="12.5" customHeight="1" s="213">
      <c r="A381" t="inlineStr">
        <is>
          <t>Turkey</t>
        </is>
      </c>
      <c r="B381" t="inlineStr">
        <is>
          <t>Trd_2w</t>
        </is>
      </c>
      <c r="C381" t="inlineStr">
        <is>
          <t>Trd_2w</t>
        </is>
      </c>
      <c r="D381" t="n">
        <v>1.379</v>
      </c>
      <c r="E381" t="n">
        <v>1.38765376244726</v>
      </c>
      <c r="G381" t="n">
        <v>1.43019363557436</v>
      </c>
      <c r="H381" t="n">
        <v>1.46658916614505</v>
      </c>
      <c r="I381" t="n">
        <v>1.49537665855058</v>
      </c>
      <c r="J381" t="n">
        <v>1.51815640564728</v>
      </c>
      <c r="K381" t="n">
        <v>1.53489847409426</v>
      </c>
      <c r="L381" t="n">
        <v>1.54429809194462</v>
      </c>
      <c r="M381" t="n">
        <v>1.54692341178661</v>
      </c>
      <c r="N381" t="n">
        <v>1.54288930682667</v>
      </c>
      <c r="O381" t="n">
        <v>1.53393202269634</v>
      </c>
      <c r="P381" t="n">
        <v>1.52171889253992</v>
      </c>
      <c r="Q381" t="n">
        <v>1.50711710410446</v>
      </c>
      <c r="R381" t="n">
        <v>1.4906247298634</v>
      </c>
      <c r="S381" t="n">
        <v>1.47269110568949</v>
      </c>
      <c r="T381" t="n">
        <v>1.45385970531635</v>
      </c>
      <c r="U381" t="n">
        <v>1.43458622824371</v>
      </c>
      <c r="V381" t="n">
        <v>1.41505242739617</v>
      </c>
      <c r="W381" t="n">
        <v>3</v>
      </c>
      <c r="AG381" s="223" t="inlineStr">
        <is>
          <t>POP</t>
        </is>
      </c>
      <c r="AI381" t="n">
        <v>1</v>
      </c>
      <c r="AJ381" t="n">
        <v>1.00786822566407</v>
      </c>
      <c r="AK381" t="n">
        <v>1.04720935398443</v>
      </c>
      <c r="AL381" t="n">
        <v>1.0816769759546</v>
      </c>
      <c r="AM381" t="n">
        <v>1.10957813291271</v>
      </c>
      <c r="AN381" t="n">
        <v>1.13215177689108</v>
      </c>
      <c r="AO381" t="n">
        <v>1.14910195098027</v>
      </c>
      <c r="AP381" t="n">
        <v>1.15881636284435</v>
      </c>
      <c r="AQ381" t="n">
        <v>1.16158245541562</v>
      </c>
      <c r="AR381" t="n">
        <v>1.15725502209209</v>
      </c>
      <c r="AS381" t="n">
        <v>1.14748269594269</v>
      </c>
      <c r="AT381" t="n">
        <v>1.13394754062466</v>
      </c>
      <c r="AU381" t="n">
        <v>1.11752354956462</v>
      </c>
      <c r="AV381" t="n">
        <v>1.09870962017849</v>
      </c>
      <c r="AW381" t="n">
        <v>1.07797469463202</v>
      </c>
      <c r="AX381" t="n">
        <v>1.05592007857487</v>
      </c>
      <c r="AY381" t="n">
        <v>1.03306606259438</v>
      </c>
      <c r="AZ381" t="n">
        <v>1.00962178027359</v>
      </c>
      <c r="BA381" t="n">
        <v>0</v>
      </c>
      <c r="BB381" t="n">
        <v>0</v>
      </c>
      <c r="BC381" t="n">
        <v>0</v>
      </c>
      <c r="BD381" t="n">
        <v>0</v>
      </c>
      <c r="BE381" t="n">
        <v>0</v>
      </c>
      <c r="BF381" t="n">
        <v>0</v>
      </c>
      <c r="BG381" t="n">
        <v>0</v>
      </c>
      <c r="BH381" t="n">
        <v>0</v>
      </c>
      <c r="BJ381" t="inlineStr">
        <is>
          <t>Med2</t>
        </is>
      </c>
      <c r="BL381" t="n">
        <v>0.8</v>
      </c>
      <c r="BM381" t="n">
        <v>0.797560975609756</v>
      </c>
      <c r="BN381" t="n">
        <v>0.785365853658536</v>
      </c>
      <c r="BO381" t="n">
        <v>0.773170731707317</v>
      </c>
      <c r="BP381" t="n">
        <v>0.760975609756097</v>
      </c>
      <c r="BQ381" t="n">
        <v>0.748780487804878</v>
      </c>
      <c r="BR381" t="n">
        <v>0.736585365853658</v>
      </c>
      <c r="BS381" t="n">
        <v>0.724390243902439</v>
      </c>
      <c r="BT381" t="n">
        <v>0.71219512195122</v>
      </c>
      <c r="BU381" t="n">
        <v>0.699999999999999</v>
      </c>
      <c r="BV381" t="n">
        <v>0.687499999999999</v>
      </c>
      <c r="BW381" t="n">
        <v>0.675</v>
      </c>
      <c r="BX381" t="n">
        <v>0.6625</v>
      </c>
      <c r="BY381" t="n">
        <v>0.649999999999999</v>
      </c>
      <c r="BZ381" t="n">
        <v>0.637499999999999</v>
      </c>
      <c r="CA381" t="n">
        <v>0.625</v>
      </c>
      <c r="CB381" t="n">
        <v>0.6125</v>
      </c>
      <c r="CC381" t="n">
        <v>0.6</v>
      </c>
      <c r="CD381" t="e">
        <v>#VALUE!</v>
      </c>
      <c r="CE381" t="e">
        <v>#VALUE!</v>
      </c>
      <c r="CF381" t="e">
        <v>#VALUE!</v>
      </c>
      <c r="CG381" t="e">
        <v>#VALUE!</v>
      </c>
      <c r="CH381" t="e">
        <v>#VALUE!</v>
      </c>
      <c r="CI381" t="e">
        <v>#VALUE!</v>
      </c>
      <c r="CJ381" t="e">
        <v>#VALUE!</v>
      </c>
      <c r="CK381" t="e">
        <v>#VALUE!</v>
      </c>
    </row>
    <row r="382" ht="12.5" customHeight="1" s="213">
      <c r="A382" t="inlineStr">
        <is>
          <t>Turkey</t>
        </is>
      </c>
      <c r="B382" t="inlineStr">
        <is>
          <t>Trd_3w</t>
        </is>
      </c>
      <c r="C382" t="inlineStr">
        <is>
          <t>Trd_3w</t>
        </is>
      </c>
      <c r="D382" t="n">
        <v>0.405</v>
      </c>
      <c r="E382" t="n">
        <v>0.407541532843466</v>
      </c>
      <c r="G382" t="n">
        <v>0.420035114146203</v>
      </c>
      <c r="H382" t="n">
        <v>0.430724156844632</v>
      </c>
      <c r="I382" t="n">
        <v>0.439178786593898</v>
      </c>
      <c r="J382" t="n">
        <v>0.445868995132088</v>
      </c>
      <c r="K382" t="n">
        <v>0.450785991303972</v>
      </c>
      <c r="L382" t="n">
        <v>0.453546575226665</v>
      </c>
      <c r="M382" t="n">
        <v>0.4543176082477</v>
      </c>
      <c r="N382" t="n">
        <v>0.453132827603191</v>
      </c>
      <c r="O382" t="n">
        <v>0.450502153148671</v>
      </c>
      <c r="P382" t="n">
        <v>0.44691526575683</v>
      </c>
      <c r="Q382" t="n">
        <v>0.442626850734086</v>
      </c>
      <c r="R382" t="n">
        <v>0.437783187523334</v>
      </c>
      <c r="S382" t="n">
        <v>0.432516242062539</v>
      </c>
      <c r="T382" t="n">
        <v>0.426985627739754</v>
      </c>
      <c r="U382" t="n">
        <v>0.421325179433433</v>
      </c>
      <c r="V382" t="n">
        <v>0.41558827635638</v>
      </c>
      <c r="W382" t="n">
        <v>3</v>
      </c>
      <c r="AG382" s="223" t="inlineStr">
        <is>
          <t>POP</t>
        </is>
      </c>
      <c r="AI382" t="n">
        <v>1</v>
      </c>
      <c r="AJ382" t="n">
        <v>1.00786822566407</v>
      </c>
      <c r="AK382" t="n">
        <v>1.04720935398443</v>
      </c>
      <c r="AL382" t="n">
        <v>1.0816769759546</v>
      </c>
      <c r="AM382" t="n">
        <v>1.10957813291271</v>
      </c>
      <c r="AN382" t="n">
        <v>1.13215177689108</v>
      </c>
      <c r="AO382" t="n">
        <v>1.14910195098027</v>
      </c>
      <c r="AP382" t="n">
        <v>1.15881636284435</v>
      </c>
      <c r="AQ382" t="n">
        <v>1.16158245541562</v>
      </c>
      <c r="AR382" t="n">
        <v>1.15725502209209</v>
      </c>
      <c r="AS382" t="n">
        <v>1.14748269594269</v>
      </c>
      <c r="AT382" t="n">
        <v>1.13394754062466</v>
      </c>
      <c r="AU382" t="n">
        <v>1.11752354956462</v>
      </c>
      <c r="AV382" t="n">
        <v>1.09870962017849</v>
      </c>
      <c r="AW382" t="n">
        <v>1.07797469463202</v>
      </c>
      <c r="AX382" t="n">
        <v>1.05592007857487</v>
      </c>
      <c r="AY382" t="n">
        <v>1.03306606259438</v>
      </c>
      <c r="AZ382" t="n">
        <v>1.00962178027359</v>
      </c>
      <c r="BA382" t="n">
        <v>0</v>
      </c>
      <c r="BB382" t="n">
        <v>0</v>
      </c>
      <c r="BC382" t="n">
        <v>0</v>
      </c>
      <c r="BD382" t="n">
        <v>0</v>
      </c>
      <c r="BE382" t="n">
        <v>0</v>
      </c>
      <c r="BF382" t="n">
        <v>0</v>
      </c>
      <c r="BG382" t="n">
        <v>0</v>
      </c>
      <c r="BH382" t="n">
        <v>0</v>
      </c>
      <c r="BJ382" t="inlineStr">
        <is>
          <t>Med2</t>
        </is>
      </c>
      <c r="BL382" t="n">
        <v>0.8</v>
      </c>
      <c r="BM382" t="n">
        <v>0.797560975609756</v>
      </c>
      <c r="BN382" t="n">
        <v>0.785365853658536</v>
      </c>
      <c r="BO382" t="n">
        <v>0.773170731707317</v>
      </c>
      <c r="BP382" t="n">
        <v>0.760975609756097</v>
      </c>
      <c r="BQ382" t="n">
        <v>0.748780487804878</v>
      </c>
      <c r="BR382" t="n">
        <v>0.736585365853658</v>
      </c>
      <c r="BS382" t="n">
        <v>0.724390243902439</v>
      </c>
      <c r="BT382" t="n">
        <v>0.71219512195122</v>
      </c>
      <c r="BU382" t="n">
        <v>0.699999999999999</v>
      </c>
      <c r="BV382" t="n">
        <v>0.687499999999999</v>
      </c>
      <c r="BW382" t="n">
        <v>0.675</v>
      </c>
      <c r="BX382" t="n">
        <v>0.6625</v>
      </c>
      <c r="BY382" t="n">
        <v>0.649999999999999</v>
      </c>
      <c r="BZ382" t="n">
        <v>0.637499999999999</v>
      </c>
      <c r="CA382" t="n">
        <v>0.625</v>
      </c>
      <c r="CB382" t="n">
        <v>0.6125</v>
      </c>
      <c r="CC382" t="n">
        <v>0.6</v>
      </c>
      <c r="CD382" t="e">
        <v>#VALUE!</v>
      </c>
      <c r="CE382" t="e">
        <v>#VALUE!</v>
      </c>
      <c r="CF382" t="e">
        <v>#VALUE!</v>
      </c>
      <c r="CG382" t="e">
        <v>#VALUE!</v>
      </c>
      <c r="CH382" t="e">
        <v>#VALUE!</v>
      </c>
      <c r="CI382" t="e">
        <v>#VALUE!</v>
      </c>
      <c r="CJ382" t="e">
        <v>#VALUE!</v>
      </c>
      <c r="CK382" t="e">
        <v>#VALUE!</v>
      </c>
    </row>
    <row r="383" ht="12.5" customHeight="1" s="213">
      <c r="A383" t="inlineStr">
        <is>
          <t>Turkey</t>
        </is>
      </c>
      <c r="B383" t="inlineStr">
        <is>
          <t>Trd_bus</t>
        </is>
      </c>
      <c r="C383" t="inlineStr">
        <is>
          <t>Trd_bus</t>
        </is>
      </c>
      <c r="D383" t="n">
        <v>7.07</v>
      </c>
      <c r="E383" t="n">
        <v>7.11436700544026</v>
      </c>
      <c r="G383" t="n">
        <v>7.33246483213249</v>
      </c>
      <c r="H383" t="n">
        <v>7.51906120713962</v>
      </c>
      <c r="I383" t="n">
        <v>7.66665190424409</v>
      </c>
      <c r="J383" t="n">
        <v>7.78344147057745</v>
      </c>
      <c r="K383" t="n">
        <v>7.86927644078785</v>
      </c>
      <c r="L383" t="n">
        <v>7.91746737494451</v>
      </c>
      <c r="M383" t="n">
        <v>7.93092713657097</v>
      </c>
      <c r="N383" t="n">
        <v>7.91024466951743</v>
      </c>
      <c r="O383" t="n">
        <v>7.86432153768174</v>
      </c>
      <c r="P383" t="n">
        <v>7.80170599728589</v>
      </c>
      <c r="Q383" t="n">
        <v>7.72684403627158</v>
      </c>
      <c r="R383" t="n">
        <v>7.64228922417277</v>
      </c>
      <c r="S383" t="n">
        <v>7.55034526267198</v>
      </c>
      <c r="T383" t="n">
        <v>7.45379848918534</v>
      </c>
      <c r="U383" t="n">
        <v>7.35498523109721</v>
      </c>
      <c r="V383" t="n">
        <v>7.25483731812248</v>
      </c>
      <c r="W383" t="n">
        <v>3</v>
      </c>
      <c r="AG383" s="223" t="inlineStr">
        <is>
          <t>POP</t>
        </is>
      </c>
      <c r="AI383" t="n">
        <v>1</v>
      </c>
      <c r="AJ383" t="n">
        <v>1.00786822566407</v>
      </c>
      <c r="AK383" t="n">
        <v>1.04720935398443</v>
      </c>
      <c r="AL383" t="n">
        <v>1.0816769759546</v>
      </c>
      <c r="AM383" t="n">
        <v>1.10957813291271</v>
      </c>
      <c r="AN383" t="n">
        <v>1.13215177689108</v>
      </c>
      <c r="AO383" t="n">
        <v>1.14910195098027</v>
      </c>
      <c r="AP383" t="n">
        <v>1.15881636284435</v>
      </c>
      <c r="AQ383" t="n">
        <v>1.16158245541562</v>
      </c>
      <c r="AR383" t="n">
        <v>1.15725502209209</v>
      </c>
      <c r="AS383" t="n">
        <v>1.14748269594269</v>
      </c>
      <c r="AT383" t="n">
        <v>1.13394754062466</v>
      </c>
      <c r="AU383" t="n">
        <v>1.11752354956462</v>
      </c>
      <c r="AV383" t="n">
        <v>1.09870962017849</v>
      </c>
      <c r="AW383" t="n">
        <v>1.07797469463202</v>
      </c>
      <c r="AX383" t="n">
        <v>1.05592007857487</v>
      </c>
      <c r="AY383" t="n">
        <v>1.03306606259438</v>
      </c>
      <c r="AZ383" t="n">
        <v>1.00962178027359</v>
      </c>
      <c r="BA383" t="n">
        <v>0</v>
      </c>
      <c r="BB383" t="n">
        <v>0</v>
      </c>
      <c r="BC383" t="n">
        <v>0</v>
      </c>
      <c r="BD383" t="n">
        <v>0</v>
      </c>
      <c r="BE383" t="n">
        <v>0</v>
      </c>
      <c r="BF383" t="n">
        <v>0</v>
      </c>
      <c r="BG383" t="n">
        <v>0</v>
      </c>
      <c r="BH383" t="n">
        <v>0</v>
      </c>
      <c r="BJ383" t="inlineStr">
        <is>
          <t>Med2</t>
        </is>
      </c>
      <c r="BL383" t="n">
        <v>0.8</v>
      </c>
      <c r="BM383" t="n">
        <v>0.797560975609756</v>
      </c>
      <c r="BN383" t="n">
        <v>0.785365853658536</v>
      </c>
      <c r="BO383" t="n">
        <v>0.773170731707317</v>
      </c>
      <c r="BP383" t="n">
        <v>0.760975609756097</v>
      </c>
      <c r="BQ383" t="n">
        <v>0.748780487804878</v>
      </c>
      <c r="BR383" t="n">
        <v>0.736585365853658</v>
      </c>
      <c r="BS383" t="n">
        <v>0.724390243902439</v>
      </c>
      <c r="BT383" t="n">
        <v>0.71219512195122</v>
      </c>
      <c r="BU383" t="n">
        <v>0.699999999999999</v>
      </c>
      <c r="BV383" t="n">
        <v>0.687499999999999</v>
      </c>
      <c r="BW383" t="n">
        <v>0.675</v>
      </c>
      <c r="BX383" t="n">
        <v>0.6625</v>
      </c>
      <c r="BY383" t="n">
        <v>0.649999999999999</v>
      </c>
      <c r="BZ383" t="n">
        <v>0.637499999999999</v>
      </c>
      <c r="CA383" t="n">
        <v>0.625</v>
      </c>
      <c r="CB383" t="n">
        <v>0.6125</v>
      </c>
      <c r="CC383" t="n">
        <v>0.6</v>
      </c>
      <c r="CD383" t="e">
        <v>#VALUE!</v>
      </c>
      <c r="CE383" t="e">
        <v>#VALUE!</v>
      </c>
      <c r="CF383" t="e">
        <v>#VALUE!</v>
      </c>
      <c r="CG383" t="e">
        <v>#VALUE!</v>
      </c>
      <c r="CH383" t="e">
        <v>#VALUE!</v>
      </c>
      <c r="CI383" t="e">
        <v>#VALUE!</v>
      </c>
      <c r="CJ383" t="e">
        <v>#VALUE!</v>
      </c>
      <c r="CK383" t="e">
        <v>#VALUE!</v>
      </c>
    </row>
    <row r="384" ht="12.5" customHeight="1" s="213">
      <c r="A384" t="inlineStr">
        <is>
          <t>Turkey</t>
        </is>
      </c>
      <c r="B384" t="inlineStr">
        <is>
          <t>Trd_car</t>
        </is>
      </c>
      <c r="C384" t="inlineStr">
        <is>
          <t>Trd_car</t>
        </is>
      </c>
      <c r="D384" t="n">
        <v>120.072</v>
      </c>
      <c r="E384" t="n">
        <v>122.24203192807</v>
      </c>
      <c r="G384" t="n">
        <v>146.746196670805</v>
      </c>
      <c r="H384" t="n">
        <v>166.19345781071</v>
      </c>
      <c r="I384" t="n">
        <v>184.255030549047</v>
      </c>
      <c r="J384" t="n">
        <v>199.832870423254</v>
      </c>
      <c r="K384" t="n">
        <v>214.070185955273</v>
      </c>
      <c r="L384" t="n">
        <v>227.265948537644</v>
      </c>
      <c r="M384" t="n">
        <v>240.015284488005</v>
      </c>
      <c r="N384" t="n">
        <v>252.408556241334</v>
      </c>
      <c r="O384" t="n">
        <v>263.859975922234</v>
      </c>
      <c r="P384" t="n">
        <v>273.91974276582</v>
      </c>
      <c r="Q384" t="n">
        <v>282.846321961086</v>
      </c>
      <c r="R384" t="n">
        <v>290.858027301707</v>
      </c>
      <c r="S384" t="n">
        <v>298.339004723967</v>
      </c>
      <c r="T384" t="n">
        <v>305.550048100184</v>
      </c>
      <c r="U384" t="n">
        <v>312.579494226286</v>
      </c>
      <c r="V384" t="n">
        <v>319.425216025977</v>
      </c>
      <c r="W384" t="n">
        <v>3</v>
      </c>
      <c r="AG384" s="223" t="inlineStr">
        <is>
          <t>GDPPCAP</t>
        </is>
      </c>
      <c r="AI384" t="n">
        <v>1</v>
      </c>
      <c r="AJ384" t="n">
        <v>1.02266003014167</v>
      </c>
      <c r="AK384" t="n">
        <v>1.28368293026135</v>
      </c>
      <c r="AL384" t="n">
        <v>1.50370890446376</v>
      </c>
      <c r="AM384" t="n">
        <v>1.71845964733107</v>
      </c>
      <c r="AN384" t="n">
        <v>1.91249135294848</v>
      </c>
      <c r="AO384" t="n">
        <v>2.09747680595074</v>
      </c>
      <c r="AP384" t="n">
        <v>2.27596228174151</v>
      </c>
      <c r="AQ384" t="n">
        <v>2.4552370876487</v>
      </c>
      <c r="AR384" t="n">
        <v>2.6363471038652</v>
      </c>
      <c r="AS384" t="n">
        <v>2.81032142296379</v>
      </c>
      <c r="AT384" t="n">
        <v>2.96905420129098</v>
      </c>
      <c r="AU384" t="n">
        <v>3.11510164856617</v>
      </c>
      <c r="AV384" t="n">
        <v>3.25084960440286</v>
      </c>
      <c r="AW384" t="n">
        <v>3.38200736070937</v>
      </c>
      <c r="AX384" t="n">
        <v>3.51279978886981</v>
      </c>
      <c r="AY384" t="n">
        <v>3.64474269800549</v>
      </c>
      <c r="AZ384" t="n">
        <v>3.77778029325659</v>
      </c>
      <c r="BA384" t="n">
        <v>0</v>
      </c>
      <c r="BB384" t="n">
        <v>0</v>
      </c>
      <c r="BC384" t="n">
        <v>0</v>
      </c>
      <c r="BD384" t="n">
        <v>0</v>
      </c>
      <c r="BE384" t="n">
        <v>0</v>
      </c>
      <c r="BF384" t="n">
        <v>0</v>
      </c>
      <c r="BG384" t="n">
        <v>0</v>
      </c>
      <c r="BH384" t="n">
        <v>0</v>
      </c>
      <c r="BJ384" t="inlineStr">
        <is>
          <t>Med2</t>
        </is>
      </c>
      <c r="BL384" t="n">
        <v>0.8</v>
      </c>
      <c r="BM384" t="n">
        <v>0.797560975609756</v>
      </c>
      <c r="BN384" t="n">
        <v>0.785365853658536</v>
      </c>
      <c r="BO384" t="n">
        <v>0.773170731707317</v>
      </c>
      <c r="BP384" t="n">
        <v>0.760975609756097</v>
      </c>
      <c r="BQ384" t="n">
        <v>0.748780487804878</v>
      </c>
      <c r="BR384" t="n">
        <v>0.736585365853658</v>
      </c>
      <c r="BS384" t="n">
        <v>0.724390243902439</v>
      </c>
      <c r="BT384" t="n">
        <v>0.71219512195122</v>
      </c>
      <c r="BU384" t="n">
        <v>0.699999999999999</v>
      </c>
      <c r="BV384" t="n">
        <v>0.687499999999999</v>
      </c>
      <c r="BW384" t="n">
        <v>0.675</v>
      </c>
      <c r="BX384" t="n">
        <v>0.6625</v>
      </c>
      <c r="BY384" t="n">
        <v>0.649999999999999</v>
      </c>
      <c r="BZ384" t="n">
        <v>0.637499999999999</v>
      </c>
      <c r="CA384" t="n">
        <v>0.625</v>
      </c>
      <c r="CB384" t="n">
        <v>0.6125</v>
      </c>
      <c r="CC384" t="n">
        <v>0.6</v>
      </c>
      <c r="CD384" t="e">
        <v>#VALUE!</v>
      </c>
      <c r="CE384" t="e">
        <v>#VALUE!</v>
      </c>
      <c r="CF384" t="e">
        <v>#VALUE!</v>
      </c>
      <c r="CG384" t="e">
        <v>#VALUE!</v>
      </c>
      <c r="CH384" t="e">
        <v>#VALUE!</v>
      </c>
      <c r="CI384" t="e">
        <v>#VALUE!</v>
      </c>
      <c r="CJ384" t="e">
        <v>#VALUE!</v>
      </c>
      <c r="CK384" t="e">
        <v>#VALUE!</v>
      </c>
    </row>
    <row r="385" ht="12.5" customHeight="1" s="213">
      <c r="A385" t="inlineStr">
        <is>
          <t>Turkey</t>
        </is>
      </c>
      <c r="B385" t="inlineStr">
        <is>
          <t>Trd_hdt</t>
        </is>
      </c>
      <c r="C385" t="inlineStr">
        <is>
          <t>Trd_hdt</t>
        </is>
      </c>
      <c r="D385" t="n">
        <v>79.3</v>
      </c>
      <c r="E385" t="n">
        <v>81.2420844381712</v>
      </c>
      <c r="G385" t="n">
        <v>100.653800494769</v>
      </c>
      <c r="H385" t="n">
        <v>116.993225075507</v>
      </c>
      <c r="I385" t="n">
        <v>132.332224640955</v>
      </c>
      <c r="J385" t="n">
        <v>145.763740939812</v>
      </c>
      <c r="K385" t="n">
        <v>157.91179025532</v>
      </c>
      <c r="L385" t="n">
        <v>168.69515655537</v>
      </c>
      <c r="M385" t="n">
        <v>178.468116968861</v>
      </c>
      <c r="N385" t="n">
        <v>187.183634885734</v>
      </c>
      <c r="O385" t="n">
        <v>194.517480505798</v>
      </c>
      <c r="P385" t="n">
        <v>200.297317266607</v>
      </c>
      <c r="Q385" t="n">
        <v>204.808154479468</v>
      </c>
      <c r="R385" t="n">
        <v>208.27052498757</v>
      </c>
      <c r="S385" t="n">
        <v>211.020535844821</v>
      </c>
      <c r="T385" t="n">
        <v>213.318349810355</v>
      </c>
      <c r="U385" t="n">
        <v>215.291795637301</v>
      </c>
      <c r="V385" t="n">
        <v>216.968357854248</v>
      </c>
      <c r="W385" t="n">
        <v>3</v>
      </c>
      <c r="AG385" s="223" t="inlineStr">
        <is>
          <t>GDP</t>
        </is>
      </c>
      <c r="AI385" t="n">
        <v>1</v>
      </c>
      <c r="AJ385" t="n">
        <v>1.03070655003645</v>
      </c>
      <c r="AK385" t="n">
        <v>1.34428477211982</v>
      </c>
      <c r="AL385" t="n">
        <v>1.62652730049637</v>
      </c>
      <c r="AM385" t="n">
        <v>1.90676524697143</v>
      </c>
      <c r="AN385" t="n">
        <v>2.16523048352945</v>
      </c>
      <c r="AO385" t="n">
        <v>2.41021468985387</v>
      </c>
      <c r="AP385" t="n">
        <v>2.63742233329862</v>
      </c>
      <c r="AQ385" t="n">
        <v>2.85196032489847</v>
      </c>
      <c r="AR385" t="n">
        <v>3.05092592592593</v>
      </c>
      <c r="AS385" t="n">
        <v>3.22479520288799</v>
      </c>
      <c r="AT385" t="n">
        <v>3.36675170953521</v>
      </c>
      <c r="AU385" t="n">
        <v>3.48119945156028</v>
      </c>
      <c r="AV385" t="n">
        <v>3.57173973411087</v>
      </c>
      <c r="AW385" t="n">
        <v>3.64571835190392</v>
      </c>
      <c r="AX385" t="n">
        <v>3.70923582908119</v>
      </c>
      <c r="AY385" t="n">
        <v>3.76525998819813</v>
      </c>
      <c r="AZ385" t="n">
        <v>3.81412926516019</v>
      </c>
      <c r="BA385" t="n">
        <v>0</v>
      </c>
      <c r="BB385" t="n">
        <v>0</v>
      </c>
      <c r="BC385" t="n">
        <v>0</v>
      </c>
      <c r="BD385" t="n">
        <v>0</v>
      </c>
      <c r="BE385" t="n">
        <v>0</v>
      </c>
      <c r="BF385" t="n">
        <v>0</v>
      </c>
      <c r="BG385" t="n">
        <v>0</v>
      </c>
      <c r="BH385" t="n">
        <v>0</v>
      </c>
      <c r="BJ385" t="inlineStr">
        <is>
          <t>Med2</t>
        </is>
      </c>
      <c r="BL385" t="n">
        <v>0.8</v>
      </c>
      <c r="BM385" t="n">
        <v>0.797560975609756</v>
      </c>
      <c r="BN385" t="n">
        <v>0.785365853658536</v>
      </c>
      <c r="BO385" t="n">
        <v>0.773170731707317</v>
      </c>
      <c r="BP385" t="n">
        <v>0.760975609756097</v>
      </c>
      <c r="BQ385" t="n">
        <v>0.748780487804878</v>
      </c>
      <c r="BR385" t="n">
        <v>0.736585365853658</v>
      </c>
      <c r="BS385" t="n">
        <v>0.724390243902439</v>
      </c>
      <c r="BT385" t="n">
        <v>0.71219512195122</v>
      </c>
      <c r="BU385" t="n">
        <v>0.699999999999999</v>
      </c>
      <c r="BV385" t="n">
        <v>0.687499999999999</v>
      </c>
      <c r="BW385" t="n">
        <v>0.675</v>
      </c>
      <c r="BX385" t="n">
        <v>0.6625</v>
      </c>
      <c r="BY385" t="n">
        <v>0.649999999999999</v>
      </c>
      <c r="BZ385" t="n">
        <v>0.637499999999999</v>
      </c>
      <c r="CA385" t="n">
        <v>0.625</v>
      </c>
      <c r="CB385" t="n">
        <v>0.6125</v>
      </c>
      <c r="CC385" t="n">
        <v>0.6</v>
      </c>
      <c r="CD385" t="e">
        <v>#VALUE!</v>
      </c>
      <c r="CE385" t="e">
        <v>#VALUE!</v>
      </c>
      <c r="CF385" t="e">
        <v>#VALUE!</v>
      </c>
      <c r="CG385" t="e">
        <v>#VALUE!</v>
      </c>
      <c r="CH385" t="e">
        <v>#VALUE!</v>
      </c>
      <c r="CI385" t="e">
        <v>#VALUE!</v>
      </c>
      <c r="CJ385" t="e">
        <v>#VALUE!</v>
      </c>
      <c r="CK385" t="e">
        <v>#VALUE!</v>
      </c>
    </row>
    <row r="386" ht="12.5" customHeight="1" s="213">
      <c r="A386" t="inlineStr">
        <is>
          <t>Turkey</t>
        </is>
      </c>
      <c r="B386" t="inlineStr">
        <is>
          <t>Trd_lcv</t>
        </is>
      </c>
      <c r="C386" t="inlineStr">
        <is>
          <t>Trd_lcv</t>
        </is>
      </c>
      <c r="D386" t="n">
        <v>67.56</v>
      </c>
      <c r="E386" t="n">
        <v>69.21456777607619</v>
      </c>
      <c r="G386" t="n">
        <v>85.75246861824171</v>
      </c>
      <c r="H386" t="n">
        <v>99.67291659648509</v>
      </c>
      <c r="I386" t="n">
        <v>112.741047878221</v>
      </c>
      <c r="J386" t="n">
        <v>124.18409001127</v>
      </c>
      <c r="K386" t="n">
        <v>134.533676540345</v>
      </c>
      <c r="L386" t="n">
        <v>143.720615093075</v>
      </c>
      <c r="M386" t="n">
        <v>152.046733700079</v>
      </c>
      <c r="N386" t="n">
        <v>159.471959304921</v>
      </c>
      <c r="O386" t="n">
        <v>165.72006283697</v>
      </c>
      <c r="P386" t="n">
        <v>170.644221368625</v>
      </c>
      <c r="Q386" t="n">
        <v>174.487249894487</v>
      </c>
      <c r="R386" t="n">
        <v>177.437032385375</v>
      </c>
      <c r="S386" t="n">
        <v>179.779916792889</v>
      </c>
      <c r="T386" t="n">
        <v>181.737549977145</v>
      </c>
      <c r="U386" t="n">
        <v>183.418836232737</v>
      </c>
      <c r="V386" t="n">
        <v>184.847191130303</v>
      </c>
      <c r="W386" t="n">
        <v>3</v>
      </c>
      <c r="AG386" s="223" t="inlineStr">
        <is>
          <t>GDP</t>
        </is>
      </c>
      <c r="AI386" t="n">
        <v>1</v>
      </c>
      <c r="AJ386" t="n">
        <v>1.03070655003645</v>
      </c>
      <c r="AK386" t="n">
        <v>1.34428477211982</v>
      </c>
      <c r="AL386" t="n">
        <v>1.62652730049637</v>
      </c>
      <c r="AM386" t="n">
        <v>1.90676524697143</v>
      </c>
      <c r="AN386" t="n">
        <v>2.16523048352945</v>
      </c>
      <c r="AO386" t="n">
        <v>2.41021468985387</v>
      </c>
      <c r="AP386" t="n">
        <v>2.63742233329862</v>
      </c>
      <c r="AQ386" t="n">
        <v>2.85196032489847</v>
      </c>
      <c r="AR386" t="n">
        <v>3.05092592592593</v>
      </c>
      <c r="AS386" t="n">
        <v>3.22479520288799</v>
      </c>
      <c r="AT386" t="n">
        <v>3.36675170953521</v>
      </c>
      <c r="AU386" t="n">
        <v>3.48119945156028</v>
      </c>
      <c r="AV386" t="n">
        <v>3.57173973411087</v>
      </c>
      <c r="AW386" t="n">
        <v>3.64571835190392</v>
      </c>
      <c r="AX386" t="n">
        <v>3.70923582908119</v>
      </c>
      <c r="AY386" t="n">
        <v>3.76525998819813</v>
      </c>
      <c r="AZ386" t="n">
        <v>3.81412926516019</v>
      </c>
      <c r="BA386" t="n">
        <v>0</v>
      </c>
      <c r="BB386" t="n">
        <v>0</v>
      </c>
      <c r="BC386" t="n">
        <v>0</v>
      </c>
      <c r="BD386" t="n">
        <v>0</v>
      </c>
      <c r="BE386" t="n">
        <v>0</v>
      </c>
      <c r="BF386" t="n">
        <v>0</v>
      </c>
      <c r="BG386" t="n">
        <v>0</v>
      </c>
      <c r="BH386" t="n">
        <v>0</v>
      </c>
      <c r="BJ386" t="inlineStr">
        <is>
          <t>Med2</t>
        </is>
      </c>
      <c r="BL386" t="n">
        <v>0.8</v>
      </c>
      <c r="BM386" t="n">
        <v>0.797560975609756</v>
      </c>
      <c r="BN386" t="n">
        <v>0.785365853658536</v>
      </c>
      <c r="BO386" t="n">
        <v>0.773170731707317</v>
      </c>
      <c r="BP386" t="n">
        <v>0.760975609756097</v>
      </c>
      <c r="BQ386" t="n">
        <v>0.748780487804878</v>
      </c>
      <c r="BR386" t="n">
        <v>0.736585365853658</v>
      </c>
      <c r="BS386" t="n">
        <v>0.724390243902439</v>
      </c>
      <c r="BT386" t="n">
        <v>0.71219512195122</v>
      </c>
      <c r="BU386" t="n">
        <v>0.699999999999999</v>
      </c>
      <c r="BV386" t="n">
        <v>0.687499999999999</v>
      </c>
      <c r="BW386" t="n">
        <v>0.675</v>
      </c>
      <c r="BX386" t="n">
        <v>0.6625</v>
      </c>
      <c r="BY386" t="n">
        <v>0.649999999999999</v>
      </c>
      <c r="BZ386" t="n">
        <v>0.637499999999999</v>
      </c>
      <c r="CA386" t="n">
        <v>0.625</v>
      </c>
      <c r="CB386" t="n">
        <v>0.6125</v>
      </c>
      <c r="CC386" t="n">
        <v>0.6</v>
      </c>
      <c r="CD386" t="e">
        <v>#VALUE!</v>
      </c>
      <c r="CE386" t="e">
        <v>#VALUE!</v>
      </c>
      <c r="CF386" t="e">
        <v>#VALUE!</v>
      </c>
      <c r="CG386" t="e">
        <v>#VALUE!</v>
      </c>
      <c r="CH386" t="e">
        <v>#VALUE!</v>
      </c>
      <c r="CI386" t="e">
        <v>#VALUE!</v>
      </c>
      <c r="CJ386" t="e">
        <v>#VALUE!</v>
      </c>
      <c r="CK386" t="e">
        <v>#VALUE!</v>
      </c>
    </row>
    <row r="387" ht="12.5" customHeight="1" s="213">
      <c r="A387" t="inlineStr">
        <is>
          <t>UK</t>
        </is>
      </c>
      <c r="B387" t="inlineStr">
        <is>
          <t>TAD</t>
        </is>
      </c>
      <c r="C387" t="inlineStr">
        <is>
          <t>TAD</t>
        </is>
      </c>
      <c r="E387" t="n">
        <v>36.9226194799132</v>
      </c>
      <c r="F387">
        <f>E387</f>
        <v/>
      </c>
      <c r="I387">
        <f>F387</f>
        <v/>
      </c>
      <c r="J387">
        <f>I387</f>
        <v/>
      </c>
      <c r="L387">
        <f>J387</f>
        <v/>
      </c>
      <c r="V387">
        <f>L387</f>
        <v/>
      </c>
      <c r="W387" t="n">
        <v>3</v>
      </c>
      <c r="AG387" s="223" t="inlineStr">
        <is>
          <t>GDP</t>
        </is>
      </c>
      <c r="AI387" t="n">
        <v>1</v>
      </c>
      <c r="AJ387" t="n">
        <v>0.993148396218289</v>
      </c>
      <c r="AK387" t="n">
        <v>1.15302533912728</v>
      </c>
      <c r="AL387" t="n">
        <v>1.25605186635103</v>
      </c>
      <c r="AM387" t="n">
        <v>1.37359173441292</v>
      </c>
      <c r="AN387" t="n">
        <v>1.51253590278995</v>
      </c>
      <c r="AO387" t="n">
        <v>1.67002180157007</v>
      </c>
      <c r="AP387" t="n">
        <v>1.83787012917579</v>
      </c>
      <c r="AQ387" t="n">
        <v>2.01265025707437</v>
      </c>
      <c r="AR387" t="n">
        <v>2.19676808060046</v>
      </c>
      <c r="AS387" t="n">
        <v>2.38858625431799</v>
      </c>
      <c r="AT387" t="n">
        <v>2.57939454604319</v>
      </c>
      <c r="AU387" t="n">
        <v>2.76482670127988</v>
      </c>
      <c r="AV387" t="n">
        <v>2.94163030596454</v>
      </c>
      <c r="AW387" t="n">
        <v>3.10852444359958</v>
      </c>
      <c r="AX387" t="n">
        <v>3.26531604850998</v>
      </c>
      <c r="AY387" t="n">
        <v>3.41131082682603</v>
      </c>
      <c r="AZ387" t="n">
        <v>3.54350512218087</v>
      </c>
      <c r="BA387" t="n">
        <v>0</v>
      </c>
      <c r="BB387" t="n">
        <v>0</v>
      </c>
      <c r="BC387" t="n">
        <v>0</v>
      </c>
      <c r="BD387" t="n">
        <v>0</v>
      </c>
      <c r="BE387" t="n">
        <v>0</v>
      </c>
      <c r="BF387" t="n">
        <v>0</v>
      </c>
      <c r="BG387" t="n">
        <v>0</v>
      </c>
      <c r="BH387" t="n">
        <v>0</v>
      </c>
      <c r="BJ387" t="inlineStr">
        <is>
          <t>Med2</t>
        </is>
      </c>
      <c r="BL387" t="n">
        <v>0.8</v>
      </c>
      <c r="BM387" t="n">
        <v>0.797560975609756</v>
      </c>
      <c r="BN387" t="n">
        <v>0.785365853658536</v>
      </c>
      <c r="BO387" t="n">
        <v>0.773170731707317</v>
      </c>
      <c r="BP387" t="n">
        <v>0.760975609756097</v>
      </c>
      <c r="BQ387" t="n">
        <v>0.748780487804878</v>
      </c>
      <c r="BR387" t="n">
        <v>0.736585365853658</v>
      </c>
      <c r="BS387" t="n">
        <v>0.724390243902439</v>
      </c>
      <c r="BT387" t="n">
        <v>0.71219512195122</v>
      </c>
      <c r="BU387" t="n">
        <v>0.699999999999999</v>
      </c>
      <c r="BV387" t="n">
        <v>0.687499999999999</v>
      </c>
      <c r="BW387" t="n">
        <v>0.675</v>
      </c>
      <c r="BX387" t="n">
        <v>0.6625</v>
      </c>
      <c r="BY387" t="n">
        <v>0.649999999999999</v>
      </c>
      <c r="BZ387" t="n">
        <v>0.637499999999999</v>
      </c>
      <c r="CA387" t="n">
        <v>0.625</v>
      </c>
      <c r="CB387" t="n">
        <v>0.6125</v>
      </c>
      <c r="CC387" t="n">
        <v>0.6</v>
      </c>
      <c r="CD387" t="e">
        <v>#VALUE!</v>
      </c>
      <c r="CE387" t="e">
        <v>#VALUE!</v>
      </c>
      <c r="CF387" t="e">
        <v>#VALUE!</v>
      </c>
      <c r="CG387" t="e">
        <v>#VALUE!</v>
      </c>
      <c r="CH387" t="e">
        <v>#VALUE!</v>
      </c>
      <c r="CI387" t="e">
        <v>#VALUE!</v>
      </c>
      <c r="CJ387" t="e">
        <v>#VALUE!</v>
      </c>
      <c r="CK387" t="e">
        <v>#VALUE!</v>
      </c>
    </row>
    <row r="388" ht="12.5" customHeight="1" s="213">
      <c r="A388" t="inlineStr">
        <is>
          <t>UK</t>
        </is>
      </c>
      <c r="B388" t="inlineStr">
        <is>
          <t>TAI</t>
        </is>
      </c>
      <c r="C388" t="inlineStr">
        <is>
          <t>TAI</t>
        </is>
      </c>
      <c r="E388" t="n">
        <v>490.543871571096</v>
      </c>
      <c r="F388">
        <f>E388</f>
        <v/>
      </c>
      <c r="I388">
        <f>F388</f>
        <v/>
      </c>
      <c r="J388">
        <f>I388</f>
        <v/>
      </c>
      <c r="L388">
        <f>J388</f>
        <v/>
      </c>
      <c r="V388">
        <f>L388</f>
        <v/>
      </c>
      <c r="W388" t="n">
        <v>3</v>
      </c>
      <c r="AG388" s="223" t="inlineStr">
        <is>
          <t>GDP</t>
        </is>
      </c>
      <c r="AI388" t="n">
        <v>1</v>
      </c>
      <c r="AJ388" t="n">
        <v>0.993148396218289</v>
      </c>
      <c r="AK388" t="n">
        <v>1.15302533912728</v>
      </c>
      <c r="AL388" t="n">
        <v>1.25605186635103</v>
      </c>
      <c r="AM388" t="n">
        <v>1.37359173441292</v>
      </c>
      <c r="AN388" t="n">
        <v>1.51253590278995</v>
      </c>
      <c r="AO388" t="n">
        <v>1.67002180157007</v>
      </c>
      <c r="AP388" t="n">
        <v>1.83787012917579</v>
      </c>
      <c r="AQ388" t="n">
        <v>2.01265025707437</v>
      </c>
      <c r="AR388" t="n">
        <v>2.19676808060046</v>
      </c>
      <c r="AS388" t="n">
        <v>2.38858625431799</v>
      </c>
      <c r="AT388" t="n">
        <v>2.57939454604319</v>
      </c>
      <c r="AU388" t="n">
        <v>2.76482670127988</v>
      </c>
      <c r="AV388" t="n">
        <v>2.94163030596454</v>
      </c>
      <c r="AW388" t="n">
        <v>3.10852444359958</v>
      </c>
      <c r="AX388" t="n">
        <v>3.26531604850998</v>
      </c>
      <c r="AY388" t="n">
        <v>3.41131082682603</v>
      </c>
      <c r="AZ388" t="n">
        <v>3.54350512218087</v>
      </c>
      <c r="BA388" t="n">
        <v>0</v>
      </c>
      <c r="BB388" t="n">
        <v>0</v>
      </c>
      <c r="BC388" t="n">
        <v>0</v>
      </c>
      <c r="BD388" t="n">
        <v>0</v>
      </c>
      <c r="BE388" t="n">
        <v>0</v>
      </c>
      <c r="BF388" t="n">
        <v>0</v>
      </c>
      <c r="BG388" t="n">
        <v>0</v>
      </c>
      <c r="BH388" t="n">
        <v>0</v>
      </c>
      <c r="BJ388" t="inlineStr">
        <is>
          <t>Med2</t>
        </is>
      </c>
      <c r="BL388" t="n">
        <v>0.8</v>
      </c>
      <c r="BM388" t="n">
        <v>0.797560975609756</v>
      </c>
      <c r="BN388" t="n">
        <v>0.785365853658536</v>
      </c>
      <c r="BO388" t="n">
        <v>0.773170731707317</v>
      </c>
      <c r="BP388" t="n">
        <v>0.760975609756097</v>
      </c>
      <c r="BQ388" t="n">
        <v>0.748780487804878</v>
      </c>
      <c r="BR388" t="n">
        <v>0.736585365853658</v>
      </c>
      <c r="BS388" t="n">
        <v>0.724390243902439</v>
      </c>
      <c r="BT388" t="n">
        <v>0.71219512195122</v>
      </c>
      <c r="BU388" t="n">
        <v>0.699999999999999</v>
      </c>
      <c r="BV388" t="n">
        <v>0.687499999999999</v>
      </c>
      <c r="BW388" t="n">
        <v>0.675</v>
      </c>
      <c r="BX388" t="n">
        <v>0.6625</v>
      </c>
      <c r="BY388" t="n">
        <v>0.649999999999999</v>
      </c>
      <c r="BZ388" t="n">
        <v>0.637499999999999</v>
      </c>
      <c r="CA388" t="n">
        <v>0.625</v>
      </c>
      <c r="CB388" t="n">
        <v>0.6125</v>
      </c>
      <c r="CC388" t="n">
        <v>0.6</v>
      </c>
      <c r="CD388" t="e">
        <v>#VALUE!</v>
      </c>
      <c r="CE388" t="e">
        <v>#VALUE!</v>
      </c>
      <c r="CF388" t="e">
        <v>#VALUE!</v>
      </c>
      <c r="CG388" t="e">
        <v>#VALUE!</v>
      </c>
      <c r="CH388" t="e">
        <v>#VALUE!</v>
      </c>
      <c r="CI388" t="e">
        <v>#VALUE!</v>
      </c>
      <c r="CJ388" t="e">
        <v>#VALUE!</v>
      </c>
      <c r="CK388" t="e">
        <v>#VALUE!</v>
      </c>
    </row>
    <row r="389" ht="12.5" customHeight="1" s="213">
      <c r="A389" t="inlineStr">
        <is>
          <t>UK</t>
        </is>
      </c>
      <c r="B389" t="inlineStr">
        <is>
          <t>TTF</t>
        </is>
      </c>
      <c r="C389" t="inlineStr">
        <is>
          <t>TTF</t>
        </is>
      </c>
      <c r="E389" t="n">
        <v>24.6033770922968</v>
      </c>
      <c r="I389" t="n">
        <v>31.7384471153733</v>
      </c>
      <c r="J389" t="n">
        <v>34.1423828187106</v>
      </c>
      <c r="L389" t="n">
        <v>39.4372995434473</v>
      </c>
      <c r="V389" t="n">
        <v>61.3720467254865</v>
      </c>
      <c r="W389" t="n">
        <v>3</v>
      </c>
      <c r="AG389" s="223" t="inlineStr">
        <is>
          <t>GDP</t>
        </is>
      </c>
      <c r="AI389" t="n">
        <v>1</v>
      </c>
      <c r="AJ389" t="n">
        <v>0.993148396218289</v>
      </c>
      <c r="AK389" t="n">
        <v>1.15302533912728</v>
      </c>
      <c r="AL389" t="n">
        <v>1.25605186635103</v>
      </c>
      <c r="AM389" t="n">
        <v>1.37359173441292</v>
      </c>
      <c r="AN389" t="n">
        <v>1.51253590278995</v>
      </c>
      <c r="AO389" t="n">
        <v>1.67002180157007</v>
      </c>
      <c r="AP389" t="n">
        <v>1.83787012917579</v>
      </c>
      <c r="AQ389" t="n">
        <v>2.01265025707437</v>
      </c>
      <c r="AR389" t="n">
        <v>2.19676808060046</v>
      </c>
      <c r="AS389" t="n">
        <v>2.38858625431799</v>
      </c>
      <c r="AT389" t="n">
        <v>2.57939454604319</v>
      </c>
      <c r="AU389" t="n">
        <v>2.76482670127988</v>
      </c>
      <c r="AV389" t="n">
        <v>2.94163030596454</v>
      </c>
      <c r="AW389" t="n">
        <v>3.10852444359958</v>
      </c>
      <c r="AX389" t="n">
        <v>3.26531604850998</v>
      </c>
      <c r="AY389" t="n">
        <v>3.41131082682603</v>
      </c>
      <c r="AZ389" t="n">
        <v>3.54350512218087</v>
      </c>
      <c r="BA389" t="n">
        <v>0</v>
      </c>
      <c r="BB389" t="n">
        <v>0</v>
      </c>
      <c r="BC389" t="n">
        <v>0</v>
      </c>
      <c r="BD389" t="n">
        <v>0</v>
      </c>
      <c r="BE389" t="n">
        <v>0</v>
      </c>
      <c r="BF389" t="n">
        <v>0</v>
      </c>
      <c r="BG389" t="n">
        <v>0</v>
      </c>
      <c r="BH389" t="n">
        <v>0</v>
      </c>
      <c r="BJ389" t="inlineStr">
        <is>
          <t>Med2</t>
        </is>
      </c>
      <c r="BL389" t="n">
        <v>0.8</v>
      </c>
      <c r="BM389" t="n">
        <v>0.797560975609756</v>
      </c>
      <c r="BN389" t="n">
        <v>0.785365853658536</v>
      </c>
      <c r="BO389" t="n">
        <v>0.773170731707317</v>
      </c>
      <c r="BP389" t="n">
        <v>0.760975609756097</v>
      </c>
      <c r="BQ389" t="n">
        <v>0.748780487804878</v>
      </c>
      <c r="BR389" t="n">
        <v>0.736585365853658</v>
      </c>
      <c r="BS389" t="n">
        <v>0.724390243902439</v>
      </c>
      <c r="BT389" t="n">
        <v>0.71219512195122</v>
      </c>
      <c r="BU389" t="n">
        <v>0.699999999999999</v>
      </c>
      <c r="BV389" t="n">
        <v>0.687499999999999</v>
      </c>
      <c r="BW389" t="n">
        <v>0.675</v>
      </c>
      <c r="BX389" t="n">
        <v>0.6625</v>
      </c>
      <c r="BY389" t="n">
        <v>0.649999999999999</v>
      </c>
      <c r="BZ389" t="n">
        <v>0.637499999999999</v>
      </c>
      <c r="CA389" t="n">
        <v>0.625</v>
      </c>
      <c r="CB389" t="n">
        <v>0.6125</v>
      </c>
      <c r="CC389" t="n">
        <v>0.6</v>
      </c>
      <c r="CD389" t="e">
        <v>#VALUE!</v>
      </c>
      <c r="CE389" t="e">
        <v>#VALUE!</v>
      </c>
      <c r="CF389" t="e">
        <v>#VALUE!</v>
      </c>
      <c r="CG389" t="e">
        <v>#VALUE!</v>
      </c>
      <c r="CH389" t="e">
        <v>#VALUE!</v>
      </c>
      <c r="CI389" t="e">
        <v>#VALUE!</v>
      </c>
      <c r="CJ389" t="e">
        <v>#VALUE!</v>
      </c>
      <c r="CK389" t="e">
        <v>#VALUE!</v>
      </c>
    </row>
    <row r="390" ht="12.5" customHeight="1" s="213">
      <c r="A390" t="inlineStr">
        <is>
          <t>UK</t>
        </is>
      </c>
      <c r="B390" t="inlineStr">
        <is>
          <t>TTP</t>
        </is>
      </c>
      <c r="C390" t="inlineStr">
        <is>
          <t>TTP</t>
        </is>
      </c>
      <c r="E390" t="n">
        <v>23.1089699635029</v>
      </c>
      <c r="I390" t="n">
        <v>23.8134228090774</v>
      </c>
      <c r="J390" t="n">
        <v>24.0593576107348</v>
      </c>
      <c r="L390" t="n">
        <v>24.6177722207965</v>
      </c>
      <c r="V390" t="n">
        <v>25.7219062863884</v>
      </c>
      <c r="W390" t="n">
        <v>3</v>
      </c>
      <c r="AG390" s="223" t="inlineStr">
        <is>
          <t>POP</t>
        </is>
      </c>
      <c r="AI390" t="n">
        <v>1</v>
      </c>
      <c r="AJ390" t="n">
        <v>1.00266957936856</v>
      </c>
      <c r="AK390" t="n">
        <v>1.01601747621136</v>
      </c>
      <c r="AL390" t="n">
        <v>1.02907923907903</v>
      </c>
      <c r="AM390" t="n">
        <v>1.04231114578066</v>
      </c>
      <c r="AN390" t="n">
        <v>1.05668724393173</v>
      </c>
      <c r="AO390" t="n">
        <v>1.07279320512051</v>
      </c>
      <c r="AP390" t="n">
        <v>1.09034235623113</v>
      </c>
      <c r="AQ390" t="n">
        <v>1.10459892987391</v>
      </c>
      <c r="AR390" t="n">
        <v>1.11641947093388</v>
      </c>
      <c r="AS390" t="n">
        <v>1.1267827594842</v>
      </c>
      <c r="AT390" t="n">
        <v>1.13731280726268</v>
      </c>
      <c r="AU390" t="n">
        <v>1.14780951817165</v>
      </c>
      <c r="AV390" t="n">
        <v>1.15651821372295</v>
      </c>
      <c r="AW390" t="n">
        <v>1.16193242983768</v>
      </c>
      <c r="AX390" t="n">
        <v>1.16407094658516</v>
      </c>
      <c r="AY390" t="n">
        <v>1.16408083083218</v>
      </c>
      <c r="AZ390" t="n">
        <v>1.16280532865867</v>
      </c>
      <c r="BA390" t="n">
        <v>0</v>
      </c>
      <c r="BB390" t="n">
        <v>0</v>
      </c>
      <c r="BC390" t="n">
        <v>0</v>
      </c>
      <c r="BD390" t="n">
        <v>0</v>
      </c>
      <c r="BE390" t="n">
        <v>0</v>
      </c>
      <c r="BF390" t="n">
        <v>0</v>
      </c>
      <c r="BG390" t="n">
        <v>0</v>
      </c>
      <c r="BH390" t="n">
        <v>0</v>
      </c>
      <c r="BJ390" t="inlineStr">
        <is>
          <t>Med2</t>
        </is>
      </c>
      <c r="BL390" t="n">
        <v>0.8</v>
      </c>
      <c r="BM390" t="n">
        <v>0.797560975609756</v>
      </c>
      <c r="BN390" t="n">
        <v>0.785365853658536</v>
      </c>
      <c r="BO390" t="n">
        <v>0.773170731707317</v>
      </c>
      <c r="BP390" t="n">
        <v>0.760975609756097</v>
      </c>
      <c r="BQ390" t="n">
        <v>0.748780487804878</v>
      </c>
      <c r="BR390" t="n">
        <v>0.736585365853658</v>
      </c>
      <c r="BS390" t="n">
        <v>0.724390243902439</v>
      </c>
      <c r="BT390" t="n">
        <v>0.71219512195122</v>
      </c>
      <c r="BU390" t="n">
        <v>0.699999999999999</v>
      </c>
      <c r="BV390" t="n">
        <v>0.687499999999999</v>
      </c>
      <c r="BW390" t="n">
        <v>0.675</v>
      </c>
      <c r="BX390" t="n">
        <v>0.6625</v>
      </c>
      <c r="BY390" t="n">
        <v>0.649999999999999</v>
      </c>
      <c r="BZ390" t="n">
        <v>0.637499999999999</v>
      </c>
      <c r="CA390" t="n">
        <v>0.625</v>
      </c>
      <c r="CB390" t="n">
        <v>0.6125</v>
      </c>
      <c r="CC390" t="n">
        <v>0.6</v>
      </c>
      <c r="CD390" t="e">
        <v>#VALUE!</v>
      </c>
      <c r="CE390" t="e">
        <v>#VALUE!</v>
      </c>
      <c r="CF390" t="e">
        <v>#VALUE!</v>
      </c>
      <c r="CG390" t="e">
        <v>#VALUE!</v>
      </c>
      <c r="CH390" t="e">
        <v>#VALUE!</v>
      </c>
      <c r="CI390" t="e">
        <v>#VALUE!</v>
      </c>
      <c r="CJ390" t="e">
        <v>#VALUE!</v>
      </c>
      <c r="CK390" t="e">
        <v>#VALUE!</v>
      </c>
    </row>
    <row r="391" ht="12.5" customHeight="1" s="213">
      <c r="A391" t="inlineStr">
        <is>
          <t>UK</t>
        </is>
      </c>
      <c r="B391" t="inlineStr">
        <is>
          <t>TWD</t>
        </is>
      </c>
      <c r="C391" t="inlineStr">
        <is>
          <t>TWD</t>
        </is>
      </c>
      <c r="E391" t="n">
        <v>36.9758094058833</v>
      </c>
      <c r="F391">
        <f>E391</f>
        <v/>
      </c>
      <c r="I391">
        <f>F391</f>
        <v/>
      </c>
      <c r="J391">
        <f>I391</f>
        <v/>
      </c>
      <c r="L391">
        <f>J391</f>
        <v/>
      </c>
      <c r="V391">
        <f>L391</f>
        <v/>
      </c>
      <c r="W391" t="n">
        <v>3</v>
      </c>
      <c r="AG391" s="223" t="inlineStr">
        <is>
          <t>GDP</t>
        </is>
      </c>
      <c r="AI391" t="n">
        <v>1</v>
      </c>
      <c r="AJ391" t="n">
        <v>0.993148396218289</v>
      </c>
      <c r="AK391" t="n">
        <v>1.15302533912728</v>
      </c>
      <c r="AL391" t="n">
        <v>1.25605186635103</v>
      </c>
      <c r="AM391" t="n">
        <v>1.37359173441292</v>
      </c>
      <c r="AN391" t="n">
        <v>1.51253590278995</v>
      </c>
      <c r="AO391" t="n">
        <v>1.67002180157007</v>
      </c>
      <c r="AP391" t="n">
        <v>1.83787012917579</v>
      </c>
      <c r="AQ391" t="n">
        <v>2.01265025707437</v>
      </c>
      <c r="AR391" t="n">
        <v>2.19676808060046</v>
      </c>
      <c r="AS391" t="n">
        <v>2.38858625431799</v>
      </c>
      <c r="AT391" t="n">
        <v>2.57939454604319</v>
      </c>
      <c r="AU391" t="n">
        <v>2.76482670127988</v>
      </c>
      <c r="AV391" t="n">
        <v>2.94163030596454</v>
      </c>
      <c r="AW391" t="n">
        <v>3.10852444359958</v>
      </c>
      <c r="AX391" t="n">
        <v>3.26531604850998</v>
      </c>
      <c r="AY391" t="n">
        <v>3.41131082682603</v>
      </c>
      <c r="AZ391" t="n">
        <v>3.54350512218087</v>
      </c>
      <c r="BA391" t="n">
        <v>0</v>
      </c>
      <c r="BB391" t="n">
        <v>0</v>
      </c>
      <c r="BC391" t="n">
        <v>0</v>
      </c>
      <c r="BD391" t="n">
        <v>0</v>
      </c>
      <c r="BE391" t="n">
        <v>0</v>
      </c>
      <c r="BF391" t="n">
        <v>0</v>
      </c>
      <c r="BG391" t="n">
        <v>0</v>
      </c>
      <c r="BH391" t="n">
        <v>0</v>
      </c>
      <c r="BJ391" t="inlineStr">
        <is>
          <t>Med2</t>
        </is>
      </c>
      <c r="BL391" t="n">
        <v>0.8</v>
      </c>
      <c r="BM391" t="n">
        <v>0.797560975609756</v>
      </c>
      <c r="BN391" t="n">
        <v>0.785365853658536</v>
      </c>
      <c r="BO391" t="n">
        <v>0.773170731707317</v>
      </c>
      <c r="BP391" t="n">
        <v>0.760975609756097</v>
      </c>
      <c r="BQ391" t="n">
        <v>0.748780487804878</v>
      </c>
      <c r="BR391" t="n">
        <v>0.736585365853658</v>
      </c>
      <c r="BS391" t="n">
        <v>0.724390243902439</v>
      </c>
      <c r="BT391" t="n">
        <v>0.71219512195122</v>
      </c>
      <c r="BU391" t="n">
        <v>0.699999999999999</v>
      </c>
      <c r="BV391" t="n">
        <v>0.687499999999999</v>
      </c>
      <c r="BW391" t="n">
        <v>0.675</v>
      </c>
      <c r="BX391" t="n">
        <v>0.6625</v>
      </c>
      <c r="BY391" t="n">
        <v>0.649999999999999</v>
      </c>
      <c r="BZ391" t="n">
        <v>0.637499999999999</v>
      </c>
      <c r="CA391" t="n">
        <v>0.625</v>
      </c>
      <c r="CB391" t="n">
        <v>0.6125</v>
      </c>
      <c r="CC391" t="n">
        <v>0.6</v>
      </c>
      <c r="CD391" t="e">
        <v>#VALUE!</v>
      </c>
      <c r="CE391" t="e">
        <v>#VALUE!</v>
      </c>
      <c r="CF391" t="e">
        <v>#VALUE!</v>
      </c>
      <c r="CG391" t="e">
        <v>#VALUE!</v>
      </c>
      <c r="CH391" t="e">
        <v>#VALUE!</v>
      </c>
      <c r="CI391" t="e">
        <v>#VALUE!</v>
      </c>
      <c r="CJ391" t="e">
        <v>#VALUE!</v>
      </c>
      <c r="CK391" t="e">
        <v>#VALUE!</v>
      </c>
    </row>
    <row r="392" ht="12.5" customHeight="1" s="213">
      <c r="A392" t="inlineStr">
        <is>
          <t>UK</t>
        </is>
      </c>
      <c r="B392" t="inlineStr">
        <is>
          <t>TWI</t>
        </is>
      </c>
      <c r="C392" t="inlineStr">
        <is>
          <t>TWI</t>
        </is>
      </c>
      <c r="E392" t="n">
        <v>94.701473626264</v>
      </c>
      <c r="F392">
        <f>E392</f>
        <v/>
      </c>
      <c r="I392">
        <f>F392</f>
        <v/>
      </c>
      <c r="J392">
        <f>I392</f>
        <v/>
      </c>
      <c r="L392">
        <f>J392</f>
        <v/>
      </c>
      <c r="V392">
        <f>L392</f>
        <v/>
      </c>
      <c r="W392" t="n">
        <v>3</v>
      </c>
      <c r="AG392" s="223" t="inlineStr">
        <is>
          <t>GDP</t>
        </is>
      </c>
      <c r="AI392" t="n">
        <v>1</v>
      </c>
      <c r="AJ392" t="n">
        <v>0.993148396218289</v>
      </c>
      <c r="AK392" t="n">
        <v>1.15302533912728</v>
      </c>
      <c r="AL392" t="n">
        <v>1.25605186635103</v>
      </c>
      <c r="AM392" t="n">
        <v>1.37359173441292</v>
      </c>
      <c r="AN392" t="n">
        <v>1.51253590278995</v>
      </c>
      <c r="AO392" t="n">
        <v>1.67002180157007</v>
      </c>
      <c r="AP392" t="n">
        <v>1.83787012917579</v>
      </c>
      <c r="AQ392" t="n">
        <v>2.01265025707437</v>
      </c>
      <c r="AR392" t="n">
        <v>2.19676808060046</v>
      </c>
      <c r="AS392" t="n">
        <v>2.38858625431799</v>
      </c>
      <c r="AT392" t="n">
        <v>2.57939454604319</v>
      </c>
      <c r="AU392" t="n">
        <v>2.76482670127988</v>
      </c>
      <c r="AV392" t="n">
        <v>2.94163030596454</v>
      </c>
      <c r="AW392" t="n">
        <v>3.10852444359958</v>
      </c>
      <c r="AX392" t="n">
        <v>3.26531604850998</v>
      </c>
      <c r="AY392" t="n">
        <v>3.41131082682603</v>
      </c>
      <c r="AZ392" t="n">
        <v>3.54350512218087</v>
      </c>
      <c r="BA392" t="n">
        <v>0</v>
      </c>
      <c r="BB392" t="n">
        <v>0</v>
      </c>
      <c r="BC392" t="n">
        <v>0</v>
      </c>
      <c r="BD392" t="n">
        <v>0</v>
      </c>
      <c r="BE392" t="n">
        <v>0</v>
      </c>
      <c r="BF392" t="n">
        <v>0</v>
      </c>
      <c r="BG392" t="n">
        <v>0</v>
      </c>
      <c r="BH392" t="n">
        <v>0</v>
      </c>
      <c r="BJ392" t="inlineStr">
        <is>
          <t>Med2</t>
        </is>
      </c>
      <c r="BL392" t="n">
        <v>0.8</v>
      </c>
      <c r="BM392" t="n">
        <v>0.797560975609756</v>
      </c>
      <c r="BN392" t="n">
        <v>0.785365853658536</v>
      </c>
      <c r="BO392" t="n">
        <v>0.773170731707317</v>
      </c>
      <c r="BP392" t="n">
        <v>0.760975609756097</v>
      </c>
      <c r="BQ392" t="n">
        <v>0.748780487804878</v>
      </c>
      <c r="BR392" t="n">
        <v>0.736585365853658</v>
      </c>
      <c r="BS392" t="n">
        <v>0.724390243902439</v>
      </c>
      <c r="BT392" t="n">
        <v>0.71219512195122</v>
      </c>
      <c r="BU392" t="n">
        <v>0.699999999999999</v>
      </c>
      <c r="BV392" t="n">
        <v>0.687499999999999</v>
      </c>
      <c r="BW392" t="n">
        <v>0.675</v>
      </c>
      <c r="BX392" t="n">
        <v>0.6625</v>
      </c>
      <c r="BY392" t="n">
        <v>0.649999999999999</v>
      </c>
      <c r="BZ392" t="n">
        <v>0.637499999999999</v>
      </c>
      <c r="CA392" t="n">
        <v>0.625</v>
      </c>
      <c r="CB392" t="n">
        <v>0.6125</v>
      </c>
      <c r="CC392" t="n">
        <v>0.6</v>
      </c>
      <c r="CD392" t="e">
        <v>#VALUE!</v>
      </c>
      <c r="CE392" t="e">
        <v>#VALUE!</v>
      </c>
      <c r="CF392" t="e">
        <v>#VALUE!</v>
      </c>
      <c r="CG392" t="e">
        <v>#VALUE!</v>
      </c>
      <c r="CH392" t="e">
        <v>#VALUE!</v>
      </c>
      <c r="CI392" t="e">
        <v>#VALUE!</v>
      </c>
      <c r="CJ392" t="e">
        <v>#VALUE!</v>
      </c>
      <c r="CK392" t="e">
        <v>#VALUE!</v>
      </c>
    </row>
    <row r="393" ht="12.5" customHeight="1" s="213">
      <c r="A393" t="inlineStr">
        <is>
          <t>UK</t>
        </is>
      </c>
      <c r="B393" t="inlineStr">
        <is>
          <t>Trd_2w</t>
        </is>
      </c>
      <c r="C393" t="inlineStr">
        <is>
          <t>Trd_2w</t>
        </is>
      </c>
      <c r="D393" t="n">
        <v>2.476</v>
      </c>
      <c r="E393" t="n">
        <v>2.48127178115832</v>
      </c>
      <c r="G393" t="n">
        <v>2.5072136556731</v>
      </c>
      <c r="H393" t="n">
        <v>2.5321347647971</v>
      </c>
      <c r="I393" t="n">
        <v>2.55691076332158</v>
      </c>
      <c r="J393" t="n">
        <v>2.58331743935782</v>
      </c>
      <c r="K393" t="n">
        <v>2.61232031400092</v>
      </c>
      <c r="L393" t="n">
        <v>2.64327590640854</v>
      </c>
      <c r="M393" t="n">
        <v>2.66789056239931</v>
      </c>
      <c r="N393" t="n">
        <v>2.68787531556032</v>
      </c>
      <c r="O393" t="n">
        <v>2.70502878644895</v>
      </c>
      <c r="P393" t="n">
        <v>2.722092195907</v>
      </c>
      <c r="Q393" t="n">
        <v>2.73873636118494</v>
      </c>
      <c r="R393" t="n">
        <v>2.75224298707687</v>
      </c>
      <c r="S393" t="n">
        <v>2.76045689959819</v>
      </c>
      <c r="T393" t="n">
        <v>2.76363225814255</v>
      </c>
      <c r="U393" t="n">
        <v>2.76364663124386</v>
      </c>
      <c r="V393" t="n">
        <v>2.76182972788546</v>
      </c>
      <c r="W393" t="n">
        <v>3</v>
      </c>
      <c r="AG393" s="223" t="inlineStr">
        <is>
          <t>POP</t>
        </is>
      </c>
      <c r="AI393" t="n">
        <v>1</v>
      </c>
      <c r="AJ393" t="n">
        <v>1.00266957936856</v>
      </c>
      <c r="AK393" t="n">
        <v>1.01601747621136</v>
      </c>
      <c r="AL393" t="n">
        <v>1.02907923907903</v>
      </c>
      <c r="AM393" t="n">
        <v>1.04231114578066</v>
      </c>
      <c r="AN393" t="n">
        <v>1.05668724393173</v>
      </c>
      <c r="AO393" t="n">
        <v>1.07279320512051</v>
      </c>
      <c r="AP393" t="n">
        <v>1.09034235623113</v>
      </c>
      <c r="AQ393" t="n">
        <v>1.10459892987391</v>
      </c>
      <c r="AR393" t="n">
        <v>1.11641947093388</v>
      </c>
      <c r="AS393" t="n">
        <v>1.1267827594842</v>
      </c>
      <c r="AT393" t="n">
        <v>1.13731280726268</v>
      </c>
      <c r="AU393" t="n">
        <v>1.14780951817165</v>
      </c>
      <c r="AV393" t="n">
        <v>1.15651821372295</v>
      </c>
      <c r="AW393" t="n">
        <v>1.16193242983768</v>
      </c>
      <c r="AX393" t="n">
        <v>1.16407094658516</v>
      </c>
      <c r="AY393" t="n">
        <v>1.16408083083218</v>
      </c>
      <c r="AZ393" t="n">
        <v>1.16280532865867</v>
      </c>
      <c r="BA393" t="n">
        <v>0</v>
      </c>
      <c r="BB393" t="n">
        <v>0</v>
      </c>
      <c r="BC393" t="n">
        <v>0</v>
      </c>
      <c r="BD393" t="n">
        <v>0</v>
      </c>
      <c r="BE393" t="n">
        <v>0</v>
      </c>
      <c r="BF393" t="n">
        <v>0</v>
      </c>
      <c r="BG393" t="n">
        <v>0</v>
      </c>
      <c r="BH393" t="n">
        <v>0</v>
      </c>
      <c r="BJ393" t="inlineStr">
        <is>
          <t>Med2</t>
        </is>
      </c>
      <c r="BL393" t="n">
        <v>0.8</v>
      </c>
      <c r="BM393" t="n">
        <v>0.797560975609756</v>
      </c>
      <c r="BN393" t="n">
        <v>0.785365853658536</v>
      </c>
      <c r="BO393" t="n">
        <v>0.773170731707317</v>
      </c>
      <c r="BP393" t="n">
        <v>0.760975609756097</v>
      </c>
      <c r="BQ393" t="n">
        <v>0.748780487804878</v>
      </c>
      <c r="BR393" t="n">
        <v>0.736585365853658</v>
      </c>
      <c r="BS393" t="n">
        <v>0.724390243902439</v>
      </c>
      <c r="BT393" t="n">
        <v>0.71219512195122</v>
      </c>
      <c r="BU393" t="n">
        <v>0.699999999999999</v>
      </c>
      <c r="BV393" t="n">
        <v>0.687499999999999</v>
      </c>
      <c r="BW393" t="n">
        <v>0.675</v>
      </c>
      <c r="BX393" t="n">
        <v>0.6625</v>
      </c>
      <c r="BY393" t="n">
        <v>0.649999999999999</v>
      </c>
      <c r="BZ393" t="n">
        <v>0.637499999999999</v>
      </c>
      <c r="CA393" t="n">
        <v>0.625</v>
      </c>
      <c r="CB393" t="n">
        <v>0.6125</v>
      </c>
      <c r="CC393" t="n">
        <v>0.6</v>
      </c>
      <c r="CD393" t="e">
        <v>#VALUE!</v>
      </c>
      <c r="CE393" t="e">
        <v>#VALUE!</v>
      </c>
      <c r="CF393" t="e">
        <v>#VALUE!</v>
      </c>
      <c r="CG393" t="e">
        <v>#VALUE!</v>
      </c>
      <c r="CH393" t="e">
        <v>#VALUE!</v>
      </c>
      <c r="CI393" t="e">
        <v>#VALUE!</v>
      </c>
      <c r="CJ393" t="e">
        <v>#VALUE!</v>
      </c>
      <c r="CK393" t="e">
        <v>#VALUE!</v>
      </c>
    </row>
    <row r="394" ht="12.5" customHeight="1" s="213">
      <c r="A394" t="inlineStr">
        <is>
          <t>UK</t>
        </is>
      </c>
      <c r="B394" t="inlineStr">
        <is>
          <t>Trd_3w</t>
        </is>
      </c>
      <c r="C394" t="inlineStr">
        <is>
          <t>Trd_3w</t>
        </is>
      </c>
      <c r="D394" t="n">
        <v>1.47</v>
      </c>
      <c r="E394" t="n">
        <v>1.47312985391871</v>
      </c>
      <c r="G394" t="n">
        <v>1.48853153224534</v>
      </c>
      <c r="H394" t="n">
        <v>1.50332718265417</v>
      </c>
      <c r="I394" t="n">
        <v>1.51803668097041</v>
      </c>
      <c r="J394" t="n">
        <v>1.53371431173505</v>
      </c>
      <c r="K394" t="n">
        <v>1.55093330435434</v>
      </c>
      <c r="L394" t="n">
        <v>1.56931162456403</v>
      </c>
      <c r="M394" t="n">
        <v>1.5839253338962</v>
      </c>
      <c r="N394" t="n">
        <v>1.59579027216222</v>
      </c>
      <c r="O394" t="n">
        <v>1.60597427951533</v>
      </c>
      <c r="P394" t="n">
        <v>1.61610481744075</v>
      </c>
      <c r="Q394" t="n">
        <v>1.62598645029962</v>
      </c>
      <c r="R394" t="n">
        <v>1.63400532754564</v>
      </c>
      <c r="S394" t="n">
        <v>1.63888192342865</v>
      </c>
      <c r="T394" t="n">
        <v>1.64076713225749</v>
      </c>
      <c r="U394" t="n">
        <v>1.64077566556077</v>
      </c>
      <c r="V394" t="n">
        <v>1.63969697091746</v>
      </c>
      <c r="W394" t="n">
        <v>3</v>
      </c>
      <c r="AG394" s="223" t="inlineStr">
        <is>
          <t>POP</t>
        </is>
      </c>
      <c r="AI394" t="n">
        <v>1</v>
      </c>
      <c r="AJ394" t="n">
        <v>1.00266957936856</v>
      </c>
      <c r="AK394" t="n">
        <v>1.01601747621136</v>
      </c>
      <c r="AL394" t="n">
        <v>1.02907923907903</v>
      </c>
      <c r="AM394" t="n">
        <v>1.04231114578066</v>
      </c>
      <c r="AN394" t="n">
        <v>1.05668724393173</v>
      </c>
      <c r="AO394" t="n">
        <v>1.07279320512051</v>
      </c>
      <c r="AP394" t="n">
        <v>1.09034235623113</v>
      </c>
      <c r="AQ394" t="n">
        <v>1.10459892987391</v>
      </c>
      <c r="AR394" t="n">
        <v>1.11641947093388</v>
      </c>
      <c r="AS394" t="n">
        <v>1.1267827594842</v>
      </c>
      <c r="AT394" t="n">
        <v>1.13731280726268</v>
      </c>
      <c r="AU394" t="n">
        <v>1.14780951817165</v>
      </c>
      <c r="AV394" t="n">
        <v>1.15651821372295</v>
      </c>
      <c r="AW394" t="n">
        <v>1.16193242983768</v>
      </c>
      <c r="AX394" t="n">
        <v>1.16407094658516</v>
      </c>
      <c r="AY394" t="n">
        <v>1.16408083083218</v>
      </c>
      <c r="AZ394" t="n">
        <v>1.16280532865867</v>
      </c>
      <c r="BA394" t="n">
        <v>0</v>
      </c>
      <c r="BB394" t="n">
        <v>0</v>
      </c>
      <c r="BC394" t="n">
        <v>0</v>
      </c>
      <c r="BD394" t="n">
        <v>0</v>
      </c>
      <c r="BE394" t="n">
        <v>0</v>
      </c>
      <c r="BF394" t="n">
        <v>0</v>
      </c>
      <c r="BG394" t="n">
        <v>0</v>
      </c>
      <c r="BH394" t="n">
        <v>0</v>
      </c>
      <c r="BJ394" t="inlineStr">
        <is>
          <t>Med2</t>
        </is>
      </c>
      <c r="BL394" t="n">
        <v>0.8</v>
      </c>
      <c r="BM394" t="n">
        <v>0.797560975609756</v>
      </c>
      <c r="BN394" t="n">
        <v>0.785365853658536</v>
      </c>
      <c r="BO394" t="n">
        <v>0.773170731707317</v>
      </c>
      <c r="BP394" t="n">
        <v>0.760975609756097</v>
      </c>
      <c r="BQ394" t="n">
        <v>0.748780487804878</v>
      </c>
      <c r="BR394" t="n">
        <v>0.736585365853658</v>
      </c>
      <c r="BS394" t="n">
        <v>0.724390243902439</v>
      </c>
      <c r="BT394" t="n">
        <v>0.71219512195122</v>
      </c>
      <c r="BU394" t="n">
        <v>0.699999999999999</v>
      </c>
      <c r="BV394" t="n">
        <v>0.687499999999999</v>
      </c>
      <c r="BW394" t="n">
        <v>0.675</v>
      </c>
      <c r="BX394" t="n">
        <v>0.6625</v>
      </c>
      <c r="BY394" t="n">
        <v>0.649999999999999</v>
      </c>
      <c r="BZ394" t="n">
        <v>0.637499999999999</v>
      </c>
      <c r="CA394" t="n">
        <v>0.625</v>
      </c>
      <c r="CB394" t="n">
        <v>0.6125</v>
      </c>
      <c r="CC394" t="n">
        <v>0.6</v>
      </c>
      <c r="CD394" t="e">
        <v>#VALUE!</v>
      </c>
      <c r="CE394" t="e">
        <v>#VALUE!</v>
      </c>
      <c r="CF394" t="e">
        <v>#VALUE!</v>
      </c>
      <c r="CG394" t="e">
        <v>#VALUE!</v>
      </c>
      <c r="CH394" t="e">
        <v>#VALUE!</v>
      </c>
      <c r="CI394" t="e">
        <v>#VALUE!</v>
      </c>
      <c r="CJ394" t="e">
        <v>#VALUE!</v>
      </c>
      <c r="CK394" t="e">
        <v>#VALUE!</v>
      </c>
    </row>
    <row r="395" ht="12.5" customHeight="1" s="213">
      <c r="A395" t="inlineStr">
        <is>
          <t>UK</t>
        </is>
      </c>
      <c r="B395" t="inlineStr">
        <is>
          <t>Trd_bus</t>
        </is>
      </c>
      <c r="C395" t="inlineStr">
        <is>
          <t>Trd_bus</t>
        </is>
      </c>
      <c r="D395" t="n">
        <v>3.15</v>
      </c>
      <c r="E395" t="n">
        <v>3.15670682982582</v>
      </c>
      <c r="G395" t="n">
        <v>3.18971042624</v>
      </c>
      <c r="H395" t="n">
        <v>3.2214153914018</v>
      </c>
      <c r="I395" t="n">
        <v>3.25293574493659</v>
      </c>
      <c r="J395" t="n">
        <v>3.28653066800369</v>
      </c>
      <c r="K395" t="n">
        <v>3.32342850933073</v>
      </c>
      <c r="L395" t="n">
        <v>3.36281062406579</v>
      </c>
      <c r="M395" t="n">
        <v>3.39412571549185</v>
      </c>
      <c r="N395" t="n">
        <v>3.41955058320476</v>
      </c>
      <c r="O395" t="n">
        <v>3.44137345610428</v>
      </c>
      <c r="P395" t="n">
        <v>3.46308175165874</v>
      </c>
      <c r="Q395" t="n">
        <v>3.48425667921347</v>
      </c>
      <c r="R395" t="n">
        <v>3.50143998759779</v>
      </c>
      <c r="S395" t="n">
        <v>3.51188983591853</v>
      </c>
      <c r="T395" t="n">
        <v>3.51592956912319</v>
      </c>
      <c r="U395" t="n">
        <v>3.51594785477308</v>
      </c>
      <c r="V395" t="n">
        <v>3.5136363662517</v>
      </c>
      <c r="W395" t="n">
        <v>3</v>
      </c>
      <c r="AG395" s="223" t="inlineStr">
        <is>
          <t>POP</t>
        </is>
      </c>
      <c r="AI395" t="n">
        <v>1</v>
      </c>
      <c r="AJ395" t="n">
        <v>1.00266957936856</v>
      </c>
      <c r="AK395" t="n">
        <v>1.01601747621136</v>
      </c>
      <c r="AL395" t="n">
        <v>1.02907923907903</v>
      </c>
      <c r="AM395" t="n">
        <v>1.04231114578066</v>
      </c>
      <c r="AN395" t="n">
        <v>1.05668724393173</v>
      </c>
      <c r="AO395" t="n">
        <v>1.07279320512051</v>
      </c>
      <c r="AP395" t="n">
        <v>1.09034235623113</v>
      </c>
      <c r="AQ395" t="n">
        <v>1.10459892987391</v>
      </c>
      <c r="AR395" t="n">
        <v>1.11641947093388</v>
      </c>
      <c r="AS395" t="n">
        <v>1.1267827594842</v>
      </c>
      <c r="AT395" t="n">
        <v>1.13731280726268</v>
      </c>
      <c r="AU395" t="n">
        <v>1.14780951817165</v>
      </c>
      <c r="AV395" t="n">
        <v>1.15651821372295</v>
      </c>
      <c r="AW395" t="n">
        <v>1.16193242983768</v>
      </c>
      <c r="AX395" t="n">
        <v>1.16407094658516</v>
      </c>
      <c r="AY395" t="n">
        <v>1.16408083083218</v>
      </c>
      <c r="AZ395" t="n">
        <v>1.16280532865867</v>
      </c>
      <c r="BA395" t="n">
        <v>0</v>
      </c>
      <c r="BB395" t="n">
        <v>0</v>
      </c>
      <c r="BC395" t="n">
        <v>0</v>
      </c>
      <c r="BD395" t="n">
        <v>0</v>
      </c>
      <c r="BE395" t="n">
        <v>0</v>
      </c>
      <c r="BF395" t="n">
        <v>0</v>
      </c>
      <c r="BG395" t="n">
        <v>0</v>
      </c>
      <c r="BH395" t="n">
        <v>0</v>
      </c>
      <c r="BJ395" t="inlineStr">
        <is>
          <t>Med2</t>
        </is>
      </c>
      <c r="BL395" t="n">
        <v>0.8</v>
      </c>
      <c r="BM395" t="n">
        <v>0.797560975609756</v>
      </c>
      <c r="BN395" t="n">
        <v>0.785365853658536</v>
      </c>
      <c r="BO395" t="n">
        <v>0.773170731707317</v>
      </c>
      <c r="BP395" t="n">
        <v>0.760975609756097</v>
      </c>
      <c r="BQ395" t="n">
        <v>0.748780487804878</v>
      </c>
      <c r="BR395" t="n">
        <v>0.736585365853658</v>
      </c>
      <c r="BS395" t="n">
        <v>0.724390243902439</v>
      </c>
      <c r="BT395" t="n">
        <v>0.71219512195122</v>
      </c>
      <c r="BU395" t="n">
        <v>0.699999999999999</v>
      </c>
      <c r="BV395" t="n">
        <v>0.687499999999999</v>
      </c>
      <c r="BW395" t="n">
        <v>0.675</v>
      </c>
      <c r="BX395" t="n">
        <v>0.6625</v>
      </c>
      <c r="BY395" t="n">
        <v>0.649999999999999</v>
      </c>
      <c r="BZ395" t="n">
        <v>0.637499999999999</v>
      </c>
      <c r="CA395" t="n">
        <v>0.625</v>
      </c>
      <c r="CB395" t="n">
        <v>0.6125</v>
      </c>
      <c r="CC395" t="n">
        <v>0.6</v>
      </c>
      <c r="CD395" t="e">
        <v>#VALUE!</v>
      </c>
      <c r="CE395" t="e">
        <v>#VALUE!</v>
      </c>
      <c r="CF395" t="e">
        <v>#VALUE!</v>
      </c>
      <c r="CG395" t="e">
        <v>#VALUE!</v>
      </c>
      <c r="CH395" t="e">
        <v>#VALUE!</v>
      </c>
      <c r="CI395" t="e">
        <v>#VALUE!</v>
      </c>
      <c r="CJ395" t="e">
        <v>#VALUE!</v>
      </c>
      <c r="CK395" t="e">
        <v>#VALUE!</v>
      </c>
    </row>
    <row r="396" ht="12.5" customHeight="1" s="213">
      <c r="A396" t="inlineStr">
        <is>
          <t>UK</t>
        </is>
      </c>
      <c r="B396" t="inlineStr">
        <is>
          <t>Trd_car</t>
        </is>
      </c>
      <c r="C396" t="inlineStr">
        <is>
          <t>Trd_car</t>
        </is>
      </c>
      <c r="D396" t="n">
        <v>346.02</v>
      </c>
      <c r="E396" t="n">
        <v>343.399415437687</v>
      </c>
      <c r="G396" t="n">
        <v>382.701294180686</v>
      </c>
      <c r="H396" t="n">
        <v>405.04906631086</v>
      </c>
      <c r="I396" t="n">
        <v>429.613989636983</v>
      </c>
      <c r="J396" t="n">
        <v>457.334636446194</v>
      </c>
      <c r="K396" t="n">
        <v>486.825286283558</v>
      </c>
      <c r="L396" t="n">
        <v>516.022686042406</v>
      </c>
      <c r="M396" t="n">
        <v>545.778155089236</v>
      </c>
      <c r="N396" t="n">
        <v>576.312619885786</v>
      </c>
      <c r="O396" t="n">
        <v>606.947177163319</v>
      </c>
      <c r="P396" t="n">
        <v>635.578330573837</v>
      </c>
      <c r="Q396" t="n">
        <v>661.721500861818</v>
      </c>
      <c r="R396" t="n">
        <v>685.780557111094</v>
      </c>
      <c r="S396" t="n">
        <v>708.431650701317</v>
      </c>
      <c r="T396" t="n">
        <v>729.910180124928</v>
      </c>
      <c r="U396" t="n">
        <v>749.895055341612</v>
      </c>
      <c r="V396" t="n">
        <v>767.843576621015</v>
      </c>
      <c r="W396" t="n">
        <v>3</v>
      </c>
      <c r="AG396" s="223" t="inlineStr">
        <is>
          <t>GDPPCAP</t>
        </is>
      </c>
      <c r="AI396" t="n">
        <v>1</v>
      </c>
      <c r="AJ396" t="n">
        <v>0.9905041667303131</v>
      </c>
      <c r="AK396" t="n">
        <v>1.13484793925673</v>
      </c>
      <c r="AL396" t="n">
        <v>1.22055894109294</v>
      </c>
      <c r="AM396" t="n">
        <v>1.31783272199794</v>
      </c>
      <c r="AN396" t="n">
        <v>1.4313941154074</v>
      </c>
      <c r="AO396" t="n">
        <v>1.55670430573101</v>
      </c>
      <c r="AP396" t="n">
        <v>1.6855899605043</v>
      </c>
      <c r="AQ396" t="n">
        <v>1.82206428291952</v>
      </c>
      <c r="AR396" t="n">
        <v>1.96769058386529</v>
      </c>
      <c r="AS396" t="n">
        <v>2.11982854211524</v>
      </c>
      <c r="AT396" t="n">
        <v>2.2679728299652</v>
      </c>
      <c r="AU396" t="n">
        <v>2.40878530584411</v>
      </c>
      <c r="AV396" t="n">
        <v>2.54352267959112</v>
      </c>
      <c r="AW396" t="n">
        <v>2.6753056922887</v>
      </c>
      <c r="AX396" t="n">
        <v>2.80508336548462</v>
      </c>
      <c r="AY396" t="n">
        <v>2.93047590551538</v>
      </c>
      <c r="AZ396" t="n">
        <v>3.04737606101994</v>
      </c>
      <c r="BA396" t="n">
        <v>0</v>
      </c>
      <c r="BB396" t="n">
        <v>0</v>
      </c>
      <c r="BC396" t="n">
        <v>0</v>
      </c>
      <c r="BD396" t="n">
        <v>0</v>
      </c>
      <c r="BE396" t="n">
        <v>0</v>
      </c>
      <c r="BF396" t="n">
        <v>0</v>
      </c>
      <c r="BG396" t="n">
        <v>0</v>
      </c>
      <c r="BH396" t="n">
        <v>0</v>
      </c>
      <c r="BJ396" t="inlineStr">
        <is>
          <t>Med2</t>
        </is>
      </c>
      <c r="BL396" t="n">
        <v>0.8</v>
      </c>
      <c r="BM396" t="n">
        <v>0.797560975609756</v>
      </c>
      <c r="BN396" t="n">
        <v>0.785365853658536</v>
      </c>
      <c r="BO396" t="n">
        <v>0.773170731707317</v>
      </c>
      <c r="BP396" t="n">
        <v>0.760975609756097</v>
      </c>
      <c r="BQ396" t="n">
        <v>0.748780487804878</v>
      </c>
      <c r="BR396" t="n">
        <v>0.736585365853658</v>
      </c>
      <c r="BS396" t="n">
        <v>0.724390243902439</v>
      </c>
      <c r="BT396" t="n">
        <v>0.71219512195122</v>
      </c>
      <c r="BU396" t="n">
        <v>0.699999999999999</v>
      </c>
      <c r="BV396" t="n">
        <v>0.687499999999999</v>
      </c>
      <c r="BW396" t="n">
        <v>0.675</v>
      </c>
      <c r="BX396" t="n">
        <v>0.6625</v>
      </c>
      <c r="BY396" t="n">
        <v>0.649999999999999</v>
      </c>
      <c r="BZ396" t="n">
        <v>0.637499999999999</v>
      </c>
      <c r="CA396" t="n">
        <v>0.625</v>
      </c>
      <c r="CB396" t="n">
        <v>0.6125</v>
      </c>
      <c r="CC396" t="n">
        <v>0.6</v>
      </c>
      <c r="CD396" t="e">
        <v>#VALUE!</v>
      </c>
      <c r="CE396" t="e">
        <v>#VALUE!</v>
      </c>
      <c r="CF396" t="e">
        <v>#VALUE!</v>
      </c>
      <c r="CG396" t="e">
        <v>#VALUE!</v>
      </c>
      <c r="CH396" t="e">
        <v>#VALUE!</v>
      </c>
      <c r="CI396" t="e">
        <v>#VALUE!</v>
      </c>
      <c r="CJ396" t="e">
        <v>#VALUE!</v>
      </c>
      <c r="CK396" t="e">
        <v>#VALUE!</v>
      </c>
    </row>
    <row r="397" ht="12.5" customHeight="1" s="213">
      <c r="A397" t="inlineStr">
        <is>
          <t>UK</t>
        </is>
      </c>
      <c r="B397" t="inlineStr">
        <is>
          <t>Trd_hdt</t>
        </is>
      </c>
      <c r="C397" t="inlineStr">
        <is>
          <t>Trd_hdt</t>
        </is>
      </c>
      <c r="D397" t="n">
        <v>95.2</v>
      </c>
      <c r="E397" t="n">
        <v>94.6797727649605</v>
      </c>
      <c r="G397" t="n">
        <v>106.649959117685</v>
      </c>
      <c r="H397" t="n">
        <v>114.017902981276</v>
      </c>
      <c r="I397" t="n">
        <v>122.13725577279</v>
      </c>
      <c r="J397" t="n">
        <v>131.388184427004</v>
      </c>
      <c r="K397" t="n">
        <v>141.464815972633</v>
      </c>
      <c r="L397" t="n">
        <v>151.764310453394</v>
      </c>
      <c r="M397" t="n">
        <v>162.043192473531</v>
      </c>
      <c r="N397" t="n">
        <v>172.419822922564</v>
      </c>
      <c r="O397" t="n">
        <v>182.770420870736</v>
      </c>
      <c r="P397" t="n">
        <v>192.625633514536</v>
      </c>
      <c r="Q397" t="n">
        <v>201.799812978739</v>
      </c>
      <c r="R397" t="n">
        <v>210.187791625947</v>
      </c>
      <c r="S397" t="n">
        <v>217.79001571338</v>
      </c>
      <c r="T397" t="n">
        <v>224.655742265625</v>
      </c>
      <c r="U397" t="n">
        <v>230.808016943289</v>
      </c>
      <c r="V397" t="n">
        <v>236.174546944976</v>
      </c>
      <c r="W397" t="n">
        <v>3</v>
      </c>
      <c r="AG397" s="223" t="inlineStr">
        <is>
          <t>GDP</t>
        </is>
      </c>
      <c r="AI397" t="n">
        <v>1</v>
      </c>
      <c r="AJ397" t="n">
        <v>0.993148396218289</v>
      </c>
      <c r="AK397" t="n">
        <v>1.15302533912728</v>
      </c>
      <c r="AL397" t="n">
        <v>1.25605186635103</v>
      </c>
      <c r="AM397" t="n">
        <v>1.37359173441292</v>
      </c>
      <c r="AN397" t="n">
        <v>1.51253590278995</v>
      </c>
      <c r="AO397" t="n">
        <v>1.67002180157007</v>
      </c>
      <c r="AP397" t="n">
        <v>1.83787012917579</v>
      </c>
      <c r="AQ397" t="n">
        <v>2.01265025707437</v>
      </c>
      <c r="AR397" t="n">
        <v>2.19676808060046</v>
      </c>
      <c r="AS397" t="n">
        <v>2.38858625431799</v>
      </c>
      <c r="AT397" t="n">
        <v>2.57939454604319</v>
      </c>
      <c r="AU397" t="n">
        <v>2.76482670127988</v>
      </c>
      <c r="AV397" t="n">
        <v>2.94163030596454</v>
      </c>
      <c r="AW397" t="n">
        <v>3.10852444359958</v>
      </c>
      <c r="AX397" t="n">
        <v>3.26531604850998</v>
      </c>
      <c r="AY397" t="n">
        <v>3.41131082682603</v>
      </c>
      <c r="AZ397" t="n">
        <v>3.54350512218087</v>
      </c>
      <c r="BA397" t="n">
        <v>0</v>
      </c>
      <c r="BB397" t="n">
        <v>0</v>
      </c>
      <c r="BC397" t="n">
        <v>0</v>
      </c>
      <c r="BD397" t="n">
        <v>0</v>
      </c>
      <c r="BE397" t="n">
        <v>0</v>
      </c>
      <c r="BF397" t="n">
        <v>0</v>
      </c>
      <c r="BG397" t="n">
        <v>0</v>
      </c>
      <c r="BH397" t="n">
        <v>0</v>
      </c>
      <c r="BJ397" t="inlineStr">
        <is>
          <t>Med2</t>
        </is>
      </c>
      <c r="BL397" t="n">
        <v>0.8</v>
      </c>
      <c r="BM397" t="n">
        <v>0.797560975609756</v>
      </c>
      <c r="BN397" t="n">
        <v>0.785365853658536</v>
      </c>
      <c r="BO397" t="n">
        <v>0.773170731707317</v>
      </c>
      <c r="BP397" t="n">
        <v>0.760975609756097</v>
      </c>
      <c r="BQ397" t="n">
        <v>0.748780487804878</v>
      </c>
      <c r="BR397" t="n">
        <v>0.736585365853658</v>
      </c>
      <c r="BS397" t="n">
        <v>0.724390243902439</v>
      </c>
      <c r="BT397" t="n">
        <v>0.71219512195122</v>
      </c>
      <c r="BU397" t="n">
        <v>0.699999999999999</v>
      </c>
      <c r="BV397" t="n">
        <v>0.687499999999999</v>
      </c>
      <c r="BW397" t="n">
        <v>0.675</v>
      </c>
      <c r="BX397" t="n">
        <v>0.6625</v>
      </c>
      <c r="BY397" t="n">
        <v>0.649999999999999</v>
      </c>
      <c r="BZ397" t="n">
        <v>0.637499999999999</v>
      </c>
      <c r="CA397" t="n">
        <v>0.625</v>
      </c>
      <c r="CB397" t="n">
        <v>0.6125</v>
      </c>
      <c r="CC397" t="n">
        <v>0.6</v>
      </c>
      <c r="CD397" t="e">
        <v>#VALUE!</v>
      </c>
      <c r="CE397" t="e">
        <v>#VALUE!</v>
      </c>
      <c r="CF397" t="e">
        <v>#VALUE!</v>
      </c>
      <c r="CG397" t="e">
        <v>#VALUE!</v>
      </c>
      <c r="CH397" t="e">
        <v>#VALUE!</v>
      </c>
      <c r="CI397" t="e">
        <v>#VALUE!</v>
      </c>
      <c r="CJ397" t="e">
        <v>#VALUE!</v>
      </c>
      <c r="CK397" t="e">
        <v>#VALUE!</v>
      </c>
    </row>
    <row r="398" ht="12.5" customHeight="1" s="213">
      <c r="A398" t="inlineStr">
        <is>
          <t>UK</t>
        </is>
      </c>
      <c r="B398" t="inlineStr">
        <is>
          <t>Trd_lcv</t>
        </is>
      </c>
      <c r="C398" t="inlineStr">
        <is>
          <t>Trd_lcv</t>
        </is>
      </c>
      <c r="D398" t="n">
        <v>54.4</v>
      </c>
      <c r="E398" t="n">
        <v>54.1027272942632</v>
      </c>
      <c r="G398" t="n">
        <v>60.9428337815345</v>
      </c>
      <c r="H398" t="n">
        <v>65.1530874178718</v>
      </c>
      <c r="I398" t="n">
        <v>69.79271758445149</v>
      </c>
      <c r="J398" t="n">
        <v>75.07896252971641</v>
      </c>
      <c r="K398" t="n">
        <v>80.83703769864751</v>
      </c>
      <c r="L398" t="n">
        <v>86.7224631162254</v>
      </c>
      <c r="M398" t="n">
        <v>92.5961099848746</v>
      </c>
      <c r="N398" t="n">
        <v>98.52561309860771</v>
      </c>
      <c r="O398" t="n">
        <v>104.440240497563</v>
      </c>
      <c r="P398" t="n">
        <v>110.071790579735</v>
      </c>
      <c r="Q398" t="n">
        <v>115.314178844994</v>
      </c>
      <c r="R398" t="n">
        <v>120.107309500541</v>
      </c>
      <c r="S398" t="n">
        <v>124.451437550503</v>
      </c>
      <c r="T398" t="n">
        <v>128.374709866072</v>
      </c>
      <c r="U398" t="n">
        <v>131.890295396165</v>
      </c>
      <c r="V398" t="n">
        <v>134.956883968558</v>
      </c>
      <c r="W398" t="n">
        <v>3</v>
      </c>
      <c r="AG398" s="223" t="inlineStr">
        <is>
          <t>GDP</t>
        </is>
      </c>
      <c r="AI398" t="n">
        <v>1</v>
      </c>
      <c r="AJ398" t="n">
        <v>0.993148396218289</v>
      </c>
      <c r="AK398" t="n">
        <v>1.15302533912728</v>
      </c>
      <c r="AL398" t="n">
        <v>1.25605186635103</v>
      </c>
      <c r="AM398" t="n">
        <v>1.37359173441292</v>
      </c>
      <c r="AN398" t="n">
        <v>1.51253590278995</v>
      </c>
      <c r="AO398" t="n">
        <v>1.67002180157007</v>
      </c>
      <c r="AP398" t="n">
        <v>1.83787012917579</v>
      </c>
      <c r="AQ398" t="n">
        <v>2.01265025707437</v>
      </c>
      <c r="AR398" t="n">
        <v>2.19676808060046</v>
      </c>
      <c r="AS398" t="n">
        <v>2.38858625431799</v>
      </c>
      <c r="AT398" t="n">
        <v>2.57939454604319</v>
      </c>
      <c r="AU398" t="n">
        <v>2.76482670127988</v>
      </c>
      <c r="AV398" t="n">
        <v>2.94163030596454</v>
      </c>
      <c r="AW398" t="n">
        <v>3.10852444359958</v>
      </c>
      <c r="AX398" t="n">
        <v>3.26531604850998</v>
      </c>
      <c r="AY398" t="n">
        <v>3.41131082682603</v>
      </c>
      <c r="AZ398" t="n">
        <v>3.54350512218087</v>
      </c>
      <c r="BA398" t="n">
        <v>0</v>
      </c>
      <c r="BB398" t="n">
        <v>0</v>
      </c>
      <c r="BC398" t="n">
        <v>0</v>
      </c>
      <c r="BD398" t="n">
        <v>0</v>
      </c>
      <c r="BE398" t="n">
        <v>0</v>
      </c>
      <c r="BF398" t="n">
        <v>0</v>
      </c>
      <c r="BG398" t="n">
        <v>0</v>
      </c>
      <c r="BH398" t="n">
        <v>0</v>
      </c>
      <c r="BJ398" t="inlineStr">
        <is>
          <t>Med2</t>
        </is>
      </c>
      <c r="BL398" t="n">
        <v>0.8</v>
      </c>
      <c r="BM398" t="n">
        <v>0.797560975609756</v>
      </c>
      <c r="BN398" t="n">
        <v>0.785365853658536</v>
      </c>
      <c r="BO398" t="n">
        <v>0.773170731707317</v>
      </c>
      <c r="BP398" t="n">
        <v>0.760975609756097</v>
      </c>
      <c r="BQ398" t="n">
        <v>0.748780487804878</v>
      </c>
      <c r="BR398" t="n">
        <v>0.736585365853658</v>
      </c>
      <c r="BS398" t="n">
        <v>0.724390243902439</v>
      </c>
      <c r="BT398" t="n">
        <v>0.71219512195122</v>
      </c>
      <c r="BU398" t="n">
        <v>0.699999999999999</v>
      </c>
      <c r="BV398" t="n">
        <v>0.687499999999999</v>
      </c>
      <c r="BW398" t="n">
        <v>0.675</v>
      </c>
      <c r="BX398" t="n">
        <v>0.6625</v>
      </c>
      <c r="BY398" t="n">
        <v>0.649999999999999</v>
      </c>
      <c r="BZ398" t="n">
        <v>0.637499999999999</v>
      </c>
      <c r="CA398" t="n">
        <v>0.625</v>
      </c>
      <c r="CB398" t="n">
        <v>0.6125</v>
      </c>
      <c r="CC398" t="n">
        <v>0.6</v>
      </c>
      <c r="CD398" t="e">
        <v>#VALUE!</v>
      </c>
      <c r="CE398" t="e">
        <v>#VALUE!</v>
      </c>
      <c r="CF398" t="e">
        <v>#VALUE!</v>
      </c>
      <c r="CG398" t="e">
        <v>#VALUE!</v>
      </c>
      <c r="CH398" t="e">
        <v>#VALUE!</v>
      </c>
      <c r="CI398" t="e">
        <v>#VALUE!</v>
      </c>
      <c r="CJ398" t="e">
        <v>#VALUE!</v>
      </c>
      <c r="CK398" t="e">
        <v>#VALUE!</v>
      </c>
    </row>
    <row r="399" ht="12.5" customHeight="1" s="213">
      <c r="A399" t="inlineStr">
        <is>
          <t>Ukraine</t>
        </is>
      </c>
      <c r="B399" t="inlineStr">
        <is>
          <t>TAD</t>
        </is>
      </c>
      <c r="C399" t="inlineStr">
        <is>
          <t>TAD</t>
        </is>
      </c>
      <c r="E399" t="n">
        <v>7.75124785307158</v>
      </c>
      <c r="F399">
        <f>E399</f>
        <v/>
      </c>
      <c r="I399">
        <f>F399</f>
        <v/>
      </c>
      <c r="J399">
        <f>I399</f>
        <v/>
      </c>
      <c r="L399">
        <f>J399</f>
        <v/>
      </c>
      <c r="V399">
        <f>L399</f>
        <v/>
      </c>
      <c r="W399" t="n">
        <v>3</v>
      </c>
      <c r="AG399" s="223" t="inlineStr">
        <is>
          <t>GDP</t>
        </is>
      </c>
      <c r="AI399" t="n">
        <v>1</v>
      </c>
      <c r="AJ399" t="n">
        <v>1.0145966444184</v>
      </c>
      <c r="AK399" t="n">
        <v>0.856769478056215</v>
      </c>
      <c r="AL399" t="n">
        <v>1.0709615244502</v>
      </c>
      <c r="AM399" t="n">
        <v>1.29734461405191</v>
      </c>
      <c r="AN399" t="n">
        <v>1.52023209843737</v>
      </c>
      <c r="AO399" t="n">
        <v>1.73249613354527</v>
      </c>
      <c r="AP399" t="n">
        <v>1.94251088369941</v>
      </c>
      <c r="AQ399" t="n">
        <v>2.15758237059863</v>
      </c>
      <c r="AR399" t="n">
        <v>2.38360559676455</v>
      </c>
      <c r="AS399" t="n">
        <v>2.61479338945824</v>
      </c>
      <c r="AT399" t="n">
        <v>2.84483862959129</v>
      </c>
      <c r="AU399" t="n">
        <v>3.0697717409676</v>
      </c>
      <c r="AV399" t="n">
        <v>3.29172937811721</v>
      </c>
      <c r="AW399" t="n">
        <v>3.51801867057916</v>
      </c>
      <c r="AX399" t="n">
        <v>3.75378553623732</v>
      </c>
      <c r="AY399" t="n">
        <v>3.99739591074752</v>
      </c>
      <c r="AZ399" t="n">
        <v>4.24337337055627</v>
      </c>
      <c r="BA399" t="n">
        <v>0</v>
      </c>
      <c r="BB399" t="n">
        <v>0</v>
      </c>
      <c r="BC399" t="n">
        <v>0</v>
      </c>
      <c r="BD399" t="n">
        <v>0</v>
      </c>
      <c r="BE399" t="n">
        <v>0</v>
      </c>
      <c r="BF399" t="n">
        <v>0</v>
      </c>
      <c r="BG399" t="n">
        <v>0</v>
      </c>
      <c r="BH399" t="n">
        <v>0</v>
      </c>
      <c r="BJ399" t="inlineStr">
        <is>
          <t>High2</t>
        </is>
      </c>
      <c r="BL399" t="n">
        <v>1</v>
      </c>
      <c r="BM399" t="n">
        <v>0.997560975609757</v>
      </c>
      <c r="BN399" t="n">
        <v>0.985365853658537</v>
      </c>
      <c r="BO399" t="n">
        <v>0.973170731707317</v>
      </c>
      <c r="BP399" t="n">
        <v>0.960975609756098</v>
      </c>
      <c r="BQ399" t="n">
        <v>0.948780487804878</v>
      </c>
      <c r="BR399" t="n">
        <v>0.936585365853658</v>
      </c>
      <c r="BS399" t="n">
        <v>0.924390243902439</v>
      </c>
      <c r="BT399" t="n">
        <v>0.91219512195122</v>
      </c>
      <c r="BU399" t="n">
        <v>0.9</v>
      </c>
      <c r="BV399" t="n">
        <v>0.8875</v>
      </c>
      <c r="BW399" t="n">
        <v>0.875000000000001</v>
      </c>
      <c r="BX399" t="n">
        <v>0.862500000000001</v>
      </c>
      <c r="BY399" t="n">
        <v>0.850000000000001</v>
      </c>
      <c r="BZ399" t="n">
        <v>0.8375</v>
      </c>
      <c r="CA399" t="n">
        <v>0.825000000000001</v>
      </c>
      <c r="CB399" t="n">
        <v>0.812500000000001</v>
      </c>
      <c r="CC399" t="n">
        <v>0.800000000000001</v>
      </c>
      <c r="CD399" t="e">
        <v>#VALUE!</v>
      </c>
      <c r="CE399" t="e">
        <v>#VALUE!</v>
      </c>
      <c r="CF399" t="e">
        <v>#VALUE!</v>
      </c>
      <c r="CG399" t="e">
        <v>#VALUE!</v>
      </c>
      <c r="CH399" t="e">
        <v>#VALUE!</v>
      </c>
      <c r="CI399" t="e">
        <v>#VALUE!</v>
      </c>
      <c r="CJ399" t="e">
        <v>#VALUE!</v>
      </c>
      <c r="CK399" t="e">
        <v>#VALUE!</v>
      </c>
    </row>
    <row r="400" ht="12.5" customHeight="1" s="213">
      <c r="A400" t="inlineStr">
        <is>
          <t>Ukraine</t>
        </is>
      </c>
      <c r="B400" t="inlineStr">
        <is>
          <t>TAI</t>
        </is>
      </c>
      <c r="C400" t="inlineStr">
        <is>
          <t>TAI</t>
        </is>
      </c>
      <c r="E400" t="n">
        <v>7.39791458129825</v>
      </c>
      <c r="F400">
        <f>E400</f>
        <v/>
      </c>
      <c r="I400">
        <f>F400</f>
        <v/>
      </c>
      <c r="J400">
        <f>I400</f>
        <v/>
      </c>
      <c r="L400">
        <f>J400</f>
        <v/>
      </c>
      <c r="V400">
        <f>L400</f>
        <v/>
      </c>
      <c r="W400" t="n">
        <v>3</v>
      </c>
      <c r="AG400" s="223" t="inlineStr">
        <is>
          <t>GDP</t>
        </is>
      </c>
      <c r="AI400" t="n">
        <v>1</v>
      </c>
      <c r="AJ400" t="n">
        <v>1.0145966444184</v>
      </c>
      <c r="AK400" t="n">
        <v>0.856769478056215</v>
      </c>
      <c r="AL400" t="n">
        <v>1.0709615244502</v>
      </c>
      <c r="AM400" t="n">
        <v>1.29734461405191</v>
      </c>
      <c r="AN400" t="n">
        <v>1.52023209843737</v>
      </c>
      <c r="AO400" t="n">
        <v>1.73249613354527</v>
      </c>
      <c r="AP400" t="n">
        <v>1.94251088369941</v>
      </c>
      <c r="AQ400" t="n">
        <v>2.15758237059863</v>
      </c>
      <c r="AR400" t="n">
        <v>2.38360559676455</v>
      </c>
      <c r="AS400" t="n">
        <v>2.61479338945824</v>
      </c>
      <c r="AT400" t="n">
        <v>2.84483862959129</v>
      </c>
      <c r="AU400" t="n">
        <v>3.0697717409676</v>
      </c>
      <c r="AV400" t="n">
        <v>3.29172937811721</v>
      </c>
      <c r="AW400" t="n">
        <v>3.51801867057916</v>
      </c>
      <c r="AX400" t="n">
        <v>3.75378553623732</v>
      </c>
      <c r="AY400" t="n">
        <v>3.99739591074752</v>
      </c>
      <c r="AZ400" t="n">
        <v>4.24337337055627</v>
      </c>
      <c r="BA400" t="n">
        <v>0</v>
      </c>
      <c r="BB400" t="n">
        <v>0</v>
      </c>
      <c r="BC400" t="n">
        <v>0</v>
      </c>
      <c r="BD400" t="n">
        <v>0</v>
      </c>
      <c r="BE400" t="n">
        <v>0</v>
      </c>
      <c r="BF400" t="n">
        <v>0</v>
      </c>
      <c r="BG400" t="n">
        <v>0</v>
      </c>
      <c r="BH400" t="n">
        <v>0</v>
      </c>
      <c r="BJ400" t="inlineStr">
        <is>
          <t>High2</t>
        </is>
      </c>
      <c r="BL400" t="n">
        <v>1</v>
      </c>
      <c r="BM400" t="n">
        <v>0.997560975609757</v>
      </c>
      <c r="BN400" t="n">
        <v>0.985365853658537</v>
      </c>
      <c r="BO400" t="n">
        <v>0.973170731707317</v>
      </c>
      <c r="BP400" t="n">
        <v>0.960975609756098</v>
      </c>
      <c r="BQ400" t="n">
        <v>0.948780487804878</v>
      </c>
      <c r="BR400" t="n">
        <v>0.936585365853658</v>
      </c>
      <c r="BS400" t="n">
        <v>0.924390243902439</v>
      </c>
      <c r="BT400" t="n">
        <v>0.91219512195122</v>
      </c>
      <c r="BU400" t="n">
        <v>0.9</v>
      </c>
      <c r="BV400" t="n">
        <v>0.8875</v>
      </c>
      <c r="BW400" t="n">
        <v>0.875000000000001</v>
      </c>
      <c r="BX400" t="n">
        <v>0.862500000000001</v>
      </c>
      <c r="BY400" t="n">
        <v>0.850000000000001</v>
      </c>
      <c r="BZ400" t="n">
        <v>0.8375</v>
      </c>
      <c r="CA400" t="n">
        <v>0.825000000000001</v>
      </c>
      <c r="CB400" t="n">
        <v>0.812500000000001</v>
      </c>
      <c r="CC400" t="n">
        <v>0.800000000000001</v>
      </c>
      <c r="CD400" t="e">
        <v>#VALUE!</v>
      </c>
      <c r="CE400" t="e">
        <v>#VALUE!</v>
      </c>
      <c r="CF400" t="e">
        <v>#VALUE!</v>
      </c>
      <c r="CG400" t="e">
        <v>#VALUE!</v>
      </c>
      <c r="CH400" t="e">
        <v>#VALUE!</v>
      </c>
      <c r="CI400" t="e">
        <v>#VALUE!</v>
      </c>
      <c r="CJ400" t="e">
        <v>#VALUE!</v>
      </c>
      <c r="CK400" t="e">
        <v>#VALUE!</v>
      </c>
    </row>
    <row r="401" ht="12.5" customHeight="1" s="213">
      <c r="A401" t="inlineStr">
        <is>
          <t>Ukraine</t>
        </is>
      </c>
      <c r="B401" t="inlineStr">
        <is>
          <t>TTF</t>
        </is>
      </c>
      <c r="C401" t="inlineStr">
        <is>
          <t>TTF</t>
        </is>
      </c>
      <c r="E401" t="n">
        <v>5.36702369795162</v>
      </c>
      <c r="I401" t="n">
        <v>6.79767649689424</v>
      </c>
      <c r="J401" t="n">
        <v>7.90571937471574</v>
      </c>
      <c r="L401" t="n">
        <v>9.94129063496476</v>
      </c>
      <c r="V401" t="n">
        <v>19.5816696304826</v>
      </c>
      <c r="W401" t="n">
        <v>3</v>
      </c>
      <c r="AG401" s="223" t="inlineStr">
        <is>
          <t>GDP</t>
        </is>
      </c>
      <c r="AI401" t="n">
        <v>1</v>
      </c>
      <c r="AJ401" t="n">
        <v>1.0145966444184</v>
      </c>
      <c r="AK401" t="n">
        <v>0.856769478056215</v>
      </c>
      <c r="AL401" t="n">
        <v>1.0709615244502</v>
      </c>
      <c r="AM401" t="n">
        <v>1.29734461405191</v>
      </c>
      <c r="AN401" t="n">
        <v>1.52023209843737</v>
      </c>
      <c r="AO401" t="n">
        <v>1.73249613354527</v>
      </c>
      <c r="AP401" t="n">
        <v>1.94251088369941</v>
      </c>
      <c r="AQ401" t="n">
        <v>2.15758237059863</v>
      </c>
      <c r="AR401" t="n">
        <v>2.38360559676455</v>
      </c>
      <c r="AS401" t="n">
        <v>2.61479338945824</v>
      </c>
      <c r="AT401" t="n">
        <v>2.84483862959129</v>
      </c>
      <c r="AU401" t="n">
        <v>3.0697717409676</v>
      </c>
      <c r="AV401" t="n">
        <v>3.29172937811721</v>
      </c>
      <c r="AW401" t="n">
        <v>3.51801867057916</v>
      </c>
      <c r="AX401" t="n">
        <v>3.75378553623732</v>
      </c>
      <c r="AY401" t="n">
        <v>3.99739591074752</v>
      </c>
      <c r="AZ401" t="n">
        <v>4.24337337055627</v>
      </c>
      <c r="BA401" t="n">
        <v>0</v>
      </c>
      <c r="BB401" t="n">
        <v>0</v>
      </c>
      <c r="BC401" t="n">
        <v>0</v>
      </c>
      <c r="BD401" t="n">
        <v>0</v>
      </c>
      <c r="BE401" t="n">
        <v>0</v>
      </c>
      <c r="BF401" t="n">
        <v>0</v>
      </c>
      <c r="BG401" t="n">
        <v>0</v>
      </c>
      <c r="BH401" t="n">
        <v>0</v>
      </c>
      <c r="BJ401" t="inlineStr">
        <is>
          <t>High2</t>
        </is>
      </c>
      <c r="BL401" t="n">
        <v>1</v>
      </c>
      <c r="BM401" t="n">
        <v>0.997560975609757</v>
      </c>
      <c r="BN401" t="n">
        <v>0.985365853658537</v>
      </c>
      <c r="BO401" t="n">
        <v>0.973170731707317</v>
      </c>
      <c r="BP401" t="n">
        <v>0.960975609756098</v>
      </c>
      <c r="BQ401" t="n">
        <v>0.948780487804878</v>
      </c>
      <c r="BR401" t="n">
        <v>0.936585365853658</v>
      </c>
      <c r="BS401" t="n">
        <v>0.924390243902439</v>
      </c>
      <c r="BT401" t="n">
        <v>0.91219512195122</v>
      </c>
      <c r="BU401" t="n">
        <v>0.9</v>
      </c>
      <c r="BV401" t="n">
        <v>0.8875</v>
      </c>
      <c r="BW401" t="n">
        <v>0.875000000000001</v>
      </c>
      <c r="BX401" t="n">
        <v>0.862500000000001</v>
      </c>
      <c r="BY401" t="n">
        <v>0.850000000000001</v>
      </c>
      <c r="BZ401" t="n">
        <v>0.8375</v>
      </c>
      <c r="CA401" t="n">
        <v>0.825000000000001</v>
      </c>
      <c r="CB401" t="n">
        <v>0.812500000000001</v>
      </c>
      <c r="CC401" t="n">
        <v>0.800000000000001</v>
      </c>
      <c r="CD401" t="e">
        <v>#VALUE!</v>
      </c>
      <c r="CE401" t="e">
        <v>#VALUE!</v>
      </c>
      <c r="CF401" t="e">
        <v>#VALUE!</v>
      </c>
      <c r="CG401" t="e">
        <v>#VALUE!</v>
      </c>
      <c r="CH401" t="e">
        <v>#VALUE!</v>
      </c>
      <c r="CI401" t="e">
        <v>#VALUE!</v>
      </c>
      <c r="CJ401" t="e">
        <v>#VALUE!</v>
      </c>
      <c r="CK401" t="e">
        <v>#VALUE!</v>
      </c>
    </row>
    <row r="402" ht="12.5" customHeight="1" s="213">
      <c r="A402" t="inlineStr">
        <is>
          <t>Ukraine</t>
        </is>
      </c>
      <c r="B402" t="inlineStr">
        <is>
          <t>TTP</t>
        </is>
      </c>
      <c r="C402" t="inlineStr">
        <is>
          <t>TTP</t>
        </is>
      </c>
      <c r="E402" t="n">
        <v>15.1011499893745</v>
      </c>
      <c r="I402" t="n">
        <v>12.7482738405374</v>
      </c>
      <c r="J402" t="n">
        <v>12.5807321535368</v>
      </c>
      <c r="L402" t="n">
        <v>12.0676049227177</v>
      </c>
      <c r="V402" t="n">
        <v>9.690560129665689</v>
      </c>
      <c r="W402" t="n">
        <v>3</v>
      </c>
      <c r="AG402" s="223" t="inlineStr">
        <is>
          <t>POP</t>
        </is>
      </c>
      <c r="AI402" t="n">
        <v>1</v>
      </c>
      <c r="AJ402" t="n">
        <v>0.968215646891066</v>
      </c>
      <c r="AK402" t="n">
        <v>0.809293881346395</v>
      </c>
      <c r="AL402" t="n">
        <v>0.817911043529999</v>
      </c>
      <c r="AM402" t="n">
        <v>0.815140329025702</v>
      </c>
      <c r="AN402" t="n">
        <v>0.8038491800884729</v>
      </c>
      <c r="AO402" t="n">
        <v>0.787138158187406</v>
      </c>
      <c r="AP402" t="n">
        <v>0.768626428349187</v>
      </c>
      <c r="AQ402" t="n">
        <v>0.749127517330478</v>
      </c>
      <c r="AR402" t="n">
        <v>0.72983773852111</v>
      </c>
      <c r="AS402" t="n">
        <v>0.710555777546496</v>
      </c>
      <c r="AT402" t="n">
        <v>0.691690911393244</v>
      </c>
      <c r="AU402" t="n">
        <v>0.673621453497746</v>
      </c>
      <c r="AV402" t="n">
        <v>0.656544614384337</v>
      </c>
      <c r="AW402" t="n">
        <v>0.640411701869658</v>
      </c>
      <c r="AX402" t="n">
        <v>0.625131630997149</v>
      </c>
      <c r="AY402" t="n">
        <v>0.610205886556249</v>
      </c>
      <c r="AZ402" t="n">
        <v>0.594771408317638</v>
      </c>
      <c r="BA402" t="n">
        <v>0</v>
      </c>
      <c r="BB402" t="n">
        <v>0</v>
      </c>
      <c r="BC402" t="n">
        <v>0</v>
      </c>
      <c r="BD402" t="n">
        <v>0</v>
      </c>
      <c r="BE402" t="n">
        <v>0</v>
      </c>
      <c r="BF402" t="n">
        <v>0</v>
      </c>
      <c r="BG402" t="n">
        <v>0</v>
      </c>
      <c r="BH402" t="n">
        <v>0</v>
      </c>
      <c r="BJ402" t="inlineStr">
        <is>
          <t>High2</t>
        </is>
      </c>
      <c r="BL402" t="n">
        <v>1</v>
      </c>
      <c r="BM402" t="n">
        <v>0.997560975609757</v>
      </c>
      <c r="BN402" t="n">
        <v>0.985365853658537</v>
      </c>
      <c r="BO402" t="n">
        <v>0.973170731707317</v>
      </c>
      <c r="BP402" t="n">
        <v>0.960975609756098</v>
      </c>
      <c r="BQ402" t="n">
        <v>0.948780487804878</v>
      </c>
      <c r="BR402" t="n">
        <v>0.936585365853658</v>
      </c>
      <c r="BS402" t="n">
        <v>0.924390243902439</v>
      </c>
      <c r="BT402" t="n">
        <v>0.91219512195122</v>
      </c>
      <c r="BU402" t="n">
        <v>0.9</v>
      </c>
      <c r="BV402" t="n">
        <v>0.8875</v>
      </c>
      <c r="BW402" t="n">
        <v>0.875000000000001</v>
      </c>
      <c r="BX402" t="n">
        <v>0.862500000000001</v>
      </c>
      <c r="BY402" t="n">
        <v>0.850000000000001</v>
      </c>
      <c r="BZ402" t="n">
        <v>0.8375</v>
      </c>
      <c r="CA402" t="n">
        <v>0.825000000000001</v>
      </c>
      <c r="CB402" t="n">
        <v>0.812500000000001</v>
      </c>
      <c r="CC402" t="n">
        <v>0.800000000000001</v>
      </c>
      <c r="CD402" t="e">
        <v>#VALUE!</v>
      </c>
      <c r="CE402" t="e">
        <v>#VALUE!</v>
      </c>
      <c r="CF402" t="e">
        <v>#VALUE!</v>
      </c>
      <c r="CG402" t="e">
        <v>#VALUE!</v>
      </c>
      <c r="CH402" t="e">
        <v>#VALUE!</v>
      </c>
      <c r="CI402" t="e">
        <v>#VALUE!</v>
      </c>
      <c r="CJ402" t="e">
        <v>#VALUE!</v>
      </c>
      <c r="CK402" t="e">
        <v>#VALUE!</v>
      </c>
    </row>
    <row r="403" ht="12.5" customHeight="1" s="213">
      <c r="A403" t="inlineStr">
        <is>
          <t>Ukraine</t>
        </is>
      </c>
      <c r="B403" t="inlineStr">
        <is>
          <t>TWD</t>
        </is>
      </c>
      <c r="C403" t="inlineStr">
        <is>
          <t>TWD</t>
        </is>
      </c>
      <c r="E403" t="n">
        <v>5.71590616242323</v>
      </c>
      <c r="F403">
        <f>E403</f>
        <v/>
      </c>
      <c r="I403">
        <f>F403</f>
        <v/>
      </c>
      <c r="J403">
        <f>I403</f>
        <v/>
      </c>
      <c r="L403">
        <f>J403</f>
        <v/>
      </c>
      <c r="V403">
        <f>L403</f>
        <v/>
      </c>
      <c r="W403" t="n">
        <v>3</v>
      </c>
      <c r="AG403" s="223" t="inlineStr">
        <is>
          <t>GDP</t>
        </is>
      </c>
      <c r="AI403" t="n">
        <v>1</v>
      </c>
      <c r="AJ403" t="n">
        <v>1.0145966444184</v>
      </c>
      <c r="AK403" t="n">
        <v>0.856769478056215</v>
      </c>
      <c r="AL403" t="n">
        <v>1.0709615244502</v>
      </c>
      <c r="AM403" t="n">
        <v>1.29734461405191</v>
      </c>
      <c r="AN403" t="n">
        <v>1.52023209843737</v>
      </c>
      <c r="AO403" t="n">
        <v>1.73249613354527</v>
      </c>
      <c r="AP403" t="n">
        <v>1.94251088369941</v>
      </c>
      <c r="AQ403" t="n">
        <v>2.15758237059863</v>
      </c>
      <c r="AR403" t="n">
        <v>2.38360559676455</v>
      </c>
      <c r="AS403" t="n">
        <v>2.61479338945824</v>
      </c>
      <c r="AT403" t="n">
        <v>2.84483862959129</v>
      </c>
      <c r="AU403" t="n">
        <v>3.0697717409676</v>
      </c>
      <c r="AV403" t="n">
        <v>3.29172937811721</v>
      </c>
      <c r="AW403" t="n">
        <v>3.51801867057916</v>
      </c>
      <c r="AX403" t="n">
        <v>3.75378553623732</v>
      </c>
      <c r="AY403" t="n">
        <v>3.99739591074752</v>
      </c>
      <c r="AZ403" t="n">
        <v>4.24337337055627</v>
      </c>
      <c r="BA403" t="n">
        <v>0</v>
      </c>
      <c r="BB403" t="n">
        <v>0</v>
      </c>
      <c r="BC403" t="n">
        <v>0</v>
      </c>
      <c r="BD403" t="n">
        <v>0</v>
      </c>
      <c r="BE403" t="n">
        <v>0</v>
      </c>
      <c r="BF403" t="n">
        <v>0</v>
      </c>
      <c r="BG403" t="n">
        <v>0</v>
      </c>
      <c r="BH403" t="n">
        <v>0</v>
      </c>
      <c r="BJ403" t="inlineStr">
        <is>
          <t>High2</t>
        </is>
      </c>
      <c r="BL403" t="n">
        <v>1</v>
      </c>
      <c r="BM403" t="n">
        <v>0.997560975609757</v>
      </c>
      <c r="BN403" t="n">
        <v>0.985365853658537</v>
      </c>
      <c r="BO403" t="n">
        <v>0.973170731707317</v>
      </c>
      <c r="BP403" t="n">
        <v>0.960975609756098</v>
      </c>
      <c r="BQ403" t="n">
        <v>0.948780487804878</v>
      </c>
      <c r="BR403" t="n">
        <v>0.936585365853658</v>
      </c>
      <c r="BS403" t="n">
        <v>0.924390243902439</v>
      </c>
      <c r="BT403" t="n">
        <v>0.91219512195122</v>
      </c>
      <c r="BU403" t="n">
        <v>0.9</v>
      </c>
      <c r="BV403" t="n">
        <v>0.8875</v>
      </c>
      <c r="BW403" t="n">
        <v>0.875000000000001</v>
      </c>
      <c r="BX403" t="n">
        <v>0.862500000000001</v>
      </c>
      <c r="BY403" t="n">
        <v>0.850000000000001</v>
      </c>
      <c r="BZ403" t="n">
        <v>0.8375</v>
      </c>
      <c r="CA403" t="n">
        <v>0.825000000000001</v>
      </c>
      <c r="CB403" t="n">
        <v>0.812500000000001</v>
      </c>
      <c r="CC403" t="n">
        <v>0.800000000000001</v>
      </c>
      <c r="CD403" t="e">
        <v>#VALUE!</v>
      </c>
      <c r="CE403" t="e">
        <v>#VALUE!</v>
      </c>
      <c r="CF403" t="e">
        <v>#VALUE!</v>
      </c>
      <c r="CG403" t="e">
        <v>#VALUE!</v>
      </c>
      <c r="CH403" t="e">
        <v>#VALUE!</v>
      </c>
      <c r="CI403" t="e">
        <v>#VALUE!</v>
      </c>
      <c r="CJ403" t="e">
        <v>#VALUE!</v>
      </c>
      <c r="CK403" t="e">
        <v>#VALUE!</v>
      </c>
    </row>
    <row r="404" ht="12.5" customHeight="1" s="213">
      <c r="A404" t="inlineStr">
        <is>
          <t>Ukraine</t>
        </is>
      </c>
      <c r="B404" t="inlineStr">
        <is>
          <t>TWI</t>
        </is>
      </c>
      <c r="C404" t="inlineStr">
        <is>
          <t>TWI</t>
        </is>
      </c>
      <c r="E404" t="n">
        <v>0</v>
      </c>
      <c r="F404">
        <f>E404</f>
        <v/>
      </c>
      <c r="I404">
        <f>F404</f>
        <v/>
      </c>
      <c r="J404">
        <f>I404</f>
        <v/>
      </c>
      <c r="L404">
        <f>J404</f>
        <v/>
      </c>
      <c r="V404">
        <f>L404</f>
        <v/>
      </c>
      <c r="W404" t="n">
        <v>3</v>
      </c>
      <c r="AG404" s="223" t="inlineStr">
        <is>
          <t>GDP</t>
        </is>
      </c>
      <c r="AI404" t="n">
        <v>1</v>
      </c>
      <c r="AJ404" t="n">
        <v>1.0145966444184</v>
      </c>
      <c r="AK404" t="n">
        <v>0.856769478056215</v>
      </c>
      <c r="AL404" t="n">
        <v>1.0709615244502</v>
      </c>
      <c r="AM404" t="n">
        <v>1.29734461405191</v>
      </c>
      <c r="AN404" t="n">
        <v>1.52023209843737</v>
      </c>
      <c r="AO404" t="n">
        <v>1.73249613354527</v>
      </c>
      <c r="AP404" t="n">
        <v>1.94251088369941</v>
      </c>
      <c r="AQ404" t="n">
        <v>2.15758237059863</v>
      </c>
      <c r="AR404" t="n">
        <v>2.38360559676455</v>
      </c>
      <c r="AS404" t="n">
        <v>2.61479338945824</v>
      </c>
      <c r="AT404" t="n">
        <v>2.84483862959129</v>
      </c>
      <c r="AU404" t="n">
        <v>3.0697717409676</v>
      </c>
      <c r="AV404" t="n">
        <v>3.29172937811721</v>
      </c>
      <c r="AW404" t="n">
        <v>3.51801867057916</v>
      </c>
      <c r="AX404" t="n">
        <v>3.75378553623732</v>
      </c>
      <c r="AY404" t="n">
        <v>3.99739591074752</v>
      </c>
      <c r="AZ404" t="n">
        <v>4.24337337055627</v>
      </c>
      <c r="BA404" t="n">
        <v>0</v>
      </c>
      <c r="BB404" t="n">
        <v>0</v>
      </c>
      <c r="BC404" t="n">
        <v>0</v>
      </c>
      <c r="BD404" t="n">
        <v>0</v>
      </c>
      <c r="BE404" t="n">
        <v>0</v>
      </c>
      <c r="BF404" t="n">
        <v>0</v>
      </c>
      <c r="BG404" t="n">
        <v>0</v>
      </c>
      <c r="BH404" t="n">
        <v>0</v>
      </c>
      <c r="BJ404" t="inlineStr">
        <is>
          <t>High2</t>
        </is>
      </c>
      <c r="BL404" t="n">
        <v>1</v>
      </c>
      <c r="BM404" t="n">
        <v>0.997560975609757</v>
      </c>
      <c r="BN404" t="n">
        <v>0.985365853658537</v>
      </c>
      <c r="BO404" t="n">
        <v>0.973170731707317</v>
      </c>
      <c r="BP404" t="n">
        <v>0.960975609756098</v>
      </c>
      <c r="BQ404" t="n">
        <v>0.948780487804878</v>
      </c>
      <c r="BR404" t="n">
        <v>0.936585365853658</v>
      </c>
      <c r="BS404" t="n">
        <v>0.924390243902439</v>
      </c>
      <c r="BT404" t="n">
        <v>0.91219512195122</v>
      </c>
      <c r="BU404" t="n">
        <v>0.9</v>
      </c>
      <c r="BV404" t="n">
        <v>0.8875</v>
      </c>
      <c r="BW404" t="n">
        <v>0.875000000000001</v>
      </c>
      <c r="BX404" t="n">
        <v>0.862500000000001</v>
      </c>
      <c r="BY404" t="n">
        <v>0.850000000000001</v>
      </c>
      <c r="BZ404" t="n">
        <v>0.8375</v>
      </c>
      <c r="CA404" t="n">
        <v>0.825000000000001</v>
      </c>
      <c r="CB404" t="n">
        <v>0.812500000000001</v>
      </c>
      <c r="CC404" t="n">
        <v>0.800000000000001</v>
      </c>
      <c r="CD404" t="e">
        <v>#VALUE!</v>
      </c>
      <c r="CE404" t="e">
        <v>#VALUE!</v>
      </c>
      <c r="CF404" t="e">
        <v>#VALUE!</v>
      </c>
      <c r="CG404" t="e">
        <v>#VALUE!</v>
      </c>
      <c r="CH404" t="e">
        <v>#VALUE!</v>
      </c>
      <c r="CI404" t="e">
        <v>#VALUE!</v>
      </c>
      <c r="CJ404" t="e">
        <v>#VALUE!</v>
      </c>
      <c r="CK404" t="e">
        <v>#VALUE!</v>
      </c>
    </row>
    <row r="405" ht="12.5" customHeight="1" s="213">
      <c r="A405" t="inlineStr">
        <is>
          <t>Ukraine</t>
        </is>
      </c>
      <c r="B405" t="inlineStr">
        <is>
          <t>Trd_2w</t>
        </is>
      </c>
      <c r="C405" t="inlineStr">
        <is>
          <t>Trd_2w</t>
        </is>
      </c>
      <c r="D405" t="n">
        <v>0.8</v>
      </c>
      <c r="E405" t="n">
        <v>0.774634535762821</v>
      </c>
      <c r="G405" t="n">
        <v>0.649347640194087</v>
      </c>
      <c r="H405" t="n">
        <v>0.656076234062867</v>
      </c>
      <c r="I405" t="n">
        <v>0.653940474413564</v>
      </c>
      <c r="J405" t="n">
        <v>0.645346190069527</v>
      </c>
      <c r="K405" t="n">
        <v>0.632781014727966</v>
      </c>
      <c r="L405" t="n">
        <v>0.61902461359936</v>
      </c>
      <c r="M405" t="n">
        <v>0.604699743000447</v>
      </c>
      <c r="N405" t="n">
        <v>0.590686011537058</v>
      </c>
      <c r="O405" t="n">
        <v>0.576836006502876</v>
      </c>
      <c r="P405" t="n">
        <v>0.56343566187258</v>
      </c>
      <c r="Q405" t="n">
        <v>0.550740551251421</v>
      </c>
      <c r="R405" t="n">
        <v>0.53887309724235</v>
      </c>
      <c r="S405" t="n">
        <v>0.527783395814634</v>
      </c>
      <c r="T405" t="n">
        <v>0.517394347132957</v>
      </c>
      <c r="U405" t="n">
        <v>0.507357216508363</v>
      </c>
      <c r="V405" t="n">
        <v>0.497090787960327</v>
      </c>
      <c r="W405" t="n">
        <v>3</v>
      </c>
      <c r="AG405" s="223" t="inlineStr">
        <is>
          <t>POP</t>
        </is>
      </c>
      <c r="AI405" t="n">
        <v>1</v>
      </c>
      <c r="AJ405" t="n">
        <v>0.968215646891066</v>
      </c>
      <c r="AK405" t="n">
        <v>0.809293881346395</v>
      </c>
      <c r="AL405" t="n">
        <v>0.817911043529999</v>
      </c>
      <c r="AM405" t="n">
        <v>0.815140329025702</v>
      </c>
      <c r="AN405" t="n">
        <v>0.8038491800884729</v>
      </c>
      <c r="AO405" t="n">
        <v>0.787138158187406</v>
      </c>
      <c r="AP405" t="n">
        <v>0.768626428349187</v>
      </c>
      <c r="AQ405" t="n">
        <v>0.749127517330478</v>
      </c>
      <c r="AR405" t="n">
        <v>0.72983773852111</v>
      </c>
      <c r="AS405" t="n">
        <v>0.710555777546496</v>
      </c>
      <c r="AT405" t="n">
        <v>0.691690911393244</v>
      </c>
      <c r="AU405" t="n">
        <v>0.673621453497746</v>
      </c>
      <c r="AV405" t="n">
        <v>0.656544614384337</v>
      </c>
      <c r="AW405" t="n">
        <v>0.640411701869658</v>
      </c>
      <c r="AX405" t="n">
        <v>0.625131630997149</v>
      </c>
      <c r="AY405" t="n">
        <v>0.610205886556249</v>
      </c>
      <c r="AZ405" t="n">
        <v>0.594771408317638</v>
      </c>
      <c r="BA405" t="n">
        <v>0</v>
      </c>
      <c r="BB405" t="n">
        <v>0</v>
      </c>
      <c r="BC405" t="n">
        <v>0</v>
      </c>
      <c r="BD405" t="n">
        <v>0</v>
      </c>
      <c r="BE405" t="n">
        <v>0</v>
      </c>
      <c r="BF405" t="n">
        <v>0</v>
      </c>
      <c r="BG405" t="n">
        <v>0</v>
      </c>
      <c r="BH405" t="n">
        <v>0</v>
      </c>
      <c r="BJ405" t="inlineStr">
        <is>
          <t>High2</t>
        </is>
      </c>
      <c r="BL405" t="n">
        <v>1</v>
      </c>
      <c r="BM405" t="n">
        <v>0.997560975609757</v>
      </c>
      <c r="BN405" t="n">
        <v>0.985365853658537</v>
      </c>
      <c r="BO405" t="n">
        <v>0.973170731707317</v>
      </c>
      <c r="BP405" t="n">
        <v>0.960975609756098</v>
      </c>
      <c r="BQ405" t="n">
        <v>0.948780487804878</v>
      </c>
      <c r="BR405" t="n">
        <v>0.936585365853658</v>
      </c>
      <c r="BS405" t="n">
        <v>0.924390243902439</v>
      </c>
      <c r="BT405" t="n">
        <v>0.91219512195122</v>
      </c>
      <c r="BU405" t="n">
        <v>0.9</v>
      </c>
      <c r="BV405" t="n">
        <v>0.8875</v>
      </c>
      <c r="BW405" t="n">
        <v>0.875000000000001</v>
      </c>
      <c r="BX405" t="n">
        <v>0.862500000000001</v>
      </c>
      <c r="BY405" t="n">
        <v>0.850000000000001</v>
      </c>
      <c r="BZ405" t="n">
        <v>0.8375</v>
      </c>
      <c r="CA405" t="n">
        <v>0.825000000000001</v>
      </c>
      <c r="CB405" t="n">
        <v>0.812500000000001</v>
      </c>
      <c r="CC405" t="n">
        <v>0.800000000000001</v>
      </c>
      <c r="CD405" t="e">
        <v>#VALUE!</v>
      </c>
      <c r="CE405" t="e">
        <v>#VALUE!</v>
      </c>
      <c r="CF405" t="e">
        <v>#VALUE!</v>
      </c>
      <c r="CG405" t="e">
        <v>#VALUE!</v>
      </c>
      <c r="CH405" t="e">
        <v>#VALUE!</v>
      </c>
      <c r="CI405" t="e">
        <v>#VALUE!</v>
      </c>
      <c r="CJ405" t="e">
        <v>#VALUE!</v>
      </c>
      <c r="CK405" t="e">
        <v>#VALUE!</v>
      </c>
    </row>
    <row r="406" ht="12.5" customHeight="1" s="213">
      <c r="A406" t="inlineStr">
        <is>
          <t>Ukraine</t>
        </is>
      </c>
      <c r="B406" t="inlineStr">
        <is>
          <t>Trd_3w</t>
        </is>
      </c>
      <c r="C406" t="inlineStr">
        <is>
          <t>Trd_3w</t>
        </is>
      </c>
      <c r="D406" t="n">
        <v>0.165</v>
      </c>
      <c r="E406" t="n">
        <v>0.159768373001082</v>
      </c>
      <c r="G406" t="n">
        <v>0.13392795079003</v>
      </c>
      <c r="H406" t="n">
        <v>0.135315723275466</v>
      </c>
      <c r="I406" t="n">
        <v>0.134875222847798</v>
      </c>
      <c r="J406" t="n">
        <v>0.13310265170184</v>
      </c>
      <c r="K406" t="n">
        <v>0.130511084287643</v>
      </c>
      <c r="L406" t="n">
        <v>0.127673826554868</v>
      </c>
      <c r="M406" t="n">
        <v>0.124719321993842</v>
      </c>
      <c r="N406" t="n">
        <v>0.121828989879518</v>
      </c>
      <c r="O406" t="n">
        <v>0.118972426341218</v>
      </c>
      <c r="P406" t="n">
        <v>0.11620860526122</v>
      </c>
      <c r="Q406" t="n">
        <v>0.113590238695606</v>
      </c>
      <c r="R406" t="n">
        <v>0.111142576306235</v>
      </c>
      <c r="S406" t="n">
        <v>0.108855325386768</v>
      </c>
      <c r="T406" t="n">
        <v>0.106712584096172</v>
      </c>
      <c r="U406" t="n">
        <v>0.10464242590485</v>
      </c>
      <c r="V406" t="n">
        <v>0.102524975016818</v>
      </c>
      <c r="W406" t="n">
        <v>3</v>
      </c>
      <c r="AG406" s="223" t="inlineStr">
        <is>
          <t>POP</t>
        </is>
      </c>
      <c r="AI406" t="n">
        <v>1</v>
      </c>
      <c r="AJ406" t="n">
        <v>0.968215646891066</v>
      </c>
      <c r="AK406" t="n">
        <v>0.809293881346395</v>
      </c>
      <c r="AL406" t="n">
        <v>0.817911043529999</v>
      </c>
      <c r="AM406" t="n">
        <v>0.815140329025702</v>
      </c>
      <c r="AN406" t="n">
        <v>0.8038491800884729</v>
      </c>
      <c r="AO406" t="n">
        <v>0.787138158187406</v>
      </c>
      <c r="AP406" t="n">
        <v>0.768626428349187</v>
      </c>
      <c r="AQ406" t="n">
        <v>0.749127517330478</v>
      </c>
      <c r="AR406" t="n">
        <v>0.72983773852111</v>
      </c>
      <c r="AS406" t="n">
        <v>0.710555777546496</v>
      </c>
      <c r="AT406" t="n">
        <v>0.691690911393244</v>
      </c>
      <c r="AU406" t="n">
        <v>0.673621453497746</v>
      </c>
      <c r="AV406" t="n">
        <v>0.656544614384337</v>
      </c>
      <c r="AW406" t="n">
        <v>0.640411701869658</v>
      </c>
      <c r="AX406" t="n">
        <v>0.625131630997149</v>
      </c>
      <c r="AY406" t="n">
        <v>0.610205886556249</v>
      </c>
      <c r="AZ406" t="n">
        <v>0.594771408317638</v>
      </c>
      <c r="BA406" t="n">
        <v>0</v>
      </c>
      <c r="BB406" t="n">
        <v>0</v>
      </c>
      <c r="BC406" t="n">
        <v>0</v>
      </c>
      <c r="BD406" t="n">
        <v>0</v>
      </c>
      <c r="BE406" t="n">
        <v>0</v>
      </c>
      <c r="BF406" t="n">
        <v>0</v>
      </c>
      <c r="BG406" t="n">
        <v>0</v>
      </c>
      <c r="BH406" t="n">
        <v>0</v>
      </c>
      <c r="BJ406" t="inlineStr">
        <is>
          <t>High2</t>
        </is>
      </c>
      <c r="BL406" t="n">
        <v>1</v>
      </c>
      <c r="BM406" t="n">
        <v>0.997560975609757</v>
      </c>
      <c r="BN406" t="n">
        <v>0.985365853658537</v>
      </c>
      <c r="BO406" t="n">
        <v>0.973170731707317</v>
      </c>
      <c r="BP406" t="n">
        <v>0.960975609756098</v>
      </c>
      <c r="BQ406" t="n">
        <v>0.948780487804878</v>
      </c>
      <c r="BR406" t="n">
        <v>0.936585365853658</v>
      </c>
      <c r="BS406" t="n">
        <v>0.924390243902439</v>
      </c>
      <c r="BT406" t="n">
        <v>0.91219512195122</v>
      </c>
      <c r="BU406" t="n">
        <v>0.9</v>
      </c>
      <c r="BV406" t="n">
        <v>0.8875</v>
      </c>
      <c r="BW406" t="n">
        <v>0.875000000000001</v>
      </c>
      <c r="BX406" t="n">
        <v>0.862500000000001</v>
      </c>
      <c r="BY406" t="n">
        <v>0.850000000000001</v>
      </c>
      <c r="BZ406" t="n">
        <v>0.8375</v>
      </c>
      <c r="CA406" t="n">
        <v>0.825000000000001</v>
      </c>
      <c r="CB406" t="n">
        <v>0.812500000000001</v>
      </c>
      <c r="CC406" t="n">
        <v>0.800000000000001</v>
      </c>
      <c r="CD406" t="e">
        <v>#VALUE!</v>
      </c>
      <c r="CE406" t="e">
        <v>#VALUE!</v>
      </c>
      <c r="CF406" t="e">
        <v>#VALUE!</v>
      </c>
      <c r="CG406" t="e">
        <v>#VALUE!</v>
      </c>
      <c r="CH406" t="e">
        <v>#VALUE!</v>
      </c>
      <c r="CI406" t="e">
        <v>#VALUE!</v>
      </c>
      <c r="CJ406" t="e">
        <v>#VALUE!</v>
      </c>
      <c r="CK406" t="e">
        <v>#VALUE!</v>
      </c>
    </row>
    <row r="407" ht="12.5" customHeight="1" s="213">
      <c r="A407" t="inlineStr">
        <is>
          <t>Ukraine</t>
        </is>
      </c>
      <c r="B407" t="inlineStr">
        <is>
          <t>Trd_bus</t>
        </is>
      </c>
      <c r="C407" t="inlineStr">
        <is>
          <t>Trd_bus</t>
        </is>
      </c>
      <c r="D407" t="n">
        <v>1.365</v>
      </c>
      <c r="E407" t="n">
        <v>1.32172017664531</v>
      </c>
      <c r="G407" t="n">
        <v>1.10794941108116</v>
      </c>
      <c r="H407" t="n">
        <v>1.11943007436977</v>
      </c>
      <c r="I407" t="n">
        <v>1.11578593446814</v>
      </c>
      <c r="J407" t="n">
        <v>1.10112193680613</v>
      </c>
      <c r="K407" t="n">
        <v>1.07968260637959</v>
      </c>
      <c r="L407" t="n">
        <v>1.05621074695391</v>
      </c>
      <c r="M407" t="n">
        <v>1.03176893649451</v>
      </c>
      <c r="N407" t="n">
        <v>1.00785800718511</v>
      </c>
      <c r="O407" t="n">
        <v>0.984226436095533</v>
      </c>
      <c r="P407" t="n">
        <v>0.96136209807009</v>
      </c>
      <c r="Q407" t="n">
        <v>0.939701065572738</v>
      </c>
      <c r="R407" t="n">
        <v>0.91945222216976</v>
      </c>
      <c r="S407" t="n">
        <v>0.90053041910872</v>
      </c>
      <c r="T407" t="n">
        <v>0.882804104795609</v>
      </c>
      <c r="U407" t="n">
        <v>0.865678250667394</v>
      </c>
      <c r="V407" t="n">
        <v>0.848161156957309</v>
      </c>
      <c r="W407" t="n">
        <v>3</v>
      </c>
      <c r="AG407" s="223" t="inlineStr">
        <is>
          <t>POP</t>
        </is>
      </c>
      <c r="AI407" t="n">
        <v>1</v>
      </c>
      <c r="AJ407" t="n">
        <v>0.968215646891066</v>
      </c>
      <c r="AK407" t="n">
        <v>0.809293881346395</v>
      </c>
      <c r="AL407" t="n">
        <v>0.817911043529999</v>
      </c>
      <c r="AM407" t="n">
        <v>0.815140329025702</v>
      </c>
      <c r="AN407" t="n">
        <v>0.8038491800884729</v>
      </c>
      <c r="AO407" t="n">
        <v>0.787138158187406</v>
      </c>
      <c r="AP407" t="n">
        <v>0.768626428349187</v>
      </c>
      <c r="AQ407" t="n">
        <v>0.749127517330478</v>
      </c>
      <c r="AR407" t="n">
        <v>0.72983773852111</v>
      </c>
      <c r="AS407" t="n">
        <v>0.710555777546496</v>
      </c>
      <c r="AT407" t="n">
        <v>0.691690911393244</v>
      </c>
      <c r="AU407" t="n">
        <v>0.673621453497746</v>
      </c>
      <c r="AV407" t="n">
        <v>0.656544614384337</v>
      </c>
      <c r="AW407" t="n">
        <v>0.640411701869658</v>
      </c>
      <c r="AX407" t="n">
        <v>0.625131630997149</v>
      </c>
      <c r="AY407" t="n">
        <v>0.610205886556249</v>
      </c>
      <c r="AZ407" t="n">
        <v>0.594771408317638</v>
      </c>
      <c r="BA407" t="n">
        <v>0</v>
      </c>
      <c r="BB407" t="n">
        <v>0</v>
      </c>
      <c r="BC407" t="n">
        <v>0</v>
      </c>
      <c r="BD407" t="n">
        <v>0</v>
      </c>
      <c r="BE407" t="n">
        <v>0</v>
      </c>
      <c r="BF407" t="n">
        <v>0</v>
      </c>
      <c r="BG407" t="n">
        <v>0</v>
      </c>
      <c r="BH407" t="n">
        <v>0</v>
      </c>
      <c r="BJ407" t="inlineStr">
        <is>
          <t>High2</t>
        </is>
      </c>
      <c r="BL407" t="n">
        <v>1</v>
      </c>
      <c r="BM407" t="n">
        <v>0.997560975609757</v>
      </c>
      <c r="BN407" t="n">
        <v>0.985365853658537</v>
      </c>
      <c r="BO407" t="n">
        <v>0.973170731707317</v>
      </c>
      <c r="BP407" t="n">
        <v>0.960975609756098</v>
      </c>
      <c r="BQ407" t="n">
        <v>0.948780487804878</v>
      </c>
      <c r="BR407" t="n">
        <v>0.936585365853658</v>
      </c>
      <c r="BS407" t="n">
        <v>0.924390243902439</v>
      </c>
      <c r="BT407" t="n">
        <v>0.91219512195122</v>
      </c>
      <c r="BU407" t="n">
        <v>0.9</v>
      </c>
      <c r="BV407" t="n">
        <v>0.8875</v>
      </c>
      <c r="BW407" t="n">
        <v>0.875000000000001</v>
      </c>
      <c r="BX407" t="n">
        <v>0.862500000000001</v>
      </c>
      <c r="BY407" t="n">
        <v>0.850000000000001</v>
      </c>
      <c r="BZ407" t="n">
        <v>0.8375</v>
      </c>
      <c r="CA407" t="n">
        <v>0.825000000000001</v>
      </c>
      <c r="CB407" t="n">
        <v>0.812500000000001</v>
      </c>
      <c r="CC407" t="n">
        <v>0.800000000000001</v>
      </c>
      <c r="CD407" t="e">
        <v>#VALUE!</v>
      </c>
      <c r="CE407" t="e">
        <v>#VALUE!</v>
      </c>
      <c r="CF407" t="e">
        <v>#VALUE!</v>
      </c>
      <c r="CG407" t="e">
        <v>#VALUE!</v>
      </c>
      <c r="CH407" t="e">
        <v>#VALUE!</v>
      </c>
      <c r="CI407" t="e">
        <v>#VALUE!</v>
      </c>
      <c r="CJ407" t="e">
        <v>#VALUE!</v>
      </c>
      <c r="CK407" t="e">
        <v>#VALUE!</v>
      </c>
    </row>
    <row r="408" ht="12.5" customHeight="1" s="213">
      <c r="A408" t="inlineStr">
        <is>
          <t>Ukraine</t>
        </is>
      </c>
      <c r="B408" t="inlineStr">
        <is>
          <t>Trd_car</t>
        </is>
      </c>
      <c r="C408" t="inlineStr">
        <is>
          <t>Trd_car</t>
        </is>
      </c>
      <c r="D408" t="n">
        <v>52.452</v>
      </c>
      <c r="E408" t="n">
        <v>54.9585102902393</v>
      </c>
      <c r="G408" t="n">
        <v>55.5145418072004</v>
      </c>
      <c r="H408" t="n">
        <v>68.3093213185351</v>
      </c>
      <c r="I408" t="n">
        <v>82.45555449958501</v>
      </c>
      <c r="J408" t="n">
        <v>97.1837395995836</v>
      </c>
      <c r="K408" t="n">
        <v>112.094818905688</v>
      </c>
      <c r="L408" t="n">
        <v>127.453754661499</v>
      </c>
      <c r="M408" t="n">
        <v>143.687396724801</v>
      </c>
      <c r="N408" t="n">
        <v>161.010488545071</v>
      </c>
      <c r="O408" t="n">
        <v>179.123977454507</v>
      </c>
      <c r="P408" t="n">
        <v>197.563889857771</v>
      </c>
      <c r="Q408" t="n">
        <v>215.969072924256</v>
      </c>
      <c r="R408" t="n">
        <v>234.362259457899</v>
      </c>
      <c r="S408" t="n">
        <v>253.139832020145</v>
      </c>
      <c r="T408" t="n">
        <v>272.582452801751</v>
      </c>
      <c r="U408" t="n">
        <v>292.724299316641</v>
      </c>
      <c r="V408" t="n">
        <v>313.585361955751</v>
      </c>
      <c r="W408" t="n">
        <v>3</v>
      </c>
      <c r="AG408" s="223" t="inlineStr">
        <is>
          <t>GDPPCAP</t>
        </is>
      </c>
      <c r="AI408" t="n">
        <v>1</v>
      </c>
      <c r="AJ408" t="n">
        <v>1.04790358188929</v>
      </c>
      <c r="AK408" t="n">
        <v>1.05866298733265</v>
      </c>
      <c r="AL408" t="n">
        <v>1.30938631153342</v>
      </c>
      <c r="AM408" t="n">
        <v>1.59155984295681</v>
      </c>
      <c r="AN408" t="n">
        <v>1.89119070603524</v>
      </c>
      <c r="AO408" t="n">
        <v>2.20100641231114</v>
      </c>
      <c r="AP408" t="n">
        <v>2.52724966518705</v>
      </c>
      <c r="AQ408" t="n">
        <v>2.88012697529413</v>
      </c>
      <c r="AR408" t="n">
        <v>3.26593908612414</v>
      </c>
      <c r="AS408" t="n">
        <v>3.6799269981126</v>
      </c>
      <c r="AT408" t="n">
        <v>4.11287553838325</v>
      </c>
      <c r="AU408" t="n">
        <v>4.55711694606513</v>
      </c>
      <c r="AV408" t="n">
        <v>5.0137177367664</v>
      </c>
      <c r="AW408" t="n">
        <v>5.49337037457066</v>
      </c>
      <c r="AX408" t="n">
        <v>6.00479219112564</v>
      </c>
      <c r="AY408" t="n">
        <v>6.55089699856415</v>
      </c>
      <c r="AZ408" t="n">
        <v>7.13446092265769</v>
      </c>
      <c r="BA408" t="n">
        <v>0</v>
      </c>
      <c r="BB408" t="n">
        <v>0</v>
      </c>
      <c r="BC408" t="n">
        <v>0</v>
      </c>
      <c r="BD408" t="n">
        <v>0</v>
      </c>
      <c r="BE408" t="n">
        <v>0</v>
      </c>
      <c r="BF408" t="n">
        <v>0</v>
      </c>
      <c r="BG408" t="n">
        <v>0</v>
      </c>
      <c r="BH408" t="n">
        <v>0</v>
      </c>
      <c r="BJ408" t="inlineStr">
        <is>
          <t>High2</t>
        </is>
      </c>
      <c r="BL408" t="n">
        <v>1</v>
      </c>
      <c r="BM408" t="n">
        <v>0.997560975609757</v>
      </c>
      <c r="BN408" t="n">
        <v>0.985365853658537</v>
      </c>
      <c r="BO408" t="n">
        <v>0.973170731707317</v>
      </c>
      <c r="BP408" t="n">
        <v>0.960975609756098</v>
      </c>
      <c r="BQ408" t="n">
        <v>0.948780487804878</v>
      </c>
      <c r="BR408" t="n">
        <v>0.936585365853658</v>
      </c>
      <c r="BS408" t="n">
        <v>0.924390243902439</v>
      </c>
      <c r="BT408" t="n">
        <v>0.91219512195122</v>
      </c>
      <c r="BU408" t="n">
        <v>0.9</v>
      </c>
      <c r="BV408" t="n">
        <v>0.8875</v>
      </c>
      <c r="BW408" t="n">
        <v>0.875000000000001</v>
      </c>
      <c r="BX408" t="n">
        <v>0.862500000000001</v>
      </c>
      <c r="BY408" t="n">
        <v>0.850000000000001</v>
      </c>
      <c r="BZ408" t="n">
        <v>0.8375</v>
      </c>
      <c r="CA408" t="n">
        <v>0.825000000000001</v>
      </c>
      <c r="CB408" t="n">
        <v>0.812500000000001</v>
      </c>
      <c r="CC408" t="n">
        <v>0.800000000000001</v>
      </c>
      <c r="CD408" t="e">
        <v>#VALUE!</v>
      </c>
      <c r="CE408" t="e">
        <v>#VALUE!</v>
      </c>
      <c r="CF408" t="e">
        <v>#VALUE!</v>
      </c>
      <c r="CG408" t="e">
        <v>#VALUE!</v>
      </c>
      <c r="CH408" t="e">
        <v>#VALUE!</v>
      </c>
      <c r="CI408" t="e">
        <v>#VALUE!</v>
      </c>
      <c r="CJ408" t="e">
        <v>#VALUE!</v>
      </c>
      <c r="CK408" t="e">
        <v>#VALUE!</v>
      </c>
    </row>
    <row r="409" ht="12.5" customHeight="1" s="213">
      <c r="A409" t="inlineStr">
        <is>
          <t>Ukraine</t>
        </is>
      </c>
      <c r="B409" t="inlineStr">
        <is>
          <t>Trd_hdt</t>
        </is>
      </c>
      <c r="C409" t="inlineStr">
        <is>
          <t>Trd_hdt</t>
        </is>
      </c>
      <c r="D409" t="n">
        <v>20.6</v>
      </c>
      <c r="E409" t="n">
        <v>20.8999574826409</v>
      </c>
      <c r="G409" t="n">
        <v>17.6964093865489</v>
      </c>
      <c r="H409" t="n">
        <v>22.0018098094489</v>
      </c>
      <c r="I409" t="n">
        <v>26.4711239900171</v>
      </c>
      <c r="J409" t="n">
        <v>30.786001348254</v>
      </c>
      <c r="K409" t="n">
        <v>34.8119401555185</v>
      </c>
      <c r="L409" t="n">
        <v>38.7128068155612</v>
      </c>
      <c r="M409" t="n">
        <v>42.622671998684</v>
      </c>
      <c r="N409" t="n">
        <v>46.6412172777935</v>
      </c>
      <c r="O409" t="n">
        <v>50.6560618796027</v>
      </c>
      <c r="P409" t="n">
        <v>54.555619573333</v>
      </c>
      <c r="Q409" t="n">
        <v>58.27605996008</v>
      </c>
      <c r="R409" t="n">
        <v>61.8576272599319</v>
      </c>
      <c r="S409" t="n">
        <v>65.41900429603611</v>
      </c>
      <c r="T409" t="n">
        <v>69.0359543208415</v>
      </c>
      <c r="U409" t="n">
        <v>72.67615247576769</v>
      </c>
      <c r="V409" t="n">
        <v>76.2538206925383</v>
      </c>
      <c r="W409" t="n">
        <v>3</v>
      </c>
      <c r="AG409" s="223" t="inlineStr">
        <is>
          <t>GDP</t>
        </is>
      </c>
      <c r="AI409" t="n">
        <v>1</v>
      </c>
      <c r="AJ409" t="n">
        <v>1.0145966444184</v>
      </c>
      <c r="AK409" t="n">
        <v>0.856769478056215</v>
      </c>
      <c r="AL409" t="n">
        <v>1.0709615244502</v>
      </c>
      <c r="AM409" t="n">
        <v>1.29734461405191</v>
      </c>
      <c r="AN409" t="n">
        <v>1.52023209843737</v>
      </c>
      <c r="AO409" t="n">
        <v>1.73249613354527</v>
      </c>
      <c r="AP409" t="n">
        <v>1.94251088369941</v>
      </c>
      <c r="AQ409" t="n">
        <v>2.15758237059863</v>
      </c>
      <c r="AR409" t="n">
        <v>2.38360559676455</v>
      </c>
      <c r="AS409" t="n">
        <v>2.61479338945824</v>
      </c>
      <c r="AT409" t="n">
        <v>2.84483862959129</v>
      </c>
      <c r="AU409" t="n">
        <v>3.0697717409676</v>
      </c>
      <c r="AV409" t="n">
        <v>3.29172937811721</v>
      </c>
      <c r="AW409" t="n">
        <v>3.51801867057916</v>
      </c>
      <c r="AX409" t="n">
        <v>3.75378553623732</v>
      </c>
      <c r="AY409" t="n">
        <v>3.99739591074752</v>
      </c>
      <c r="AZ409" t="n">
        <v>4.24337337055627</v>
      </c>
      <c r="BA409" t="n">
        <v>0</v>
      </c>
      <c r="BB409" t="n">
        <v>0</v>
      </c>
      <c r="BC409" t="n">
        <v>0</v>
      </c>
      <c r="BD409" t="n">
        <v>0</v>
      </c>
      <c r="BE409" t="n">
        <v>0</v>
      </c>
      <c r="BF409" t="n">
        <v>0</v>
      </c>
      <c r="BG409" t="n">
        <v>0</v>
      </c>
      <c r="BH409" t="n">
        <v>0</v>
      </c>
      <c r="BJ409" t="inlineStr">
        <is>
          <t>High2</t>
        </is>
      </c>
      <c r="BL409" t="n">
        <v>1</v>
      </c>
      <c r="BM409" t="n">
        <v>0.997560975609757</v>
      </c>
      <c r="BN409" t="n">
        <v>0.985365853658537</v>
      </c>
      <c r="BO409" t="n">
        <v>0.973170731707317</v>
      </c>
      <c r="BP409" t="n">
        <v>0.960975609756098</v>
      </c>
      <c r="BQ409" t="n">
        <v>0.948780487804878</v>
      </c>
      <c r="BR409" t="n">
        <v>0.936585365853658</v>
      </c>
      <c r="BS409" t="n">
        <v>0.924390243902439</v>
      </c>
      <c r="BT409" t="n">
        <v>0.91219512195122</v>
      </c>
      <c r="BU409" t="n">
        <v>0.9</v>
      </c>
      <c r="BV409" t="n">
        <v>0.8875</v>
      </c>
      <c r="BW409" t="n">
        <v>0.875000000000001</v>
      </c>
      <c r="BX409" t="n">
        <v>0.862500000000001</v>
      </c>
      <c r="BY409" t="n">
        <v>0.850000000000001</v>
      </c>
      <c r="BZ409" t="n">
        <v>0.8375</v>
      </c>
      <c r="CA409" t="n">
        <v>0.825000000000001</v>
      </c>
      <c r="CB409" t="n">
        <v>0.812500000000001</v>
      </c>
      <c r="CC409" t="n">
        <v>0.800000000000001</v>
      </c>
      <c r="CD409" t="e">
        <v>#VALUE!</v>
      </c>
      <c r="CE409" t="e">
        <v>#VALUE!</v>
      </c>
      <c r="CF409" t="e">
        <v>#VALUE!</v>
      </c>
      <c r="CG409" t="e">
        <v>#VALUE!</v>
      </c>
      <c r="CH409" t="e">
        <v>#VALUE!</v>
      </c>
      <c r="CI409" t="e">
        <v>#VALUE!</v>
      </c>
      <c r="CJ409" t="e">
        <v>#VALUE!</v>
      </c>
      <c r="CK409" t="e">
        <v>#VALUE!</v>
      </c>
    </row>
    <row r="410" ht="12.5" customHeight="1" s="213">
      <c r="A410" t="inlineStr">
        <is>
          <t>Ukraine</t>
        </is>
      </c>
      <c r="B410" t="inlineStr">
        <is>
          <t>Trd_lcv</t>
        </is>
      </c>
      <c r="C410" t="inlineStr">
        <is>
          <t>Trd_lcv</t>
        </is>
      </c>
      <c r="D410" t="n">
        <v>27.24</v>
      </c>
      <c r="E410" t="n">
        <v>27.6366428071427</v>
      </c>
      <c r="G410" t="n">
        <v>23.4004947422132</v>
      </c>
      <c r="H410" t="n">
        <v>29.0936553014266</v>
      </c>
      <c r="I410" t="n">
        <v>35.0035639557313</v>
      </c>
      <c r="J410" t="n">
        <v>40.7092561517689</v>
      </c>
      <c r="K410" t="n">
        <v>46.0328762056468</v>
      </c>
      <c r="L410" t="n">
        <v>51.191109594946</v>
      </c>
      <c r="M410" t="n">
        <v>56.3612420021434</v>
      </c>
      <c r="N410" t="n">
        <v>61.6750853712182</v>
      </c>
      <c r="O410" t="n">
        <v>66.9840352233194</v>
      </c>
      <c r="P410" t="n">
        <v>72.1405377270675</v>
      </c>
      <c r="Q410" t="n">
        <v>77.06018802488251</v>
      </c>
      <c r="R410" t="n">
        <v>81.7962022602207</v>
      </c>
      <c r="S410" t="n">
        <v>86.50551830213701</v>
      </c>
      <c r="T410" t="n">
        <v>91.2883201795981</v>
      </c>
      <c r="U410" t="n">
        <v>96.1018637592191</v>
      </c>
      <c r="V410" t="n">
        <v>100.832722119648</v>
      </c>
      <c r="W410" t="n">
        <v>3</v>
      </c>
      <c r="AG410" s="223" t="inlineStr">
        <is>
          <t>GDP</t>
        </is>
      </c>
      <c r="AI410" t="n">
        <v>1</v>
      </c>
      <c r="AJ410" t="n">
        <v>1.0145966444184</v>
      </c>
      <c r="AK410" t="n">
        <v>0.856769478056215</v>
      </c>
      <c r="AL410" t="n">
        <v>1.0709615244502</v>
      </c>
      <c r="AM410" t="n">
        <v>1.29734461405191</v>
      </c>
      <c r="AN410" t="n">
        <v>1.52023209843737</v>
      </c>
      <c r="AO410" t="n">
        <v>1.73249613354527</v>
      </c>
      <c r="AP410" t="n">
        <v>1.94251088369941</v>
      </c>
      <c r="AQ410" t="n">
        <v>2.15758237059863</v>
      </c>
      <c r="AR410" t="n">
        <v>2.38360559676455</v>
      </c>
      <c r="AS410" t="n">
        <v>2.61479338945824</v>
      </c>
      <c r="AT410" t="n">
        <v>2.84483862959129</v>
      </c>
      <c r="AU410" t="n">
        <v>3.0697717409676</v>
      </c>
      <c r="AV410" t="n">
        <v>3.29172937811721</v>
      </c>
      <c r="AW410" t="n">
        <v>3.51801867057916</v>
      </c>
      <c r="AX410" t="n">
        <v>3.75378553623732</v>
      </c>
      <c r="AY410" t="n">
        <v>3.99739591074752</v>
      </c>
      <c r="AZ410" t="n">
        <v>4.24337337055627</v>
      </c>
      <c r="BA410" t="n">
        <v>0</v>
      </c>
      <c r="BB410" t="n">
        <v>0</v>
      </c>
      <c r="BC410" t="n">
        <v>0</v>
      </c>
      <c r="BD410" t="n">
        <v>0</v>
      </c>
      <c r="BE410" t="n">
        <v>0</v>
      </c>
      <c r="BF410" t="n">
        <v>0</v>
      </c>
      <c r="BG410" t="n">
        <v>0</v>
      </c>
      <c r="BH410" t="n">
        <v>0</v>
      </c>
      <c r="BJ410" t="inlineStr">
        <is>
          <t>High2</t>
        </is>
      </c>
      <c r="BL410" t="n">
        <v>1</v>
      </c>
      <c r="BM410" t="n">
        <v>0.997560975609757</v>
      </c>
      <c r="BN410" t="n">
        <v>0.985365853658537</v>
      </c>
      <c r="BO410" t="n">
        <v>0.973170731707317</v>
      </c>
      <c r="BP410" t="n">
        <v>0.960975609756098</v>
      </c>
      <c r="BQ410" t="n">
        <v>0.948780487804878</v>
      </c>
      <c r="BR410" t="n">
        <v>0.936585365853658</v>
      </c>
      <c r="BS410" t="n">
        <v>0.924390243902439</v>
      </c>
      <c r="BT410" t="n">
        <v>0.91219512195122</v>
      </c>
      <c r="BU410" t="n">
        <v>0.9</v>
      </c>
      <c r="BV410" t="n">
        <v>0.8875</v>
      </c>
      <c r="BW410" t="n">
        <v>0.875000000000001</v>
      </c>
      <c r="BX410" t="n">
        <v>0.862500000000001</v>
      </c>
      <c r="BY410" t="n">
        <v>0.850000000000001</v>
      </c>
      <c r="BZ410" t="n">
        <v>0.8375</v>
      </c>
      <c r="CA410" t="n">
        <v>0.825000000000001</v>
      </c>
      <c r="CB410" t="n">
        <v>0.812500000000001</v>
      </c>
      <c r="CC410" t="n">
        <v>0.800000000000001</v>
      </c>
      <c r="CD410" t="e">
        <v>#VALUE!</v>
      </c>
      <c r="CE410" t="e">
        <v>#VALUE!</v>
      </c>
      <c r="CF410" t="e">
        <v>#VALUE!</v>
      </c>
      <c r="CG410" t="e">
        <v>#VALUE!</v>
      </c>
      <c r="CH410" t="e">
        <v>#VALUE!</v>
      </c>
      <c r="CI410" t="e">
        <v>#VALUE!</v>
      </c>
      <c r="CJ410" t="e">
        <v>#VALUE!</v>
      </c>
      <c r="CK410" t="e">
        <v>#VALUE!</v>
      </c>
    </row>
    <row r="411" ht="12.5" customHeight="1" s="213">
      <c r="A411" t="inlineStr">
        <is>
          <t>WestBalkans</t>
        </is>
      </c>
      <c r="B411" t="inlineStr">
        <is>
          <t>TAD</t>
        </is>
      </c>
      <c r="C411" t="inlineStr">
        <is>
          <t>TAD</t>
        </is>
      </c>
      <c r="E411" t="n">
        <v>0</v>
      </c>
      <c r="F411">
        <f>E411</f>
        <v/>
      </c>
      <c r="I411">
        <f>F411</f>
        <v/>
      </c>
      <c r="J411">
        <f>I411</f>
        <v/>
      </c>
      <c r="L411">
        <f>J411</f>
        <v/>
      </c>
      <c r="V411">
        <f>L411</f>
        <v/>
      </c>
      <c r="W411" t="n">
        <v>3</v>
      </c>
      <c r="AG411" s="223" t="inlineStr">
        <is>
          <t>GDP</t>
        </is>
      </c>
      <c r="AI411" t="n">
        <v>1</v>
      </c>
      <c r="AJ411" t="n">
        <v>1.01913375531275</v>
      </c>
      <c r="AK411" t="n">
        <v>1.23315161622153</v>
      </c>
      <c r="AL411" t="n">
        <v>1.47097780985759</v>
      </c>
      <c r="AM411" t="n">
        <v>1.69213690943865</v>
      </c>
      <c r="AN411" t="n">
        <v>1.88654360124696</v>
      </c>
      <c r="AO411" t="n">
        <v>2.06337727586039</v>
      </c>
      <c r="AP411" t="n">
        <v>2.2279477078463</v>
      </c>
      <c r="AQ411" t="n">
        <v>2.38672772854871</v>
      </c>
      <c r="AR411" t="n">
        <v>2.54404271809451</v>
      </c>
      <c r="AS411" t="n">
        <v>2.70927350008765</v>
      </c>
      <c r="AT411" t="n">
        <v>2.88070561673748</v>
      </c>
      <c r="AU411" t="n">
        <v>3.05154394385827</v>
      </c>
      <c r="AV411" t="n">
        <v>3.21916039351676</v>
      </c>
      <c r="AW411" t="n">
        <v>3.38321725886575</v>
      </c>
      <c r="AX411" t="n">
        <v>3.54684848747269</v>
      </c>
      <c r="AY411" t="n">
        <v>3.71205229495624</v>
      </c>
      <c r="AZ411" t="n">
        <v>3.87968450893851</v>
      </c>
      <c r="BA411" t="n">
        <v>0</v>
      </c>
      <c r="BB411" t="n">
        <v>0</v>
      </c>
      <c r="BC411" t="n">
        <v>0</v>
      </c>
      <c r="BD411" t="n">
        <v>0</v>
      </c>
      <c r="BE411" t="n">
        <v>0</v>
      </c>
      <c r="BF411" t="n">
        <v>0</v>
      </c>
      <c r="BG411" t="n">
        <v>0</v>
      </c>
      <c r="BH411" t="n">
        <v>0</v>
      </c>
      <c r="BJ411" t="inlineStr">
        <is>
          <t>High2</t>
        </is>
      </c>
      <c r="BL411" t="n">
        <v>1</v>
      </c>
      <c r="BM411" t="n">
        <v>0.997560975609757</v>
      </c>
      <c r="BN411" t="n">
        <v>0.985365853658537</v>
      </c>
      <c r="BO411" t="n">
        <v>0.973170731707317</v>
      </c>
      <c r="BP411" t="n">
        <v>0.960975609756098</v>
      </c>
      <c r="BQ411" t="n">
        <v>0.948780487804878</v>
      </c>
      <c r="BR411" t="n">
        <v>0.936585365853658</v>
      </c>
      <c r="BS411" t="n">
        <v>0.924390243902439</v>
      </c>
      <c r="BT411" t="n">
        <v>0.91219512195122</v>
      </c>
      <c r="BU411" t="n">
        <v>0.9</v>
      </c>
      <c r="BV411" t="n">
        <v>0.8875</v>
      </c>
      <c r="BW411" t="n">
        <v>0.875000000000001</v>
      </c>
      <c r="BX411" t="n">
        <v>0.862500000000001</v>
      </c>
      <c r="BY411" t="n">
        <v>0.850000000000001</v>
      </c>
      <c r="BZ411" t="n">
        <v>0.8375</v>
      </c>
      <c r="CA411" t="n">
        <v>0.825000000000001</v>
      </c>
      <c r="CB411" t="n">
        <v>0.812500000000001</v>
      </c>
      <c r="CC411" t="n">
        <v>0.800000000000001</v>
      </c>
      <c r="CD411" t="e">
        <v>#VALUE!</v>
      </c>
      <c r="CE411" t="e">
        <v>#VALUE!</v>
      </c>
      <c r="CF411" t="e">
        <v>#VALUE!</v>
      </c>
      <c r="CG411" t="e">
        <v>#VALUE!</v>
      </c>
      <c r="CH411" t="e">
        <v>#VALUE!</v>
      </c>
      <c r="CI411" t="e">
        <v>#VALUE!</v>
      </c>
      <c r="CJ411" t="e">
        <v>#VALUE!</v>
      </c>
      <c r="CK411" t="e">
        <v>#VALUE!</v>
      </c>
    </row>
    <row r="412" ht="12.5" customHeight="1" s="213">
      <c r="A412" t="inlineStr">
        <is>
          <t>WestBalkans</t>
        </is>
      </c>
      <c r="B412" t="inlineStr">
        <is>
          <t>TAI</t>
        </is>
      </c>
      <c r="C412" t="inlineStr">
        <is>
          <t>TAI</t>
        </is>
      </c>
      <c r="E412" t="n">
        <v>9.754249661595731</v>
      </c>
      <c r="F412">
        <f>E412</f>
        <v/>
      </c>
      <c r="I412">
        <f>F412</f>
        <v/>
      </c>
      <c r="J412">
        <f>I412</f>
        <v/>
      </c>
      <c r="L412">
        <f>J412</f>
        <v/>
      </c>
      <c r="V412">
        <f>L412</f>
        <v/>
      </c>
      <c r="W412" t="n">
        <v>3</v>
      </c>
      <c r="AG412" s="223" t="inlineStr">
        <is>
          <t>GDP</t>
        </is>
      </c>
      <c r="AI412" t="n">
        <v>1</v>
      </c>
      <c r="AJ412" t="n">
        <v>1.01913375531275</v>
      </c>
      <c r="AK412" t="n">
        <v>1.23315161622153</v>
      </c>
      <c r="AL412" t="n">
        <v>1.47097780985759</v>
      </c>
      <c r="AM412" t="n">
        <v>1.69213690943865</v>
      </c>
      <c r="AN412" t="n">
        <v>1.88654360124696</v>
      </c>
      <c r="AO412" t="n">
        <v>2.06337727586039</v>
      </c>
      <c r="AP412" t="n">
        <v>2.2279477078463</v>
      </c>
      <c r="AQ412" t="n">
        <v>2.38672772854871</v>
      </c>
      <c r="AR412" t="n">
        <v>2.54404271809451</v>
      </c>
      <c r="AS412" t="n">
        <v>2.70927350008765</v>
      </c>
      <c r="AT412" t="n">
        <v>2.88070561673748</v>
      </c>
      <c r="AU412" t="n">
        <v>3.05154394385827</v>
      </c>
      <c r="AV412" t="n">
        <v>3.21916039351676</v>
      </c>
      <c r="AW412" t="n">
        <v>3.38321725886575</v>
      </c>
      <c r="AX412" t="n">
        <v>3.54684848747269</v>
      </c>
      <c r="AY412" t="n">
        <v>3.71205229495624</v>
      </c>
      <c r="AZ412" t="n">
        <v>3.87968450893851</v>
      </c>
      <c r="BA412" t="n">
        <v>0</v>
      </c>
      <c r="BB412" t="n">
        <v>0</v>
      </c>
      <c r="BC412" t="n">
        <v>0</v>
      </c>
      <c r="BD412" t="n">
        <v>0</v>
      </c>
      <c r="BE412" t="n">
        <v>0</v>
      </c>
      <c r="BF412" t="n">
        <v>0</v>
      </c>
      <c r="BG412" t="n">
        <v>0</v>
      </c>
      <c r="BH412" t="n">
        <v>0</v>
      </c>
      <c r="BJ412" t="inlineStr">
        <is>
          <t>High2</t>
        </is>
      </c>
      <c r="BL412" t="n">
        <v>1</v>
      </c>
      <c r="BM412" t="n">
        <v>0.997560975609757</v>
      </c>
      <c r="BN412" t="n">
        <v>0.985365853658537</v>
      </c>
      <c r="BO412" t="n">
        <v>0.973170731707317</v>
      </c>
      <c r="BP412" t="n">
        <v>0.960975609756098</v>
      </c>
      <c r="BQ412" t="n">
        <v>0.948780487804878</v>
      </c>
      <c r="BR412" t="n">
        <v>0.936585365853658</v>
      </c>
      <c r="BS412" t="n">
        <v>0.924390243902439</v>
      </c>
      <c r="BT412" t="n">
        <v>0.91219512195122</v>
      </c>
      <c r="BU412" t="n">
        <v>0.9</v>
      </c>
      <c r="BV412" t="n">
        <v>0.8875</v>
      </c>
      <c r="BW412" t="n">
        <v>0.875000000000001</v>
      </c>
      <c r="BX412" t="n">
        <v>0.862500000000001</v>
      </c>
      <c r="BY412" t="n">
        <v>0.850000000000001</v>
      </c>
      <c r="BZ412" t="n">
        <v>0.8375</v>
      </c>
      <c r="CA412" t="n">
        <v>0.825000000000001</v>
      </c>
      <c r="CB412" t="n">
        <v>0.812500000000001</v>
      </c>
      <c r="CC412" t="n">
        <v>0.800000000000001</v>
      </c>
      <c r="CD412" t="e">
        <v>#VALUE!</v>
      </c>
      <c r="CE412" t="e">
        <v>#VALUE!</v>
      </c>
      <c r="CF412" t="e">
        <v>#VALUE!</v>
      </c>
      <c r="CG412" t="e">
        <v>#VALUE!</v>
      </c>
      <c r="CH412" t="e">
        <v>#VALUE!</v>
      </c>
      <c r="CI412" t="e">
        <v>#VALUE!</v>
      </c>
      <c r="CJ412" t="e">
        <v>#VALUE!</v>
      </c>
      <c r="CK412" t="e">
        <v>#VALUE!</v>
      </c>
    </row>
    <row r="413" ht="12.5" customHeight="1" s="213">
      <c r="A413" t="inlineStr">
        <is>
          <t>WestBalkans</t>
        </is>
      </c>
      <c r="B413" t="inlineStr">
        <is>
          <t>TTF</t>
        </is>
      </c>
      <c r="C413" t="inlineStr">
        <is>
          <t>TTF</t>
        </is>
      </c>
      <c r="E413" t="n">
        <v>0.890246851516642</v>
      </c>
      <c r="I413" t="n">
        <v>1.46050023609891</v>
      </c>
      <c r="J413" t="n">
        <v>1.61970024496212</v>
      </c>
      <c r="L413" t="n">
        <v>1.89179360953464</v>
      </c>
      <c r="V413" t="n">
        <v>3.05610476950368</v>
      </c>
      <c r="W413" t="n">
        <v>3</v>
      </c>
      <c r="AG413" s="223" t="inlineStr">
        <is>
          <t>GDP</t>
        </is>
      </c>
      <c r="AI413" t="n">
        <v>1</v>
      </c>
      <c r="AJ413" t="n">
        <v>1.01913375531275</v>
      </c>
      <c r="AK413" t="n">
        <v>1.23315161622153</v>
      </c>
      <c r="AL413" t="n">
        <v>1.47097780985759</v>
      </c>
      <c r="AM413" t="n">
        <v>1.69213690943865</v>
      </c>
      <c r="AN413" t="n">
        <v>1.88654360124696</v>
      </c>
      <c r="AO413" t="n">
        <v>2.06337727586039</v>
      </c>
      <c r="AP413" t="n">
        <v>2.2279477078463</v>
      </c>
      <c r="AQ413" t="n">
        <v>2.38672772854871</v>
      </c>
      <c r="AR413" t="n">
        <v>2.54404271809451</v>
      </c>
      <c r="AS413" t="n">
        <v>2.70927350008765</v>
      </c>
      <c r="AT413" t="n">
        <v>2.88070561673748</v>
      </c>
      <c r="AU413" t="n">
        <v>3.05154394385827</v>
      </c>
      <c r="AV413" t="n">
        <v>3.21916039351676</v>
      </c>
      <c r="AW413" t="n">
        <v>3.38321725886575</v>
      </c>
      <c r="AX413" t="n">
        <v>3.54684848747269</v>
      </c>
      <c r="AY413" t="n">
        <v>3.71205229495624</v>
      </c>
      <c r="AZ413" t="n">
        <v>3.87968450893851</v>
      </c>
      <c r="BA413" t="n">
        <v>0</v>
      </c>
      <c r="BB413" t="n">
        <v>0</v>
      </c>
      <c r="BC413" t="n">
        <v>0</v>
      </c>
      <c r="BD413" t="n">
        <v>0</v>
      </c>
      <c r="BE413" t="n">
        <v>0</v>
      </c>
      <c r="BF413" t="n">
        <v>0</v>
      </c>
      <c r="BG413" t="n">
        <v>0</v>
      </c>
      <c r="BH413" t="n">
        <v>0</v>
      </c>
      <c r="BJ413" t="inlineStr">
        <is>
          <t>High2</t>
        </is>
      </c>
      <c r="BL413" t="n">
        <v>1</v>
      </c>
      <c r="BM413" t="n">
        <v>0.997560975609757</v>
      </c>
      <c r="BN413" t="n">
        <v>0.985365853658537</v>
      </c>
      <c r="BO413" t="n">
        <v>0.973170731707317</v>
      </c>
      <c r="BP413" t="n">
        <v>0.960975609756098</v>
      </c>
      <c r="BQ413" t="n">
        <v>0.948780487804878</v>
      </c>
      <c r="BR413" t="n">
        <v>0.936585365853658</v>
      </c>
      <c r="BS413" t="n">
        <v>0.924390243902439</v>
      </c>
      <c r="BT413" t="n">
        <v>0.91219512195122</v>
      </c>
      <c r="BU413" t="n">
        <v>0.9</v>
      </c>
      <c r="BV413" t="n">
        <v>0.8875</v>
      </c>
      <c r="BW413" t="n">
        <v>0.875000000000001</v>
      </c>
      <c r="BX413" t="n">
        <v>0.862500000000001</v>
      </c>
      <c r="BY413" t="n">
        <v>0.850000000000001</v>
      </c>
      <c r="BZ413" t="n">
        <v>0.8375</v>
      </c>
      <c r="CA413" t="n">
        <v>0.825000000000001</v>
      </c>
      <c r="CB413" t="n">
        <v>0.812500000000001</v>
      </c>
      <c r="CC413" t="n">
        <v>0.800000000000001</v>
      </c>
      <c r="CD413" t="e">
        <v>#VALUE!</v>
      </c>
      <c r="CE413" t="e">
        <v>#VALUE!</v>
      </c>
      <c r="CF413" t="e">
        <v>#VALUE!</v>
      </c>
      <c r="CG413" t="e">
        <v>#VALUE!</v>
      </c>
      <c r="CH413" t="e">
        <v>#VALUE!</v>
      </c>
      <c r="CI413" t="e">
        <v>#VALUE!</v>
      </c>
      <c r="CJ413" t="e">
        <v>#VALUE!</v>
      </c>
      <c r="CK413" t="e">
        <v>#VALUE!</v>
      </c>
    </row>
    <row r="414" ht="12.5" customHeight="1" s="213">
      <c r="A414" t="inlineStr">
        <is>
          <t>WestBalkans</t>
        </is>
      </c>
      <c r="B414" t="inlineStr">
        <is>
          <t>TTP</t>
        </is>
      </c>
      <c r="C414" t="inlineStr">
        <is>
          <t>TTP</t>
        </is>
      </c>
      <c r="E414" t="n">
        <v>1.58810450436334</v>
      </c>
      <c r="I414" t="n">
        <v>1.49267611008859</v>
      </c>
      <c r="J414" t="n">
        <v>1.46069677747366</v>
      </c>
      <c r="L414" t="n">
        <v>1.39716477220475</v>
      </c>
      <c r="V414" t="n">
        <v>1.13898479048603</v>
      </c>
      <c r="W414" t="n">
        <v>3</v>
      </c>
      <c r="AG414" s="223" t="inlineStr">
        <is>
          <t>POP</t>
        </is>
      </c>
      <c r="AI414" t="n">
        <v>1</v>
      </c>
      <c r="AJ414" t="n">
        <v>0.994733093492064</v>
      </c>
      <c r="AK414" t="n">
        <v>0.968398560952385</v>
      </c>
      <c r="AL414" t="n">
        <v>0.952301336734361</v>
      </c>
      <c r="AM414" t="n">
        <v>0.933427985580202</v>
      </c>
      <c r="AN414" t="n">
        <v>0.912350495822038</v>
      </c>
      <c r="AO414" t="n">
        <v>0.890729369207688</v>
      </c>
      <c r="AP414" t="n">
        <v>0.869740221786158</v>
      </c>
      <c r="AQ414" t="n">
        <v>0.84971410824421</v>
      </c>
      <c r="AR414" t="n">
        <v>0.830380180356351</v>
      </c>
      <c r="AS414" t="n">
        <v>0.811373965346304</v>
      </c>
      <c r="AT414" t="n">
        <v>0.79241890157327</v>
      </c>
      <c r="AU414" t="n">
        <v>0.773485775158997</v>
      </c>
      <c r="AV414" t="n">
        <v>0.754765446514725</v>
      </c>
      <c r="AW414" t="n">
        <v>0.736492165667915</v>
      </c>
      <c r="AX414" t="n">
        <v>0.71877642791454</v>
      </c>
      <c r="AY414" t="n">
        <v>0.701600230606378</v>
      </c>
      <c r="AZ414" t="n">
        <v>0.684691755315336</v>
      </c>
      <c r="BA414" t="n">
        <v>0</v>
      </c>
      <c r="BB414" t="n">
        <v>0</v>
      </c>
      <c r="BC414" t="n">
        <v>0</v>
      </c>
      <c r="BD414" t="n">
        <v>0</v>
      </c>
      <c r="BE414" t="n">
        <v>0</v>
      </c>
      <c r="BF414" t="n">
        <v>0</v>
      </c>
      <c r="BG414" t="n">
        <v>0</v>
      </c>
      <c r="BH414" t="n">
        <v>0</v>
      </c>
      <c r="BJ414" t="inlineStr">
        <is>
          <t>High2</t>
        </is>
      </c>
      <c r="BL414" t="n">
        <v>1</v>
      </c>
      <c r="BM414" t="n">
        <v>0.997560975609757</v>
      </c>
      <c r="BN414" t="n">
        <v>0.985365853658537</v>
      </c>
      <c r="BO414" t="n">
        <v>0.973170731707317</v>
      </c>
      <c r="BP414" t="n">
        <v>0.960975609756098</v>
      </c>
      <c r="BQ414" t="n">
        <v>0.948780487804878</v>
      </c>
      <c r="BR414" t="n">
        <v>0.936585365853658</v>
      </c>
      <c r="BS414" t="n">
        <v>0.924390243902439</v>
      </c>
      <c r="BT414" t="n">
        <v>0.91219512195122</v>
      </c>
      <c r="BU414" t="n">
        <v>0.9</v>
      </c>
      <c r="BV414" t="n">
        <v>0.8875</v>
      </c>
      <c r="BW414" t="n">
        <v>0.875000000000001</v>
      </c>
      <c r="BX414" t="n">
        <v>0.862500000000001</v>
      </c>
      <c r="BY414" t="n">
        <v>0.850000000000001</v>
      </c>
      <c r="BZ414" t="n">
        <v>0.8375</v>
      </c>
      <c r="CA414" t="n">
        <v>0.825000000000001</v>
      </c>
      <c r="CB414" t="n">
        <v>0.812500000000001</v>
      </c>
      <c r="CC414" t="n">
        <v>0.800000000000001</v>
      </c>
      <c r="CD414" t="e">
        <v>#VALUE!</v>
      </c>
      <c r="CE414" t="e">
        <v>#VALUE!</v>
      </c>
      <c r="CF414" t="e">
        <v>#VALUE!</v>
      </c>
      <c r="CG414" t="e">
        <v>#VALUE!</v>
      </c>
      <c r="CH414" t="e">
        <v>#VALUE!</v>
      </c>
      <c r="CI414" t="e">
        <v>#VALUE!</v>
      </c>
      <c r="CJ414" t="e">
        <v>#VALUE!</v>
      </c>
      <c r="CK414" t="e">
        <v>#VALUE!</v>
      </c>
    </row>
    <row r="415" ht="12.5" customHeight="1" s="213">
      <c r="A415" t="inlineStr">
        <is>
          <t>WestBalkans</t>
        </is>
      </c>
      <c r="B415" t="inlineStr">
        <is>
          <t>TWD</t>
        </is>
      </c>
      <c r="C415" t="inlineStr">
        <is>
          <t>TWD</t>
        </is>
      </c>
      <c r="E415" t="n">
        <v>1.85651971653567</v>
      </c>
      <c r="F415">
        <f>E415</f>
        <v/>
      </c>
      <c r="I415">
        <f>F415</f>
        <v/>
      </c>
      <c r="J415">
        <f>I415</f>
        <v/>
      </c>
      <c r="L415">
        <f>J415</f>
        <v/>
      </c>
      <c r="V415">
        <f>L415</f>
        <v/>
      </c>
      <c r="W415" t="n">
        <v>3</v>
      </c>
      <c r="AG415" s="223" t="inlineStr">
        <is>
          <t>GDP</t>
        </is>
      </c>
      <c r="AI415" t="n">
        <v>1</v>
      </c>
      <c r="AJ415" t="n">
        <v>1.01913375531275</v>
      </c>
      <c r="AK415" t="n">
        <v>1.23315161622153</v>
      </c>
      <c r="AL415" t="n">
        <v>1.47097780985759</v>
      </c>
      <c r="AM415" t="n">
        <v>1.69213690943865</v>
      </c>
      <c r="AN415" t="n">
        <v>1.88654360124696</v>
      </c>
      <c r="AO415" t="n">
        <v>2.06337727586039</v>
      </c>
      <c r="AP415" t="n">
        <v>2.2279477078463</v>
      </c>
      <c r="AQ415" t="n">
        <v>2.38672772854871</v>
      </c>
      <c r="AR415" t="n">
        <v>2.54404271809451</v>
      </c>
      <c r="AS415" t="n">
        <v>2.70927350008765</v>
      </c>
      <c r="AT415" t="n">
        <v>2.88070561673748</v>
      </c>
      <c r="AU415" t="n">
        <v>3.05154394385827</v>
      </c>
      <c r="AV415" t="n">
        <v>3.21916039351676</v>
      </c>
      <c r="AW415" t="n">
        <v>3.38321725886575</v>
      </c>
      <c r="AX415" t="n">
        <v>3.54684848747269</v>
      </c>
      <c r="AY415" t="n">
        <v>3.71205229495624</v>
      </c>
      <c r="AZ415" t="n">
        <v>3.87968450893851</v>
      </c>
      <c r="BA415" t="n">
        <v>0</v>
      </c>
      <c r="BB415" t="n">
        <v>0</v>
      </c>
      <c r="BC415" t="n">
        <v>0</v>
      </c>
      <c r="BD415" t="n">
        <v>0</v>
      </c>
      <c r="BE415" t="n">
        <v>0</v>
      </c>
      <c r="BF415" t="n">
        <v>0</v>
      </c>
      <c r="BG415" t="n">
        <v>0</v>
      </c>
      <c r="BH415" t="n">
        <v>0</v>
      </c>
      <c r="BJ415" t="inlineStr">
        <is>
          <t>High2</t>
        </is>
      </c>
      <c r="BL415" t="n">
        <v>1</v>
      </c>
      <c r="BM415" t="n">
        <v>0.997560975609757</v>
      </c>
      <c r="BN415" t="n">
        <v>0.985365853658537</v>
      </c>
      <c r="BO415" t="n">
        <v>0.973170731707317</v>
      </c>
      <c r="BP415" t="n">
        <v>0.960975609756098</v>
      </c>
      <c r="BQ415" t="n">
        <v>0.948780487804878</v>
      </c>
      <c r="BR415" t="n">
        <v>0.936585365853658</v>
      </c>
      <c r="BS415" t="n">
        <v>0.924390243902439</v>
      </c>
      <c r="BT415" t="n">
        <v>0.91219512195122</v>
      </c>
      <c r="BU415" t="n">
        <v>0.9</v>
      </c>
      <c r="BV415" t="n">
        <v>0.8875</v>
      </c>
      <c r="BW415" t="n">
        <v>0.875000000000001</v>
      </c>
      <c r="BX415" t="n">
        <v>0.862500000000001</v>
      </c>
      <c r="BY415" t="n">
        <v>0.850000000000001</v>
      </c>
      <c r="BZ415" t="n">
        <v>0.8375</v>
      </c>
      <c r="CA415" t="n">
        <v>0.825000000000001</v>
      </c>
      <c r="CB415" t="n">
        <v>0.812500000000001</v>
      </c>
      <c r="CC415" t="n">
        <v>0.800000000000001</v>
      </c>
      <c r="CD415" t="e">
        <v>#VALUE!</v>
      </c>
      <c r="CE415" t="e">
        <v>#VALUE!</v>
      </c>
      <c r="CF415" t="e">
        <v>#VALUE!</v>
      </c>
      <c r="CG415" t="e">
        <v>#VALUE!</v>
      </c>
      <c r="CH415" t="e">
        <v>#VALUE!</v>
      </c>
      <c r="CI415" t="e">
        <v>#VALUE!</v>
      </c>
      <c r="CJ415" t="e">
        <v>#VALUE!</v>
      </c>
      <c r="CK415" t="e">
        <v>#VALUE!</v>
      </c>
    </row>
    <row r="416" ht="12.5" customHeight="1" s="213">
      <c r="A416" t="inlineStr">
        <is>
          <t>WestBalkans</t>
        </is>
      </c>
      <c r="B416" t="inlineStr">
        <is>
          <t>TWI</t>
        </is>
      </c>
      <c r="C416" t="inlineStr">
        <is>
          <t>TWI</t>
        </is>
      </c>
      <c r="E416" t="n">
        <v>2.05021145703732</v>
      </c>
      <c r="F416">
        <f>E416</f>
        <v/>
      </c>
      <c r="I416">
        <f>F416</f>
        <v/>
      </c>
      <c r="J416">
        <f>I416</f>
        <v/>
      </c>
      <c r="L416">
        <f>J416</f>
        <v/>
      </c>
      <c r="V416">
        <f>L416</f>
        <v/>
      </c>
      <c r="W416" t="n">
        <v>3</v>
      </c>
      <c r="AG416" s="223" t="inlineStr">
        <is>
          <t>GDP</t>
        </is>
      </c>
      <c r="AI416" t="n">
        <v>1</v>
      </c>
      <c r="AJ416" t="n">
        <v>1.01913375531275</v>
      </c>
      <c r="AK416" t="n">
        <v>1.23315161622153</v>
      </c>
      <c r="AL416" t="n">
        <v>1.47097780985759</v>
      </c>
      <c r="AM416" t="n">
        <v>1.69213690943865</v>
      </c>
      <c r="AN416" t="n">
        <v>1.88654360124696</v>
      </c>
      <c r="AO416" t="n">
        <v>2.06337727586039</v>
      </c>
      <c r="AP416" t="n">
        <v>2.2279477078463</v>
      </c>
      <c r="AQ416" t="n">
        <v>2.38672772854871</v>
      </c>
      <c r="AR416" t="n">
        <v>2.54404271809451</v>
      </c>
      <c r="AS416" t="n">
        <v>2.70927350008765</v>
      </c>
      <c r="AT416" t="n">
        <v>2.88070561673748</v>
      </c>
      <c r="AU416" t="n">
        <v>3.05154394385827</v>
      </c>
      <c r="AV416" t="n">
        <v>3.21916039351676</v>
      </c>
      <c r="AW416" t="n">
        <v>3.38321725886575</v>
      </c>
      <c r="AX416" t="n">
        <v>3.54684848747269</v>
      </c>
      <c r="AY416" t="n">
        <v>3.71205229495624</v>
      </c>
      <c r="AZ416" t="n">
        <v>3.87968450893851</v>
      </c>
      <c r="BA416" t="n">
        <v>0</v>
      </c>
      <c r="BB416" t="n">
        <v>0</v>
      </c>
      <c r="BC416" t="n">
        <v>0</v>
      </c>
      <c r="BD416" t="n">
        <v>0</v>
      </c>
      <c r="BE416" t="n">
        <v>0</v>
      </c>
      <c r="BF416" t="n">
        <v>0</v>
      </c>
      <c r="BG416" t="n">
        <v>0</v>
      </c>
      <c r="BH416" t="n">
        <v>0</v>
      </c>
      <c r="BJ416" t="inlineStr">
        <is>
          <t>High2</t>
        </is>
      </c>
      <c r="BL416" t="n">
        <v>1</v>
      </c>
      <c r="BM416" t="n">
        <v>0.997560975609757</v>
      </c>
      <c r="BN416" t="n">
        <v>0.985365853658537</v>
      </c>
      <c r="BO416" t="n">
        <v>0.973170731707317</v>
      </c>
      <c r="BP416" t="n">
        <v>0.960975609756098</v>
      </c>
      <c r="BQ416" t="n">
        <v>0.948780487804878</v>
      </c>
      <c r="BR416" t="n">
        <v>0.936585365853658</v>
      </c>
      <c r="BS416" t="n">
        <v>0.924390243902439</v>
      </c>
      <c r="BT416" t="n">
        <v>0.91219512195122</v>
      </c>
      <c r="BU416" t="n">
        <v>0.9</v>
      </c>
      <c r="BV416" t="n">
        <v>0.8875</v>
      </c>
      <c r="BW416" t="n">
        <v>0.875000000000001</v>
      </c>
      <c r="BX416" t="n">
        <v>0.862500000000001</v>
      </c>
      <c r="BY416" t="n">
        <v>0.850000000000001</v>
      </c>
      <c r="BZ416" t="n">
        <v>0.8375</v>
      </c>
      <c r="CA416" t="n">
        <v>0.825000000000001</v>
      </c>
      <c r="CB416" t="n">
        <v>0.812500000000001</v>
      </c>
      <c r="CC416" t="n">
        <v>0.800000000000001</v>
      </c>
      <c r="CD416" t="e">
        <v>#VALUE!</v>
      </c>
      <c r="CE416" t="e">
        <v>#VALUE!</v>
      </c>
      <c r="CF416" t="e">
        <v>#VALUE!</v>
      </c>
      <c r="CG416" t="e">
        <v>#VALUE!</v>
      </c>
      <c r="CH416" t="e">
        <v>#VALUE!</v>
      </c>
      <c r="CI416" t="e">
        <v>#VALUE!</v>
      </c>
      <c r="CJ416" t="e">
        <v>#VALUE!</v>
      </c>
      <c r="CK416" t="e">
        <v>#VALUE!</v>
      </c>
    </row>
    <row r="417" ht="12.5" customHeight="1" s="213">
      <c r="A417" t="inlineStr">
        <is>
          <t>WestBalkans</t>
        </is>
      </c>
      <c r="B417" t="inlineStr">
        <is>
          <t>Trd_2w</t>
        </is>
      </c>
      <c r="C417" t="inlineStr">
        <is>
          <t>Trd_2w</t>
        </is>
      </c>
      <c r="D417" t="n">
        <v>0.524</v>
      </c>
      <c r="E417" t="n">
        <v>0.521246872353281</v>
      </c>
      <c r="G417" t="n">
        <v>0.507649342607659</v>
      </c>
      <c r="H417" t="n">
        <v>0.49943732777628</v>
      </c>
      <c r="I417" t="n">
        <v>0.489925412139078</v>
      </c>
      <c r="J417" t="n">
        <v>0.479429171457386</v>
      </c>
      <c r="K417" t="n">
        <v>0.468788024745208</v>
      </c>
      <c r="L417" t="n">
        <v>0.458576728214662</v>
      </c>
      <c r="M417" t="n">
        <v>0.448944941073824</v>
      </c>
      <c r="N417" t="n">
        <v>0.43975139923556</v>
      </c>
      <c r="O417" t="n">
        <v>0.430818462569595</v>
      </c>
      <c r="P417" t="n">
        <v>0.422011897645514</v>
      </c>
      <c r="Q417" t="n">
        <v>0.413315261359604</v>
      </c>
      <c r="R417" t="n">
        <v>0.404812470347008</v>
      </c>
      <c r="S417" t="n">
        <v>0.396604359408839</v>
      </c>
      <c r="T417" t="n">
        <v>0.388733855418037</v>
      </c>
      <c r="U417" t="n">
        <v>0.381186254484502</v>
      </c>
      <c r="V417" t="n">
        <v>0.373837022732208</v>
      </c>
      <c r="W417" t="n">
        <v>3</v>
      </c>
      <c r="AG417" s="223" t="inlineStr">
        <is>
          <t>POP</t>
        </is>
      </c>
      <c r="AI417" t="n">
        <v>1</v>
      </c>
      <c r="AJ417" t="n">
        <v>0.994733093492064</v>
      </c>
      <c r="AK417" t="n">
        <v>0.968398560952385</v>
      </c>
      <c r="AL417" t="n">
        <v>0.952301336734361</v>
      </c>
      <c r="AM417" t="n">
        <v>0.933427985580202</v>
      </c>
      <c r="AN417" t="n">
        <v>0.912350495822038</v>
      </c>
      <c r="AO417" t="n">
        <v>0.890729369207688</v>
      </c>
      <c r="AP417" t="n">
        <v>0.869740221786158</v>
      </c>
      <c r="AQ417" t="n">
        <v>0.84971410824421</v>
      </c>
      <c r="AR417" t="n">
        <v>0.830380180356351</v>
      </c>
      <c r="AS417" t="n">
        <v>0.811373965346304</v>
      </c>
      <c r="AT417" t="n">
        <v>0.79241890157327</v>
      </c>
      <c r="AU417" t="n">
        <v>0.773485775158997</v>
      </c>
      <c r="AV417" t="n">
        <v>0.754765446514725</v>
      </c>
      <c r="AW417" t="n">
        <v>0.736492165667915</v>
      </c>
      <c r="AX417" t="n">
        <v>0.71877642791454</v>
      </c>
      <c r="AY417" t="n">
        <v>0.701600230606378</v>
      </c>
      <c r="AZ417" t="n">
        <v>0.684691755315336</v>
      </c>
      <c r="BA417" t="n">
        <v>0</v>
      </c>
      <c r="BB417" t="n">
        <v>0</v>
      </c>
      <c r="BC417" t="n">
        <v>0</v>
      </c>
      <c r="BD417" t="n">
        <v>0</v>
      </c>
      <c r="BE417" t="n">
        <v>0</v>
      </c>
      <c r="BF417" t="n">
        <v>0</v>
      </c>
      <c r="BG417" t="n">
        <v>0</v>
      </c>
      <c r="BH417" t="n">
        <v>0</v>
      </c>
      <c r="BJ417" t="inlineStr">
        <is>
          <t>High2</t>
        </is>
      </c>
      <c r="BL417" t="n">
        <v>1</v>
      </c>
      <c r="BM417" t="n">
        <v>0.997560975609757</v>
      </c>
      <c r="BN417" t="n">
        <v>0.985365853658537</v>
      </c>
      <c r="BO417" t="n">
        <v>0.973170731707317</v>
      </c>
      <c r="BP417" t="n">
        <v>0.960975609756098</v>
      </c>
      <c r="BQ417" t="n">
        <v>0.948780487804878</v>
      </c>
      <c r="BR417" t="n">
        <v>0.936585365853658</v>
      </c>
      <c r="BS417" t="n">
        <v>0.924390243902439</v>
      </c>
      <c r="BT417" t="n">
        <v>0.91219512195122</v>
      </c>
      <c r="BU417" t="n">
        <v>0.9</v>
      </c>
      <c r="BV417" t="n">
        <v>0.8875</v>
      </c>
      <c r="BW417" t="n">
        <v>0.875000000000001</v>
      </c>
      <c r="BX417" t="n">
        <v>0.862500000000001</v>
      </c>
      <c r="BY417" t="n">
        <v>0.850000000000001</v>
      </c>
      <c r="BZ417" t="n">
        <v>0.8375</v>
      </c>
      <c r="CA417" t="n">
        <v>0.825000000000001</v>
      </c>
      <c r="CB417" t="n">
        <v>0.812500000000001</v>
      </c>
      <c r="CC417" t="n">
        <v>0.800000000000001</v>
      </c>
      <c r="CD417" t="e">
        <v>#VALUE!</v>
      </c>
      <c r="CE417" t="e">
        <v>#VALUE!</v>
      </c>
      <c r="CF417" t="e">
        <v>#VALUE!</v>
      </c>
      <c r="CG417" t="e">
        <v>#VALUE!</v>
      </c>
      <c r="CH417" t="e">
        <v>#VALUE!</v>
      </c>
      <c r="CI417" t="e">
        <v>#VALUE!</v>
      </c>
      <c r="CJ417" t="e">
        <v>#VALUE!</v>
      </c>
      <c r="CK417" t="e">
        <v>#VALUE!</v>
      </c>
    </row>
    <row r="418" ht="12.5" customHeight="1" s="213">
      <c r="A418" t="inlineStr">
        <is>
          <t>WestBalkans</t>
        </is>
      </c>
      <c r="B418" t="inlineStr">
        <is>
          <t>Trd_3w</t>
        </is>
      </c>
      <c r="C418" t="inlineStr">
        <is>
          <t>Trd_3w</t>
        </is>
      </c>
      <c r="D418" t="n">
        <v>0.105</v>
      </c>
      <c r="E418" t="n">
        <v>0.104448323658577</v>
      </c>
      <c r="G418" t="n">
        <v>0.101723627812603</v>
      </c>
      <c r="H418" t="n">
        <v>0.100078090489522</v>
      </c>
      <c r="I418" t="n">
        <v>0.0981720768599298</v>
      </c>
      <c r="J418" t="n">
        <v>0.096068822524858</v>
      </c>
      <c r="K418" t="n">
        <v>0.0939365316760436</v>
      </c>
      <c r="L418" t="n">
        <v>0.0918903749285106</v>
      </c>
      <c r="M418" t="n">
        <v>0.0899603412457089</v>
      </c>
      <c r="N418" t="n">
        <v>0.08811812389262159</v>
      </c>
      <c r="O418" t="n">
        <v>0.0863281270416173</v>
      </c>
      <c r="P418" t="n">
        <v>0.0845634527724789</v>
      </c>
      <c r="Q418" t="n">
        <v>0.08282080618847031</v>
      </c>
      <c r="R418" t="n">
        <v>0.0811170026458698</v>
      </c>
      <c r="S418" t="n">
        <v>0.0794722475914659</v>
      </c>
      <c r="T418" t="n">
        <v>0.07789514278414859</v>
      </c>
      <c r="U418" t="n">
        <v>0.07638274183372649</v>
      </c>
      <c r="V418" t="n">
        <v>0.07491009043298059</v>
      </c>
      <c r="W418" t="n">
        <v>3</v>
      </c>
      <c r="AG418" s="223" t="inlineStr">
        <is>
          <t>POP</t>
        </is>
      </c>
      <c r="AI418" t="n">
        <v>1</v>
      </c>
      <c r="AJ418" t="n">
        <v>0.994733093492064</v>
      </c>
      <c r="AK418" t="n">
        <v>0.968398560952385</v>
      </c>
      <c r="AL418" t="n">
        <v>0.952301336734361</v>
      </c>
      <c r="AM418" t="n">
        <v>0.933427985580202</v>
      </c>
      <c r="AN418" t="n">
        <v>0.912350495822038</v>
      </c>
      <c r="AO418" t="n">
        <v>0.890729369207688</v>
      </c>
      <c r="AP418" t="n">
        <v>0.869740221786158</v>
      </c>
      <c r="AQ418" t="n">
        <v>0.84971410824421</v>
      </c>
      <c r="AR418" t="n">
        <v>0.830380180356351</v>
      </c>
      <c r="AS418" t="n">
        <v>0.811373965346304</v>
      </c>
      <c r="AT418" t="n">
        <v>0.79241890157327</v>
      </c>
      <c r="AU418" t="n">
        <v>0.773485775158997</v>
      </c>
      <c r="AV418" t="n">
        <v>0.754765446514725</v>
      </c>
      <c r="AW418" t="n">
        <v>0.736492165667915</v>
      </c>
      <c r="AX418" t="n">
        <v>0.71877642791454</v>
      </c>
      <c r="AY418" t="n">
        <v>0.701600230606378</v>
      </c>
      <c r="AZ418" t="n">
        <v>0.684691755315336</v>
      </c>
      <c r="BA418" t="n">
        <v>0</v>
      </c>
      <c r="BB418" t="n">
        <v>0</v>
      </c>
      <c r="BC418" t="n">
        <v>0</v>
      </c>
      <c r="BD418" t="n">
        <v>0</v>
      </c>
      <c r="BE418" t="n">
        <v>0</v>
      </c>
      <c r="BF418" t="n">
        <v>0</v>
      </c>
      <c r="BG418" t="n">
        <v>0</v>
      </c>
      <c r="BH418" t="n">
        <v>0</v>
      </c>
      <c r="BJ418" t="inlineStr">
        <is>
          <t>High2</t>
        </is>
      </c>
      <c r="BL418" t="n">
        <v>1</v>
      </c>
      <c r="BM418" t="n">
        <v>0.997560975609757</v>
      </c>
      <c r="BN418" t="n">
        <v>0.985365853658537</v>
      </c>
      <c r="BO418" t="n">
        <v>0.973170731707317</v>
      </c>
      <c r="BP418" t="n">
        <v>0.960975609756098</v>
      </c>
      <c r="BQ418" t="n">
        <v>0.948780487804878</v>
      </c>
      <c r="BR418" t="n">
        <v>0.936585365853658</v>
      </c>
      <c r="BS418" t="n">
        <v>0.924390243902439</v>
      </c>
      <c r="BT418" t="n">
        <v>0.91219512195122</v>
      </c>
      <c r="BU418" t="n">
        <v>0.9</v>
      </c>
      <c r="BV418" t="n">
        <v>0.8875</v>
      </c>
      <c r="BW418" t="n">
        <v>0.875000000000001</v>
      </c>
      <c r="BX418" t="n">
        <v>0.862500000000001</v>
      </c>
      <c r="BY418" t="n">
        <v>0.850000000000001</v>
      </c>
      <c r="BZ418" t="n">
        <v>0.8375</v>
      </c>
      <c r="CA418" t="n">
        <v>0.825000000000001</v>
      </c>
      <c r="CB418" t="n">
        <v>0.812500000000001</v>
      </c>
      <c r="CC418" t="n">
        <v>0.800000000000001</v>
      </c>
      <c r="CD418" t="e">
        <v>#VALUE!</v>
      </c>
      <c r="CE418" t="e">
        <v>#VALUE!</v>
      </c>
      <c r="CF418" t="e">
        <v>#VALUE!</v>
      </c>
      <c r="CG418" t="e">
        <v>#VALUE!</v>
      </c>
      <c r="CH418" t="e">
        <v>#VALUE!</v>
      </c>
      <c r="CI418" t="e">
        <v>#VALUE!</v>
      </c>
      <c r="CJ418" t="e">
        <v>#VALUE!</v>
      </c>
      <c r="CK418" t="e">
        <v>#VALUE!</v>
      </c>
    </row>
    <row r="419" ht="12.5" customHeight="1" s="213">
      <c r="A419" t="inlineStr">
        <is>
          <t>WestBalkans</t>
        </is>
      </c>
      <c r="B419" t="inlineStr">
        <is>
          <t>Trd_bus</t>
        </is>
      </c>
      <c r="C419" t="inlineStr">
        <is>
          <t>Trd_bus</t>
        </is>
      </c>
      <c r="D419" t="n">
        <v>1.18</v>
      </c>
      <c r="E419" t="n">
        <v>1.17380020873449</v>
      </c>
      <c r="G419" t="n">
        <v>1.14317981732259</v>
      </c>
      <c r="H419" t="n">
        <v>1.12468711216796</v>
      </c>
      <c r="I419" t="n">
        <v>1.1032671494735</v>
      </c>
      <c r="J419" t="n">
        <v>1.07963057694602</v>
      </c>
      <c r="K419" t="n">
        <v>1.05566768931173</v>
      </c>
      <c r="L419" t="n">
        <v>1.03267278491088</v>
      </c>
      <c r="M419" t="n">
        <v>1.01098288257082</v>
      </c>
      <c r="N419" t="n">
        <v>0.990279868507557</v>
      </c>
      <c r="O419" t="n">
        <v>0.97016371342008</v>
      </c>
      <c r="P419" t="n">
        <v>0.950332135919287</v>
      </c>
      <c r="Q419" t="n">
        <v>0.930748107641856</v>
      </c>
      <c r="R419" t="n">
        <v>0.911600601163108</v>
      </c>
      <c r="S419" t="n">
        <v>0.893116687218379</v>
      </c>
      <c r="T419" t="n">
        <v>0.875393033193289</v>
      </c>
      <c r="U419" t="n">
        <v>0.858396527274259</v>
      </c>
      <c r="V419" t="n">
        <v>0.841846730580163</v>
      </c>
      <c r="W419" t="n">
        <v>3</v>
      </c>
      <c r="AG419" s="223" t="inlineStr">
        <is>
          <t>POP</t>
        </is>
      </c>
      <c r="AI419" t="n">
        <v>1</v>
      </c>
      <c r="AJ419" t="n">
        <v>0.994733093492064</v>
      </c>
      <c r="AK419" t="n">
        <v>0.968398560952385</v>
      </c>
      <c r="AL419" t="n">
        <v>0.952301336734361</v>
      </c>
      <c r="AM419" t="n">
        <v>0.933427985580202</v>
      </c>
      <c r="AN419" t="n">
        <v>0.912350495822038</v>
      </c>
      <c r="AO419" t="n">
        <v>0.890729369207688</v>
      </c>
      <c r="AP419" t="n">
        <v>0.869740221786158</v>
      </c>
      <c r="AQ419" t="n">
        <v>0.84971410824421</v>
      </c>
      <c r="AR419" t="n">
        <v>0.830380180356351</v>
      </c>
      <c r="AS419" t="n">
        <v>0.811373965346304</v>
      </c>
      <c r="AT419" t="n">
        <v>0.79241890157327</v>
      </c>
      <c r="AU419" t="n">
        <v>0.773485775158997</v>
      </c>
      <c r="AV419" t="n">
        <v>0.754765446514725</v>
      </c>
      <c r="AW419" t="n">
        <v>0.736492165667915</v>
      </c>
      <c r="AX419" t="n">
        <v>0.71877642791454</v>
      </c>
      <c r="AY419" t="n">
        <v>0.701600230606378</v>
      </c>
      <c r="AZ419" t="n">
        <v>0.684691755315336</v>
      </c>
      <c r="BA419" t="n">
        <v>0</v>
      </c>
      <c r="BB419" t="n">
        <v>0</v>
      </c>
      <c r="BC419" t="n">
        <v>0</v>
      </c>
      <c r="BD419" t="n">
        <v>0</v>
      </c>
      <c r="BE419" t="n">
        <v>0</v>
      </c>
      <c r="BF419" t="n">
        <v>0</v>
      </c>
      <c r="BG419" t="n">
        <v>0</v>
      </c>
      <c r="BH419" t="n">
        <v>0</v>
      </c>
      <c r="BJ419" t="inlineStr">
        <is>
          <t>High2</t>
        </is>
      </c>
      <c r="BL419" t="n">
        <v>1</v>
      </c>
      <c r="BM419" t="n">
        <v>0.997560975609757</v>
      </c>
      <c r="BN419" t="n">
        <v>0.985365853658537</v>
      </c>
      <c r="BO419" t="n">
        <v>0.973170731707317</v>
      </c>
      <c r="BP419" t="n">
        <v>0.960975609756098</v>
      </c>
      <c r="BQ419" t="n">
        <v>0.948780487804878</v>
      </c>
      <c r="BR419" t="n">
        <v>0.936585365853658</v>
      </c>
      <c r="BS419" t="n">
        <v>0.924390243902439</v>
      </c>
      <c r="BT419" t="n">
        <v>0.91219512195122</v>
      </c>
      <c r="BU419" t="n">
        <v>0.9</v>
      </c>
      <c r="BV419" t="n">
        <v>0.8875</v>
      </c>
      <c r="BW419" t="n">
        <v>0.875000000000001</v>
      </c>
      <c r="BX419" t="n">
        <v>0.862500000000001</v>
      </c>
      <c r="BY419" t="n">
        <v>0.850000000000001</v>
      </c>
      <c r="BZ419" t="n">
        <v>0.8375</v>
      </c>
      <c r="CA419" t="n">
        <v>0.825000000000001</v>
      </c>
      <c r="CB419" t="n">
        <v>0.812500000000001</v>
      </c>
      <c r="CC419" t="n">
        <v>0.800000000000001</v>
      </c>
      <c r="CD419" t="e">
        <v>#VALUE!</v>
      </c>
      <c r="CE419" t="e">
        <v>#VALUE!</v>
      </c>
      <c r="CF419" t="e">
        <v>#VALUE!</v>
      </c>
      <c r="CG419" t="e">
        <v>#VALUE!</v>
      </c>
      <c r="CH419" t="e">
        <v>#VALUE!</v>
      </c>
      <c r="CI419" t="e">
        <v>#VALUE!</v>
      </c>
      <c r="CJ419" t="e">
        <v>#VALUE!</v>
      </c>
      <c r="CK419" t="e">
        <v>#VALUE!</v>
      </c>
    </row>
    <row r="420" ht="12.5" customHeight="1" s="213">
      <c r="A420" t="inlineStr">
        <is>
          <t>WestBalkans</t>
        </is>
      </c>
      <c r="B420" t="inlineStr">
        <is>
          <t>Trd_car</t>
        </is>
      </c>
      <c r="C420" t="inlineStr">
        <is>
          <t>Trd_car</t>
        </is>
      </c>
      <c r="D420" t="n">
        <v>39.264</v>
      </c>
      <c r="E420" t="n">
        <v>40.2247912331169</v>
      </c>
      <c r="G420" t="n">
        <v>49.8525825358696</v>
      </c>
      <c r="H420" t="n">
        <v>60.1874567216683</v>
      </c>
      <c r="I420" t="n">
        <v>70.2286970965134</v>
      </c>
      <c r="J420" t="n">
        <v>79.6000926158636</v>
      </c>
      <c r="K420" t="n">
        <v>88.56746298763591</v>
      </c>
      <c r="L420" t="n">
        <v>97.2306510264698</v>
      </c>
      <c r="M420" t="n">
        <v>105.790894958278</v>
      </c>
      <c r="N420" t="n">
        <v>114.429489978263</v>
      </c>
      <c r="O420" t="n">
        <v>123.558804591252</v>
      </c>
      <c r="P420" t="n">
        <v>133.149609821288</v>
      </c>
      <c r="Q420" t="n">
        <v>142.937971167694</v>
      </c>
      <c r="R420" t="n">
        <v>152.79062639228</v>
      </c>
      <c r="S420" t="n">
        <v>162.648613762469</v>
      </c>
      <c r="T420" t="n">
        <v>172.605781450367</v>
      </c>
      <c r="U420" t="n">
        <v>182.731181231561</v>
      </c>
      <c r="V420" t="n">
        <v>193.10579846479</v>
      </c>
      <c r="W420" t="n">
        <v>3</v>
      </c>
      <c r="AG420" s="223" t="inlineStr">
        <is>
          <t>GDPPCAP</t>
        </is>
      </c>
      <c r="AI420" t="n">
        <v>1</v>
      </c>
      <c r="AJ420" t="n">
        <v>1.02452985829096</v>
      </c>
      <c r="AK420" t="n">
        <v>1.27339265664415</v>
      </c>
      <c r="AL420" t="n">
        <v>1.54465582806161</v>
      </c>
      <c r="AM420" t="n">
        <v>1.81281998780747</v>
      </c>
      <c r="AN420" t="n">
        <v>2.06778382856818</v>
      </c>
      <c r="AO420" t="n">
        <v>2.31650302234424</v>
      </c>
      <c r="AP420" t="n">
        <v>2.56162432418135</v>
      </c>
      <c r="AQ420" t="n">
        <v>2.80885971574661</v>
      </c>
      <c r="AR420" t="n">
        <v>3.06370838114509</v>
      </c>
      <c r="AS420" t="n">
        <v>3.33911810804935</v>
      </c>
      <c r="AT420" t="n">
        <v>3.63533178097863</v>
      </c>
      <c r="AU420" t="n">
        <v>3.94518430960285</v>
      </c>
      <c r="AV420" t="n">
        <v>4.26511363017723</v>
      </c>
      <c r="AW420" t="n">
        <v>4.59369076356374</v>
      </c>
      <c r="AX420" t="n">
        <v>4.93456428136288</v>
      </c>
      <c r="AY420" t="n">
        <v>5.29083676575762</v>
      </c>
      <c r="AZ420" t="n">
        <v>5.66632280704435</v>
      </c>
      <c r="BA420" t="n">
        <v>0</v>
      </c>
      <c r="BB420" t="n">
        <v>0</v>
      </c>
      <c r="BC420" t="n">
        <v>0</v>
      </c>
      <c r="BD420" t="n">
        <v>0</v>
      </c>
      <c r="BE420" t="n">
        <v>0</v>
      </c>
      <c r="BF420" t="n">
        <v>0</v>
      </c>
      <c r="BG420" t="n">
        <v>0</v>
      </c>
      <c r="BH420" t="n">
        <v>0</v>
      </c>
      <c r="BJ420" t="inlineStr">
        <is>
          <t>High2</t>
        </is>
      </c>
      <c r="BL420" t="n">
        <v>1</v>
      </c>
      <c r="BM420" t="n">
        <v>0.997560975609757</v>
      </c>
      <c r="BN420" t="n">
        <v>0.985365853658537</v>
      </c>
      <c r="BO420" t="n">
        <v>0.973170731707317</v>
      </c>
      <c r="BP420" t="n">
        <v>0.960975609756098</v>
      </c>
      <c r="BQ420" t="n">
        <v>0.948780487804878</v>
      </c>
      <c r="BR420" t="n">
        <v>0.936585365853658</v>
      </c>
      <c r="BS420" t="n">
        <v>0.924390243902439</v>
      </c>
      <c r="BT420" t="n">
        <v>0.91219512195122</v>
      </c>
      <c r="BU420" t="n">
        <v>0.9</v>
      </c>
      <c r="BV420" t="n">
        <v>0.8875</v>
      </c>
      <c r="BW420" t="n">
        <v>0.875000000000001</v>
      </c>
      <c r="BX420" t="n">
        <v>0.862500000000001</v>
      </c>
      <c r="BY420" t="n">
        <v>0.850000000000001</v>
      </c>
      <c r="BZ420" t="n">
        <v>0.8375</v>
      </c>
      <c r="CA420" t="n">
        <v>0.825000000000001</v>
      </c>
      <c r="CB420" t="n">
        <v>0.812500000000001</v>
      </c>
      <c r="CC420" t="n">
        <v>0.800000000000001</v>
      </c>
      <c r="CD420" t="e">
        <v>#VALUE!</v>
      </c>
      <c r="CE420" t="e">
        <v>#VALUE!</v>
      </c>
      <c r="CF420" t="e">
        <v>#VALUE!</v>
      </c>
      <c r="CG420" t="e">
        <v>#VALUE!</v>
      </c>
      <c r="CH420" t="e">
        <v>#VALUE!</v>
      </c>
      <c r="CI420" t="e">
        <v>#VALUE!</v>
      </c>
      <c r="CJ420" t="e">
        <v>#VALUE!</v>
      </c>
      <c r="CK420" t="e">
        <v>#VALUE!</v>
      </c>
    </row>
    <row r="421" ht="12.5" customHeight="1" s="213">
      <c r="A421" t="inlineStr">
        <is>
          <t>WestBalkans</t>
        </is>
      </c>
      <c r="B421" t="inlineStr">
        <is>
          <t>Trd_hdt</t>
        </is>
      </c>
      <c r="C421" t="inlineStr">
        <is>
          <t>Trd_hdt</t>
        </is>
      </c>
      <c r="D421" t="n">
        <v>16.31</v>
      </c>
      <c r="E421" t="n">
        <v>16.6213103990311</v>
      </c>
      <c r="G421" t="n">
        <v>20.0607017988045</v>
      </c>
      <c r="H421" t="n">
        <v>23.8258178754856</v>
      </c>
      <c r="I421" t="n">
        <v>27.2681983886852</v>
      </c>
      <c r="J421" t="n">
        <v>30.2405343855336</v>
      </c>
      <c r="K421" t="n">
        <v>32.8953536095175</v>
      </c>
      <c r="L421" t="n">
        <v>35.3206402711898</v>
      </c>
      <c r="M421" t="n">
        <v>37.6168268492257</v>
      </c>
      <c r="N421" t="n">
        <v>39.8483011755903</v>
      </c>
      <c r="O421" t="n">
        <v>42.1452151589095</v>
      </c>
      <c r="P421" t="n">
        <v>44.4786499380045</v>
      </c>
      <c r="Q421" t="n">
        <v>46.7537323395421</v>
      </c>
      <c r="R421" t="n">
        <v>48.936624197609</v>
      </c>
      <c r="S421" t="n">
        <v>51.0252979836641</v>
      </c>
      <c r="T421" t="n">
        <v>53.0612887395663</v>
      </c>
      <c r="U421" t="n">
        <v>55.069357495699</v>
      </c>
      <c r="V421" t="n">
        <v>57.0588549674083</v>
      </c>
      <c r="W421" t="n">
        <v>3</v>
      </c>
      <c r="AG421" s="223" t="inlineStr">
        <is>
          <t>GDP</t>
        </is>
      </c>
      <c r="AI421" t="n">
        <v>1</v>
      </c>
      <c r="AJ421" t="n">
        <v>1.01913375531275</v>
      </c>
      <c r="AK421" t="n">
        <v>1.23315161622153</v>
      </c>
      <c r="AL421" t="n">
        <v>1.47097780985759</v>
      </c>
      <c r="AM421" t="n">
        <v>1.69213690943865</v>
      </c>
      <c r="AN421" t="n">
        <v>1.88654360124696</v>
      </c>
      <c r="AO421" t="n">
        <v>2.06337727586039</v>
      </c>
      <c r="AP421" t="n">
        <v>2.2279477078463</v>
      </c>
      <c r="AQ421" t="n">
        <v>2.38672772854871</v>
      </c>
      <c r="AR421" t="n">
        <v>2.54404271809451</v>
      </c>
      <c r="AS421" t="n">
        <v>2.70927350008765</v>
      </c>
      <c r="AT421" t="n">
        <v>2.88070561673748</v>
      </c>
      <c r="AU421" t="n">
        <v>3.05154394385827</v>
      </c>
      <c r="AV421" t="n">
        <v>3.21916039351676</v>
      </c>
      <c r="AW421" t="n">
        <v>3.38321725886575</v>
      </c>
      <c r="AX421" t="n">
        <v>3.54684848747269</v>
      </c>
      <c r="AY421" t="n">
        <v>3.71205229495624</v>
      </c>
      <c r="AZ421" t="n">
        <v>3.87968450893851</v>
      </c>
      <c r="BA421" t="n">
        <v>0</v>
      </c>
      <c r="BB421" t="n">
        <v>0</v>
      </c>
      <c r="BC421" t="n">
        <v>0</v>
      </c>
      <c r="BD421" t="n">
        <v>0</v>
      </c>
      <c r="BE421" t="n">
        <v>0</v>
      </c>
      <c r="BF421" t="n">
        <v>0</v>
      </c>
      <c r="BG421" t="n">
        <v>0</v>
      </c>
      <c r="BH421" t="n">
        <v>0</v>
      </c>
      <c r="BJ421" t="inlineStr">
        <is>
          <t>High2</t>
        </is>
      </c>
      <c r="BL421" t="n">
        <v>1</v>
      </c>
      <c r="BM421" t="n">
        <v>0.997560975609757</v>
      </c>
      <c r="BN421" t="n">
        <v>0.985365853658537</v>
      </c>
      <c r="BO421" t="n">
        <v>0.973170731707317</v>
      </c>
      <c r="BP421" t="n">
        <v>0.960975609756098</v>
      </c>
      <c r="BQ421" t="n">
        <v>0.948780487804878</v>
      </c>
      <c r="BR421" t="n">
        <v>0.936585365853658</v>
      </c>
      <c r="BS421" t="n">
        <v>0.924390243902439</v>
      </c>
      <c r="BT421" t="n">
        <v>0.91219512195122</v>
      </c>
      <c r="BU421" t="n">
        <v>0.9</v>
      </c>
      <c r="BV421" t="n">
        <v>0.8875</v>
      </c>
      <c r="BW421" t="n">
        <v>0.875000000000001</v>
      </c>
      <c r="BX421" t="n">
        <v>0.862500000000001</v>
      </c>
      <c r="BY421" t="n">
        <v>0.850000000000001</v>
      </c>
      <c r="BZ421" t="n">
        <v>0.8375</v>
      </c>
      <c r="CA421" t="n">
        <v>0.825000000000001</v>
      </c>
      <c r="CB421" t="n">
        <v>0.812500000000001</v>
      </c>
      <c r="CC421" t="n">
        <v>0.800000000000001</v>
      </c>
      <c r="CD421" t="e">
        <v>#VALUE!</v>
      </c>
      <c r="CE421" t="e">
        <v>#VALUE!</v>
      </c>
      <c r="CF421" t="e">
        <v>#VALUE!</v>
      </c>
      <c r="CG421" t="e">
        <v>#VALUE!</v>
      </c>
      <c r="CH421" t="e">
        <v>#VALUE!</v>
      </c>
      <c r="CI421" t="e">
        <v>#VALUE!</v>
      </c>
      <c r="CJ421" t="e">
        <v>#VALUE!</v>
      </c>
      <c r="CK421" t="e">
        <v>#VALUE!</v>
      </c>
    </row>
    <row r="422" ht="12.5" customHeight="1" s="213">
      <c r="A422" t="inlineStr">
        <is>
          <t>WestBalkans</t>
        </is>
      </c>
      <c r="B422" t="inlineStr">
        <is>
          <t>Trd_lcv</t>
        </is>
      </c>
      <c r="C422" t="inlineStr">
        <is>
          <t>Trd_lcv</t>
        </is>
      </c>
      <c r="D422" t="n">
        <v>11.49</v>
      </c>
      <c r="E422" t="n">
        <v>11.7093106367178</v>
      </c>
      <c r="G422" t="n">
        <v>14.1322785817452</v>
      </c>
      <c r="H422" t="n">
        <v>16.7847116731655</v>
      </c>
      <c r="I422" t="n">
        <v>19.2097853762105</v>
      </c>
      <c r="J422" t="n">
        <v>21.3037241011515</v>
      </c>
      <c r="K422" t="n">
        <v>23.1739799493167</v>
      </c>
      <c r="L422" t="n">
        <v>24.8825356662153</v>
      </c>
      <c r="M422" t="n">
        <v>26.5001435007727</v>
      </c>
      <c r="N422" t="n">
        <v>28.0721631212466</v>
      </c>
      <c r="O422" t="n">
        <v>29.6902833952097</v>
      </c>
      <c r="P422" t="n">
        <v>31.3341316853263</v>
      </c>
      <c r="Q422" t="n">
        <v>32.9368721386474</v>
      </c>
      <c r="R422" t="n">
        <v>34.474666586789</v>
      </c>
      <c r="S422" t="n">
        <v>35.946086684997</v>
      </c>
      <c r="T422" t="n">
        <v>37.3803928643542</v>
      </c>
      <c r="U422" t="n">
        <v>38.7950286710963</v>
      </c>
      <c r="V422" t="n">
        <v>40.1965814577266</v>
      </c>
      <c r="W422" t="n">
        <v>3</v>
      </c>
      <c r="AG422" s="223" t="inlineStr">
        <is>
          <t>GDP</t>
        </is>
      </c>
      <c r="AI422" t="n">
        <v>1</v>
      </c>
      <c r="AJ422" t="n">
        <v>1.01913375531275</v>
      </c>
      <c r="AK422" t="n">
        <v>1.23315161622153</v>
      </c>
      <c r="AL422" t="n">
        <v>1.47097780985759</v>
      </c>
      <c r="AM422" t="n">
        <v>1.69213690943865</v>
      </c>
      <c r="AN422" t="n">
        <v>1.88654360124696</v>
      </c>
      <c r="AO422" t="n">
        <v>2.06337727586039</v>
      </c>
      <c r="AP422" t="n">
        <v>2.2279477078463</v>
      </c>
      <c r="AQ422" t="n">
        <v>2.38672772854871</v>
      </c>
      <c r="AR422" t="n">
        <v>2.54404271809451</v>
      </c>
      <c r="AS422" t="n">
        <v>2.70927350008765</v>
      </c>
      <c r="AT422" t="n">
        <v>2.88070561673748</v>
      </c>
      <c r="AU422" t="n">
        <v>3.05154394385827</v>
      </c>
      <c r="AV422" t="n">
        <v>3.21916039351676</v>
      </c>
      <c r="AW422" t="n">
        <v>3.38321725886575</v>
      </c>
      <c r="AX422" t="n">
        <v>3.54684848747269</v>
      </c>
      <c r="AY422" t="n">
        <v>3.71205229495624</v>
      </c>
      <c r="AZ422" t="n">
        <v>3.87968450893851</v>
      </c>
      <c r="BA422" t="n">
        <v>0</v>
      </c>
      <c r="BB422" t="n">
        <v>0</v>
      </c>
      <c r="BC422" t="n">
        <v>0</v>
      </c>
      <c r="BD422" t="n">
        <v>0</v>
      </c>
      <c r="BE422" t="n">
        <v>0</v>
      </c>
      <c r="BF422" t="n">
        <v>0</v>
      </c>
      <c r="BG422" t="n">
        <v>0</v>
      </c>
      <c r="BH422" t="n">
        <v>0</v>
      </c>
      <c r="BJ422" t="inlineStr">
        <is>
          <t>High2</t>
        </is>
      </c>
      <c r="BL422" t="n">
        <v>1</v>
      </c>
      <c r="BM422" t="n">
        <v>0.997560975609757</v>
      </c>
      <c r="BN422" t="n">
        <v>0.985365853658537</v>
      </c>
      <c r="BO422" t="n">
        <v>0.973170731707317</v>
      </c>
      <c r="BP422" t="n">
        <v>0.960975609756098</v>
      </c>
      <c r="BQ422" t="n">
        <v>0.948780487804878</v>
      </c>
      <c r="BR422" t="n">
        <v>0.936585365853658</v>
      </c>
      <c r="BS422" t="n">
        <v>0.924390243902439</v>
      </c>
      <c r="BT422" t="n">
        <v>0.91219512195122</v>
      </c>
      <c r="BU422" t="n">
        <v>0.9</v>
      </c>
      <c r="BV422" t="n">
        <v>0.8875</v>
      </c>
      <c r="BW422" t="n">
        <v>0.875000000000001</v>
      </c>
      <c r="BX422" t="n">
        <v>0.862500000000001</v>
      </c>
      <c r="BY422" t="n">
        <v>0.850000000000001</v>
      </c>
      <c r="BZ422" t="n">
        <v>0.8375</v>
      </c>
      <c r="CA422" t="n">
        <v>0.825000000000001</v>
      </c>
      <c r="CB422" t="n">
        <v>0.812500000000001</v>
      </c>
      <c r="CC422" t="n">
        <v>0.800000000000001</v>
      </c>
      <c r="CD422" t="e">
        <v>#VALUE!</v>
      </c>
      <c r="CE422" t="e">
        <v>#VALUE!</v>
      </c>
      <c r="CF422" t="e">
        <v>#VALUE!</v>
      </c>
      <c r="CG422" t="e">
        <v>#VALUE!</v>
      </c>
      <c r="CH422" t="e">
        <v>#VALUE!</v>
      </c>
      <c r="CI422" t="e">
        <v>#VALUE!</v>
      </c>
      <c r="CJ422" t="e">
        <v>#VALUE!</v>
      </c>
      <c r="CK422" t="e">
        <v>#VALUE!</v>
      </c>
    </row>
    <row r="430" ht="12.5" customHeight="1" s="213"/>
    <row r="431" ht="12.5" customHeight="1" s="213"/>
    <row r="432" ht="12.5" customHeight="1" s="213"/>
    <row r="433" ht="12.5" customHeight="1" s="213"/>
    <row r="434" ht="12.5" customHeight="1" s="213"/>
    <row r="435" ht="12.5" customHeight="1" s="213"/>
    <row r="436" ht="12.5" customHeight="1" s="213"/>
    <row r="437" ht="12.5" customHeight="1" s="213"/>
    <row r="438" ht="12.5" customHeight="1" s="213"/>
    <row r="439" ht="12.5" customHeight="1" s="213"/>
    <row r="440" ht="12.5" customHeight="1" s="213"/>
    <row r="441" ht="12.5" customHeight="1" s="213"/>
    <row r="442" ht="12.5" customHeight="1" s="213"/>
    <row r="443" ht="12.5" customHeight="1" s="213"/>
    <row r="444" ht="12.5" customHeight="1" s="213"/>
    <row r="445" ht="12.5" customHeight="1" s="213"/>
    <row r="446" ht="12.5" customHeight="1" s="213"/>
    <row r="447" ht="12.5" customHeight="1" s="213"/>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F11:P46"/>
  <sheetViews>
    <sheetView topLeftCell="A6" zoomScale="89" zoomScaleNormal="89" workbookViewId="0">
      <selection pane="topLeft" activeCell="J17" sqref="J17"/>
    </sheetView>
  </sheetViews>
  <sheetFormatPr baseColWidth="8" defaultColWidth="8.72428571428571" defaultRowHeight="12.5"/>
  <sheetData>
    <row r="11" ht="52" customHeight="1" s="213">
      <c r="F11" s="21" t="inlineStr">
        <is>
          <t>Country</t>
        </is>
      </c>
      <c r="G11" s="22" t="inlineStr">
        <is>
          <t>Alumina production 2024 (kt)</t>
        </is>
      </c>
      <c r="H11" s="22" t="inlineStr">
        <is>
          <t>Equivalent primary Al (kt)</t>
        </is>
      </c>
      <c r="M11" s="21" t="inlineStr">
        <is>
          <t>TIMES region</t>
        </is>
      </c>
      <c r="N11" s="21" t="inlineStr">
        <is>
          <t>Countries included</t>
        </is>
      </c>
      <c r="O11" s="21" t="inlineStr">
        <is>
          <t>Al₂O₃ (kt)</t>
        </is>
      </c>
      <c r="P11" s="21" t="inlineStr">
        <is>
          <t>Al equivalent (kt)</t>
        </is>
      </c>
    </row>
    <row r="12" ht="37.5" customHeight="1" s="213">
      <c r="F12" s="23" t="inlineStr">
        <is>
          <t>United States</t>
        </is>
      </c>
      <c r="G12" s="24" t="n">
        <v>720</v>
      </c>
      <c r="H12" s="22" t="n">
        <v>381</v>
      </c>
      <c r="M12" s="23" t="inlineStr">
        <is>
          <t>Africa_North</t>
        </is>
      </c>
      <c r="N12" s="23" t="inlineStr">
        <is>
          <t>North African countries</t>
        </is>
      </c>
      <c r="O12" s="23" t="n">
        <v>0</v>
      </c>
      <c r="P12" s="25" t="n">
        <v>0</v>
      </c>
    </row>
    <row r="13" ht="87.5" customHeight="1" s="213">
      <c r="F13" s="23" t="inlineStr">
        <is>
          <t>Australia</t>
        </is>
      </c>
      <c r="G13" s="26" t="n">
        <v>18000</v>
      </c>
      <c r="H13" s="27" t="n">
        <v>9522</v>
      </c>
      <c r="M13" s="23" t="inlineStr">
        <is>
          <t>Africa_Other</t>
        </is>
      </c>
      <c r="N13" s="23" t="inlineStr">
        <is>
          <t>Guinea + Jamaica? + other Africa (South Africa excluded)</t>
        </is>
      </c>
      <c r="O13" s="23" t="n">
        <v>300</v>
      </c>
      <c r="P13" s="25" t="n">
        <v>159</v>
      </c>
    </row>
    <row r="14" ht="13" customHeight="1" s="213">
      <c r="F14" s="23" t="inlineStr">
        <is>
          <t>Brazil</t>
        </is>
      </c>
      <c r="G14" s="26" t="n">
        <v>11000</v>
      </c>
      <c r="H14" s="27" t="n">
        <v>5819</v>
      </c>
      <c r="M14" s="23" t="inlineStr">
        <is>
          <t>Australia</t>
        </is>
      </c>
      <c r="N14" s="23" t="inlineStr">
        <is>
          <t>Australia</t>
        </is>
      </c>
      <c r="O14" s="28" t="n">
        <v>18000</v>
      </c>
      <c r="P14" s="29" t="n">
        <v>9522</v>
      </c>
    </row>
    <row r="15" ht="13" customHeight="1" s="213">
      <c r="F15" s="23" t="inlineStr">
        <is>
          <t>Canada</t>
        </is>
      </c>
      <c r="G15" s="26" t="n">
        <v>1500</v>
      </c>
      <c r="H15" s="22" t="n">
        <v>794</v>
      </c>
      <c r="M15" s="23" t="inlineStr">
        <is>
          <t>Austria</t>
        </is>
      </c>
      <c r="N15" s="23" t="inlineStr">
        <is>
          <t>Austria</t>
        </is>
      </c>
      <c r="O15" s="23" t="n">
        <v>0</v>
      </c>
      <c r="P15" s="25" t="n">
        <v>0</v>
      </c>
    </row>
    <row r="16" ht="37.5" customHeight="1" s="213">
      <c r="F16" s="23" t="inlineStr">
        <is>
          <t>China</t>
        </is>
      </c>
      <c r="G16" s="26" t="n">
        <v>84000</v>
      </c>
      <c r="H16" s="27" t="n">
        <v>44436</v>
      </c>
      <c r="M16" s="23" t="inlineStr">
        <is>
          <t>Baltics</t>
        </is>
      </c>
      <c r="N16" s="23" t="inlineStr">
        <is>
          <t>Estonia, Latvia, Lithuania</t>
        </is>
      </c>
      <c r="O16" s="23" t="n">
        <v>0</v>
      </c>
      <c r="P16" s="25" t="n">
        <v>0</v>
      </c>
    </row>
    <row r="17" ht="62.5" customHeight="1" s="213">
      <c r="F17" s="23" t="inlineStr">
        <is>
          <t>Germany</t>
        </is>
      </c>
      <c r="G17" s="24" t="n">
        <v>960</v>
      </c>
      <c r="H17" s="22" t="n">
        <v>508</v>
      </c>
      <c r="M17" s="23" t="inlineStr">
        <is>
          <t>BeNeLux</t>
        </is>
      </c>
      <c r="N17" s="23" t="inlineStr">
        <is>
          <t>Belgium, Netherlands, Luxembourg</t>
        </is>
      </c>
      <c r="O17" s="23" t="n">
        <v>0</v>
      </c>
      <c r="P17" s="25" t="n">
        <v>0</v>
      </c>
    </row>
    <row r="18" ht="13" customHeight="1" s="213">
      <c r="F18" s="23" t="inlineStr">
        <is>
          <t>Greece</t>
        </is>
      </c>
      <c r="G18" s="24" t="n">
        <v>860</v>
      </c>
      <c r="H18" s="22" t="n">
        <v>455</v>
      </c>
      <c r="M18" s="23" t="inlineStr">
        <is>
          <t>Brazil</t>
        </is>
      </c>
      <c r="N18" s="23" t="inlineStr">
        <is>
          <t>Brazil</t>
        </is>
      </c>
      <c r="O18" s="28" t="n">
        <v>11000</v>
      </c>
      <c r="P18" s="29" t="n">
        <v>5819</v>
      </c>
    </row>
    <row r="19" ht="13" customHeight="1" s="213">
      <c r="F19" s="23" t="inlineStr">
        <is>
          <t>Guinea</t>
        </is>
      </c>
      <c r="G19" s="24" t="n">
        <v>300</v>
      </c>
      <c r="H19" s="22" t="n">
        <v>159</v>
      </c>
      <c r="M19" s="23" t="inlineStr">
        <is>
          <t>China</t>
        </is>
      </c>
      <c r="N19" s="23" t="inlineStr">
        <is>
          <t>China</t>
        </is>
      </c>
      <c r="O19" s="28" t="n">
        <v>84000</v>
      </c>
      <c r="P19" s="29" t="n">
        <v>44436</v>
      </c>
    </row>
    <row r="20" ht="25" customHeight="1" s="213">
      <c r="F20" s="23" t="inlineStr">
        <is>
          <t>India</t>
        </is>
      </c>
      <c r="G20" s="26" t="n">
        <v>7600</v>
      </c>
      <c r="H20" s="27" t="n">
        <v>4020</v>
      </c>
      <c r="M20" s="23" t="inlineStr">
        <is>
          <t>CroSloven</t>
        </is>
      </c>
      <c r="N20" s="23" t="inlineStr">
        <is>
          <t>Croatia, Slovenia</t>
        </is>
      </c>
      <c r="O20" s="23" t="n">
        <v>0</v>
      </c>
      <c r="P20" s="25" t="n">
        <v>0</v>
      </c>
    </row>
    <row r="21" ht="25" customHeight="1" s="213">
      <c r="F21" s="23" t="inlineStr">
        <is>
          <t>Indonesia</t>
        </is>
      </c>
      <c r="G21" s="26" t="n">
        <v>1300</v>
      </c>
      <c r="H21" s="22" t="n">
        <v>688</v>
      </c>
      <c r="M21" s="23" t="inlineStr">
        <is>
          <t>CzechSlovak</t>
        </is>
      </c>
      <c r="N21" s="23" t="inlineStr">
        <is>
          <t>Czechia, Slovakia</t>
        </is>
      </c>
      <c r="O21" s="23" t="n">
        <v>0</v>
      </c>
      <c r="P21" s="25" t="n">
        <v>0</v>
      </c>
    </row>
    <row r="22" ht="13" customHeight="1" s="213">
      <c r="F22" s="23" t="inlineStr">
        <is>
          <t>Ireland</t>
        </is>
      </c>
      <c r="G22" s="26" t="n">
        <v>1600</v>
      </c>
      <c r="H22" s="22" t="n">
        <v>846</v>
      </c>
      <c r="M22" s="23" t="inlineStr">
        <is>
          <t>France</t>
        </is>
      </c>
      <c r="N22" s="23" t="inlineStr">
        <is>
          <t>France</t>
        </is>
      </c>
      <c r="O22" s="23" t="n">
        <v>0</v>
      </c>
      <c r="P22" s="25" t="n">
        <v>0</v>
      </c>
    </row>
    <row r="23" ht="13" customHeight="1" s="213">
      <c r="F23" s="23" t="inlineStr">
        <is>
          <t>Jamaica</t>
        </is>
      </c>
      <c r="G23" s="26" t="n">
        <v>1500</v>
      </c>
      <c r="H23" s="22" t="n">
        <v>794</v>
      </c>
      <c r="M23" s="23" t="inlineStr">
        <is>
          <t>Germany</t>
        </is>
      </c>
      <c r="N23" s="23" t="inlineStr">
        <is>
          <t>Germany</t>
        </is>
      </c>
      <c r="O23" s="23" t="n">
        <v>960</v>
      </c>
      <c r="P23" s="25" t="n">
        <v>508</v>
      </c>
    </row>
    <row r="24" ht="25" customHeight="1" s="213">
      <c r="F24" s="23" t="inlineStr">
        <is>
          <t>Kazakhstan</t>
        </is>
      </c>
      <c r="G24" s="26" t="n">
        <v>1400</v>
      </c>
      <c r="H24" s="22" t="n">
        <v>741</v>
      </c>
      <c r="M24" s="23" t="inlineStr">
        <is>
          <t>GreeceCyp</t>
        </is>
      </c>
      <c r="N24" s="23" t="inlineStr">
        <is>
          <t>Greece + Cyprus</t>
        </is>
      </c>
      <c r="O24" s="23" t="n">
        <v>860</v>
      </c>
      <c r="P24" s="25" t="n">
        <v>455</v>
      </c>
    </row>
    <row r="25" ht="37.5" customHeight="1" s="213">
      <c r="F25" s="23" t="inlineStr">
        <is>
          <t>Russia</t>
        </is>
      </c>
      <c r="G25" s="26" t="n">
        <v>2900</v>
      </c>
      <c r="H25" s="27" t="n">
        <v>1534</v>
      </c>
      <c r="M25" s="23" t="inlineStr">
        <is>
          <t>HunRomBul</t>
        </is>
      </c>
      <c r="N25" s="23" t="inlineStr">
        <is>
          <t>Hungary, Romania, Bulgaria</t>
        </is>
      </c>
      <c r="O25" s="23" t="n">
        <v>0</v>
      </c>
      <c r="P25" s="25" t="n">
        <v>0</v>
      </c>
    </row>
    <row r="26" ht="25" customHeight="1" s="213">
      <c r="F26" s="23" t="inlineStr">
        <is>
          <t>Saudi Arabia</t>
        </is>
      </c>
      <c r="G26" s="26" t="n">
        <v>1800</v>
      </c>
      <c r="H26" s="22" t="n">
        <v>952</v>
      </c>
      <c r="M26" s="23" t="inlineStr">
        <is>
          <t>Iceland</t>
        </is>
      </c>
      <c r="N26" s="23" t="inlineStr">
        <is>
          <t>Iceland</t>
        </is>
      </c>
      <c r="O26" s="23" t="n">
        <v>0</v>
      </c>
      <c r="P26" s="25" t="n">
        <v>0</v>
      </c>
    </row>
    <row r="27" ht="13" customHeight="1" s="213">
      <c r="F27" s="23" t="inlineStr">
        <is>
          <t>Spain</t>
        </is>
      </c>
      <c r="G27" s="24" t="n">
        <v>820</v>
      </c>
      <c r="H27" s="22" t="n">
        <v>434</v>
      </c>
      <c r="M27" s="23" t="inlineStr">
        <is>
          <t>India</t>
        </is>
      </c>
      <c r="N27" s="23" t="inlineStr">
        <is>
          <t>India</t>
        </is>
      </c>
      <c r="O27" s="28" t="n">
        <v>7600</v>
      </c>
      <c r="P27" s="29" t="n">
        <v>4020</v>
      </c>
    </row>
    <row r="28" ht="13" customHeight="1" s="213">
      <c r="F28" s="23" t="inlineStr">
        <is>
          <t>Turkey</t>
        </is>
      </c>
      <c r="G28" s="24" t="n">
        <v>320</v>
      </c>
      <c r="H28" s="22" t="n">
        <v>169</v>
      </c>
      <c r="M28" s="23" t="inlineStr">
        <is>
          <t>Ireland</t>
        </is>
      </c>
      <c r="N28" s="23" t="inlineStr">
        <is>
          <t>Ireland</t>
        </is>
      </c>
      <c r="O28" s="28" t="n">
        <v>1600</v>
      </c>
      <c r="P28" s="25" t="n">
        <v>846</v>
      </c>
    </row>
    <row r="29" ht="37.5" customHeight="1" s="213">
      <c r="F29" s="23" t="inlineStr">
        <is>
          <t>United Arab Emirates</t>
        </is>
      </c>
      <c r="G29" s="26" t="n">
        <v>2400</v>
      </c>
      <c r="H29" s="27" t="n">
        <v>1270</v>
      </c>
      <c r="M29" s="23" t="inlineStr">
        <is>
          <t>ItalyMal</t>
        </is>
      </c>
      <c r="N29" s="23" t="inlineStr">
        <is>
          <t>Italy + Malta</t>
        </is>
      </c>
      <c r="O29" s="23" t="n">
        <v>0</v>
      </c>
      <c r="P29" s="25" t="n">
        <v>0</v>
      </c>
    </row>
    <row r="30" ht="13" customHeight="1" s="213">
      <c r="F30" s="23" t="inlineStr">
        <is>
          <t>Vietnam</t>
        </is>
      </c>
      <c r="G30" s="26" t="n">
        <v>1500</v>
      </c>
      <c r="H30" s="22" t="n">
        <v>794</v>
      </c>
      <c r="M30" s="23" t="inlineStr">
        <is>
          <t>Japan</t>
        </is>
      </c>
      <c r="N30" s="23" t="inlineStr">
        <is>
          <t>Japan</t>
        </is>
      </c>
      <c r="O30" s="23" t="n">
        <v>0</v>
      </c>
      <c r="P30" s="25" t="n">
        <v>0</v>
      </c>
    </row>
    <row r="31" ht="100" customHeight="1" s="213">
      <c r="F31" s="23" t="inlineStr">
        <is>
          <t>Other countries</t>
        </is>
      </c>
      <c r="G31" s="26" t="n">
        <v>1500</v>
      </c>
      <c r="H31" s="22" t="n">
        <v>794</v>
      </c>
      <c r="M31" s="23" t="inlineStr">
        <is>
          <t>LatAm</t>
        </is>
      </c>
      <c r="N31" s="23" t="inlineStr">
        <is>
          <t>Latin America except Brazil (no reported alumina in USGS table)</t>
        </is>
      </c>
      <c r="O31" s="23" t="n">
        <v>0</v>
      </c>
      <c r="P31" s="25" t="n">
        <v>0</v>
      </c>
    </row>
    <row r="32" ht="13" customHeight="1" s="213">
      <c r="F32" s="25" t="inlineStr">
        <is>
          <t>World</t>
        </is>
      </c>
      <c r="G32" s="27" t="n">
        <v>142000</v>
      </c>
      <c r="H32" s="27" t="n">
        <v>75118</v>
      </c>
      <c r="M32" s="23" t="inlineStr">
        <is>
          <t>MidEast</t>
        </is>
      </c>
      <c r="N32" s="23" t="inlineStr">
        <is>
          <t>UAE</t>
        </is>
      </c>
      <c r="O32" s="28" t="n">
        <v>2400</v>
      </c>
      <c r="P32" s="29" t="n">
        <v>1270</v>
      </c>
    </row>
    <row r="33" ht="25" customHeight="1" s="213">
      <c r="M33" s="23" t="inlineStr">
        <is>
          <t>NorthAm</t>
        </is>
      </c>
      <c r="N33" s="23" t="inlineStr">
        <is>
          <t>USA + Canada</t>
        </is>
      </c>
      <c r="O33" s="28" t="n">
        <v>2220</v>
      </c>
      <c r="P33" s="29" t="n">
        <v>1175</v>
      </c>
    </row>
    <row r="34" ht="13" customHeight="1" s="213">
      <c r="M34" s="23" t="inlineStr">
        <is>
          <t>Norway</t>
        </is>
      </c>
      <c r="N34" s="23" t="inlineStr">
        <is>
          <t>Norway</t>
        </is>
      </c>
      <c r="O34" s="23" t="n">
        <v>0</v>
      </c>
      <c r="P34" s="25" t="n">
        <v>0</v>
      </c>
    </row>
    <row r="35" ht="13" customHeight="1" s="213">
      <c r="M35" s="23" t="inlineStr">
        <is>
          <t>Poland</t>
        </is>
      </c>
      <c r="N35" s="23" t="inlineStr">
        <is>
          <t>Poland</t>
        </is>
      </c>
      <c r="O35" s="23" t="n">
        <v>0</v>
      </c>
      <c r="P35" s="25" t="n">
        <v>0</v>
      </c>
    </row>
    <row r="36" ht="112.5" customHeight="1" s="213">
      <c r="M36" s="23" t="inlineStr">
        <is>
          <t>ROW</t>
        </is>
      </c>
      <c r="N36" s="23" t="inlineStr">
        <is>
          <t>Remaining Asia &amp; Oceania (Indonesia + Vietnam + Kazakhstan + others)</t>
        </is>
      </c>
      <c r="O36" s="28" t="n">
        <v>5700</v>
      </c>
      <c r="P36" s="29" t="n">
        <v>3015</v>
      </c>
    </row>
    <row r="37" ht="13" customHeight="1" s="213">
      <c r="M37" s="23" t="inlineStr">
        <is>
          <t>Russia</t>
        </is>
      </c>
      <c r="N37" s="23" t="inlineStr">
        <is>
          <t>Russia</t>
        </is>
      </c>
      <c r="O37" s="28" t="n">
        <v>2900</v>
      </c>
      <c r="P37" s="29" t="n">
        <v>1534</v>
      </c>
    </row>
    <row r="38" ht="25" customHeight="1" s="213">
      <c r="M38" s="23" t="inlineStr">
        <is>
          <t>SaudiArabia</t>
        </is>
      </c>
      <c r="N38" s="23" t="inlineStr">
        <is>
          <t>Saudi Arabia</t>
        </is>
      </c>
      <c r="O38" s="28" t="n">
        <v>1800</v>
      </c>
      <c r="P38" s="25" t="n">
        <v>952</v>
      </c>
    </row>
    <row r="39" ht="25" customHeight="1" s="213">
      <c r="M39" s="23" t="inlineStr">
        <is>
          <t>SouthAfrica</t>
        </is>
      </c>
      <c r="N39" s="23" t="inlineStr">
        <is>
          <t>South Africa</t>
        </is>
      </c>
      <c r="O39" s="23" t="n">
        <v>0</v>
      </c>
      <c r="P39" s="25" t="n">
        <v>0</v>
      </c>
    </row>
    <row r="40" ht="25" customHeight="1" s="213">
      <c r="M40" s="23" t="inlineStr">
        <is>
          <t>SpainPor</t>
        </is>
      </c>
      <c r="N40" s="23" t="inlineStr">
        <is>
          <t>Spain + Portugal</t>
        </is>
      </c>
      <c r="O40" s="23" t="n">
        <v>820</v>
      </c>
      <c r="P40" s="25" t="n">
        <v>434</v>
      </c>
    </row>
    <row r="41" ht="37.5" customHeight="1" s="213">
      <c r="M41" s="23" t="inlineStr">
        <is>
          <t>SweFinDen</t>
        </is>
      </c>
      <c r="N41" s="23" t="inlineStr">
        <is>
          <t>Sweden + Finland + Denmark</t>
        </is>
      </c>
      <c r="O41" s="23" t="n">
        <v>0</v>
      </c>
      <c r="P41" s="25" t="n">
        <v>0</v>
      </c>
    </row>
    <row r="42" ht="25" customHeight="1" s="213">
      <c r="M42" s="23" t="inlineStr">
        <is>
          <t>Switzerland</t>
        </is>
      </c>
      <c r="N42" s="23" t="inlineStr">
        <is>
          <t>Switzerland</t>
        </is>
      </c>
      <c r="O42" s="23" t="n">
        <v>0</v>
      </c>
      <c r="P42" s="25" t="n">
        <v>0</v>
      </c>
    </row>
    <row r="43" ht="13" customHeight="1" s="213">
      <c r="M43" s="23" t="inlineStr">
        <is>
          <t>Turkey</t>
        </is>
      </c>
      <c r="N43" s="23" t="inlineStr">
        <is>
          <t>Turkey</t>
        </is>
      </c>
      <c r="O43" s="23" t="n">
        <v>320</v>
      </c>
      <c r="P43" s="25" t="n">
        <v>169</v>
      </c>
    </row>
    <row r="44" ht="25" customHeight="1" s="213">
      <c r="M44" s="23" t="inlineStr">
        <is>
          <t>UK</t>
        </is>
      </c>
      <c r="N44" s="23" t="inlineStr">
        <is>
          <t>United Kingdom</t>
        </is>
      </c>
      <c r="O44" s="23" t="n">
        <v>0</v>
      </c>
      <c r="P44" s="25" t="n">
        <v>0</v>
      </c>
    </row>
    <row r="45" ht="13" customHeight="1" s="213">
      <c r="M45" s="23" t="inlineStr">
        <is>
          <t>Ukraine</t>
        </is>
      </c>
      <c r="N45" s="23" t="inlineStr">
        <is>
          <t>Ukraine</t>
        </is>
      </c>
      <c r="O45" s="23" t="n">
        <v>0</v>
      </c>
      <c r="P45" s="25" t="n">
        <v>0</v>
      </c>
    </row>
    <row r="46" ht="13" customHeight="1" s="213">
      <c r="M46" s="25" t="inlineStr">
        <is>
          <t>World</t>
        </is>
      </c>
      <c r="N46" s="23" t="inlineStr">
        <is>
          <t>World</t>
        </is>
      </c>
      <c r="O46" s="29" t="n">
        <v>142000</v>
      </c>
      <c r="P46" s="29" t="n">
        <v>75118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E8:BF73"/>
  <sheetViews>
    <sheetView topLeftCell="N1" zoomScale="65" zoomScaleNormal="65" workbookViewId="0">
      <selection pane="topLeft" activeCell="Y1" sqref="Y1"/>
    </sheetView>
  </sheetViews>
  <sheetFormatPr baseColWidth="8" defaultColWidth="8.72428571428571" defaultRowHeight="12.5"/>
  <cols>
    <col width="15.5714285714286" customWidth="1" style="213" min="6" max="6"/>
    <col width="25.8571428571429" customWidth="1" style="213" min="7" max="7"/>
    <col width="30.4285714285714" customWidth="1" style="213" min="23" max="23"/>
  </cols>
  <sheetData>
    <row r="8" ht="14.5" customHeight="1" s="213">
      <c r="E8" s="18" t="n"/>
      <c r="F8" s="208" t="n"/>
      <c r="H8" s="208" t="n"/>
      <c r="I8" s="208" t="n"/>
      <c r="J8" s="208" t="n"/>
      <c r="K8" s="208" t="n"/>
      <c r="L8" s="208" t="n"/>
      <c r="W8" s="79" t="inlineStr">
        <is>
          <t>~TFM_UPD: attribute= INVCOST</t>
        </is>
      </c>
    </row>
    <row r="9" ht="14.5" customHeight="1" s="213">
      <c r="E9" s="208" t="n"/>
      <c r="F9" s="208" t="n"/>
      <c r="M9" s="208" t="n"/>
      <c r="N9" s="208" t="n"/>
      <c r="O9" s="208" t="n"/>
      <c r="P9" s="208" t="n"/>
      <c r="W9" s="208" t="inlineStr">
        <is>
          <t>Process</t>
        </is>
      </c>
      <c r="X9" t="inlineStr">
        <is>
          <t>Africa_North</t>
        </is>
      </c>
      <c r="Y9" t="inlineStr">
        <is>
          <t>Africa_Other</t>
        </is>
      </c>
      <c r="Z9" t="inlineStr">
        <is>
          <t>Australia</t>
        </is>
      </c>
      <c r="AA9" t="inlineStr">
        <is>
          <t>Austria</t>
        </is>
      </c>
      <c r="AB9" t="inlineStr">
        <is>
          <t>Baltics</t>
        </is>
      </c>
      <c r="AC9" t="inlineStr">
        <is>
          <t>BeNeLux</t>
        </is>
      </c>
      <c r="AD9" t="inlineStr">
        <is>
          <t>Brazil</t>
        </is>
      </c>
      <c r="AE9" t="inlineStr">
        <is>
          <t>China</t>
        </is>
      </c>
      <c r="AF9" t="inlineStr">
        <is>
          <t>CroSloven</t>
        </is>
      </c>
      <c r="AG9" t="inlineStr">
        <is>
          <t>CzechSlovak</t>
        </is>
      </c>
      <c r="AH9" t="inlineStr">
        <is>
          <t>France</t>
        </is>
      </c>
      <c r="AI9" t="inlineStr">
        <is>
          <t>Germany</t>
        </is>
      </c>
      <c r="AJ9" t="inlineStr">
        <is>
          <t>GreeceCyp</t>
        </is>
      </c>
      <c r="AK9" t="inlineStr">
        <is>
          <t>HunRomBul</t>
        </is>
      </c>
      <c r="AL9" t="inlineStr">
        <is>
          <t>Iceland</t>
        </is>
      </c>
      <c r="AM9" t="inlineStr">
        <is>
          <t>India</t>
        </is>
      </c>
      <c r="AN9" t="inlineStr">
        <is>
          <t>Ireland</t>
        </is>
      </c>
      <c r="AO9" t="inlineStr">
        <is>
          <t>ItalyMal</t>
        </is>
      </c>
      <c r="AP9" t="inlineStr">
        <is>
          <t>Japan</t>
        </is>
      </c>
      <c r="AQ9" t="inlineStr">
        <is>
          <t>LatAm</t>
        </is>
      </c>
      <c r="AR9" t="inlineStr">
        <is>
          <t>MidEast</t>
        </is>
      </c>
      <c r="AS9" t="inlineStr">
        <is>
          <t>NorthAm</t>
        </is>
      </c>
      <c r="AT9" t="inlineStr">
        <is>
          <t>Norway</t>
        </is>
      </c>
      <c r="AU9" t="inlineStr">
        <is>
          <t>Poland</t>
        </is>
      </c>
      <c r="AV9" t="inlineStr">
        <is>
          <t>ROW</t>
        </is>
      </c>
      <c r="AW9" t="inlineStr">
        <is>
          <t>Russia</t>
        </is>
      </c>
      <c r="AX9" t="inlineStr">
        <is>
          <t>SaudiArabia</t>
        </is>
      </c>
      <c r="AY9" t="inlineStr">
        <is>
          <t>SouthAfrica</t>
        </is>
      </c>
      <c r="AZ9" t="inlineStr">
        <is>
          <t>SpainPor</t>
        </is>
      </c>
      <c r="BA9" t="inlineStr">
        <is>
          <t>SweFinDen</t>
        </is>
      </c>
      <c r="BB9" t="inlineStr">
        <is>
          <t>Switzerland</t>
        </is>
      </c>
      <c r="BC9" t="inlineStr">
        <is>
          <t>Turkey</t>
        </is>
      </c>
      <c r="BD9" t="inlineStr">
        <is>
          <t>UK</t>
        </is>
      </c>
      <c r="BE9" t="inlineStr">
        <is>
          <t>Ukraine</t>
        </is>
      </c>
      <c r="BF9" t="inlineStr">
        <is>
          <t>WestBalkans</t>
        </is>
      </c>
    </row>
    <row r="10" ht="14.5" customHeight="1" s="213">
      <c r="E10" s="20" t="n"/>
      <c r="F10" s="208" t="n"/>
      <c r="M10" s="13" t="n"/>
      <c r="N10" s="13" t="n"/>
      <c r="O10" s="13" t="n"/>
      <c r="P10" s="13" t="n"/>
      <c r="W10" s="208" t="inlineStr">
        <is>
          <t>Trd_car_elc_120</t>
        </is>
      </c>
      <c r="X10" t="inlineStr">
        <is>
          <t>*0.95</t>
        </is>
      </c>
      <c r="Y10" t="inlineStr">
        <is>
          <t>*0.95</t>
        </is>
      </c>
      <c r="Z10" t="inlineStr">
        <is>
          <t>*1.05</t>
        </is>
      </c>
      <c r="AA10" t="inlineStr">
        <is>
          <t>*1.05</t>
        </is>
      </c>
      <c r="AB10" t="inlineStr">
        <is>
          <t>*0.95</t>
        </is>
      </c>
      <c r="AC10" t="inlineStr">
        <is>
          <t>*1.00</t>
        </is>
      </c>
      <c r="AD10" t="inlineStr">
        <is>
          <t>*0.95</t>
        </is>
      </c>
      <c r="AE10" t="inlineStr">
        <is>
          <t>*0.95</t>
        </is>
      </c>
      <c r="AF10" t="inlineStr">
        <is>
          <t>*0.95</t>
        </is>
      </c>
      <c r="AG10" t="inlineStr">
        <is>
          <t>*0.95</t>
        </is>
      </c>
      <c r="AH10" t="inlineStr">
        <is>
          <t>*1.00</t>
        </is>
      </c>
      <c r="AI10" t="inlineStr">
        <is>
          <t>*1.05</t>
        </is>
      </c>
      <c r="AJ10" t="inlineStr">
        <is>
          <t>*0.95</t>
        </is>
      </c>
      <c r="AK10" t="inlineStr">
        <is>
          <t>*0.95</t>
        </is>
      </c>
      <c r="AL10" t="inlineStr">
        <is>
          <t>*1.05</t>
        </is>
      </c>
      <c r="AM10" t="inlineStr">
        <is>
          <t>*0.95</t>
        </is>
      </c>
      <c r="AN10" t="inlineStr">
        <is>
          <t>*1.00</t>
        </is>
      </c>
      <c r="AO10" t="inlineStr">
        <is>
          <t>*1.00</t>
        </is>
      </c>
      <c r="AP10" t="inlineStr">
        <is>
          <t>*1.00</t>
        </is>
      </c>
      <c r="AQ10" t="inlineStr">
        <is>
          <t>*0.95</t>
        </is>
      </c>
      <c r="AR10" t="inlineStr">
        <is>
          <t>*0.95</t>
        </is>
      </c>
      <c r="AS10" t="inlineStr">
        <is>
          <t>*1.00</t>
        </is>
      </c>
      <c r="AT10" t="inlineStr">
        <is>
          <t>*1.05</t>
        </is>
      </c>
      <c r="AU10" t="inlineStr">
        <is>
          <t>*0.95</t>
        </is>
      </c>
      <c r="AV10" t="inlineStr">
        <is>
          <t>*0.95</t>
        </is>
      </c>
      <c r="AW10" t="inlineStr">
        <is>
          <t>*0.95</t>
        </is>
      </c>
      <c r="AX10" t="inlineStr">
        <is>
          <t>*0.95</t>
        </is>
      </c>
      <c r="AY10" t="inlineStr">
        <is>
          <t>*0.95</t>
        </is>
      </c>
      <c r="AZ10" t="inlineStr">
        <is>
          <t>*1.00</t>
        </is>
      </c>
      <c r="BA10" t="inlineStr">
        <is>
          <t>*1.00</t>
        </is>
      </c>
      <c r="BB10" t="inlineStr">
        <is>
          <t>*1.05</t>
        </is>
      </c>
      <c r="BC10" t="inlineStr">
        <is>
          <t>*0.95</t>
        </is>
      </c>
      <c r="BD10" t="inlineStr">
        <is>
          <t>*1.00</t>
        </is>
      </c>
      <c r="BE10" t="inlineStr">
        <is>
          <t>*0.95</t>
        </is>
      </c>
      <c r="BF10" t="inlineStr">
        <is>
          <t>*0.95</t>
        </is>
      </c>
    </row>
    <row r="11" ht="14.5" customHeight="1" s="213">
      <c r="E11" s="20" t="n"/>
      <c r="F11" s="208" t="n"/>
      <c r="G11" s="208" t="n"/>
      <c r="M11" s="13" t="n"/>
      <c r="N11" s="13" t="n"/>
      <c r="O11" s="13" t="n"/>
      <c r="P11" s="13" t="n"/>
      <c r="W11" t="inlineStr">
        <is>
          <t>Trd_car_elc_160</t>
        </is>
      </c>
      <c r="X11">
        <f>X10</f>
        <v/>
      </c>
      <c r="Y11">
        <f>Y10</f>
        <v/>
      </c>
      <c r="Z11">
        <f>Z10</f>
        <v/>
      </c>
      <c r="AA11">
        <f>AA10</f>
        <v/>
      </c>
      <c r="AB11">
        <f>AB10</f>
        <v/>
      </c>
      <c r="AC11">
        <f>AC10</f>
        <v/>
      </c>
      <c r="AD11">
        <f>AD10</f>
        <v/>
      </c>
      <c r="AE11">
        <f>AE10</f>
        <v/>
      </c>
      <c r="AF11">
        <f>AF10</f>
        <v/>
      </c>
      <c r="AG11">
        <f>AG10</f>
        <v/>
      </c>
      <c r="AH11">
        <f>AH10</f>
        <v/>
      </c>
      <c r="AI11">
        <f>AI10</f>
        <v/>
      </c>
      <c r="AJ11">
        <f>AJ10</f>
        <v/>
      </c>
      <c r="AK11">
        <f>AK10</f>
        <v/>
      </c>
      <c r="AL11">
        <f>AL10</f>
        <v/>
      </c>
      <c r="AM11">
        <f>AM10</f>
        <v/>
      </c>
      <c r="AN11">
        <f>AN10</f>
        <v/>
      </c>
      <c r="AO11">
        <f>AO10</f>
        <v/>
      </c>
      <c r="AP11">
        <f>AP10</f>
        <v/>
      </c>
      <c r="AQ11">
        <f>AQ10</f>
        <v/>
      </c>
      <c r="AR11">
        <f>AR10</f>
        <v/>
      </c>
      <c r="AS11">
        <f>AS10</f>
        <v/>
      </c>
      <c r="AT11">
        <f>AT10</f>
        <v/>
      </c>
      <c r="AU11">
        <f>AU10</f>
        <v/>
      </c>
      <c r="AV11">
        <f>AV10</f>
        <v/>
      </c>
      <c r="AW11">
        <f>AW10</f>
        <v/>
      </c>
      <c r="AX11">
        <f>AX10</f>
        <v/>
      </c>
      <c r="AY11">
        <f>AY10</f>
        <v/>
      </c>
      <c r="AZ11">
        <f>AZ10</f>
        <v/>
      </c>
      <c r="BA11">
        <f>BA10</f>
        <v/>
      </c>
      <c r="BB11">
        <f>BB10</f>
        <v/>
      </c>
      <c r="BC11">
        <f>BC10</f>
        <v/>
      </c>
      <c r="BD11">
        <f>BD10</f>
        <v/>
      </c>
      <c r="BE11">
        <f>BE10</f>
        <v/>
      </c>
      <c r="BF11">
        <f>BF10</f>
        <v/>
      </c>
    </row>
    <row r="12" ht="14.5" customHeight="1" s="213">
      <c r="E12" s="20" t="n"/>
      <c r="F12" s="208" t="n"/>
      <c r="G12" s="208" t="n"/>
      <c r="M12" s="13" t="n"/>
      <c r="N12" s="13" t="n"/>
      <c r="O12" s="13" t="n"/>
      <c r="P12" s="13" t="n"/>
      <c r="W12" t="inlineStr">
        <is>
          <t>Trd_car_elc_200</t>
        </is>
      </c>
      <c r="X12">
        <f>X11</f>
        <v/>
      </c>
      <c r="Y12">
        <f>Y11</f>
        <v/>
      </c>
      <c r="Z12">
        <f>Z11</f>
        <v/>
      </c>
      <c r="AA12">
        <f>AA11</f>
        <v/>
      </c>
      <c r="AB12">
        <f>AB11</f>
        <v/>
      </c>
      <c r="AC12">
        <f>AC11</f>
        <v/>
      </c>
      <c r="AD12">
        <f>AD11</f>
        <v/>
      </c>
      <c r="AE12">
        <f>AE11</f>
        <v/>
      </c>
      <c r="AF12">
        <f>AF11</f>
        <v/>
      </c>
      <c r="AG12">
        <f>AG11</f>
        <v/>
      </c>
      <c r="AH12">
        <f>AH11</f>
        <v/>
      </c>
      <c r="AI12">
        <f>AI11</f>
        <v/>
      </c>
      <c r="AJ12">
        <f>AJ11</f>
        <v/>
      </c>
      <c r="AK12">
        <f>AK11</f>
        <v/>
      </c>
      <c r="AL12">
        <f>AL11</f>
        <v/>
      </c>
      <c r="AM12">
        <f>AM11</f>
        <v/>
      </c>
      <c r="AN12">
        <f>AN11</f>
        <v/>
      </c>
      <c r="AO12">
        <f>AO11</f>
        <v/>
      </c>
      <c r="AP12">
        <f>AP11</f>
        <v/>
      </c>
      <c r="AQ12">
        <f>AQ11</f>
        <v/>
      </c>
      <c r="AR12">
        <f>AR11</f>
        <v/>
      </c>
      <c r="AS12">
        <f>AS11</f>
        <v/>
      </c>
      <c r="AT12">
        <f>AT11</f>
        <v/>
      </c>
      <c r="AU12">
        <f>AU11</f>
        <v/>
      </c>
      <c r="AV12">
        <f>AV11</f>
        <v/>
      </c>
      <c r="AW12">
        <f>AW11</f>
        <v/>
      </c>
      <c r="AX12">
        <f>AX11</f>
        <v/>
      </c>
      <c r="AY12">
        <f>AY11</f>
        <v/>
      </c>
      <c r="AZ12">
        <f>AZ11</f>
        <v/>
      </c>
      <c r="BA12">
        <f>BA11</f>
        <v/>
      </c>
      <c r="BB12">
        <f>BB11</f>
        <v/>
      </c>
      <c r="BC12">
        <f>BC11</f>
        <v/>
      </c>
      <c r="BD12">
        <f>BD11</f>
        <v/>
      </c>
      <c r="BE12">
        <f>BE11</f>
        <v/>
      </c>
      <c r="BF12">
        <f>BF11</f>
        <v/>
      </c>
    </row>
    <row r="13" ht="14.5" customHeight="1" s="213">
      <c r="E13" s="20" t="n"/>
      <c r="F13" s="208" t="n"/>
      <c r="G13" s="208" t="n"/>
      <c r="M13" s="13" t="n"/>
      <c r="N13" s="13" t="n"/>
      <c r="O13" s="13" t="n"/>
      <c r="P13" s="13" t="n"/>
      <c r="W13" t="inlineStr">
        <is>
          <t>Trd_car_elc_250</t>
        </is>
      </c>
      <c r="X13">
        <f>X12</f>
        <v/>
      </c>
      <c r="Y13">
        <f>Y12</f>
        <v/>
      </c>
      <c r="Z13">
        <f>Z12</f>
        <v/>
      </c>
      <c r="AA13">
        <f>AA12</f>
        <v/>
      </c>
      <c r="AB13">
        <f>AB12</f>
        <v/>
      </c>
      <c r="AC13">
        <f>AC12</f>
        <v/>
      </c>
      <c r="AD13">
        <f>AD12</f>
        <v/>
      </c>
      <c r="AE13">
        <f>AE12</f>
        <v/>
      </c>
      <c r="AF13">
        <f>AF12</f>
        <v/>
      </c>
      <c r="AG13">
        <f>AG12</f>
        <v/>
      </c>
      <c r="AH13">
        <f>AH12</f>
        <v/>
      </c>
      <c r="AI13">
        <f>AI12</f>
        <v/>
      </c>
      <c r="AJ13">
        <f>AJ12</f>
        <v/>
      </c>
      <c r="AK13">
        <f>AK12</f>
        <v/>
      </c>
      <c r="AL13">
        <f>AL12</f>
        <v/>
      </c>
      <c r="AM13">
        <f>AM12</f>
        <v/>
      </c>
      <c r="AN13">
        <f>AN12</f>
        <v/>
      </c>
      <c r="AO13">
        <f>AO12</f>
        <v/>
      </c>
      <c r="AP13">
        <f>AP12</f>
        <v/>
      </c>
      <c r="AQ13">
        <f>AQ12</f>
        <v/>
      </c>
      <c r="AR13">
        <f>AR12</f>
        <v/>
      </c>
      <c r="AS13">
        <f>AS12</f>
        <v/>
      </c>
      <c r="AT13">
        <f>AT12</f>
        <v/>
      </c>
      <c r="AU13">
        <f>AU12</f>
        <v/>
      </c>
      <c r="AV13">
        <f>AV12</f>
        <v/>
      </c>
      <c r="AW13">
        <f>AW12</f>
        <v/>
      </c>
      <c r="AX13">
        <f>AX12</f>
        <v/>
      </c>
      <c r="AY13">
        <f>AY12</f>
        <v/>
      </c>
      <c r="AZ13">
        <f>AZ12</f>
        <v/>
      </c>
      <c r="BA13">
        <f>BA12</f>
        <v/>
      </c>
      <c r="BB13">
        <f>BB12</f>
        <v/>
      </c>
      <c r="BC13">
        <f>BC12</f>
        <v/>
      </c>
      <c r="BD13">
        <f>BD12</f>
        <v/>
      </c>
      <c r="BE13">
        <f>BE12</f>
        <v/>
      </c>
      <c r="BF13">
        <f>BF12</f>
        <v/>
      </c>
    </row>
    <row r="14" ht="14.5" customHeight="1" s="213">
      <c r="E14" s="20" t="n"/>
      <c r="F14" s="208" t="n"/>
      <c r="G14" s="208" t="n"/>
      <c r="M14" s="13" t="n"/>
      <c r="N14" s="13" t="n"/>
      <c r="O14" s="13" t="n"/>
      <c r="P14" s="13" t="n"/>
      <c r="W14" t="inlineStr">
        <is>
          <t>Trd_car_elc_300</t>
        </is>
      </c>
      <c r="X14">
        <f>X13</f>
        <v/>
      </c>
      <c r="Y14">
        <f>Y13</f>
        <v/>
      </c>
      <c r="Z14">
        <f>Z13</f>
        <v/>
      </c>
      <c r="AA14">
        <f>AA13</f>
        <v/>
      </c>
      <c r="AB14">
        <f>AB13</f>
        <v/>
      </c>
      <c r="AC14">
        <f>AC13</f>
        <v/>
      </c>
      <c r="AD14">
        <f>AD13</f>
        <v/>
      </c>
      <c r="AE14">
        <f>AE13</f>
        <v/>
      </c>
      <c r="AF14">
        <f>AF13</f>
        <v/>
      </c>
      <c r="AG14">
        <f>AG13</f>
        <v/>
      </c>
      <c r="AH14">
        <f>AH13</f>
        <v/>
      </c>
      <c r="AI14">
        <f>AI13</f>
        <v/>
      </c>
      <c r="AJ14">
        <f>AJ13</f>
        <v/>
      </c>
      <c r="AK14">
        <f>AK13</f>
        <v/>
      </c>
      <c r="AL14">
        <f>AL13</f>
        <v/>
      </c>
      <c r="AM14">
        <f>AM13</f>
        <v/>
      </c>
      <c r="AN14">
        <f>AN13</f>
        <v/>
      </c>
      <c r="AO14">
        <f>AO13</f>
        <v/>
      </c>
      <c r="AP14">
        <f>AP13</f>
        <v/>
      </c>
      <c r="AQ14">
        <f>AQ13</f>
        <v/>
      </c>
      <c r="AR14">
        <f>AR13</f>
        <v/>
      </c>
      <c r="AS14">
        <f>AS13</f>
        <v/>
      </c>
      <c r="AT14">
        <f>AT13</f>
        <v/>
      </c>
      <c r="AU14">
        <f>AU13</f>
        <v/>
      </c>
      <c r="AV14">
        <f>AV13</f>
        <v/>
      </c>
      <c r="AW14">
        <f>AW13</f>
        <v/>
      </c>
      <c r="AX14">
        <f>AX13</f>
        <v/>
      </c>
      <c r="AY14">
        <f>AY13</f>
        <v/>
      </c>
      <c r="AZ14">
        <f>AZ13</f>
        <v/>
      </c>
      <c r="BA14">
        <f>BA13</f>
        <v/>
      </c>
      <c r="BB14">
        <f>BB13</f>
        <v/>
      </c>
      <c r="BC14">
        <f>BC13</f>
        <v/>
      </c>
      <c r="BD14">
        <f>BD13</f>
        <v/>
      </c>
      <c r="BE14">
        <f>BE13</f>
        <v/>
      </c>
      <c r="BF14">
        <f>BF13</f>
        <v/>
      </c>
    </row>
    <row r="15" ht="14.5" customHeight="1" s="213">
      <c r="E15" s="20" t="n"/>
      <c r="F15" s="208" t="n"/>
      <c r="G15" s="208" t="n"/>
      <c r="M15" s="13" t="n"/>
      <c r="N15" s="13" t="n"/>
      <c r="O15" s="13" t="n"/>
      <c r="P15" s="13" t="n"/>
      <c r="W15" t="inlineStr">
        <is>
          <t>Trd_car_elc_350</t>
        </is>
      </c>
      <c r="X15">
        <f>X14</f>
        <v/>
      </c>
      <c r="Y15">
        <f>Y14</f>
        <v/>
      </c>
      <c r="Z15">
        <f>Z14</f>
        <v/>
      </c>
      <c r="AA15">
        <f>AA14</f>
        <v/>
      </c>
      <c r="AB15">
        <f>AB14</f>
        <v/>
      </c>
      <c r="AC15">
        <f>AC14</f>
        <v/>
      </c>
      <c r="AD15">
        <f>AD14</f>
        <v/>
      </c>
      <c r="AE15">
        <f>AE14</f>
        <v/>
      </c>
      <c r="AF15">
        <f>AF14</f>
        <v/>
      </c>
      <c r="AG15">
        <f>AG14</f>
        <v/>
      </c>
      <c r="AH15">
        <f>AH14</f>
        <v/>
      </c>
      <c r="AI15">
        <f>AI14</f>
        <v/>
      </c>
      <c r="AJ15">
        <f>AJ14</f>
        <v/>
      </c>
      <c r="AK15">
        <f>AK14</f>
        <v/>
      </c>
      <c r="AL15">
        <f>AL14</f>
        <v/>
      </c>
      <c r="AM15">
        <f>AM14</f>
        <v/>
      </c>
      <c r="AN15">
        <f>AN14</f>
        <v/>
      </c>
      <c r="AO15">
        <f>AO14</f>
        <v/>
      </c>
      <c r="AP15">
        <f>AP14</f>
        <v/>
      </c>
      <c r="AQ15">
        <f>AQ14</f>
        <v/>
      </c>
      <c r="AR15">
        <f>AR14</f>
        <v/>
      </c>
      <c r="AS15">
        <f>AS14</f>
        <v/>
      </c>
      <c r="AT15">
        <f>AT14</f>
        <v/>
      </c>
      <c r="AU15">
        <f>AU14</f>
        <v/>
      </c>
      <c r="AV15">
        <f>AV14</f>
        <v/>
      </c>
      <c r="AW15">
        <f>AW14</f>
        <v/>
      </c>
      <c r="AX15">
        <f>AX14</f>
        <v/>
      </c>
      <c r="AY15">
        <f>AY14</f>
        <v/>
      </c>
      <c r="AZ15">
        <f>AZ14</f>
        <v/>
      </c>
      <c r="BA15">
        <f>BA14</f>
        <v/>
      </c>
      <c r="BB15">
        <f>BB14</f>
        <v/>
      </c>
      <c r="BC15">
        <f>BC14</f>
        <v/>
      </c>
      <c r="BD15">
        <f>BD14</f>
        <v/>
      </c>
      <c r="BE15">
        <f>BE14</f>
        <v/>
      </c>
      <c r="BF15">
        <f>BF14</f>
        <v/>
      </c>
    </row>
    <row r="16" ht="14.5" customHeight="1" s="213">
      <c r="E16" s="20" t="n"/>
      <c r="F16" s="208" t="n"/>
      <c r="G16" s="208" t="n"/>
      <c r="M16" s="13" t="n"/>
      <c r="N16" s="13" t="n"/>
      <c r="O16" s="13" t="n"/>
      <c r="P16" s="13" t="n"/>
      <c r="W16" t="inlineStr">
        <is>
          <t>Trd_car_elc_400</t>
        </is>
      </c>
      <c r="X16">
        <f>X15</f>
        <v/>
      </c>
      <c r="Y16">
        <f>Y15</f>
        <v/>
      </c>
      <c r="Z16">
        <f>Z15</f>
        <v/>
      </c>
      <c r="AA16">
        <f>AA15</f>
        <v/>
      </c>
      <c r="AB16">
        <f>AB15</f>
        <v/>
      </c>
      <c r="AC16">
        <f>AC15</f>
        <v/>
      </c>
      <c r="AD16">
        <f>AD15</f>
        <v/>
      </c>
      <c r="AE16">
        <f>AE15</f>
        <v/>
      </c>
      <c r="AF16">
        <f>AF15</f>
        <v/>
      </c>
      <c r="AG16">
        <f>AG15</f>
        <v/>
      </c>
      <c r="AH16">
        <f>AH15</f>
        <v/>
      </c>
      <c r="AI16">
        <f>AI15</f>
        <v/>
      </c>
      <c r="AJ16">
        <f>AJ15</f>
        <v/>
      </c>
      <c r="AK16">
        <f>AK15</f>
        <v/>
      </c>
      <c r="AL16">
        <f>AL15</f>
        <v/>
      </c>
      <c r="AM16">
        <f>AM15</f>
        <v/>
      </c>
      <c r="AN16">
        <f>AN15</f>
        <v/>
      </c>
      <c r="AO16">
        <f>AO15</f>
        <v/>
      </c>
      <c r="AP16">
        <f>AP15</f>
        <v/>
      </c>
      <c r="AQ16">
        <f>AQ15</f>
        <v/>
      </c>
      <c r="AR16">
        <f>AR15</f>
        <v/>
      </c>
      <c r="AS16">
        <f>AS15</f>
        <v/>
      </c>
      <c r="AT16">
        <f>AT15</f>
        <v/>
      </c>
      <c r="AU16">
        <f>AU15</f>
        <v/>
      </c>
      <c r="AV16">
        <f>AV15</f>
        <v/>
      </c>
      <c r="AW16">
        <f>AW15</f>
        <v/>
      </c>
      <c r="AX16">
        <f>AX15</f>
        <v/>
      </c>
      <c r="AY16">
        <f>AY15</f>
        <v/>
      </c>
      <c r="AZ16">
        <f>AZ15</f>
        <v/>
      </c>
      <c r="BA16">
        <f>BA15</f>
        <v/>
      </c>
      <c r="BB16">
        <f>BB15</f>
        <v/>
      </c>
      <c r="BC16">
        <f>BC15</f>
        <v/>
      </c>
      <c r="BD16">
        <f>BD15</f>
        <v/>
      </c>
      <c r="BE16">
        <f>BE15</f>
        <v/>
      </c>
      <c r="BF16">
        <f>BF15</f>
        <v/>
      </c>
    </row>
    <row r="17" ht="14.5" customHeight="1" s="213">
      <c r="E17" s="20" t="n"/>
      <c r="F17" s="208" t="n"/>
      <c r="G17" s="208" t="n"/>
      <c r="M17" s="13" t="n"/>
      <c r="N17" s="13" t="n"/>
      <c r="O17" s="13" t="n"/>
      <c r="P17" s="13" t="n"/>
      <c r="W17" t="inlineStr">
        <is>
          <t>Trd_car_elc_500</t>
        </is>
      </c>
      <c r="X17">
        <f>X16</f>
        <v/>
      </c>
      <c r="Y17">
        <f>Y16</f>
        <v/>
      </c>
      <c r="Z17">
        <f>Z16</f>
        <v/>
      </c>
      <c r="AA17">
        <f>AA16</f>
        <v/>
      </c>
      <c r="AB17">
        <f>AB16</f>
        <v/>
      </c>
      <c r="AC17">
        <f>AC16</f>
        <v/>
      </c>
      <c r="AD17">
        <f>AD16</f>
        <v/>
      </c>
      <c r="AE17">
        <f>AE16</f>
        <v/>
      </c>
      <c r="AF17">
        <f>AF16</f>
        <v/>
      </c>
      <c r="AG17">
        <f>AG16</f>
        <v/>
      </c>
      <c r="AH17">
        <f>AH16</f>
        <v/>
      </c>
      <c r="AI17">
        <f>AI16</f>
        <v/>
      </c>
      <c r="AJ17">
        <f>AJ16</f>
        <v/>
      </c>
      <c r="AK17">
        <f>AK16</f>
        <v/>
      </c>
      <c r="AL17">
        <f>AL16</f>
        <v/>
      </c>
      <c r="AM17">
        <f>AM16</f>
        <v/>
      </c>
      <c r="AN17">
        <f>AN16</f>
        <v/>
      </c>
      <c r="AO17">
        <f>AO16</f>
        <v/>
      </c>
      <c r="AP17">
        <f>AP16</f>
        <v/>
      </c>
      <c r="AQ17">
        <f>AQ16</f>
        <v/>
      </c>
      <c r="AR17">
        <f>AR16</f>
        <v/>
      </c>
      <c r="AS17">
        <f>AS16</f>
        <v/>
      </c>
      <c r="AT17">
        <f>AT16</f>
        <v/>
      </c>
      <c r="AU17">
        <f>AU16</f>
        <v/>
      </c>
      <c r="AV17">
        <f>AV16</f>
        <v/>
      </c>
      <c r="AW17">
        <f>AW16</f>
        <v/>
      </c>
      <c r="AX17">
        <f>AX16</f>
        <v/>
      </c>
      <c r="AY17">
        <f>AY16</f>
        <v/>
      </c>
      <c r="AZ17">
        <f>AZ16</f>
        <v/>
      </c>
      <c r="BA17">
        <f>BA16</f>
        <v/>
      </c>
      <c r="BB17">
        <f>BB16</f>
        <v/>
      </c>
      <c r="BC17">
        <f>BC16</f>
        <v/>
      </c>
      <c r="BD17">
        <f>BD16</f>
        <v/>
      </c>
      <c r="BE17">
        <f>BE16</f>
        <v/>
      </c>
      <c r="BF17">
        <f>BF16</f>
        <v/>
      </c>
    </row>
    <row r="18" ht="12.5" customHeight="1" s="213">
      <c r="W18" t="inlineStr">
        <is>
          <t>Trd_lcv_elc_120</t>
        </is>
      </c>
      <c r="X18">
        <f>X17</f>
        <v/>
      </c>
      <c r="Y18">
        <f>Y17</f>
        <v/>
      </c>
      <c r="Z18">
        <f>Z17</f>
        <v/>
      </c>
      <c r="AA18">
        <f>AA17</f>
        <v/>
      </c>
      <c r="AB18">
        <f>AB17</f>
        <v/>
      </c>
      <c r="AC18">
        <f>AC17</f>
        <v/>
      </c>
      <c r="AD18">
        <f>AD17</f>
        <v/>
      </c>
      <c r="AE18">
        <f>AE17</f>
        <v/>
      </c>
      <c r="AF18">
        <f>AF17</f>
        <v/>
      </c>
      <c r="AG18">
        <f>AG17</f>
        <v/>
      </c>
      <c r="AH18">
        <f>AH17</f>
        <v/>
      </c>
      <c r="AI18">
        <f>AI17</f>
        <v/>
      </c>
      <c r="AJ18">
        <f>AJ17</f>
        <v/>
      </c>
      <c r="AK18">
        <f>AK17</f>
        <v/>
      </c>
      <c r="AL18">
        <f>AL17</f>
        <v/>
      </c>
      <c r="AM18">
        <f>AM17</f>
        <v/>
      </c>
      <c r="AN18">
        <f>AN17</f>
        <v/>
      </c>
      <c r="AO18">
        <f>AO17</f>
        <v/>
      </c>
      <c r="AP18">
        <f>AP17</f>
        <v/>
      </c>
      <c r="AQ18">
        <f>AQ17</f>
        <v/>
      </c>
      <c r="AR18">
        <f>AR17</f>
        <v/>
      </c>
      <c r="AS18">
        <f>AS17</f>
        <v/>
      </c>
      <c r="AT18">
        <f>AT17</f>
        <v/>
      </c>
      <c r="AU18">
        <f>AU17</f>
        <v/>
      </c>
      <c r="AV18">
        <f>AV17</f>
        <v/>
      </c>
      <c r="AW18">
        <f>AW17</f>
        <v/>
      </c>
      <c r="AX18">
        <f>AX17</f>
        <v/>
      </c>
      <c r="AY18">
        <f>AY17</f>
        <v/>
      </c>
      <c r="AZ18">
        <f>AZ17</f>
        <v/>
      </c>
      <c r="BA18">
        <f>BA17</f>
        <v/>
      </c>
      <c r="BB18">
        <f>BB17</f>
        <v/>
      </c>
      <c r="BC18">
        <f>BC17</f>
        <v/>
      </c>
      <c r="BD18">
        <f>BD17</f>
        <v/>
      </c>
      <c r="BE18">
        <f>BE17</f>
        <v/>
      </c>
      <c r="BF18">
        <f>BF17</f>
        <v/>
      </c>
    </row>
    <row r="19" ht="12.5" customHeight="1" s="213">
      <c r="W19" t="inlineStr">
        <is>
          <t>Trd_lcv_elc_160</t>
        </is>
      </c>
      <c r="X19">
        <f>X18</f>
        <v/>
      </c>
      <c r="Y19">
        <f>Y18</f>
        <v/>
      </c>
      <c r="Z19">
        <f>Z18</f>
        <v/>
      </c>
      <c r="AA19">
        <f>AA18</f>
        <v/>
      </c>
      <c r="AB19">
        <f>AB18</f>
        <v/>
      </c>
      <c r="AC19">
        <f>AC18</f>
        <v/>
      </c>
      <c r="AD19">
        <f>AD18</f>
        <v/>
      </c>
      <c r="AE19">
        <f>AE18</f>
        <v/>
      </c>
      <c r="AF19">
        <f>AF18</f>
        <v/>
      </c>
      <c r="AG19">
        <f>AG18</f>
        <v/>
      </c>
      <c r="AH19">
        <f>AH18</f>
        <v/>
      </c>
      <c r="AI19">
        <f>AI18</f>
        <v/>
      </c>
      <c r="AJ19">
        <f>AJ18</f>
        <v/>
      </c>
      <c r="AK19">
        <f>AK18</f>
        <v/>
      </c>
      <c r="AL19">
        <f>AL18</f>
        <v/>
      </c>
      <c r="AM19">
        <f>AM18</f>
        <v/>
      </c>
      <c r="AN19">
        <f>AN18</f>
        <v/>
      </c>
      <c r="AO19">
        <f>AO18</f>
        <v/>
      </c>
      <c r="AP19">
        <f>AP18</f>
        <v/>
      </c>
      <c r="AQ19">
        <f>AQ18</f>
        <v/>
      </c>
      <c r="AR19">
        <f>AR18</f>
        <v/>
      </c>
      <c r="AS19">
        <f>AS18</f>
        <v/>
      </c>
      <c r="AT19">
        <f>AT18</f>
        <v/>
      </c>
      <c r="AU19">
        <f>AU18</f>
        <v/>
      </c>
      <c r="AV19">
        <f>AV18</f>
        <v/>
      </c>
      <c r="AW19">
        <f>AW18</f>
        <v/>
      </c>
      <c r="AX19">
        <f>AX18</f>
        <v/>
      </c>
      <c r="AY19">
        <f>AY18</f>
        <v/>
      </c>
      <c r="AZ19">
        <f>AZ18</f>
        <v/>
      </c>
      <c r="BA19">
        <f>BA18</f>
        <v/>
      </c>
      <c r="BB19">
        <f>BB18</f>
        <v/>
      </c>
      <c r="BC19">
        <f>BC18</f>
        <v/>
      </c>
      <c r="BD19">
        <f>BD18</f>
        <v/>
      </c>
      <c r="BE19">
        <f>BE18</f>
        <v/>
      </c>
      <c r="BF19">
        <f>BF18</f>
        <v/>
      </c>
    </row>
    <row r="20" ht="12.5" customHeight="1" s="213">
      <c r="W20" t="inlineStr">
        <is>
          <t>Trd_lcv_elc_200</t>
        </is>
      </c>
      <c r="X20">
        <f>X19</f>
        <v/>
      </c>
      <c r="Y20">
        <f>Y19</f>
        <v/>
      </c>
      <c r="Z20">
        <f>Z19</f>
        <v/>
      </c>
      <c r="AA20">
        <f>AA19</f>
        <v/>
      </c>
      <c r="AB20">
        <f>AB19</f>
        <v/>
      </c>
      <c r="AC20">
        <f>AC19</f>
        <v/>
      </c>
      <c r="AD20">
        <f>AD19</f>
        <v/>
      </c>
      <c r="AE20">
        <f>AE19</f>
        <v/>
      </c>
      <c r="AF20">
        <f>AF19</f>
        <v/>
      </c>
      <c r="AG20">
        <f>AG19</f>
        <v/>
      </c>
      <c r="AH20">
        <f>AH19</f>
        <v/>
      </c>
      <c r="AI20">
        <f>AI19</f>
        <v/>
      </c>
      <c r="AJ20">
        <f>AJ19</f>
        <v/>
      </c>
      <c r="AK20">
        <f>AK19</f>
        <v/>
      </c>
      <c r="AL20">
        <f>AL19</f>
        <v/>
      </c>
      <c r="AM20">
        <f>AM19</f>
        <v/>
      </c>
      <c r="AN20">
        <f>AN19</f>
        <v/>
      </c>
      <c r="AO20">
        <f>AO19</f>
        <v/>
      </c>
      <c r="AP20">
        <f>AP19</f>
        <v/>
      </c>
      <c r="AQ20">
        <f>AQ19</f>
        <v/>
      </c>
      <c r="AR20">
        <f>AR19</f>
        <v/>
      </c>
      <c r="AS20">
        <f>AS19</f>
        <v/>
      </c>
      <c r="AT20">
        <f>AT19</f>
        <v/>
      </c>
      <c r="AU20">
        <f>AU19</f>
        <v/>
      </c>
      <c r="AV20">
        <f>AV19</f>
        <v/>
      </c>
      <c r="AW20">
        <f>AW19</f>
        <v/>
      </c>
      <c r="AX20">
        <f>AX19</f>
        <v/>
      </c>
      <c r="AY20">
        <f>AY19</f>
        <v/>
      </c>
      <c r="AZ20">
        <f>AZ19</f>
        <v/>
      </c>
      <c r="BA20">
        <f>BA19</f>
        <v/>
      </c>
      <c r="BB20">
        <f>BB19</f>
        <v/>
      </c>
      <c r="BC20">
        <f>BC19</f>
        <v/>
      </c>
      <c r="BD20">
        <f>BD19</f>
        <v/>
      </c>
      <c r="BE20">
        <f>BE19</f>
        <v/>
      </c>
      <c r="BF20">
        <f>BF19</f>
        <v/>
      </c>
    </row>
    <row r="21" ht="12.5" customHeight="1" s="213">
      <c r="W21" t="inlineStr">
        <is>
          <t>Trd_lcv_elc_250</t>
        </is>
      </c>
      <c r="X21">
        <f>X20</f>
        <v/>
      </c>
      <c r="Y21">
        <f>Y20</f>
        <v/>
      </c>
      <c r="Z21">
        <f>Z20</f>
        <v/>
      </c>
      <c r="AA21">
        <f>AA20</f>
        <v/>
      </c>
      <c r="AB21">
        <f>AB20</f>
        <v/>
      </c>
      <c r="AC21">
        <f>AC20</f>
        <v/>
      </c>
      <c r="AD21">
        <f>AD20</f>
        <v/>
      </c>
      <c r="AE21">
        <f>AE20</f>
        <v/>
      </c>
      <c r="AF21">
        <f>AF20</f>
        <v/>
      </c>
      <c r="AG21">
        <f>AG20</f>
        <v/>
      </c>
      <c r="AH21">
        <f>AH20</f>
        <v/>
      </c>
      <c r="AI21">
        <f>AI20</f>
        <v/>
      </c>
      <c r="AJ21">
        <f>AJ20</f>
        <v/>
      </c>
      <c r="AK21">
        <f>AK20</f>
        <v/>
      </c>
      <c r="AL21">
        <f>AL20</f>
        <v/>
      </c>
      <c r="AM21">
        <f>AM20</f>
        <v/>
      </c>
      <c r="AN21">
        <f>AN20</f>
        <v/>
      </c>
      <c r="AO21">
        <f>AO20</f>
        <v/>
      </c>
      <c r="AP21">
        <f>AP20</f>
        <v/>
      </c>
      <c r="AQ21">
        <f>AQ20</f>
        <v/>
      </c>
      <c r="AR21">
        <f>AR20</f>
        <v/>
      </c>
      <c r="AS21">
        <f>AS20</f>
        <v/>
      </c>
      <c r="AT21">
        <f>AT20</f>
        <v/>
      </c>
      <c r="AU21">
        <f>AU20</f>
        <v/>
      </c>
      <c r="AV21">
        <f>AV20</f>
        <v/>
      </c>
      <c r="AW21">
        <f>AW20</f>
        <v/>
      </c>
      <c r="AX21">
        <f>AX20</f>
        <v/>
      </c>
      <c r="AY21">
        <f>AY20</f>
        <v/>
      </c>
      <c r="AZ21">
        <f>AZ20</f>
        <v/>
      </c>
      <c r="BA21">
        <f>BA20</f>
        <v/>
      </c>
      <c r="BB21">
        <f>BB20</f>
        <v/>
      </c>
      <c r="BC21">
        <f>BC20</f>
        <v/>
      </c>
      <c r="BD21">
        <f>BD20</f>
        <v/>
      </c>
      <c r="BE21">
        <f>BE20</f>
        <v/>
      </c>
      <c r="BF21">
        <f>BF20</f>
        <v/>
      </c>
    </row>
    <row r="22" ht="12.5" customHeight="1" s="213">
      <c r="W22" t="inlineStr">
        <is>
          <t>Trd_lcv_elc_300</t>
        </is>
      </c>
      <c r="X22">
        <f>X21</f>
        <v/>
      </c>
      <c r="Y22">
        <f>Y21</f>
        <v/>
      </c>
      <c r="Z22">
        <f>Z21</f>
        <v/>
      </c>
      <c r="AA22">
        <f>AA21</f>
        <v/>
      </c>
      <c r="AB22">
        <f>AB21</f>
        <v/>
      </c>
      <c r="AC22">
        <f>AC21</f>
        <v/>
      </c>
      <c r="AD22">
        <f>AD21</f>
        <v/>
      </c>
      <c r="AE22">
        <f>AE21</f>
        <v/>
      </c>
      <c r="AF22">
        <f>AF21</f>
        <v/>
      </c>
      <c r="AG22">
        <f>AG21</f>
        <v/>
      </c>
      <c r="AH22">
        <f>AH21</f>
        <v/>
      </c>
      <c r="AI22">
        <f>AI21</f>
        <v/>
      </c>
      <c r="AJ22">
        <f>AJ21</f>
        <v/>
      </c>
      <c r="AK22">
        <f>AK21</f>
        <v/>
      </c>
      <c r="AL22">
        <f>AL21</f>
        <v/>
      </c>
      <c r="AM22">
        <f>AM21</f>
        <v/>
      </c>
      <c r="AN22">
        <f>AN21</f>
        <v/>
      </c>
      <c r="AO22">
        <f>AO21</f>
        <v/>
      </c>
      <c r="AP22">
        <f>AP21</f>
        <v/>
      </c>
      <c r="AQ22">
        <f>AQ21</f>
        <v/>
      </c>
      <c r="AR22">
        <f>AR21</f>
        <v/>
      </c>
      <c r="AS22">
        <f>AS21</f>
        <v/>
      </c>
      <c r="AT22">
        <f>AT21</f>
        <v/>
      </c>
      <c r="AU22">
        <f>AU21</f>
        <v/>
      </c>
      <c r="AV22">
        <f>AV21</f>
        <v/>
      </c>
      <c r="AW22">
        <f>AW21</f>
        <v/>
      </c>
      <c r="AX22">
        <f>AX21</f>
        <v/>
      </c>
      <c r="AY22">
        <f>AY21</f>
        <v/>
      </c>
      <c r="AZ22">
        <f>AZ21</f>
        <v/>
      </c>
      <c r="BA22">
        <f>BA21</f>
        <v/>
      </c>
      <c r="BB22">
        <f>BB21</f>
        <v/>
      </c>
      <c r="BC22">
        <f>BC21</f>
        <v/>
      </c>
      <c r="BD22">
        <f>BD21</f>
        <v/>
      </c>
      <c r="BE22">
        <f>BE21</f>
        <v/>
      </c>
      <c r="BF22">
        <f>BF21</f>
        <v/>
      </c>
    </row>
    <row r="23" ht="12.5" customHeight="1" s="213">
      <c r="W23" t="inlineStr">
        <is>
          <t>Trd_lcv_elc_350</t>
        </is>
      </c>
      <c r="X23">
        <f>X22</f>
        <v/>
      </c>
      <c r="Y23">
        <f>Y22</f>
        <v/>
      </c>
      <c r="Z23">
        <f>Z22</f>
        <v/>
      </c>
      <c r="AA23">
        <f>AA22</f>
        <v/>
      </c>
      <c r="AB23">
        <f>AB22</f>
        <v/>
      </c>
      <c r="AC23">
        <f>AC22</f>
        <v/>
      </c>
      <c r="AD23">
        <f>AD22</f>
        <v/>
      </c>
      <c r="AE23">
        <f>AE22</f>
        <v/>
      </c>
      <c r="AF23">
        <f>AF22</f>
        <v/>
      </c>
      <c r="AG23">
        <f>AG22</f>
        <v/>
      </c>
      <c r="AH23">
        <f>AH22</f>
        <v/>
      </c>
      <c r="AI23">
        <f>AI22</f>
        <v/>
      </c>
      <c r="AJ23">
        <f>AJ22</f>
        <v/>
      </c>
      <c r="AK23">
        <f>AK22</f>
        <v/>
      </c>
      <c r="AL23">
        <f>AL22</f>
        <v/>
      </c>
      <c r="AM23">
        <f>AM22</f>
        <v/>
      </c>
      <c r="AN23">
        <f>AN22</f>
        <v/>
      </c>
      <c r="AO23">
        <f>AO22</f>
        <v/>
      </c>
      <c r="AP23">
        <f>AP22</f>
        <v/>
      </c>
      <c r="AQ23">
        <f>AQ22</f>
        <v/>
      </c>
      <c r="AR23">
        <f>AR22</f>
        <v/>
      </c>
      <c r="AS23">
        <f>AS22</f>
        <v/>
      </c>
      <c r="AT23">
        <f>AT22</f>
        <v/>
      </c>
      <c r="AU23">
        <f>AU22</f>
        <v/>
      </c>
      <c r="AV23">
        <f>AV22</f>
        <v/>
      </c>
      <c r="AW23">
        <f>AW22</f>
        <v/>
      </c>
      <c r="AX23">
        <f>AX22</f>
        <v/>
      </c>
      <c r="AY23">
        <f>AY22</f>
        <v/>
      </c>
      <c r="AZ23">
        <f>AZ22</f>
        <v/>
      </c>
      <c r="BA23">
        <f>BA22</f>
        <v/>
      </c>
      <c r="BB23">
        <f>BB22</f>
        <v/>
      </c>
      <c r="BC23">
        <f>BC22</f>
        <v/>
      </c>
      <c r="BD23">
        <f>BD22</f>
        <v/>
      </c>
      <c r="BE23">
        <f>BE22</f>
        <v/>
      </c>
      <c r="BF23">
        <f>BF22</f>
        <v/>
      </c>
    </row>
    <row r="24" ht="12.5" customHeight="1" s="213">
      <c r="W24" t="inlineStr">
        <is>
          <t>Trd_lcv_elc_400</t>
        </is>
      </c>
      <c r="X24">
        <f>X23</f>
        <v/>
      </c>
      <c r="Y24">
        <f>Y23</f>
        <v/>
      </c>
      <c r="Z24">
        <f>Z23</f>
        <v/>
      </c>
      <c r="AA24">
        <f>AA23</f>
        <v/>
      </c>
      <c r="AB24">
        <f>AB23</f>
        <v/>
      </c>
      <c r="AC24">
        <f>AC23</f>
        <v/>
      </c>
      <c r="AD24">
        <f>AD23</f>
        <v/>
      </c>
      <c r="AE24">
        <f>AE23</f>
        <v/>
      </c>
      <c r="AF24">
        <f>AF23</f>
        <v/>
      </c>
      <c r="AG24">
        <f>AG23</f>
        <v/>
      </c>
      <c r="AH24">
        <f>AH23</f>
        <v/>
      </c>
      <c r="AI24">
        <f>AI23</f>
        <v/>
      </c>
      <c r="AJ24">
        <f>AJ23</f>
        <v/>
      </c>
      <c r="AK24">
        <f>AK23</f>
        <v/>
      </c>
      <c r="AL24">
        <f>AL23</f>
        <v/>
      </c>
      <c r="AM24">
        <f>AM23</f>
        <v/>
      </c>
      <c r="AN24">
        <f>AN23</f>
        <v/>
      </c>
      <c r="AO24">
        <f>AO23</f>
        <v/>
      </c>
      <c r="AP24">
        <f>AP23</f>
        <v/>
      </c>
      <c r="AQ24">
        <f>AQ23</f>
        <v/>
      </c>
      <c r="AR24">
        <f>AR23</f>
        <v/>
      </c>
      <c r="AS24">
        <f>AS23</f>
        <v/>
      </c>
      <c r="AT24">
        <f>AT23</f>
        <v/>
      </c>
      <c r="AU24">
        <f>AU23</f>
        <v/>
      </c>
      <c r="AV24">
        <f>AV23</f>
        <v/>
      </c>
      <c r="AW24">
        <f>AW23</f>
        <v/>
      </c>
      <c r="AX24">
        <f>AX23</f>
        <v/>
      </c>
      <c r="AY24">
        <f>AY23</f>
        <v/>
      </c>
      <c r="AZ24">
        <f>AZ23</f>
        <v/>
      </c>
      <c r="BA24">
        <f>BA23</f>
        <v/>
      </c>
      <c r="BB24">
        <f>BB23</f>
        <v/>
      </c>
      <c r="BC24">
        <f>BC23</f>
        <v/>
      </c>
      <c r="BD24">
        <f>BD23</f>
        <v/>
      </c>
      <c r="BE24">
        <f>BE23</f>
        <v/>
      </c>
      <c r="BF24">
        <f>BF23</f>
        <v/>
      </c>
    </row>
    <row r="25" ht="12.5" customHeight="1" s="213">
      <c r="W25" t="inlineStr">
        <is>
          <t>Trd_lcv_elc_500</t>
        </is>
      </c>
      <c r="X25">
        <f>X24</f>
        <v/>
      </c>
      <c r="Y25">
        <f>Y24</f>
        <v/>
      </c>
      <c r="Z25">
        <f>Z24</f>
        <v/>
      </c>
      <c r="AA25">
        <f>AA24</f>
        <v/>
      </c>
      <c r="AB25">
        <f>AB24</f>
        <v/>
      </c>
      <c r="AC25">
        <f>AC24</f>
        <v/>
      </c>
      <c r="AD25">
        <f>AD24</f>
        <v/>
      </c>
      <c r="AE25">
        <f>AE24</f>
        <v/>
      </c>
      <c r="AF25">
        <f>AF24</f>
        <v/>
      </c>
      <c r="AG25">
        <f>AG24</f>
        <v/>
      </c>
      <c r="AH25">
        <f>AH24</f>
        <v/>
      </c>
      <c r="AI25">
        <f>AI24</f>
        <v/>
      </c>
      <c r="AJ25">
        <f>AJ24</f>
        <v/>
      </c>
      <c r="AK25">
        <f>AK24</f>
        <v/>
      </c>
      <c r="AL25">
        <f>AL24</f>
        <v/>
      </c>
      <c r="AM25">
        <f>AM24</f>
        <v/>
      </c>
      <c r="AN25">
        <f>AN24</f>
        <v/>
      </c>
      <c r="AO25">
        <f>AO24</f>
        <v/>
      </c>
      <c r="AP25">
        <f>AP24</f>
        <v/>
      </c>
      <c r="AQ25">
        <f>AQ24</f>
        <v/>
      </c>
      <c r="AR25">
        <f>AR24</f>
        <v/>
      </c>
      <c r="AS25">
        <f>AS24</f>
        <v/>
      </c>
      <c r="AT25">
        <f>AT24</f>
        <v/>
      </c>
      <c r="AU25">
        <f>AU24</f>
        <v/>
      </c>
      <c r="AV25">
        <f>AV24</f>
        <v/>
      </c>
      <c r="AW25">
        <f>AW24</f>
        <v/>
      </c>
      <c r="AX25">
        <f>AX24</f>
        <v/>
      </c>
      <c r="AY25">
        <f>AY24</f>
        <v/>
      </c>
      <c r="AZ25">
        <f>AZ24</f>
        <v/>
      </c>
      <c r="BA25">
        <f>BA24</f>
        <v/>
      </c>
      <c r="BB25">
        <f>BB24</f>
        <v/>
      </c>
      <c r="BC25">
        <f>BC24</f>
        <v/>
      </c>
      <c r="BD25">
        <f>BD24</f>
        <v/>
      </c>
      <c r="BE25">
        <f>BE24</f>
        <v/>
      </c>
      <c r="BF25">
        <f>BF24</f>
        <v/>
      </c>
    </row>
    <row r="26" ht="12.5" customHeight="1" s="213">
      <c r="W26" t="inlineStr">
        <is>
          <t>Trd_hdt_elc_150</t>
        </is>
      </c>
      <c r="X26">
        <f>X25</f>
        <v/>
      </c>
      <c r="Y26">
        <f>Y25</f>
        <v/>
      </c>
      <c r="Z26">
        <f>Z25</f>
        <v/>
      </c>
      <c r="AA26">
        <f>AA25</f>
        <v/>
      </c>
      <c r="AB26">
        <f>AB25</f>
        <v/>
      </c>
      <c r="AC26">
        <f>AC25</f>
        <v/>
      </c>
      <c r="AD26">
        <f>AD25</f>
        <v/>
      </c>
      <c r="AE26">
        <f>AE25</f>
        <v/>
      </c>
      <c r="AF26">
        <f>AF25</f>
        <v/>
      </c>
      <c r="AG26">
        <f>AG25</f>
        <v/>
      </c>
      <c r="AH26">
        <f>AH25</f>
        <v/>
      </c>
      <c r="AI26">
        <f>AI25</f>
        <v/>
      </c>
      <c r="AJ26">
        <f>AJ25</f>
        <v/>
      </c>
      <c r="AK26">
        <f>AK25</f>
        <v/>
      </c>
      <c r="AL26">
        <f>AL25</f>
        <v/>
      </c>
      <c r="AM26">
        <f>AM25</f>
        <v/>
      </c>
      <c r="AN26">
        <f>AN25</f>
        <v/>
      </c>
      <c r="AO26">
        <f>AO25</f>
        <v/>
      </c>
      <c r="AP26">
        <f>AP25</f>
        <v/>
      </c>
      <c r="AQ26">
        <f>AQ25</f>
        <v/>
      </c>
      <c r="AR26">
        <f>AR25</f>
        <v/>
      </c>
      <c r="AS26">
        <f>AS25</f>
        <v/>
      </c>
      <c r="AT26">
        <f>AT25</f>
        <v/>
      </c>
      <c r="AU26">
        <f>AU25</f>
        <v/>
      </c>
      <c r="AV26">
        <f>AV25</f>
        <v/>
      </c>
      <c r="AW26">
        <f>AW25</f>
        <v/>
      </c>
      <c r="AX26">
        <f>AX25</f>
        <v/>
      </c>
      <c r="AY26">
        <f>AY25</f>
        <v/>
      </c>
      <c r="AZ26">
        <f>AZ25</f>
        <v/>
      </c>
      <c r="BA26">
        <f>BA25</f>
        <v/>
      </c>
      <c r="BB26">
        <f>BB25</f>
        <v/>
      </c>
      <c r="BC26">
        <f>BC25</f>
        <v/>
      </c>
      <c r="BD26">
        <f>BD25</f>
        <v/>
      </c>
      <c r="BE26">
        <f>BE25</f>
        <v/>
      </c>
      <c r="BF26">
        <f>BF25</f>
        <v/>
      </c>
    </row>
    <row r="27" ht="12.5" customHeight="1" s="213">
      <c r="W27" t="inlineStr">
        <is>
          <t>Trd_hdt_elc_179</t>
        </is>
      </c>
      <c r="X27">
        <f>X26</f>
        <v/>
      </c>
      <c r="Y27">
        <f>Y26</f>
        <v/>
      </c>
      <c r="Z27">
        <f>Z26</f>
        <v/>
      </c>
      <c r="AA27">
        <f>AA26</f>
        <v/>
      </c>
      <c r="AB27">
        <f>AB26</f>
        <v/>
      </c>
      <c r="AC27">
        <f>AC26</f>
        <v/>
      </c>
      <c r="AD27">
        <f>AD26</f>
        <v/>
      </c>
      <c r="AE27">
        <f>AE26</f>
        <v/>
      </c>
      <c r="AF27">
        <f>AF26</f>
        <v/>
      </c>
      <c r="AG27">
        <f>AG26</f>
        <v/>
      </c>
      <c r="AH27">
        <f>AH26</f>
        <v/>
      </c>
      <c r="AI27">
        <f>AI26</f>
        <v/>
      </c>
      <c r="AJ27">
        <f>AJ26</f>
        <v/>
      </c>
      <c r="AK27">
        <f>AK26</f>
        <v/>
      </c>
      <c r="AL27">
        <f>AL26</f>
        <v/>
      </c>
      <c r="AM27">
        <f>AM26</f>
        <v/>
      </c>
      <c r="AN27">
        <f>AN26</f>
        <v/>
      </c>
      <c r="AO27">
        <f>AO26</f>
        <v/>
      </c>
      <c r="AP27">
        <f>AP26</f>
        <v/>
      </c>
      <c r="AQ27">
        <f>AQ26</f>
        <v/>
      </c>
      <c r="AR27">
        <f>AR26</f>
        <v/>
      </c>
      <c r="AS27">
        <f>AS26</f>
        <v/>
      </c>
      <c r="AT27">
        <f>AT26</f>
        <v/>
      </c>
      <c r="AU27">
        <f>AU26</f>
        <v/>
      </c>
      <c r="AV27">
        <f>AV26</f>
        <v/>
      </c>
      <c r="AW27">
        <f>AW26</f>
        <v/>
      </c>
      <c r="AX27">
        <f>AX26</f>
        <v/>
      </c>
      <c r="AY27">
        <f>AY26</f>
        <v/>
      </c>
      <c r="AZ27">
        <f>AZ26</f>
        <v/>
      </c>
      <c r="BA27">
        <f>BA26</f>
        <v/>
      </c>
      <c r="BB27">
        <f>BB26</f>
        <v/>
      </c>
      <c r="BC27">
        <f>BC26</f>
        <v/>
      </c>
      <c r="BD27">
        <f>BD26</f>
        <v/>
      </c>
      <c r="BE27">
        <f>BE26</f>
        <v/>
      </c>
      <c r="BF27">
        <f>BF26</f>
        <v/>
      </c>
    </row>
    <row r="28" ht="39" customHeight="1" s="213">
      <c r="G28" s="21" t="inlineStr">
        <is>
          <t>Region</t>
        </is>
      </c>
      <c r="H28" s="22" t="inlineStr">
        <is>
          <t>Proportion (US = 1.00)</t>
        </is>
      </c>
      <c r="W28" t="inlineStr">
        <is>
          <t>Trd_hdt_elc_207</t>
        </is>
      </c>
      <c r="X28">
        <f>X27</f>
        <v/>
      </c>
      <c r="Y28">
        <f>Y27</f>
        <v/>
      </c>
      <c r="Z28">
        <f>Z27</f>
        <v/>
      </c>
      <c r="AA28">
        <f>AA27</f>
        <v/>
      </c>
      <c r="AB28">
        <f>AB27</f>
        <v/>
      </c>
      <c r="AC28">
        <f>AC27</f>
        <v/>
      </c>
      <c r="AD28">
        <f>AD27</f>
        <v/>
      </c>
      <c r="AE28">
        <f>AE27</f>
        <v/>
      </c>
      <c r="AF28">
        <f>AF27</f>
        <v/>
      </c>
      <c r="AG28">
        <f>AG27</f>
        <v/>
      </c>
      <c r="AH28">
        <f>AH27</f>
        <v/>
      </c>
      <c r="AI28">
        <f>AI27</f>
        <v/>
      </c>
      <c r="AJ28">
        <f>AJ27</f>
        <v/>
      </c>
      <c r="AK28">
        <f>AK27</f>
        <v/>
      </c>
      <c r="AL28">
        <f>AL27</f>
        <v/>
      </c>
      <c r="AM28">
        <f>AM27</f>
        <v/>
      </c>
      <c r="AN28">
        <f>AN27</f>
        <v/>
      </c>
      <c r="AO28">
        <f>AO27</f>
        <v/>
      </c>
      <c r="AP28">
        <f>AP27</f>
        <v/>
      </c>
      <c r="AQ28">
        <f>AQ27</f>
        <v/>
      </c>
      <c r="AR28">
        <f>AR27</f>
        <v/>
      </c>
      <c r="AS28">
        <f>AS27</f>
        <v/>
      </c>
      <c r="AT28">
        <f>AT27</f>
        <v/>
      </c>
      <c r="AU28">
        <f>AU27</f>
        <v/>
      </c>
      <c r="AV28">
        <f>AV27</f>
        <v/>
      </c>
      <c r="AW28">
        <f>AW27</f>
        <v/>
      </c>
      <c r="AX28">
        <f>AX27</f>
        <v/>
      </c>
      <c r="AY28">
        <f>AY27</f>
        <v/>
      </c>
      <c r="AZ28">
        <f>AZ27</f>
        <v/>
      </c>
      <c r="BA28">
        <f>BA27</f>
        <v/>
      </c>
      <c r="BB28">
        <f>BB27</f>
        <v/>
      </c>
      <c r="BC28">
        <f>BC27</f>
        <v/>
      </c>
      <c r="BD28">
        <f>BD27</f>
        <v/>
      </c>
      <c r="BE28">
        <f>BE27</f>
        <v/>
      </c>
      <c r="BF28">
        <f>BF27</f>
        <v/>
      </c>
    </row>
    <row r="29" ht="13" customHeight="1" s="213">
      <c r="G29" s="23" t="inlineStr">
        <is>
          <t>Africa_North</t>
        </is>
      </c>
      <c r="H29" s="22" t="inlineStr">
        <is>
          <t>*0.80</t>
        </is>
      </c>
      <c r="W29" t="inlineStr">
        <is>
          <t>Trd_hdt_elc_236</t>
        </is>
      </c>
      <c r="X29">
        <f>X28</f>
        <v/>
      </c>
      <c r="Y29">
        <f>Y28</f>
        <v/>
      </c>
      <c r="Z29">
        <f>Z28</f>
        <v/>
      </c>
      <c r="AA29">
        <f>AA28</f>
        <v/>
      </c>
      <c r="AB29">
        <f>AB28</f>
        <v/>
      </c>
      <c r="AC29">
        <f>AC28</f>
        <v/>
      </c>
      <c r="AD29">
        <f>AD28</f>
        <v/>
      </c>
      <c r="AE29">
        <f>AE28</f>
        <v/>
      </c>
      <c r="AF29">
        <f>AF28</f>
        <v/>
      </c>
      <c r="AG29">
        <f>AG28</f>
        <v/>
      </c>
      <c r="AH29">
        <f>AH28</f>
        <v/>
      </c>
      <c r="AI29">
        <f>AI28</f>
        <v/>
      </c>
      <c r="AJ29">
        <f>AJ28</f>
        <v/>
      </c>
      <c r="AK29">
        <f>AK28</f>
        <v/>
      </c>
      <c r="AL29">
        <f>AL28</f>
        <v/>
      </c>
      <c r="AM29">
        <f>AM28</f>
        <v/>
      </c>
      <c r="AN29">
        <f>AN28</f>
        <v/>
      </c>
      <c r="AO29">
        <f>AO28</f>
        <v/>
      </c>
      <c r="AP29">
        <f>AP28</f>
        <v/>
      </c>
      <c r="AQ29">
        <f>AQ28</f>
        <v/>
      </c>
      <c r="AR29">
        <f>AR28</f>
        <v/>
      </c>
      <c r="AS29">
        <f>AS28</f>
        <v/>
      </c>
      <c r="AT29">
        <f>AT28</f>
        <v/>
      </c>
      <c r="AU29">
        <f>AU28</f>
        <v/>
      </c>
      <c r="AV29">
        <f>AV28</f>
        <v/>
      </c>
      <c r="AW29">
        <f>AW28</f>
        <v/>
      </c>
      <c r="AX29">
        <f>AX28</f>
        <v/>
      </c>
      <c r="AY29">
        <f>AY28</f>
        <v/>
      </c>
      <c r="AZ29">
        <f>AZ28</f>
        <v/>
      </c>
      <c r="BA29">
        <f>BA28</f>
        <v/>
      </c>
      <c r="BB29">
        <f>BB28</f>
        <v/>
      </c>
      <c r="BC29">
        <f>BC28</f>
        <v/>
      </c>
      <c r="BD29">
        <f>BD28</f>
        <v/>
      </c>
      <c r="BE29">
        <f>BE28</f>
        <v/>
      </c>
      <c r="BF29">
        <f>BF28</f>
        <v/>
      </c>
    </row>
    <row r="30" ht="13" customHeight="1" s="213">
      <c r="G30" s="23" t="inlineStr">
        <is>
          <t>Africa_Other</t>
        </is>
      </c>
      <c r="H30" s="22" t="inlineStr">
        <is>
          <t>*0.75</t>
        </is>
      </c>
      <c r="W30" t="inlineStr">
        <is>
          <t>Trd_hdt_elc_264</t>
        </is>
      </c>
      <c r="X30">
        <f>X29</f>
        <v/>
      </c>
      <c r="Y30">
        <f>Y29</f>
        <v/>
      </c>
      <c r="Z30">
        <f>Z29</f>
        <v/>
      </c>
      <c r="AA30">
        <f>AA29</f>
        <v/>
      </c>
      <c r="AB30">
        <f>AB29</f>
        <v/>
      </c>
      <c r="AC30">
        <f>AC29</f>
        <v/>
      </c>
      <c r="AD30">
        <f>AD29</f>
        <v/>
      </c>
      <c r="AE30">
        <f>AE29</f>
        <v/>
      </c>
      <c r="AF30">
        <f>AF29</f>
        <v/>
      </c>
      <c r="AG30">
        <f>AG29</f>
        <v/>
      </c>
      <c r="AH30">
        <f>AH29</f>
        <v/>
      </c>
      <c r="AI30">
        <f>AI29</f>
        <v/>
      </c>
      <c r="AJ30">
        <f>AJ29</f>
        <v/>
      </c>
      <c r="AK30">
        <f>AK29</f>
        <v/>
      </c>
      <c r="AL30">
        <f>AL29</f>
        <v/>
      </c>
      <c r="AM30">
        <f>AM29</f>
        <v/>
      </c>
      <c r="AN30">
        <f>AN29</f>
        <v/>
      </c>
      <c r="AO30">
        <f>AO29</f>
        <v/>
      </c>
      <c r="AP30">
        <f>AP29</f>
        <v/>
      </c>
      <c r="AQ30">
        <f>AQ29</f>
        <v/>
      </c>
      <c r="AR30">
        <f>AR29</f>
        <v/>
      </c>
      <c r="AS30">
        <f>AS29</f>
        <v/>
      </c>
      <c r="AT30">
        <f>AT29</f>
        <v/>
      </c>
      <c r="AU30">
        <f>AU29</f>
        <v/>
      </c>
      <c r="AV30">
        <f>AV29</f>
        <v/>
      </c>
      <c r="AW30">
        <f>AW29</f>
        <v/>
      </c>
      <c r="AX30">
        <f>AX29</f>
        <v/>
      </c>
      <c r="AY30">
        <f>AY29</f>
        <v/>
      </c>
      <c r="AZ30">
        <f>AZ29</f>
        <v/>
      </c>
      <c r="BA30">
        <f>BA29</f>
        <v/>
      </c>
      <c r="BB30">
        <f>BB29</f>
        <v/>
      </c>
      <c r="BC30">
        <f>BC29</f>
        <v/>
      </c>
      <c r="BD30">
        <f>BD29</f>
        <v/>
      </c>
      <c r="BE30">
        <f>BE29</f>
        <v/>
      </c>
      <c r="BF30">
        <f>BF29</f>
        <v/>
      </c>
    </row>
    <row r="31" ht="13" customHeight="1" s="213">
      <c r="G31" s="23" t="inlineStr">
        <is>
          <t>Australia</t>
        </is>
      </c>
      <c r="H31" s="22" t="inlineStr">
        <is>
          <t>*1.05</t>
        </is>
      </c>
      <c r="W31" t="inlineStr">
        <is>
          <t>Trd_hdt_elc_350</t>
        </is>
      </c>
      <c r="X31">
        <f>X30</f>
        <v/>
      </c>
      <c r="Y31">
        <f>Y30</f>
        <v/>
      </c>
      <c r="Z31">
        <f>Z30</f>
        <v/>
      </c>
      <c r="AA31">
        <f>AA30</f>
        <v/>
      </c>
      <c r="AB31">
        <f>AB30</f>
        <v/>
      </c>
      <c r="AC31">
        <f>AC30</f>
        <v/>
      </c>
      <c r="AD31">
        <f>AD30</f>
        <v/>
      </c>
      <c r="AE31">
        <f>AE30</f>
        <v/>
      </c>
      <c r="AF31">
        <f>AF30</f>
        <v/>
      </c>
      <c r="AG31">
        <f>AG30</f>
        <v/>
      </c>
      <c r="AH31">
        <f>AH30</f>
        <v/>
      </c>
      <c r="AI31">
        <f>AI30</f>
        <v/>
      </c>
      <c r="AJ31">
        <f>AJ30</f>
        <v/>
      </c>
      <c r="AK31">
        <f>AK30</f>
        <v/>
      </c>
      <c r="AL31">
        <f>AL30</f>
        <v/>
      </c>
      <c r="AM31">
        <f>AM30</f>
        <v/>
      </c>
      <c r="AN31">
        <f>AN30</f>
        <v/>
      </c>
      <c r="AO31">
        <f>AO30</f>
        <v/>
      </c>
      <c r="AP31">
        <f>AP30</f>
        <v/>
      </c>
      <c r="AQ31">
        <f>AQ30</f>
        <v/>
      </c>
      <c r="AR31">
        <f>AR30</f>
        <v/>
      </c>
      <c r="AS31">
        <f>AS30</f>
        <v/>
      </c>
      <c r="AT31">
        <f>AT30</f>
        <v/>
      </c>
      <c r="AU31">
        <f>AU30</f>
        <v/>
      </c>
      <c r="AV31">
        <f>AV30</f>
        <v/>
      </c>
      <c r="AW31">
        <f>AW30</f>
        <v/>
      </c>
      <c r="AX31">
        <f>AX30</f>
        <v/>
      </c>
      <c r="AY31">
        <f>AY30</f>
        <v/>
      </c>
      <c r="AZ31">
        <f>AZ30</f>
        <v/>
      </c>
      <c r="BA31">
        <f>BA30</f>
        <v/>
      </c>
      <c r="BB31">
        <f>BB30</f>
        <v/>
      </c>
      <c r="BC31">
        <f>BC30</f>
        <v/>
      </c>
      <c r="BD31">
        <f>BD30</f>
        <v/>
      </c>
      <c r="BE31">
        <f>BE30</f>
        <v/>
      </c>
      <c r="BF31">
        <f>BF30</f>
        <v/>
      </c>
    </row>
    <row r="32" ht="13" customHeight="1" s="213">
      <c r="G32" s="23" t="inlineStr">
        <is>
          <t>Austria</t>
        </is>
      </c>
      <c r="H32" s="22" t="inlineStr">
        <is>
          <t>*1.05</t>
        </is>
      </c>
      <c r="W32" t="inlineStr">
        <is>
          <t>Trd_hdt_elc_500</t>
        </is>
      </c>
      <c r="X32">
        <f>X31</f>
        <v/>
      </c>
      <c r="Y32">
        <f>Y31</f>
        <v/>
      </c>
      <c r="Z32">
        <f>Z31</f>
        <v/>
      </c>
      <c r="AA32">
        <f>AA31</f>
        <v/>
      </c>
      <c r="AB32">
        <f>AB31</f>
        <v/>
      </c>
      <c r="AC32">
        <f>AC31</f>
        <v/>
      </c>
      <c r="AD32">
        <f>AD31</f>
        <v/>
      </c>
      <c r="AE32">
        <f>AE31</f>
        <v/>
      </c>
      <c r="AF32">
        <f>AF31</f>
        <v/>
      </c>
      <c r="AG32">
        <f>AG31</f>
        <v/>
      </c>
      <c r="AH32">
        <f>AH31</f>
        <v/>
      </c>
      <c r="AI32">
        <f>AI31</f>
        <v/>
      </c>
      <c r="AJ32">
        <f>AJ31</f>
        <v/>
      </c>
      <c r="AK32">
        <f>AK31</f>
        <v/>
      </c>
      <c r="AL32">
        <f>AL31</f>
        <v/>
      </c>
      <c r="AM32">
        <f>AM31</f>
        <v/>
      </c>
      <c r="AN32">
        <f>AN31</f>
        <v/>
      </c>
      <c r="AO32">
        <f>AO31</f>
        <v/>
      </c>
      <c r="AP32">
        <f>AP31</f>
        <v/>
      </c>
      <c r="AQ32">
        <f>AQ31</f>
        <v/>
      </c>
      <c r="AR32">
        <f>AR31</f>
        <v/>
      </c>
      <c r="AS32">
        <f>AS31</f>
        <v/>
      </c>
      <c r="AT32">
        <f>AT31</f>
        <v/>
      </c>
      <c r="AU32">
        <f>AU31</f>
        <v/>
      </c>
      <c r="AV32">
        <f>AV31</f>
        <v/>
      </c>
      <c r="AW32">
        <f>AW31</f>
        <v/>
      </c>
      <c r="AX32">
        <f>AX31</f>
        <v/>
      </c>
      <c r="AY32">
        <f>AY31</f>
        <v/>
      </c>
      <c r="AZ32">
        <f>AZ31</f>
        <v/>
      </c>
      <c r="BA32">
        <f>BA31</f>
        <v/>
      </c>
      <c r="BB32">
        <f>BB31</f>
        <v/>
      </c>
      <c r="BC32">
        <f>BC31</f>
        <v/>
      </c>
      <c r="BD32">
        <f>BD31</f>
        <v/>
      </c>
      <c r="BE32">
        <f>BE31</f>
        <v/>
      </c>
      <c r="BF32">
        <f>BF31</f>
        <v/>
      </c>
    </row>
    <row r="33" ht="13" customHeight="1" s="213">
      <c r="G33" s="23" t="inlineStr">
        <is>
          <t>Baltics</t>
        </is>
      </c>
      <c r="H33" s="22" t="inlineStr">
        <is>
          <t>*0.95</t>
        </is>
      </c>
      <c r="W33" t="inlineStr">
        <is>
          <t>Trd_hdt_elc_600</t>
        </is>
      </c>
      <c r="X33">
        <f>X32</f>
        <v/>
      </c>
      <c r="Y33">
        <f>Y32</f>
        <v/>
      </c>
      <c r="Z33">
        <f>Z32</f>
        <v/>
      </c>
      <c r="AA33">
        <f>AA32</f>
        <v/>
      </c>
      <c r="AB33">
        <f>AB32</f>
        <v/>
      </c>
      <c r="AC33">
        <f>AC32</f>
        <v/>
      </c>
      <c r="AD33">
        <f>AD32</f>
        <v/>
      </c>
      <c r="AE33">
        <f>AE32</f>
        <v/>
      </c>
      <c r="AF33">
        <f>AF32</f>
        <v/>
      </c>
      <c r="AG33">
        <f>AG32</f>
        <v/>
      </c>
      <c r="AH33">
        <f>AH32</f>
        <v/>
      </c>
      <c r="AI33">
        <f>AI32</f>
        <v/>
      </c>
      <c r="AJ33">
        <f>AJ32</f>
        <v/>
      </c>
      <c r="AK33">
        <f>AK32</f>
        <v/>
      </c>
      <c r="AL33">
        <f>AL32</f>
        <v/>
      </c>
      <c r="AM33">
        <f>AM32</f>
        <v/>
      </c>
      <c r="AN33">
        <f>AN32</f>
        <v/>
      </c>
      <c r="AO33">
        <f>AO32</f>
        <v/>
      </c>
      <c r="AP33">
        <f>AP32</f>
        <v/>
      </c>
      <c r="AQ33">
        <f>AQ32</f>
        <v/>
      </c>
      <c r="AR33">
        <f>AR32</f>
        <v/>
      </c>
      <c r="AS33">
        <f>AS32</f>
        <v/>
      </c>
      <c r="AT33">
        <f>AT32</f>
        <v/>
      </c>
      <c r="AU33">
        <f>AU32</f>
        <v/>
      </c>
      <c r="AV33">
        <f>AV32</f>
        <v/>
      </c>
      <c r="AW33">
        <f>AW32</f>
        <v/>
      </c>
      <c r="AX33">
        <f>AX32</f>
        <v/>
      </c>
      <c r="AY33">
        <f>AY32</f>
        <v/>
      </c>
      <c r="AZ33">
        <f>AZ32</f>
        <v/>
      </c>
      <c r="BA33">
        <f>BA32</f>
        <v/>
      </c>
      <c r="BB33">
        <f>BB32</f>
        <v/>
      </c>
      <c r="BC33">
        <f>BC32</f>
        <v/>
      </c>
      <c r="BD33">
        <f>BD32</f>
        <v/>
      </c>
      <c r="BE33">
        <f>BE32</f>
        <v/>
      </c>
      <c r="BF33">
        <f>BF32</f>
        <v/>
      </c>
    </row>
    <row r="34" ht="13" customHeight="1" s="213">
      <c r="G34" s="23" t="inlineStr">
        <is>
          <t>BeNeLux</t>
        </is>
      </c>
      <c r="H34" s="22" t="inlineStr">
        <is>
          <t>*1.05</t>
        </is>
      </c>
      <c r="W34" t="inlineStr">
        <is>
          <t>Trd_2w_elc150_120</t>
        </is>
      </c>
      <c r="X34">
        <f>X33</f>
        <v/>
      </c>
      <c r="Y34">
        <f>Y33</f>
        <v/>
      </c>
      <c r="Z34">
        <f>Z33</f>
        <v/>
      </c>
      <c r="AA34">
        <f>AA33</f>
        <v/>
      </c>
      <c r="AB34">
        <f>AB33</f>
        <v/>
      </c>
      <c r="AC34">
        <f>AC33</f>
        <v/>
      </c>
      <c r="AD34">
        <f>AD33</f>
        <v/>
      </c>
      <c r="AE34">
        <f>AE33</f>
        <v/>
      </c>
      <c r="AF34">
        <f>AF33</f>
        <v/>
      </c>
      <c r="AG34">
        <f>AG33</f>
        <v/>
      </c>
      <c r="AH34">
        <f>AH33</f>
        <v/>
      </c>
      <c r="AI34">
        <f>AI33</f>
        <v/>
      </c>
      <c r="AJ34">
        <f>AJ33</f>
        <v/>
      </c>
      <c r="AK34">
        <f>AK33</f>
        <v/>
      </c>
      <c r="AL34">
        <f>AL33</f>
        <v/>
      </c>
      <c r="AM34">
        <f>AM33</f>
        <v/>
      </c>
      <c r="AN34">
        <f>AN33</f>
        <v/>
      </c>
      <c r="AO34">
        <f>AO33</f>
        <v/>
      </c>
      <c r="AP34">
        <f>AP33</f>
        <v/>
      </c>
      <c r="AQ34">
        <f>AQ33</f>
        <v/>
      </c>
      <c r="AR34">
        <f>AR33</f>
        <v/>
      </c>
      <c r="AS34">
        <f>AS33</f>
        <v/>
      </c>
      <c r="AT34">
        <f>AT33</f>
        <v/>
      </c>
      <c r="AU34">
        <f>AU33</f>
        <v/>
      </c>
      <c r="AV34">
        <f>AV33</f>
        <v/>
      </c>
      <c r="AW34">
        <f>AW33</f>
        <v/>
      </c>
      <c r="AX34">
        <f>AX33</f>
        <v/>
      </c>
      <c r="AY34">
        <f>AY33</f>
        <v/>
      </c>
      <c r="AZ34">
        <f>AZ33</f>
        <v/>
      </c>
      <c r="BA34">
        <f>BA33</f>
        <v/>
      </c>
      <c r="BB34">
        <f>BB33</f>
        <v/>
      </c>
      <c r="BC34">
        <f>BC33</f>
        <v/>
      </c>
      <c r="BD34">
        <f>BD33</f>
        <v/>
      </c>
      <c r="BE34">
        <f>BE33</f>
        <v/>
      </c>
      <c r="BF34">
        <f>BF33</f>
        <v/>
      </c>
    </row>
    <row r="35" ht="13" customHeight="1" s="213">
      <c r="G35" s="23" t="inlineStr">
        <is>
          <t>Brazil</t>
        </is>
      </c>
      <c r="H35" s="22" t="inlineStr">
        <is>
          <t>*0.85</t>
        </is>
      </c>
      <c r="W35" t="inlineStr">
        <is>
          <t>Trd_2w_elc150_131</t>
        </is>
      </c>
      <c r="X35">
        <f>X34</f>
        <v/>
      </c>
      <c r="Y35">
        <f>Y34</f>
        <v/>
      </c>
      <c r="Z35">
        <f>Z34</f>
        <v/>
      </c>
      <c r="AA35">
        <f>AA34</f>
        <v/>
      </c>
      <c r="AB35">
        <f>AB34</f>
        <v/>
      </c>
      <c r="AC35">
        <f>AC34</f>
        <v/>
      </c>
      <c r="AD35">
        <f>AD34</f>
        <v/>
      </c>
      <c r="AE35">
        <f>AE34</f>
        <v/>
      </c>
      <c r="AF35">
        <f>AF34</f>
        <v/>
      </c>
      <c r="AG35">
        <f>AG34</f>
        <v/>
      </c>
      <c r="AH35">
        <f>AH34</f>
        <v/>
      </c>
      <c r="AI35">
        <f>AI34</f>
        <v/>
      </c>
      <c r="AJ35">
        <f>AJ34</f>
        <v/>
      </c>
      <c r="AK35">
        <f>AK34</f>
        <v/>
      </c>
      <c r="AL35">
        <f>AL34</f>
        <v/>
      </c>
      <c r="AM35">
        <f>AM34</f>
        <v/>
      </c>
      <c r="AN35">
        <f>AN34</f>
        <v/>
      </c>
      <c r="AO35">
        <f>AO34</f>
        <v/>
      </c>
      <c r="AP35">
        <f>AP34</f>
        <v/>
      </c>
      <c r="AQ35">
        <f>AQ34</f>
        <v/>
      </c>
      <c r="AR35">
        <f>AR34</f>
        <v/>
      </c>
      <c r="AS35">
        <f>AS34</f>
        <v/>
      </c>
      <c r="AT35">
        <f>AT34</f>
        <v/>
      </c>
      <c r="AU35">
        <f>AU34</f>
        <v/>
      </c>
      <c r="AV35">
        <f>AV34</f>
        <v/>
      </c>
      <c r="AW35">
        <f>AW34</f>
        <v/>
      </c>
      <c r="AX35">
        <f>AX34</f>
        <v/>
      </c>
      <c r="AY35">
        <f>AY34</f>
        <v/>
      </c>
      <c r="AZ35">
        <f>AZ34</f>
        <v/>
      </c>
      <c r="BA35">
        <f>BA34</f>
        <v/>
      </c>
      <c r="BB35">
        <f>BB34</f>
        <v/>
      </c>
      <c r="BC35">
        <f>BC34</f>
        <v/>
      </c>
      <c r="BD35">
        <f>BD34</f>
        <v/>
      </c>
      <c r="BE35">
        <f>BE34</f>
        <v/>
      </c>
      <c r="BF35">
        <f>BF34</f>
        <v/>
      </c>
    </row>
    <row r="36" ht="13" customHeight="1" s="213">
      <c r="G36" s="23" t="inlineStr">
        <is>
          <t>China</t>
        </is>
      </c>
      <c r="H36" s="22" t="inlineStr">
        <is>
          <t>*0.80</t>
        </is>
      </c>
      <c r="W36" t="inlineStr">
        <is>
          <t>Trd_2w_elc150_143</t>
        </is>
      </c>
      <c r="X36">
        <f>X35</f>
        <v/>
      </c>
      <c r="Y36">
        <f>Y35</f>
        <v/>
      </c>
      <c r="Z36">
        <f>Z35</f>
        <v/>
      </c>
      <c r="AA36">
        <f>AA35</f>
        <v/>
      </c>
      <c r="AB36">
        <f>AB35</f>
        <v/>
      </c>
      <c r="AC36">
        <f>AC35</f>
        <v/>
      </c>
      <c r="AD36">
        <f>AD35</f>
        <v/>
      </c>
      <c r="AE36">
        <f>AE35</f>
        <v/>
      </c>
      <c r="AF36">
        <f>AF35</f>
        <v/>
      </c>
      <c r="AG36">
        <f>AG35</f>
        <v/>
      </c>
      <c r="AH36">
        <f>AH35</f>
        <v/>
      </c>
      <c r="AI36">
        <f>AI35</f>
        <v/>
      </c>
      <c r="AJ36">
        <f>AJ35</f>
        <v/>
      </c>
      <c r="AK36">
        <f>AK35</f>
        <v/>
      </c>
      <c r="AL36">
        <f>AL35</f>
        <v/>
      </c>
      <c r="AM36">
        <f>AM35</f>
        <v/>
      </c>
      <c r="AN36">
        <f>AN35</f>
        <v/>
      </c>
      <c r="AO36">
        <f>AO35</f>
        <v/>
      </c>
      <c r="AP36">
        <f>AP35</f>
        <v/>
      </c>
      <c r="AQ36">
        <f>AQ35</f>
        <v/>
      </c>
      <c r="AR36">
        <f>AR35</f>
        <v/>
      </c>
      <c r="AS36">
        <f>AS35</f>
        <v/>
      </c>
      <c r="AT36">
        <f>AT35</f>
        <v/>
      </c>
      <c r="AU36">
        <f>AU35</f>
        <v/>
      </c>
      <c r="AV36">
        <f>AV35</f>
        <v/>
      </c>
      <c r="AW36">
        <f>AW35</f>
        <v/>
      </c>
      <c r="AX36">
        <f>AX35</f>
        <v/>
      </c>
      <c r="AY36">
        <f>AY35</f>
        <v/>
      </c>
      <c r="AZ36">
        <f>AZ35</f>
        <v/>
      </c>
      <c r="BA36">
        <f>BA35</f>
        <v/>
      </c>
      <c r="BB36">
        <f>BB35</f>
        <v/>
      </c>
      <c r="BC36">
        <f>BC35</f>
        <v/>
      </c>
      <c r="BD36">
        <f>BD35</f>
        <v/>
      </c>
      <c r="BE36">
        <f>BE35</f>
        <v/>
      </c>
      <c r="BF36">
        <f>BF35</f>
        <v/>
      </c>
    </row>
    <row r="37" ht="13" customHeight="1" s="213">
      <c r="G37" s="23" t="inlineStr">
        <is>
          <t>CroSloven</t>
        </is>
      </c>
      <c r="H37" s="22" t="inlineStr">
        <is>
          <t>*0.90</t>
        </is>
      </c>
      <c r="W37" t="inlineStr">
        <is>
          <t>Trd_2w_elc150_154</t>
        </is>
      </c>
      <c r="X37">
        <f>X36</f>
        <v/>
      </c>
      <c r="Y37">
        <f>Y36</f>
        <v/>
      </c>
      <c r="Z37">
        <f>Z36</f>
        <v/>
      </c>
      <c r="AA37">
        <f>AA36</f>
        <v/>
      </c>
      <c r="AB37">
        <f>AB36</f>
        <v/>
      </c>
      <c r="AC37">
        <f>AC36</f>
        <v/>
      </c>
      <c r="AD37">
        <f>AD36</f>
        <v/>
      </c>
      <c r="AE37">
        <f>AE36</f>
        <v/>
      </c>
      <c r="AF37">
        <f>AF36</f>
        <v/>
      </c>
      <c r="AG37">
        <f>AG36</f>
        <v/>
      </c>
      <c r="AH37">
        <f>AH36</f>
        <v/>
      </c>
      <c r="AI37">
        <f>AI36</f>
        <v/>
      </c>
      <c r="AJ37">
        <f>AJ36</f>
        <v/>
      </c>
      <c r="AK37">
        <f>AK36</f>
        <v/>
      </c>
      <c r="AL37">
        <f>AL36</f>
        <v/>
      </c>
      <c r="AM37">
        <f>AM36</f>
        <v/>
      </c>
      <c r="AN37">
        <f>AN36</f>
        <v/>
      </c>
      <c r="AO37">
        <f>AO36</f>
        <v/>
      </c>
      <c r="AP37">
        <f>AP36</f>
        <v/>
      </c>
      <c r="AQ37">
        <f>AQ36</f>
        <v/>
      </c>
      <c r="AR37">
        <f>AR36</f>
        <v/>
      </c>
      <c r="AS37">
        <f>AS36</f>
        <v/>
      </c>
      <c r="AT37">
        <f>AT36</f>
        <v/>
      </c>
      <c r="AU37">
        <f>AU36</f>
        <v/>
      </c>
      <c r="AV37">
        <f>AV36</f>
        <v/>
      </c>
      <c r="AW37">
        <f>AW36</f>
        <v/>
      </c>
      <c r="AX37">
        <f>AX36</f>
        <v/>
      </c>
      <c r="AY37">
        <f>AY36</f>
        <v/>
      </c>
      <c r="AZ37">
        <f>AZ36</f>
        <v/>
      </c>
      <c r="BA37">
        <f>BA36</f>
        <v/>
      </c>
      <c r="BB37">
        <f>BB36</f>
        <v/>
      </c>
      <c r="BC37">
        <f>BC36</f>
        <v/>
      </c>
      <c r="BD37">
        <f>BD36</f>
        <v/>
      </c>
      <c r="BE37">
        <f>BE36</f>
        <v/>
      </c>
      <c r="BF37">
        <f>BF36</f>
        <v/>
      </c>
    </row>
    <row r="38" ht="13" customHeight="1" s="213">
      <c r="G38" s="23" t="inlineStr">
        <is>
          <t>CzechSlovak</t>
        </is>
      </c>
      <c r="H38" s="22" t="inlineStr">
        <is>
          <t>*0.90</t>
        </is>
      </c>
      <c r="W38" t="inlineStr">
        <is>
          <t>Trd_2w_elc150_166</t>
        </is>
      </c>
      <c r="X38">
        <f>X37</f>
        <v/>
      </c>
      <c r="Y38">
        <f>Y37</f>
        <v/>
      </c>
      <c r="Z38">
        <f>Z37</f>
        <v/>
      </c>
      <c r="AA38">
        <f>AA37</f>
        <v/>
      </c>
      <c r="AB38">
        <f>AB37</f>
        <v/>
      </c>
      <c r="AC38">
        <f>AC37</f>
        <v/>
      </c>
      <c r="AD38">
        <f>AD37</f>
        <v/>
      </c>
      <c r="AE38">
        <f>AE37</f>
        <v/>
      </c>
      <c r="AF38">
        <f>AF37</f>
        <v/>
      </c>
      <c r="AG38">
        <f>AG37</f>
        <v/>
      </c>
      <c r="AH38">
        <f>AH37</f>
        <v/>
      </c>
      <c r="AI38">
        <f>AI37</f>
        <v/>
      </c>
      <c r="AJ38">
        <f>AJ37</f>
        <v/>
      </c>
      <c r="AK38">
        <f>AK37</f>
        <v/>
      </c>
      <c r="AL38">
        <f>AL37</f>
        <v/>
      </c>
      <c r="AM38">
        <f>AM37</f>
        <v/>
      </c>
      <c r="AN38">
        <f>AN37</f>
        <v/>
      </c>
      <c r="AO38">
        <f>AO37</f>
        <v/>
      </c>
      <c r="AP38">
        <f>AP37</f>
        <v/>
      </c>
      <c r="AQ38">
        <f>AQ37</f>
        <v/>
      </c>
      <c r="AR38">
        <f>AR37</f>
        <v/>
      </c>
      <c r="AS38">
        <f>AS37</f>
        <v/>
      </c>
      <c r="AT38">
        <f>AT37</f>
        <v/>
      </c>
      <c r="AU38">
        <f>AU37</f>
        <v/>
      </c>
      <c r="AV38">
        <f>AV37</f>
        <v/>
      </c>
      <c r="AW38">
        <f>AW37</f>
        <v/>
      </c>
      <c r="AX38">
        <f>AX37</f>
        <v/>
      </c>
      <c r="AY38">
        <f>AY37</f>
        <v/>
      </c>
      <c r="AZ38">
        <f>AZ37</f>
        <v/>
      </c>
      <c r="BA38">
        <f>BA37</f>
        <v/>
      </c>
      <c r="BB38">
        <f>BB37</f>
        <v/>
      </c>
      <c r="BC38">
        <f>BC37</f>
        <v/>
      </c>
      <c r="BD38">
        <f>BD37</f>
        <v/>
      </c>
      <c r="BE38">
        <f>BE37</f>
        <v/>
      </c>
      <c r="BF38">
        <f>BF37</f>
        <v/>
      </c>
    </row>
    <row r="39" ht="13" customHeight="1" s="213">
      <c r="G39" s="23" t="inlineStr">
        <is>
          <t>France</t>
        </is>
      </c>
      <c r="H39" s="22" t="inlineStr">
        <is>
          <t>*1.00</t>
        </is>
      </c>
      <c r="W39" t="inlineStr">
        <is>
          <t>Trd_2w_elc150_177</t>
        </is>
      </c>
      <c r="X39">
        <f>X38</f>
        <v/>
      </c>
      <c r="Y39">
        <f>Y38</f>
        <v/>
      </c>
      <c r="Z39">
        <f>Z38</f>
        <v/>
      </c>
      <c r="AA39">
        <f>AA38</f>
        <v/>
      </c>
      <c r="AB39">
        <f>AB38</f>
        <v/>
      </c>
      <c r="AC39">
        <f>AC38</f>
        <v/>
      </c>
      <c r="AD39">
        <f>AD38</f>
        <v/>
      </c>
      <c r="AE39">
        <f>AE38</f>
        <v/>
      </c>
      <c r="AF39">
        <f>AF38</f>
        <v/>
      </c>
      <c r="AG39">
        <f>AG38</f>
        <v/>
      </c>
      <c r="AH39">
        <f>AH38</f>
        <v/>
      </c>
      <c r="AI39">
        <f>AI38</f>
        <v/>
      </c>
      <c r="AJ39">
        <f>AJ38</f>
        <v/>
      </c>
      <c r="AK39">
        <f>AK38</f>
        <v/>
      </c>
      <c r="AL39">
        <f>AL38</f>
        <v/>
      </c>
      <c r="AM39">
        <f>AM38</f>
        <v/>
      </c>
      <c r="AN39">
        <f>AN38</f>
        <v/>
      </c>
      <c r="AO39">
        <f>AO38</f>
        <v/>
      </c>
      <c r="AP39">
        <f>AP38</f>
        <v/>
      </c>
      <c r="AQ39">
        <f>AQ38</f>
        <v/>
      </c>
      <c r="AR39">
        <f>AR38</f>
        <v/>
      </c>
      <c r="AS39">
        <f>AS38</f>
        <v/>
      </c>
      <c r="AT39">
        <f>AT38</f>
        <v/>
      </c>
      <c r="AU39">
        <f>AU38</f>
        <v/>
      </c>
      <c r="AV39">
        <f>AV38</f>
        <v/>
      </c>
      <c r="AW39">
        <f>AW38</f>
        <v/>
      </c>
      <c r="AX39">
        <f>AX38</f>
        <v/>
      </c>
      <c r="AY39">
        <f>AY38</f>
        <v/>
      </c>
      <c r="AZ39">
        <f>AZ38</f>
        <v/>
      </c>
      <c r="BA39">
        <f>BA38</f>
        <v/>
      </c>
      <c r="BB39">
        <f>BB38</f>
        <v/>
      </c>
      <c r="BC39">
        <f>BC38</f>
        <v/>
      </c>
      <c r="BD39">
        <f>BD38</f>
        <v/>
      </c>
      <c r="BE39">
        <f>BE38</f>
        <v/>
      </c>
      <c r="BF39">
        <f>BF38</f>
        <v/>
      </c>
    </row>
    <row r="40" ht="13" customHeight="1" s="213">
      <c r="G40" s="23" t="inlineStr">
        <is>
          <t>Germany</t>
        </is>
      </c>
      <c r="H40" s="22" t="inlineStr">
        <is>
          <t>*1.05</t>
        </is>
      </c>
      <c r="W40" t="inlineStr">
        <is>
          <t>Trd_2w_elc150_189</t>
        </is>
      </c>
      <c r="X40">
        <f>X39</f>
        <v/>
      </c>
      <c r="Y40">
        <f>Y39</f>
        <v/>
      </c>
      <c r="Z40">
        <f>Z39</f>
        <v/>
      </c>
      <c r="AA40">
        <f>AA39</f>
        <v/>
      </c>
      <c r="AB40">
        <f>AB39</f>
        <v/>
      </c>
      <c r="AC40">
        <f>AC39</f>
        <v/>
      </c>
      <c r="AD40">
        <f>AD39</f>
        <v/>
      </c>
      <c r="AE40">
        <f>AE39</f>
        <v/>
      </c>
      <c r="AF40">
        <f>AF39</f>
        <v/>
      </c>
      <c r="AG40">
        <f>AG39</f>
        <v/>
      </c>
      <c r="AH40">
        <f>AH39</f>
        <v/>
      </c>
      <c r="AI40">
        <f>AI39</f>
        <v/>
      </c>
      <c r="AJ40">
        <f>AJ39</f>
        <v/>
      </c>
      <c r="AK40">
        <f>AK39</f>
        <v/>
      </c>
      <c r="AL40">
        <f>AL39</f>
        <v/>
      </c>
      <c r="AM40">
        <f>AM39</f>
        <v/>
      </c>
      <c r="AN40">
        <f>AN39</f>
        <v/>
      </c>
      <c r="AO40">
        <f>AO39</f>
        <v/>
      </c>
      <c r="AP40">
        <f>AP39</f>
        <v/>
      </c>
      <c r="AQ40">
        <f>AQ39</f>
        <v/>
      </c>
      <c r="AR40">
        <f>AR39</f>
        <v/>
      </c>
      <c r="AS40">
        <f>AS39</f>
        <v/>
      </c>
      <c r="AT40">
        <f>AT39</f>
        <v/>
      </c>
      <c r="AU40">
        <f>AU39</f>
        <v/>
      </c>
      <c r="AV40">
        <f>AV39</f>
        <v/>
      </c>
      <c r="AW40">
        <f>AW39</f>
        <v/>
      </c>
      <c r="AX40">
        <f>AX39</f>
        <v/>
      </c>
      <c r="AY40">
        <f>AY39</f>
        <v/>
      </c>
      <c r="AZ40">
        <f>AZ39</f>
        <v/>
      </c>
      <c r="BA40">
        <f>BA39</f>
        <v/>
      </c>
      <c r="BB40">
        <f>BB39</f>
        <v/>
      </c>
      <c r="BC40">
        <f>BC39</f>
        <v/>
      </c>
      <c r="BD40">
        <f>BD39</f>
        <v/>
      </c>
      <c r="BE40">
        <f>BE39</f>
        <v/>
      </c>
      <c r="BF40">
        <f>BF39</f>
        <v/>
      </c>
    </row>
    <row r="41" ht="13" customHeight="1" s="213">
      <c r="G41" s="23" t="inlineStr">
        <is>
          <t>GreeceCyp</t>
        </is>
      </c>
      <c r="H41" s="22" t="inlineStr">
        <is>
          <t>*0.90</t>
        </is>
      </c>
      <c r="W41" t="inlineStr">
        <is>
          <t>Trd_2w_elc150_200</t>
        </is>
      </c>
      <c r="X41">
        <f>X40</f>
        <v/>
      </c>
      <c r="Y41">
        <f>Y40</f>
        <v/>
      </c>
      <c r="Z41">
        <f>Z40</f>
        <v/>
      </c>
      <c r="AA41">
        <f>AA40</f>
        <v/>
      </c>
      <c r="AB41">
        <f>AB40</f>
        <v/>
      </c>
      <c r="AC41">
        <f>AC40</f>
        <v/>
      </c>
      <c r="AD41">
        <f>AD40</f>
        <v/>
      </c>
      <c r="AE41">
        <f>AE40</f>
        <v/>
      </c>
      <c r="AF41">
        <f>AF40</f>
        <v/>
      </c>
      <c r="AG41">
        <f>AG40</f>
        <v/>
      </c>
      <c r="AH41">
        <f>AH40</f>
        <v/>
      </c>
      <c r="AI41">
        <f>AI40</f>
        <v/>
      </c>
      <c r="AJ41">
        <f>AJ40</f>
        <v/>
      </c>
      <c r="AK41">
        <f>AK40</f>
        <v/>
      </c>
      <c r="AL41">
        <f>AL40</f>
        <v/>
      </c>
      <c r="AM41">
        <f>AM40</f>
        <v/>
      </c>
      <c r="AN41">
        <f>AN40</f>
        <v/>
      </c>
      <c r="AO41">
        <f>AO40</f>
        <v/>
      </c>
      <c r="AP41">
        <f>AP40</f>
        <v/>
      </c>
      <c r="AQ41">
        <f>AQ40</f>
        <v/>
      </c>
      <c r="AR41">
        <f>AR40</f>
        <v/>
      </c>
      <c r="AS41">
        <f>AS40</f>
        <v/>
      </c>
      <c r="AT41">
        <f>AT40</f>
        <v/>
      </c>
      <c r="AU41">
        <f>AU40</f>
        <v/>
      </c>
      <c r="AV41">
        <f>AV40</f>
        <v/>
      </c>
      <c r="AW41">
        <f>AW40</f>
        <v/>
      </c>
      <c r="AX41">
        <f>AX40</f>
        <v/>
      </c>
      <c r="AY41">
        <f>AY40</f>
        <v/>
      </c>
      <c r="AZ41">
        <f>AZ40</f>
        <v/>
      </c>
      <c r="BA41">
        <f>BA40</f>
        <v/>
      </c>
      <c r="BB41">
        <f>BB40</f>
        <v/>
      </c>
      <c r="BC41">
        <f>BC40</f>
        <v/>
      </c>
      <c r="BD41">
        <f>BD40</f>
        <v/>
      </c>
      <c r="BE41">
        <f>BE40</f>
        <v/>
      </c>
      <c r="BF41">
        <f>BF40</f>
        <v/>
      </c>
    </row>
    <row r="42" ht="13" customHeight="1" s="213">
      <c r="G42" s="23" t="inlineStr">
        <is>
          <t>HunRomBul</t>
        </is>
      </c>
      <c r="H42" s="22" t="inlineStr">
        <is>
          <t>*0.85</t>
        </is>
      </c>
      <c r="W42" t="inlineStr">
        <is>
          <t>Trd_2w_elc500_120</t>
        </is>
      </c>
      <c r="X42">
        <f>X41</f>
        <v/>
      </c>
      <c r="Y42">
        <f>Y41</f>
        <v/>
      </c>
      <c r="Z42">
        <f>Z41</f>
        <v/>
      </c>
      <c r="AA42">
        <f>AA41</f>
        <v/>
      </c>
      <c r="AB42">
        <f>AB41</f>
        <v/>
      </c>
      <c r="AC42">
        <f>AC41</f>
        <v/>
      </c>
      <c r="AD42">
        <f>AD41</f>
        <v/>
      </c>
      <c r="AE42">
        <f>AE41</f>
        <v/>
      </c>
      <c r="AF42">
        <f>AF41</f>
        <v/>
      </c>
      <c r="AG42">
        <f>AG41</f>
        <v/>
      </c>
      <c r="AH42">
        <f>AH41</f>
        <v/>
      </c>
      <c r="AI42">
        <f>AI41</f>
        <v/>
      </c>
      <c r="AJ42">
        <f>AJ41</f>
        <v/>
      </c>
      <c r="AK42">
        <f>AK41</f>
        <v/>
      </c>
      <c r="AL42">
        <f>AL41</f>
        <v/>
      </c>
      <c r="AM42">
        <f>AM41</f>
        <v/>
      </c>
      <c r="AN42">
        <f>AN41</f>
        <v/>
      </c>
      <c r="AO42">
        <f>AO41</f>
        <v/>
      </c>
      <c r="AP42">
        <f>AP41</f>
        <v/>
      </c>
      <c r="AQ42">
        <f>AQ41</f>
        <v/>
      </c>
      <c r="AR42">
        <f>AR41</f>
        <v/>
      </c>
      <c r="AS42">
        <f>AS41</f>
        <v/>
      </c>
      <c r="AT42">
        <f>AT41</f>
        <v/>
      </c>
      <c r="AU42">
        <f>AU41</f>
        <v/>
      </c>
      <c r="AV42">
        <f>AV41</f>
        <v/>
      </c>
      <c r="AW42">
        <f>AW41</f>
        <v/>
      </c>
      <c r="AX42">
        <f>AX41</f>
        <v/>
      </c>
      <c r="AY42">
        <f>AY41</f>
        <v/>
      </c>
      <c r="AZ42">
        <f>AZ41</f>
        <v/>
      </c>
      <c r="BA42">
        <f>BA41</f>
        <v/>
      </c>
      <c r="BB42">
        <f>BB41</f>
        <v/>
      </c>
      <c r="BC42">
        <f>BC41</f>
        <v/>
      </c>
      <c r="BD42">
        <f>BD41</f>
        <v/>
      </c>
      <c r="BE42">
        <f>BE41</f>
        <v/>
      </c>
      <c r="BF42">
        <f>BF41</f>
        <v/>
      </c>
    </row>
    <row r="43" ht="13" customHeight="1" s="213">
      <c r="G43" s="23" t="inlineStr">
        <is>
          <t>Iceland</t>
        </is>
      </c>
      <c r="H43" s="22" t="inlineStr">
        <is>
          <t>*1.10</t>
        </is>
      </c>
      <c r="W43" t="inlineStr">
        <is>
          <t>Trd_2w_elc500_131</t>
        </is>
      </c>
      <c r="X43">
        <f>X42</f>
        <v/>
      </c>
      <c r="Y43">
        <f>Y42</f>
        <v/>
      </c>
      <c r="Z43">
        <f>Z42</f>
        <v/>
      </c>
      <c r="AA43">
        <f>AA42</f>
        <v/>
      </c>
      <c r="AB43">
        <f>AB42</f>
        <v/>
      </c>
      <c r="AC43">
        <f>AC42</f>
        <v/>
      </c>
      <c r="AD43">
        <f>AD42</f>
        <v/>
      </c>
      <c r="AE43">
        <f>AE42</f>
        <v/>
      </c>
      <c r="AF43">
        <f>AF42</f>
        <v/>
      </c>
      <c r="AG43">
        <f>AG42</f>
        <v/>
      </c>
      <c r="AH43">
        <f>AH42</f>
        <v/>
      </c>
      <c r="AI43">
        <f>AI42</f>
        <v/>
      </c>
      <c r="AJ43">
        <f>AJ42</f>
        <v/>
      </c>
      <c r="AK43">
        <f>AK42</f>
        <v/>
      </c>
      <c r="AL43">
        <f>AL42</f>
        <v/>
      </c>
      <c r="AM43">
        <f>AM42</f>
        <v/>
      </c>
      <c r="AN43">
        <f>AN42</f>
        <v/>
      </c>
      <c r="AO43">
        <f>AO42</f>
        <v/>
      </c>
      <c r="AP43">
        <f>AP42</f>
        <v/>
      </c>
      <c r="AQ43">
        <f>AQ42</f>
        <v/>
      </c>
      <c r="AR43">
        <f>AR42</f>
        <v/>
      </c>
      <c r="AS43">
        <f>AS42</f>
        <v/>
      </c>
      <c r="AT43">
        <f>AT42</f>
        <v/>
      </c>
      <c r="AU43">
        <f>AU42</f>
        <v/>
      </c>
      <c r="AV43">
        <f>AV42</f>
        <v/>
      </c>
      <c r="AW43">
        <f>AW42</f>
        <v/>
      </c>
      <c r="AX43">
        <f>AX42</f>
        <v/>
      </c>
      <c r="AY43">
        <f>AY42</f>
        <v/>
      </c>
      <c r="AZ43">
        <f>AZ42</f>
        <v/>
      </c>
      <c r="BA43">
        <f>BA42</f>
        <v/>
      </c>
      <c r="BB43">
        <f>BB42</f>
        <v/>
      </c>
      <c r="BC43">
        <f>BC42</f>
        <v/>
      </c>
      <c r="BD43">
        <f>BD42</f>
        <v/>
      </c>
      <c r="BE43">
        <f>BE42</f>
        <v/>
      </c>
      <c r="BF43">
        <f>BF42</f>
        <v/>
      </c>
    </row>
    <row r="44" ht="13" customHeight="1" s="213">
      <c r="G44" s="23" t="inlineStr">
        <is>
          <t>India</t>
        </is>
      </c>
      <c r="H44" s="22" t="inlineStr">
        <is>
          <t>*0.70</t>
        </is>
      </c>
      <c r="W44" t="inlineStr">
        <is>
          <t>Trd_2w_elc500_143</t>
        </is>
      </c>
      <c r="X44">
        <f>X43</f>
        <v/>
      </c>
      <c r="Y44">
        <f>Y43</f>
        <v/>
      </c>
      <c r="Z44">
        <f>Z43</f>
        <v/>
      </c>
      <c r="AA44">
        <f>AA43</f>
        <v/>
      </c>
      <c r="AB44">
        <f>AB43</f>
        <v/>
      </c>
      <c r="AC44">
        <f>AC43</f>
        <v/>
      </c>
      <c r="AD44">
        <f>AD43</f>
        <v/>
      </c>
      <c r="AE44">
        <f>AE43</f>
        <v/>
      </c>
      <c r="AF44">
        <f>AF43</f>
        <v/>
      </c>
      <c r="AG44">
        <f>AG43</f>
        <v/>
      </c>
      <c r="AH44">
        <f>AH43</f>
        <v/>
      </c>
      <c r="AI44">
        <f>AI43</f>
        <v/>
      </c>
      <c r="AJ44">
        <f>AJ43</f>
        <v/>
      </c>
      <c r="AK44">
        <f>AK43</f>
        <v/>
      </c>
      <c r="AL44">
        <f>AL43</f>
        <v/>
      </c>
      <c r="AM44">
        <f>AM43</f>
        <v/>
      </c>
      <c r="AN44">
        <f>AN43</f>
        <v/>
      </c>
      <c r="AO44">
        <f>AO43</f>
        <v/>
      </c>
      <c r="AP44">
        <f>AP43</f>
        <v/>
      </c>
      <c r="AQ44">
        <f>AQ43</f>
        <v/>
      </c>
      <c r="AR44">
        <f>AR43</f>
        <v/>
      </c>
      <c r="AS44">
        <f>AS43</f>
        <v/>
      </c>
      <c r="AT44">
        <f>AT43</f>
        <v/>
      </c>
      <c r="AU44">
        <f>AU43</f>
        <v/>
      </c>
      <c r="AV44">
        <f>AV43</f>
        <v/>
      </c>
      <c r="AW44">
        <f>AW43</f>
        <v/>
      </c>
      <c r="AX44">
        <f>AX43</f>
        <v/>
      </c>
      <c r="AY44">
        <f>AY43</f>
        <v/>
      </c>
      <c r="AZ44">
        <f>AZ43</f>
        <v/>
      </c>
      <c r="BA44">
        <f>BA43</f>
        <v/>
      </c>
      <c r="BB44">
        <f>BB43</f>
        <v/>
      </c>
      <c r="BC44">
        <f>BC43</f>
        <v/>
      </c>
      <c r="BD44">
        <f>BD43</f>
        <v/>
      </c>
      <c r="BE44">
        <f>BE43</f>
        <v/>
      </c>
      <c r="BF44">
        <f>BF43</f>
        <v/>
      </c>
    </row>
    <row r="45" ht="13" customHeight="1" s="213">
      <c r="G45" s="23" t="inlineStr">
        <is>
          <t>Ireland</t>
        </is>
      </c>
      <c r="H45" s="22" t="inlineStr">
        <is>
          <t>*1.00</t>
        </is>
      </c>
      <c r="W45" t="inlineStr">
        <is>
          <t>Trd_2w_elc500_154</t>
        </is>
      </c>
      <c r="X45">
        <f>X44</f>
        <v/>
      </c>
      <c r="Y45">
        <f>Y44</f>
        <v/>
      </c>
      <c r="Z45">
        <f>Z44</f>
        <v/>
      </c>
      <c r="AA45">
        <f>AA44</f>
        <v/>
      </c>
      <c r="AB45">
        <f>AB44</f>
        <v/>
      </c>
      <c r="AC45">
        <f>AC44</f>
        <v/>
      </c>
      <c r="AD45">
        <f>AD44</f>
        <v/>
      </c>
      <c r="AE45">
        <f>AE44</f>
        <v/>
      </c>
      <c r="AF45">
        <f>AF44</f>
        <v/>
      </c>
      <c r="AG45">
        <f>AG44</f>
        <v/>
      </c>
      <c r="AH45">
        <f>AH44</f>
        <v/>
      </c>
      <c r="AI45">
        <f>AI44</f>
        <v/>
      </c>
      <c r="AJ45">
        <f>AJ44</f>
        <v/>
      </c>
      <c r="AK45">
        <f>AK44</f>
        <v/>
      </c>
      <c r="AL45">
        <f>AL44</f>
        <v/>
      </c>
      <c r="AM45">
        <f>AM44</f>
        <v/>
      </c>
      <c r="AN45">
        <f>AN44</f>
        <v/>
      </c>
      <c r="AO45">
        <f>AO44</f>
        <v/>
      </c>
      <c r="AP45">
        <f>AP44</f>
        <v/>
      </c>
      <c r="AQ45">
        <f>AQ44</f>
        <v/>
      </c>
      <c r="AR45">
        <f>AR44</f>
        <v/>
      </c>
      <c r="AS45">
        <f>AS44</f>
        <v/>
      </c>
      <c r="AT45">
        <f>AT44</f>
        <v/>
      </c>
      <c r="AU45">
        <f>AU44</f>
        <v/>
      </c>
      <c r="AV45">
        <f>AV44</f>
        <v/>
      </c>
      <c r="AW45">
        <f>AW44</f>
        <v/>
      </c>
      <c r="AX45">
        <f>AX44</f>
        <v/>
      </c>
      <c r="AY45">
        <f>AY44</f>
        <v/>
      </c>
      <c r="AZ45">
        <f>AZ44</f>
        <v/>
      </c>
      <c r="BA45">
        <f>BA44</f>
        <v/>
      </c>
      <c r="BB45">
        <f>BB44</f>
        <v/>
      </c>
      <c r="BC45">
        <f>BC44</f>
        <v/>
      </c>
      <c r="BD45">
        <f>BD44</f>
        <v/>
      </c>
      <c r="BE45">
        <f>BE44</f>
        <v/>
      </c>
      <c r="BF45">
        <f>BF44</f>
        <v/>
      </c>
    </row>
    <row r="46" ht="13" customHeight="1" s="213">
      <c r="G46" s="23" t="inlineStr">
        <is>
          <t>ItalyMal</t>
        </is>
      </c>
      <c r="H46" s="22" t="inlineStr">
        <is>
          <t>*0.95</t>
        </is>
      </c>
      <c r="W46" t="inlineStr">
        <is>
          <t>Trd_2w_elc500_166</t>
        </is>
      </c>
      <c r="X46">
        <f>X45</f>
        <v/>
      </c>
      <c r="Y46">
        <f>Y45</f>
        <v/>
      </c>
      <c r="Z46">
        <f>Z45</f>
        <v/>
      </c>
      <c r="AA46">
        <f>AA45</f>
        <v/>
      </c>
      <c r="AB46">
        <f>AB45</f>
        <v/>
      </c>
      <c r="AC46">
        <f>AC45</f>
        <v/>
      </c>
      <c r="AD46">
        <f>AD45</f>
        <v/>
      </c>
      <c r="AE46">
        <f>AE45</f>
        <v/>
      </c>
      <c r="AF46">
        <f>AF45</f>
        <v/>
      </c>
      <c r="AG46">
        <f>AG45</f>
        <v/>
      </c>
      <c r="AH46">
        <f>AH45</f>
        <v/>
      </c>
      <c r="AI46">
        <f>AI45</f>
        <v/>
      </c>
      <c r="AJ46">
        <f>AJ45</f>
        <v/>
      </c>
      <c r="AK46">
        <f>AK45</f>
        <v/>
      </c>
      <c r="AL46">
        <f>AL45</f>
        <v/>
      </c>
      <c r="AM46">
        <f>AM45</f>
        <v/>
      </c>
      <c r="AN46">
        <f>AN45</f>
        <v/>
      </c>
      <c r="AO46">
        <f>AO45</f>
        <v/>
      </c>
      <c r="AP46">
        <f>AP45</f>
        <v/>
      </c>
      <c r="AQ46">
        <f>AQ45</f>
        <v/>
      </c>
      <c r="AR46">
        <f>AR45</f>
        <v/>
      </c>
      <c r="AS46">
        <f>AS45</f>
        <v/>
      </c>
      <c r="AT46">
        <f>AT45</f>
        <v/>
      </c>
      <c r="AU46">
        <f>AU45</f>
        <v/>
      </c>
      <c r="AV46">
        <f>AV45</f>
        <v/>
      </c>
      <c r="AW46">
        <f>AW45</f>
        <v/>
      </c>
      <c r="AX46">
        <f>AX45</f>
        <v/>
      </c>
      <c r="AY46">
        <f>AY45</f>
        <v/>
      </c>
      <c r="AZ46">
        <f>AZ45</f>
        <v/>
      </c>
      <c r="BA46">
        <f>BA45</f>
        <v/>
      </c>
      <c r="BB46">
        <f>BB45</f>
        <v/>
      </c>
      <c r="BC46">
        <f>BC45</f>
        <v/>
      </c>
      <c r="BD46">
        <f>BD45</f>
        <v/>
      </c>
      <c r="BE46">
        <f>BE45</f>
        <v/>
      </c>
      <c r="BF46">
        <f>BF45</f>
        <v/>
      </c>
    </row>
    <row r="47" ht="13" customHeight="1" s="213">
      <c r="G47" s="23" t="inlineStr">
        <is>
          <t>Japan</t>
        </is>
      </c>
      <c r="H47" s="22" t="inlineStr">
        <is>
          <t>*1.00</t>
        </is>
      </c>
      <c r="W47" t="inlineStr">
        <is>
          <t>Trd_2w_elc500_177</t>
        </is>
      </c>
      <c r="X47">
        <f>X46</f>
        <v/>
      </c>
      <c r="Y47">
        <f>Y46</f>
        <v/>
      </c>
      <c r="Z47">
        <f>Z46</f>
        <v/>
      </c>
      <c r="AA47">
        <f>AA46</f>
        <v/>
      </c>
      <c r="AB47">
        <f>AB46</f>
        <v/>
      </c>
      <c r="AC47">
        <f>AC46</f>
        <v/>
      </c>
      <c r="AD47">
        <f>AD46</f>
        <v/>
      </c>
      <c r="AE47">
        <f>AE46</f>
        <v/>
      </c>
      <c r="AF47">
        <f>AF46</f>
        <v/>
      </c>
      <c r="AG47">
        <f>AG46</f>
        <v/>
      </c>
      <c r="AH47">
        <f>AH46</f>
        <v/>
      </c>
      <c r="AI47">
        <f>AI46</f>
        <v/>
      </c>
      <c r="AJ47">
        <f>AJ46</f>
        <v/>
      </c>
      <c r="AK47">
        <f>AK46</f>
        <v/>
      </c>
      <c r="AL47">
        <f>AL46</f>
        <v/>
      </c>
      <c r="AM47">
        <f>AM46</f>
        <v/>
      </c>
      <c r="AN47">
        <f>AN46</f>
        <v/>
      </c>
      <c r="AO47">
        <f>AO46</f>
        <v/>
      </c>
      <c r="AP47">
        <f>AP46</f>
        <v/>
      </c>
      <c r="AQ47">
        <f>AQ46</f>
        <v/>
      </c>
      <c r="AR47">
        <f>AR46</f>
        <v/>
      </c>
      <c r="AS47">
        <f>AS46</f>
        <v/>
      </c>
      <c r="AT47">
        <f>AT46</f>
        <v/>
      </c>
      <c r="AU47">
        <f>AU46</f>
        <v/>
      </c>
      <c r="AV47">
        <f>AV46</f>
        <v/>
      </c>
      <c r="AW47">
        <f>AW46</f>
        <v/>
      </c>
      <c r="AX47">
        <f>AX46</f>
        <v/>
      </c>
      <c r="AY47">
        <f>AY46</f>
        <v/>
      </c>
      <c r="AZ47">
        <f>AZ46</f>
        <v/>
      </c>
      <c r="BA47">
        <f>BA46</f>
        <v/>
      </c>
      <c r="BB47">
        <f>BB46</f>
        <v/>
      </c>
      <c r="BC47">
        <f>BC46</f>
        <v/>
      </c>
      <c r="BD47">
        <f>BD46</f>
        <v/>
      </c>
      <c r="BE47">
        <f>BE46</f>
        <v/>
      </c>
      <c r="BF47">
        <f>BF46</f>
        <v/>
      </c>
    </row>
    <row r="48" ht="13" customHeight="1" s="213">
      <c r="G48" s="23" t="inlineStr">
        <is>
          <t>LatAm</t>
        </is>
      </c>
      <c r="H48" s="22" t="inlineStr">
        <is>
          <t>*0.85</t>
        </is>
      </c>
      <c r="W48" t="inlineStr">
        <is>
          <t>Trd_2w_elc500_189</t>
        </is>
      </c>
      <c r="X48">
        <f>X47</f>
        <v/>
      </c>
      <c r="Y48">
        <f>Y47</f>
        <v/>
      </c>
      <c r="Z48">
        <f>Z47</f>
        <v/>
      </c>
      <c r="AA48">
        <f>AA47</f>
        <v/>
      </c>
      <c r="AB48">
        <f>AB47</f>
        <v/>
      </c>
      <c r="AC48">
        <f>AC47</f>
        <v/>
      </c>
      <c r="AD48">
        <f>AD47</f>
        <v/>
      </c>
      <c r="AE48">
        <f>AE47</f>
        <v/>
      </c>
      <c r="AF48">
        <f>AF47</f>
        <v/>
      </c>
      <c r="AG48">
        <f>AG47</f>
        <v/>
      </c>
      <c r="AH48">
        <f>AH47</f>
        <v/>
      </c>
      <c r="AI48">
        <f>AI47</f>
        <v/>
      </c>
      <c r="AJ48">
        <f>AJ47</f>
        <v/>
      </c>
      <c r="AK48">
        <f>AK47</f>
        <v/>
      </c>
      <c r="AL48">
        <f>AL47</f>
        <v/>
      </c>
      <c r="AM48">
        <f>AM47</f>
        <v/>
      </c>
      <c r="AN48">
        <f>AN47</f>
        <v/>
      </c>
      <c r="AO48">
        <f>AO47</f>
        <v/>
      </c>
      <c r="AP48">
        <f>AP47</f>
        <v/>
      </c>
      <c r="AQ48">
        <f>AQ47</f>
        <v/>
      </c>
      <c r="AR48">
        <f>AR47</f>
        <v/>
      </c>
      <c r="AS48">
        <f>AS47</f>
        <v/>
      </c>
      <c r="AT48">
        <f>AT47</f>
        <v/>
      </c>
      <c r="AU48">
        <f>AU47</f>
        <v/>
      </c>
      <c r="AV48">
        <f>AV47</f>
        <v/>
      </c>
      <c r="AW48">
        <f>AW47</f>
        <v/>
      </c>
      <c r="AX48">
        <f>AX47</f>
        <v/>
      </c>
      <c r="AY48">
        <f>AY47</f>
        <v/>
      </c>
      <c r="AZ48">
        <f>AZ47</f>
        <v/>
      </c>
      <c r="BA48">
        <f>BA47</f>
        <v/>
      </c>
      <c r="BB48">
        <f>BB47</f>
        <v/>
      </c>
      <c r="BC48">
        <f>BC47</f>
        <v/>
      </c>
      <c r="BD48">
        <f>BD47</f>
        <v/>
      </c>
      <c r="BE48">
        <f>BE47</f>
        <v/>
      </c>
      <c r="BF48">
        <f>BF47</f>
        <v/>
      </c>
    </row>
    <row r="49" ht="13" customHeight="1" s="213">
      <c r="G49" s="23" t="inlineStr">
        <is>
          <t>MidEast</t>
        </is>
      </c>
      <c r="H49" s="22" t="inlineStr">
        <is>
          <t>*0.90</t>
        </is>
      </c>
      <c r="W49" t="inlineStr">
        <is>
          <t>Trd_2w_elc500_200</t>
        </is>
      </c>
      <c r="X49">
        <f>X48</f>
        <v/>
      </c>
      <c r="Y49">
        <f>Y48</f>
        <v/>
      </c>
      <c r="Z49">
        <f>Z48</f>
        <v/>
      </c>
      <c r="AA49">
        <f>AA48</f>
        <v/>
      </c>
      <c r="AB49">
        <f>AB48</f>
        <v/>
      </c>
      <c r="AC49">
        <f>AC48</f>
        <v/>
      </c>
      <c r="AD49">
        <f>AD48</f>
        <v/>
      </c>
      <c r="AE49">
        <f>AE48</f>
        <v/>
      </c>
      <c r="AF49">
        <f>AF48</f>
        <v/>
      </c>
      <c r="AG49">
        <f>AG48</f>
        <v/>
      </c>
      <c r="AH49">
        <f>AH48</f>
        <v/>
      </c>
      <c r="AI49">
        <f>AI48</f>
        <v/>
      </c>
      <c r="AJ49">
        <f>AJ48</f>
        <v/>
      </c>
      <c r="AK49">
        <f>AK48</f>
        <v/>
      </c>
      <c r="AL49">
        <f>AL48</f>
        <v/>
      </c>
      <c r="AM49">
        <f>AM48</f>
        <v/>
      </c>
      <c r="AN49">
        <f>AN48</f>
        <v/>
      </c>
      <c r="AO49">
        <f>AO48</f>
        <v/>
      </c>
      <c r="AP49">
        <f>AP48</f>
        <v/>
      </c>
      <c r="AQ49">
        <f>AQ48</f>
        <v/>
      </c>
      <c r="AR49">
        <f>AR48</f>
        <v/>
      </c>
      <c r="AS49">
        <f>AS48</f>
        <v/>
      </c>
      <c r="AT49">
        <f>AT48</f>
        <v/>
      </c>
      <c r="AU49">
        <f>AU48</f>
        <v/>
      </c>
      <c r="AV49">
        <f>AV48</f>
        <v/>
      </c>
      <c r="AW49">
        <f>AW48</f>
        <v/>
      </c>
      <c r="AX49">
        <f>AX48</f>
        <v/>
      </c>
      <c r="AY49">
        <f>AY48</f>
        <v/>
      </c>
      <c r="AZ49">
        <f>AZ48</f>
        <v/>
      </c>
      <c r="BA49">
        <f>BA48</f>
        <v/>
      </c>
      <c r="BB49">
        <f>BB48</f>
        <v/>
      </c>
      <c r="BC49">
        <f>BC48</f>
        <v/>
      </c>
      <c r="BD49">
        <f>BD48</f>
        <v/>
      </c>
      <c r="BE49">
        <f>BE48</f>
        <v/>
      </c>
      <c r="BF49">
        <f>BF48</f>
        <v/>
      </c>
    </row>
    <row r="50" ht="13" customHeight="1" s="213">
      <c r="G50" s="23" t="inlineStr">
        <is>
          <t>NorthAm</t>
        </is>
      </c>
      <c r="H50" s="22" t="inlineStr">
        <is>
          <t>*1.00</t>
        </is>
      </c>
      <c r="W50" t="inlineStr">
        <is>
          <t>Trd_3w_elc_120</t>
        </is>
      </c>
      <c r="X50">
        <f>X49</f>
        <v/>
      </c>
      <c r="Y50">
        <f>Y49</f>
        <v/>
      </c>
      <c r="Z50">
        <f>Z49</f>
        <v/>
      </c>
      <c r="AA50">
        <f>AA49</f>
        <v/>
      </c>
      <c r="AB50">
        <f>AB49</f>
        <v/>
      </c>
      <c r="AC50">
        <f>AC49</f>
        <v/>
      </c>
      <c r="AD50">
        <f>AD49</f>
        <v/>
      </c>
      <c r="AE50">
        <f>AE49</f>
        <v/>
      </c>
      <c r="AF50">
        <f>AF49</f>
        <v/>
      </c>
      <c r="AG50">
        <f>AG49</f>
        <v/>
      </c>
      <c r="AH50">
        <f>AH49</f>
        <v/>
      </c>
      <c r="AI50">
        <f>AI49</f>
        <v/>
      </c>
      <c r="AJ50">
        <f>AJ49</f>
        <v/>
      </c>
      <c r="AK50">
        <f>AK49</f>
        <v/>
      </c>
      <c r="AL50">
        <f>AL49</f>
        <v/>
      </c>
      <c r="AM50">
        <f>AM49</f>
        <v/>
      </c>
      <c r="AN50">
        <f>AN49</f>
        <v/>
      </c>
      <c r="AO50">
        <f>AO49</f>
        <v/>
      </c>
      <c r="AP50">
        <f>AP49</f>
        <v/>
      </c>
      <c r="AQ50">
        <f>AQ49</f>
        <v/>
      </c>
      <c r="AR50">
        <f>AR49</f>
        <v/>
      </c>
      <c r="AS50">
        <f>AS49</f>
        <v/>
      </c>
      <c r="AT50">
        <f>AT49</f>
        <v/>
      </c>
      <c r="AU50">
        <f>AU49</f>
        <v/>
      </c>
      <c r="AV50">
        <f>AV49</f>
        <v/>
      </c>
      <c r="AW50">
        <f>AW49</f>
        <v/>
      </c>
      <c r="AX50">
        <f>AX49</f>
        <v/>
      </c>
      <c r="AY50">
        <f>AY49</f>
        <v/>
      </c>
      <c r="AZ50">
        <f>AZ49</f>
        <v/>
      </c>
      <c r="BA50">
        <f>BA49</f>
        <v/>
      </c>
      <c r="BB50">
        <f>BB49</f>
        <v/>
      </c>
      <c r="BC50">
        <f>BC49</f>
        <v/>
      </c>
      <c r="BD50">
        <f>BD49</f>
        <v/>
      </c>
      <c r="BE50">
        <f>BE49</f>
        <v/>
      </c>
      <c r="BF50">
        <f>BF49</f>
        <v/>
      </c>
    </row>
    <row r="51" ht="13" customHeight="1" s="213">
      <c r="G51" s="23" t="inlineStr">
        <is>
          <t>Norway</t>
        </is>
      </c>
      <c r="H51" s="22" t="inlineStr">
        <is>
          <t>*1.10</t>
        </is>
      </c>
      <c r="W51" t="inlineStr">
        <is>
          <t>Trd_3w_elc_131</t>
        </is>
      </c>
      <c r="X51">
        <f>X50</f>
        <v/>
      </c>
      <c r="Y51">
        <f>Y50</f>
        <v/>
      </c>
      <c r="Z51">
        <f>Z50</f>
        <v/>
      </c>
      <c r="AA51">
        <f>AA50</f>
        <v/>
      </c>
      <c r="AB51">
        <f>AB50</f>
        <v/>
      </c>
      <c r="AC51">
        <f>AC50</f>
        <v/>
      </c>
      <c r="AD51">
        <f>AD50</f>
        <v/>
      </c>
      <c r="AE51">
        <f>AE50</f>
        <v/>
      </c>
      <c r="AF51">
        <f>AF50</f>
        <v/>
      </c>
      <c r="AG51">
        <f>AG50</f>
        <v/>
      </c>
      <c r="AH51">
        <f>AH50</f>
        <v/>
      </c>
      <c r="AI51">
        <f>AI50</f>
        <v/>
      </c>
      <c r="AJ51">
        <f>AJ50</f>
        <v/>
      </c>
      <c r="AK51">
        <f>AK50</f>
        <v/>
      </c>
      <c r="AL51">
        <f>AL50</f>
        <v/>
      </c>
      <c r="AM51">
        <f>AM50</f>
        <v/>
      </c>
      <c r="AN51">
        <f>AN50</f>
        <v/>
      </c>
      <c r="AO51">
        <f>AO50</f>
        <v/>
      </c>
      <c r="AP51">
        <f>AP50</f>
        <v/>
      </c>
      <c r="AQ51">
        <f>AQ50</f>
        <v/>
      </c>
      <c r="AR51">
        <f>AR50</f>
        <v/>
      </c>
      <c r="AS51">
        <f>AS50</f>
        <v/>
      </c>
      <c r="AT51">
        <f>AT50</f>
        <v/>
      </c>
      <c r="AU51">
        <f>AU50</f>
        <v/>
      </c>
      <c r="AV51">
        <f>AV50</f>
        <v/>
      </c>
      <c r="AW51">
        <f>AW50</f>
        <v/>
      </c>
      <c r="AX51">
        <f>AX50</f>
        <v/>
      </c>
      <c r="AY51">
        <f>AY50</f>
        <v/>
      </c>
      <c r="AZ51">
        <f>AZ50</f>
        <v/>
      </c>
      <c r="BA51">
        <f>BA50</f>
        <v/>
      </c>
      <c r="BB51">
        <f>BB50</f>
        <v/>
      </c>
      <c r="BC51">
        <f>BC50</f>
        <v/>
      </c>
      <c r="BD51">
        <f>BD50</f>
        <v/>
      </c>
      <c r="BE51">
        <f>BE50</f>
        <v/>
      </c>
      <c r="BF51">
        <f>BF50</f>
        <v/>
      </c>
    </row>
    <row r="52" ht="13" customHeight="1" s="213">
      <c r="G52" s="23" t="inlineStr">
        <is>
          <t>Poland</t>
        </is>
      </c>
      <c r="H52" s="22" t="inlineStr">
        <is>
          <t>*0.90</t>
        </is>
      </c>
      <c r="W52" t="inlineStr">
        <is>
          <t>Trd_3w_elc_143</t>
        </is>
      </c>
      <c r="X52">
        <f>X51</f>
        <v/>
      </c>
      <c r="Y52">
        <f>Y51</f>
        <v/>
      </c>
      <c r="Z52">
        <f>Z51</f>
        <v/>
      </c>
      <c r="AA52">
        <f>AA51</f>
        <v/>
      </c>
      <c r="AB52">
        <f>AB51</f>
        <v/>
      </c>
      <c r="AC52">
        <f>AC51</f>
        <v/>
      </c>
      <c r="AD52">
        <f>AD51</f>
        <v/>
      </c>
      <c r="AE52">
        <f>AE51</f>
        <v/>
      </c>
      <c r="AF52">
        <f>AF51</f>
        <v/>
      </c>
      <c r="AG52">
        <f>AG51</f>
        <v/>
      </c>
      <c r="AH52">
        <f>AH51</f>
        <v/>
      </c>
      <c r="AI52">
        <f>AI51</f>
        <v/>
      </c>
      <c r="AJ52">
        <f>AJ51</f>
        <v/>
      </c>
      <c r="AK52">
        <f>AK51</f>
        <v/>
      </c>
      <c r="AL52">
        <f>AL51</f>
        <v/>
      </c>
      <c r="AM52">
        <f>AM51</f>
        <v/>
      </c>
      <c r="AN52">
        <f>AN51</f>
        <v/>
      </c>
      <c r="AO52">
        <f>AO51</f>
        <v/>
      </c>
      <c r="AP52">
        <f>AP51</f>
        <v/>
      </c>
      <c r="AQ52">
        <f>AQ51</f>
        <v/>
      </c>
      <c r="AR52">
        <f>AR51</f>
        <v/>
      </c>
      <c r="AS52">
        <f>AS51</f>
        <v/>
      </c>
      <c r="AT52">
        <f>AT51</f>
        <v/>
      </c>
      <c r="AU52">
        <f>AU51</f>
        <v/>
      </c>
      <c r="AV52">
        <f>AV51</f>
        <v/>
      </c>
      <c r="AW52">
        <f>AW51</f>
        <v/>
      </c>
      <c r="AX52">
        <f>AX51</f>
        <v/>
      </c>
      <c r="AY52">
        <f>AY51</f>
        <v/>
      </c>
      <c r="AZ52">
        <f>AZ51</f>
        <v/>
      </c>
      <c r="BA52">
        <f>BA51</f>
        <v/>
      </c>
      <c r="BB52">
        <f>BB51</f>
        <v/>
      </c>
      <c r="BC52">
        <f>BC51</f>
        <v/>
      </c>
      <c r="BD52">
        <f>BD51</f>
        <v/>
      </c>
      <c r="BE52">
        <f>BE51</f>
        <v/>
      </c>
      <c r="BF52">
        <f>BF51</f>
        <v/>
      </c>
    </row>
    <row r="53" ht="13" customHeight="1" s="213">
      <c r="G53" s="23" t="inlineStr">
        <is>
          <t>ROW</t>
        </is>
      </c>
      <c r="H53" s="22" t="inlineStr">
        <is>
          <t>*0.90</t>
        </is>
      </c>
      <c r="W53" t="inlineStr">
        <is>
          <t>Trd_3w_elc_154</t>
        </is>
      </c>
      <c r="X53">
        <f>X52</f>
        <v/>
      </c>
      <c r="Y53">
        <f>Y52</f>
        <v/>
      </c>
      <c r="Z53">
        <f>Z52</f>
        <v/>
      </c>
      <c r="AA53">
        <f>AA52</f>
        <v/>
      </c>
      <c r="AB53">
        <f>AB52</f>
        <v/>
      </c>
      <c r="AC53">
        <f>AC52</f>
        <v/>
      </c>
      <c r="AD53">
        <f>AD52</f>
        <v/>
      </c>
      <c r="AE53">
        <f>AE52</f>
        <v/>
      </c>
      <c r="AF53">
        <f>AF52</f>
        <v/>
      </c>
      <c r="AG53">
        <f>AG52</f>
        <v/>
      </c>
      <c r="AH53">
        <f>AH52</f>
        <v/>
      </c>
      <c r="AI53">
        <f>AI52</f>
        <v/>
      </c>
      <c r="AJ53">
        <f>AJ52</f>
        <v/>
      </c>
      <c r="AK53">
        <f>AK52</f>
        <v/>
      </c>
      <c r="AL53">
        <f>AL52</f>
        <v/>
      </c>
      <c r="AM53">
        <f>AM52</f>
        <v/>
      </c>
      <c r="AN53">
        <f>AN52</f>
        <v/>
      </c>
      <c r="AO53">
        <f>AO52</f>
        <v/>
      </c>
      <c r="AP53">
        <f>AP52</f>
        <v/>
      </c>
      <c r="AQ53">
        <f>AQ52</f>
        <v/>
      </c>
      <c r="AR53">
        <f>AR52</f>
        <v/>
      </c>
      <c r="AS53">
        <f>AS52</f>
        <v/>
      </c>
      <c r="AT53">
        <f>AT52</f>
        <v/>
      </c>
      <c r="AU53">
        <f>AU52</f>
        <v/>
      </c>
      <c r="AV53">
        <f>AV52</f>
        <v/>
      </c>
      <c r="AW53">
        <f>AW52</f>
        <v/>
      </c>
      <c r="AX53">
        <f>AX52</f>
        <v/>
      </c>
      <c r="AY53">
        <f>AY52</f>
        <v/>
      </c>
      <c r="AZ53">
        <f>AZ52</f>
        <v/>
      </c>
      <c r="BA53">
        <f>BA52</f>
        <v/>
      </c>
      <c r="BB53">
        <f>BB52</f>
        <v/>
      </c>
      <c r="BC53">
        <f>BC52</f>
        <v/>
      </c>
      <c r="BD53">
        <f>BD52</f>
        <v/>
      </c>
      <c r="BE53">
        <f>BE52</f>
        <v/>
      </c>
      <c r="BF53">
        <f>BF52</f>
        <v/>
      </c>
    </row>
    <row r="54" ht="13" customHeight="1" s="213">
      <c r="G54" s="23" t="inlineStr">
        <is>
          <t>Russia</t>
        </is>
      </c>
      <c r="H54" s="22" t="inlineStr">
        <is>
          <t>*0.85</t>
        </is>
      </c>
      <c r="W54" t="inlineStr">
        <is>
          <t>Trd_3w_elc_166</t>
        </is>
      </c>
      <c r="X54">
        <f>X53</f>
        <v/>
      </c>
      <c r="Y54">
        <f>Y53</f>
        <v/>
      </c>
      <c r="Z54">
        <f>Z53</f>
        <v/>
      </c>
      <c r="AA54">
        <f>AA53</f>
        <v/>
      </c>
      <c r="AB54">
        <f>AB53</f>
        <v/>
      </c>
      <c r="AC54">
        <f>AC53</f>
        <v/>
      </c>
      <c r="AD54">
        <f>AD53</f>
        <v/>
      </c>
      <c r="AE54">
        <f>AE53</f>
        <v/>
      </c>
      <c r="AF54">
        <f>AF53</f>
        <v/>
      </c>
      <c r="AG54">
        <f>AG53</f>
        <v/>
      </c>
      <c r="AH54">
        <f>AH53</f>
        <v/>
      </c>
      <c r="AI54">
        <f>AI53</f>
        <v/>
      </c>
      <c r="AJ54">
        <f>AJ53</f>
        <v/>
      </c>
      <c r="AK54">
        <f>AK53</f>
        <v/>
      </c>
      <c r="AL54">
        <f>AL53</f>
        <v/>
      </c>
      <c r="AM54">
        <f>AM53</f>
        <v/>
      </c>
      <c r="AN54">
        <f>AN53</f>
        <v/>
      </c>
      <c r="AO54">
        <f>AO53</f>
        <v/>
      </c>
      <c r="AP54">
        <f>AP53</f>
        <v/>
      </c>
      <c r="AQ54">
        <f>AQ53</f>
        <v/>
      </c>
      <c r="AR54">
        <f>AR53</f>
        <v/>
      </c>
      <c r="AS54">
        <f>AS53</f>
        <v/>
      </c>
      <c r="AT54">
        <f>AT53</f>
        <v/>
      </c>
      <c r="AU54">
        <f>AU53</f>
        <v/>
      </c>
      <c r="AV54">
        <f>AV53</f>
        <v/>
      </c>
      <c r="AW54">
        <f>AW53</f>
        <v/>
      </c>
      <c r="AX54">
        <f>AX53</f>
        <v/>
      </c>
      <c r="AY54">
        <f>AY53</f>
        <v/>
      </c>
      <c r="AZ54">
        <f>AZ53</f>
        <v/>
      </c>
      <c r="BA54">
        <f>BA53</f>
        <v/>
      </c>
      <c r="BB54">
        <f>BB53</f>
        <v/>
      </c>
      <c r="BC54">
        <f>BC53</f>
        <v/>
      </c>
      <c r="BD54">
        <f>BD53</f>
        <v/>
      </c>
      <c r="BE54">
        <f>BE53</f>
        <v/>
      </c>
      <c r="BF54">
        <f>BF53</f>
        <v/>
      </c>
    </row>
    <row r="55" ht="13" customHeight="1" s="213">
      <c r="G55" s="23" t="inlineStr">
        <is>
          <t>SaudiArabia</t>
        </is>
      </c>
      <c r="H55" s="22" t="inlineStr">
        <is>
          <t>*0.95</t>
        </is>
      </c>
      <c r="W55" t="inlineStr">
        <is>
          <t>Trd_3w_elc_177</t>
        </is>
      </c>
      <c r="X55">
        <f>X54</f>
        <v/>
      </c>
      <c r="Y55">
        <f>Y54</f>
        <v/>
      </c>
      <c r="Z55">
        <f>Z54</f>
        <v/>
      </c>
      <c r="AA55">
        <f>AA54</f>
        <v/>
      </c>
      <c r="AB55">
        <f>AB54</f>
        <v/>
      </c>
      <c r="AC55">
        <f>AC54</f>
        <v/>
      </c>
      <c r="AD55">
        <f>AD54</f>
        <v/>
      </c>
      <c r="AE55">
        <f>AE54</f>
        <v/>
      </c>
      <c r="AF55">
        <f>AF54</f>
        <v/>
      </c>
      <c r="AG55">
        <f>AG54</f>
        <v/>
      </c>
      <c r="AH55">
        <f>AH54</f>
        <v/>
      </c>
      <c r="AI55">
        <f>AI54</f>
        <v/>
      </c>
      <c r="AJ55">
        <f>AJ54</f>
        <v/>
      </c>
      <c r="AK55">
        <f>AK54</f>
        <v/>
      </c>
      <c r="AL55">
        <f>AL54</f>
        <v/>
      </c>
      <c r="AM55">
        <f>AM54</f>
        <v/>
      </c>
      <c r="AN55">
        <f>AN54</f>
        <v/>
      </c>
      <c r="AO55">
        <f>AO54</f>
        <v/>
      </c>
      <c r="AP55">
        <f>AP54</f>
        <v/>
      </c>
      <c r="AQ55">
        <f>AQ54</f>
        <v/>
      </c>
      <c r="AR55">
        <f>AR54</f>
        <v/>
      </c>
      <c r="AS55">
        <f>AS54</f>
        <v/>
      </c>
      <c r="AT55">
        <f>AT54</f>
        <v/>
      </c>
      <c r="AU55">
        <f>AU54</f>
        <v/>
      </c>
      <c r="AV55">
        <f>AV54</f>
        <v/>
      </c>
      <c r="AW55">
        <f>AW54</f>
        <v/>
      </c>
      <c r="AX55">
        <f>AX54</f>
        <v/>
      </c>
      <c r="AY55">
        <f>AY54</f>
        <v/>
      </c>
      <c r="AZ55">
        <f>AZ54</f>
        <v/>
      </c>
      <c r="BA55">
        <f>BA54</f>
        <v/>
      </c>
      <c r="BB55">
        <f>BB54</f>
        <v/>
      </c>
      <c r="BC55">
        <f>BC54</f>
        <v/>
      </c>
      <c r="BD55">
        <f>BD54</f>
        <v/>
      </c>
      <c r="BE55">
        <f>BE54</f>
        <v/>
      </c>
      <c r="BF55">
        <f>BF54</f>
        <v/>
      </c>
    </row>
    <row r="56" ht="13" customHeight="1" s="213">
      <c r="G56" s="23" t="inlineStr">
        <is>
          <t>SouthAfrica</t>
        </is>
      </c>
      <c r="H56" s="22" t="inlineStr">
        <is>
          <t>*0.85</t>
        </is>
      </c>
      <c r="W56" t="inlineStr">
        <is>
          <t>Trd_3w_elc_189</t>
        </is>
      </c>
      <c r="X56">
        <f>X55</f>
        <v/>
      </c>
      <c r="Y56">
        <f>Y55</f>
        <v/>
      </c>
      <c r="Z56">
        <f>Z55</f>
        <v/>
      </c>
      <c r="AA56">
        <f>AA55</f>
        <v/>
      </c>
      <c r="AB56">
        <f>AB55</f>
        <v/>
      </c>
      <c r="AC56">
        <f>AC55</f>
        <v/>
      </c>
      <c r="AD56">
        <f>AD55</f>
        <v/>
      </c>
      <c r="AE56">
        <f>AE55</f>
        <v/>
      </c>
      <c r="AF56">
        <f>AF55</f>
        <v/>
      </c>
      <c r="AG56">
        <f>AG55</f>
        <v/>
      </c>
      <c r="AH56">
        <f>AH55</f>
        <v/>
      </c>
      <c r="AI56">
        <f>AI55</f>
        <v/>
      </c>
      <c r="AJ56">
        <f>AJ55</f>
        <v/>
      </c>
      <c r="AK56">
        <f>AK55</f>
        <v/>
      </c>
      <c r="AL56">
        <f>AL55</f>
        <v/>
      </c>
      <c r="AM56">
        <f>AM55</f>
        <v/>
      </c>
      <c r="AN56">
        <f>AN55</f>
        <v/>
      </c>
      <c r="AO56">
        <f>AO55</f>
        <v/>
      </c>
      <c r="AP56">
        <f>AP55</f>
        <v/>
      </c>
      <c r="AQ56">
        <f>AQ55</f>
        <v/>
      </c>
      <c r="AR56">
        <f>AR55</f>
        <v/>
      </c>
      <c r="AS56">
        <f>AS55</f>
        <v/>
      </c>
      <c r="AT56">
        <f>AT55</f>
        <v/>
      </c>
      <c r="AU56">
        <f>AU55</f>
        <v/>
      </c>
      <c r="AV56">
        <f>AV55</f>
        <v/>
      </c>
      <c r="AW56">
        <f>AW55</f>
        <v/>
      </c>
      <c r="AX56">
        <f>AX55</f>
        <v/>
      </c>
      <c r="AY56">
        <f>AY55</f>
        <v/>
      </c>
      <c r="AZ56">
        <f>AZ55</f>
        <v/>
      </c>
      <c r="BA56">
        <f>BA55</f>
        <v/>
      </c>
      <c r="BB56">
        <f>BB55</f>
        <v/>
      </c>
      <c r="BC56">
        <f>BC55</f>
        <v/>
      </c>
      <c r="BD56">
        <f>BD55</f>
        <v/>
      </c>
      <c r="BE56">
        <f>BE55</f>
        <v/>
      </c>
      <c r="BF56">
        <f>BF55</f>
        <v/>
      </c>
    </row>
    <row r="57" ht="13" customHeight="1" s="213">
      <c r="G57" s="23" t="inlineStr">
        <is>
          <t>SpainPor</t>
        </is>
      </c>
      <c r="H57" s="22" t="inlineStr">
        <is>
          <t>*0.95</t>
        </is>
      </c>
      <c r="W57" t="inlineStr">
        <is>
          <t>Trd_3w_elc_200</t>
        </is>
      </c>
      <c r="X57">
        <f>X56</f>
        <v/>
      </c>
      <c r="Y57">
        <f>Y56</f>
        <v/>
      </c>
      <c r="Z57">
        <f>Z56</f>
        <v/>
      </c>
      <c r="AA57">
        <f>AA56</f>
        <v/>
      </c>
      <c r="AB57">
        <f>AB56</f>
        <v/>
      </c>
      <c r="AC57">
        <f>AC56</f>
        <v/>
      </c>
      <c r="AD57">
        <f>AD56</f>
        <v/>
      </c>
      <c r="AE57">
        <f>AE56</f>
        <v/>
      </c>
      <c r="AF57">
        <f>AF56</f>
        <v/>
      </c>
      <c r="AG57">
        <f>AG56</f>
        <v/>
      </c>
      <c r="AH57">
        <f>AH56</f>
        <v/>
      </c>
      <c r="AI57">
        <f>AI56</f>
        <v/>
      </c>
      <c r="AJ57">
        <f>AJ56</f>
        <v/>
      </c>
      <c r="AK57">
        <f>AK56</f>
        <v/>
      </c>
      <c r="AL57">
        <f>AL56</f>
        <v/>
      </c>
      <c r="AM57">
        <f>AM56</f>
        <v/>
      </c>
      <c r="AN57">
        <f>AN56</f>
        <v/>
      </c>
      <c r="AO57">
        <f>AO56</f>
        <v/>
      </c>
      <c r="AP57">
        <f>AP56</f>
        <v/>
      </c>
      <c r="AQ57">
        <f>AQ56</f>
        <v/>
      </c>
      <c r="AR57">
        <f>AR56</f>
        <v/>
      </c>
      <c r="AS57">
        <f>AS56</f>
        <v/>
      </c>
      <c r="AT57">
        <f>AT56</f>
        <v/>
      </c>
      <c r="AU57">
        <f>AU56</f>
        <v/>
      </c>
      <c r="AV57">
        <f>AV56</f>
        <v/>
      </c>
      <c r="AW57">
        <f>AW56</f>
        <v/>
      </c>
      <c r="AX57">
        <f>AX56</f>
        <v/>
      </c>
      <c r="AY57">
        <f>AY56</f>
        <v/>
      </c>
      <c r="AZ57">
        <f>AZ56</f>
        <v/>
      </c>
      <c r="BA57">
        <f>BA56</f>
        <v/>
      </c>
      <c r="BB57">
        <f>BB56</f>
        <v/>
      </c>
      <c r="BC57">
        <f>BC56</f>
        <v/>
      </c>
      <c r="BD57">
        <f>BD56</f>
        <v/>
      </c>
      <c r="BE57">
        <f>BE56</f>
        <v/>
      </c>
      <c r="BF57">
        <f>BF56</f>
        <v/>
      </c>
    </row>
    <row r="58" ht="13" customHeight="1" s="213">
      <c r="G58" s="23" t="inlineStr">
        <is>
          <t>SweFinDen</t>
        </is>
      </c>
      <c r="H58" s="22" t="inlineStr">
        <is>
          <t>*1.05</t>
        </is>
      </c>
      <c r="W58" t="inlineStr">
        <is>
          <t>Trd_2w_elc50_100</t>
        </is>
      </c>
      <c r="X58">
        <f>X57</f>
        <v/>
      </c>
      <c r="Y58">
        <f>Y57</f>
        <v/>
      </c>
      <c r="Z58">
        <f>Z57</f>
        <v/>
      </c>
      <c r="AA58">
        <f>AA57</f>
        <v/>
      </c>
      <c r="AB58">
        <f>AB57</f>
        <v/>
      </c>
      <c r="AC58">
        <f>AC57</f>
        <v/>
      </c>
      <c r="AD58">
        <f>AD57</f>
        <v/>
      </c>
      <c r="AE58">
        <f>AE57</f>
        <v/>
      </c>
      <c r="AF58">
        <f>AF57</f>
        <v/>
      </c>
      <c r="AG58">
        <f>AG57</f>
        <v/>
      </c>
      <c r="AH58">
        <f>AH57</f>
        <v/>
      </c>
      <c r="AI58">
        <f>AI57</f>
        <v/>
      </c>
      <c r="AJ58">
        <f>AJ57</f>
        <v/>
      </c>
      <c r="AK58">
        <f>AK57</f>
        <v/>
      </c>
      <c r="AL58">
        <f>AL57</f>
        <v/>
      </c>
      <c r="AM58">
        <f>AM57</f>
        <v/>
      </c>
      <c r="AN58">
        <f>AN57</f>
        <v/>
      </c>
      <c r="AO58">
        <f>AO57</f>
        <v/>
      </c>
      <c r="AP58">
        <f>AP57</f>
        <v/>
      </c>
      <c r="AQ58">
        <f>AQ57</f>
        <v/>
      </c>
      <c r="AR58">
        <f>AR57</f>
        <v/>
      </c>
      <c r="AS58">
        <f>AS57</f>
        <v/>
      </c>
      <c r="AT58">
        <f>AT57</f>
        <v/>
      </c>
      <c r="AU58">
        <f>AU57</f>
        <v/>
      </c>
      <c r="AV58">
        <f>AV57</f>
        <v/>
      </c>
      <c r="AW58">
        <f>AW57</f>
        <v/>
      </c>
      <c r="AX58">
        <f>AX57</f>
        <v/>
      </c>
      <c r="AY58">
        <f>AY57</f>
        <v/>
      </c>
      <c r="AZ58">
        <f>AZ57</f>
        <v/>
      </c>
      <c r="BA58">
        <f>BA57</f>
        <v/>
      </c>
      <c r="BB58">
        <f>BB57</f>
        <v/>
      </c>
      <c r="BC58">
        <f>BC57</f>
        <v/>
      </c>
      <c r="BD58">
        <f>BD57</f>
        <v/>
      </c>
      <c r="BE58">
        <f>BE57</f>
        <v/>
      </c>
      <c r="BF58">
        <f>BF57</f>
        <v/>
      </c>
    </row>
    <row r="59" ht="13" customHeight="1" s="213">
      <c r="G59" s="23" t="inlineStr">
        <is>
          <t>Switzerland</t>
        </is>
      </c>
      <c r="H59" s="22" t="inlineStr">
        <is>
          <t>*1.10</t>
        </is>
      </c>
      <c r="W59" t="inlineStr">
        <is>
          <t>Trd_2w_elc50_109</t>
        </is>
      </c>
      <c r="X59">
        <f>X58</f>
        <v/>
      </c>
      <c r="Y59">
        <f>Y58</f>
        <v/>
      </c>
      <c r="Z59">
        <f>Z58</f>
        <v/>
      </c>
      <c r="AA59">
        <f>AA58</f>
        <v/>
      </c>
      <c r="AB59">
        <f>AB58</f>
        <v/>
      </c>
      <c r="AC59">
        <f>AC58</f>
        <v/>
      </c>
      <c r="AD59">
        <f>AD58</f>
        <v/>
      </c>
      <c r="AE59">
        <f>AE58</f>
        <v/>
      </c>
      <c r="AF59">
        <f>AF58</f>
        <v/>
      </c>
      <c r="AG59">
        <f>AG58</f>
        <v/>
      </c>
      <c r="AH59">
        <f>AH58</f>
        <v/>
      </c>
      <c r="AI59">
        <f>AI58</f>
        <v/>
      </c>
      <c r="AJ59">
        <f>AJ58</f>
        <v/>
      </c>
      <c r="AK59">
        <f>AK58</f>
        <v/>
      </c>
      <c r="AL59">
        <f>AL58</f>
        <v/>
      </c>
      <c r="AM59">
        <f>AM58</f>
        <v/>
      </c>
      <c r="AN59">
        <f>AN58</f>
        <v/>
      </c>
      <c r="AO59">
        <f>AO58</f>
        <v/>
      </c>
      <c r="AP59">
        <f>AP58</f>
        <v/>
      </c>
      <c r="AQ59">
        <f>AQ58</f>
        <v/>
      </c>
      <c r="AR59">
        <f>AR58</f>
        <v/>
      </c>
      <c r="AS59">
        <f>AS58</f>
        <v/>
      </c>
      <c r="AT59">
        <f>AT58</f>
        <v/>
      </c>
      <c r="AU59">
        <f>AU58</f>
        <v/>
      </c>
      <c r="AV59">
        <f>AV58</f>
        <v/>
      </c>
      <c r="AW59">
        <f>AW58</f>
        <v/>
      </c>
      <c r="AX59">
        <f>AX58</f>
        <v/>
      </c>
      <c r="AY59">
        <f>AY58</f>
        <v/>
      </c>
      <c r="AZ59">
        <f>AZ58</f>
        <v/>
      </c>
      <c r="BA59">
        <f>BA58</f>
        <v/>
      </c>
      <c r="BB59">
        <f>BB58</f>
        <v/>
      </c>
      <c r="BC59">
        <f>BC58</f>
        <v/>
      </c>
      <c r="BD59">
        <f>BD58</f>
        <v/>
      </c>
      <c r="BE59">
        <f>BE58</f>
        <v/>
      </c>
      <c r="BF59">
        <f>BF58</f>
        <v/>
      </c>
    </row>
    <row r="60" ht="13" customHeight="1" s="213">
      <c r="G60" s="23" t="inlineStr">
        <is>
          <t>Turkey</t>
        </is>
      </c>
      <c r="H60" s="22" t="inlineStr">
        <is>
          <t>*0.85</t>
        </is>
      </c>
      <c r="W60" t="inlineStr">
        <is>
          <t>Trd_2w_elc50_117</t>
        </is>
      </c>
      <c r="X60">
        <f>X59</f>
        <v/>
      </c>
      <c r="Y60">
        <f>Y59</f>
        <v/>
      </c>
      <c r="Z60">
        <f>Z59</f>
        <v/>
      </c>
      <c r="AA60">
        <f>AA59</f>
        <v/>
      </c>
      <c r="AB60">
        <f>AB59</f>
        <v/>
      </c>
      <c r="AC60">
        <f>AC59</f>
        <v/>
      </c>
      <c r="AD60">
        <f>AD59</f>
        <v/>
      </c>
      <c r="AE60">
        <f>AE59</f>
        <v/>
      </c>
      <c r="AF60">
        <f>AF59</f>
        <v/>
      </c>
      <c r="AG60">
        <f>AG59</f>
        <v/>
      </c>
      <c r="AH60">
        <f>AH59</f>
        <v/>
      </c>
      <c r="AI60">
        <f>AI59</f>
        <v/>
      </c>
      <c r="AJ60">
        <f>AJ59</f>
        <v/>
      </c>
      <c r="AK60">
        <f>AK59</f>
        <v/>
      </c>
      <c r="AL60">
        <f>AL59</f>
        <v/>
      </c>
      <c r="AM60">
        <f>AM59</f>
        <v/>
      </c>
      <c r="AN60">
        <f>AN59</f>
        <v/>
      </c>
      <c r="AO60">
        <f>AO59</f>
        <v/>
      </c>
      <c r="AP60">
        <f>AP59</f>
        <v/>
      </c>
      <c r="AQ60">
        <f>AQ59</f>
        <v/>
      </c>
      <c r="AR60">
        <f>AR59</f>
        <v/>
      </c>
      <c r="AS60">
        <f>AS59</f>
        <v/>
      </c>
      <c r="AT60">
        <f>AT59</f>
        <v/>
      </c>
      <c r="AU60">
        <f>AU59</f>
        <v/>
      </c>
      <c r="AV60">
        <f>AV59</f>
        <v/>
      </c>
      <c r="AW60">
        <f>AW59</f>
        <v/>
      </c>
      <c r="AX60">
        <f>AX59</f>
        <v/>
      </c>
      <c r="AY60">
        <f>AY59</f>
        <v/>
      </c>
      <c r="AZ60">
        <f>AZ59</f>
        <v/>
      </c>
      <c r="BA60">
        <f>BA59</f>
        <v/>
      </c>
      <c r="BB60">
        <f>BB59</f>
        <v/>
      </c>
      <c r="BC60">
        <f>BC59</f>
        <v/>
      </c>
      <c r="BD60">
        <f>BD59</f>
        <v/>
      </c>
      <c r="BE60">
        <f>BE59</f>
        <v/>
      </c>
      <c r="BF60">
        <f>BF59</f>
        <v/>
      </c>
    </row>
    <row r="61" ht="13" customHeight="1" s="213">
      <c r="G61" s="23" t="inlineStr">
        <is>
          <t>UK</t>
        </is>
      </c>
      <c r="H61" s="22" t="inlineStr">
        <is>
          <t>*1.00</t>
        </is>
      </c>
      <c r="W61" t="inlineStr">
        <is>
          <t>Trd_2w_elc50_126</t>
        </is>
      </c>
      <c r="X61">
        <f>X60</f>
        <v/>
      </c>
      <c r="Y61">
        <f>Y60</f>
        <v/>
      </c>
      <c r="Z61">
        <f>Z60</f>
        <v/>
      </c>
      <c r="AA61">
        <f>AA60</f>
        <v/>
      </c>
      <c r="AB61">
        <f>AB60</f>
        <v/>
      </c>
      <c r="AC61">
        <f>AC60</f>
        <v/>
      </c>
      <c r="AD61">
        <f>AD60</f>
        <v/>
      </c>
      <c r="AE61">
        <f>AE60</f>
        <v/>
      </c>
      <c r="AF61">
        <f>AF60</f>
        <v/>
      </c>
      <c r="AG61">
        <f>AG60</f>
        <v/>
      </c>
      <c r="AH61">
        <f>AH60</f>
        <v/>
      </c>
      <c r="AI61">
        <f>AI60</f>
        <v/>
      </c>
      <c r="AJ61">
        <f>AJ60</f>
        <v/>
      </c>
      <c r="AK61">
        <f>AK60</f>
        <v/>
      </c>
      <c r="AL61">
        <f>AL60</f>
        <v/>
      </c>
      <c r="AM61">
        <f>AM60</f>
        <v/>
      </c>
      <c r="AN61">
        <f>AN60</f>
        <v/>
      </c>
      <c r="AO61">
        <f>AO60</f>
        <v/>
      </c>
      <c r="AP61">
        <f>AP60</f>
        <v/>
      </c>
      <c r="AQ61">
        <f>AQ60</f>
        <v/>
      </c>
      <c r="AR61">
        <f>AR60</f>
        <v/>
      </c>
      <c r="AS61">
        <f>AS60</f>
        <v/>
      </c>
      <c r="AT61">
        <f>AT60</f>
        <v/>
      </c>
      <c r="AU61">
        <f>AU60</f>
        <v/>
      </c>
      <c r="AV61">
        <f>AV60</f>
        <v/>
      </c>
      <c r="AW61">
        <f>AW60</f>
        <v/>
      </c>
      <c r="AX61">
        <f>AX60</f>
        <v/>
      </c>
      <c r="AY61">
        <f>AY60</f>
        <v/>
      </c>
      <c r="AZ61">
        <f>AZ60</f>
        <v/>
      </c>
      <c r="BA61">
        <f>BA60</f>
        <v/>
      </c>
      <c r="BB61">
        <f>BB60</f>
        <v/>
      </c>
      <c r="BC61">
        <f>BC60</f>
        <v/>
      </c>
      <c r="BD61">
        <f>BD60</f>
        <v/>
      </c>
      <c r="BE61">
        <f>BE60</f>
        <v/>
      </c>
      <c r="BF61">
        <f>BF60</f>
        <v/>
      </c>
    </row>
    <row r="62" ht="13" customHeight="1" s="213">
      <c r="G62" s="23" t="inlineStr">
        <is>
          <t>Ukraine</t>
        </is>
      </c>
      <c r="H62" s="22" t="inlineStr">
        <is>
          <t>*0.80</t>
        </is>
      </c>
      <c r="W62" t="inlineStr">
        <is>
          <t>Trd_2w_elc50_134</t>
        </is>
      </c>
      <c r="X62">
        <f>X61</f>
        <v/>
      </c>
      <c r="Y62">
        <f>Y61</f>
        <v/>
      </c>
      <c r="Z62">
        <f>Z61</f>
        <v/>
      </c>
      <c r="AA62">
        <f>AA61</f>
        <v/>
      </c>
      <c r="AB62">
        <f>AB61</f>
        <v/>
      </c>
      <c r="AC62">
        <f>AC61</f>
        <v/>
      </c>
      <c r="AD62">
        <f>AD61</f>
        <v/>
      </c>
      <c r="AE62">
        <f>AE61</f>
        <v/>
      </c>
      <c r="AF62">
        <f>AF61</f>
        <v/>
      </c>
      <c r="AG62">
        <f>AG61</f>
        <v/>
      </c>
      <c r="AH62">
        <f>AH61</f>
        <v/>
      </c>
      <c r="AI62">
        <f>AI61</f>
        <v/>
      </c>
      <c r="AJ62">
        <f>AJ61</f>
        <v/>
      </c>
      <c r="AK62">
        <f>AK61</f>
        <v/>
      </c>
      <c r="AL62">
        <f>AL61</f>
        <v/>
      </c>
      <c r="AM62">
        <f>AM61</f>
        <v/>
      </c>
      <c r="AN62">
        <f>AN61</f>
        <v/>
      </c>
      <c r="AO62">
        <f>AO61</f>
        <v/>
      </c>
      <c r="AP62">
        <f>AP61</f>
        <v/>
      </c>
      <c r="AQ62">
        <f>AQ61</f>
        <v/>
      </c>
      <c r="AR62">
        <f>AR61</f>
        <v/>
      </c>
      <c r="AS62">
        <f>AS61</f>
        <v/>
      </c>
      <c r="AT62">
        <f>AT61</f>
        <v/>
      </c>
      <c r="AU62">
        <f>AU61</f>
        <v/>
      </c>
      <c r="AV62">
        <f>AV61</f>
        <v/>
      </c>
      <c r="AW62">
        <f>AW61</f>
        <v/>
      </c>
      <c r="AX62">
        <f>AX61</f>
        <v/>
      </c>
      <c r="AY62">
        <f>AY61</f>
        <v/>
      </c>
      <c r="AZ62">
        <f>AZ61</f>
        <v/>
      </c>
      <c r="BA62">
        <f>BA61</f>
        <v/>
      </c>
      <c r="BB62">
        <f>BB61</f>
        <v/>
      </c>
      <c r="BC62">
        <f>BC61</f>
        <v/>
      </c>
      <c r="BD62">
        <f>BD61</f>
        <v/>
      </c>
      <c r="BE62">
        <f>BE61</f>
        <v/>
      </c>
      <c r="BF62">
        <f>BF61</f>
        <v/>
      </c>
    </row>
    <row r="63" ht="13" customHeight="1" s="213">
      <c r="G63" s="23" t="inlineStr">
        <is>
          <t>WestBalkans</t>
        </is>
      </c>
      <c r="H63" s="22" t="inlineStr">
        <is>
          <t>*0.80</t>
        </is>
      </c>
      <c r="W63" t="inlineStr">
        <is>
          <t>Trd_2w_elc50_143</t>
        </is>
      </c>
      <c r="X63">
        <f>X62</f>
        <v/>
      </c>
      <c r="Y63">
        <f>Y62</f>
        <v/>
      </c>
      <c r="Z63">
        <f>Z62</f>
        <v/>
      </c>
      <c r="AA63">
        <f>AA62</f>
        <v/>
      </c>
      <c r="AB63">
        <f>AB62</f>
        <v/>
      </c>
      <c r="AC63">
        <f>AC62</f>
        <v/>
      </c>
      <c r="AD63">
        <f>AD62</f>
        <v/>
      </c>
      <c r="AE63">
        <f>AE62</f>
        <v/>
      </c>
      <c r="AF63">
        <f>AF62</f>
        <v/>
      </c>
      <c r="AG63">
        <f>AG62</f>
        <v/>
      </c>
      <c r="AH63">
        <f>AH62</f>
        <v/>
      </c>
      <c r="AI63">
        <f>AI62</f>
        <v/>
      </c>
      <c r="AJ63">
        <f>AJ62</f>
        <v/>
      </c>
      <c r="AK63">
        <f>AK62</f>
        <v/>
      </c>
      <c r="AL63">
        <f>AL62</f>
        <v/>
      </c>
      <c r="AM63">
        <f>AM62</f>
        <v/>
      </c>
      <c r="AN63">
        <f>AN62</f>
        <v/>
      </c>
      <c r="AO63">
        <f>AO62</f>
        <v/>
      </c>
      <c r="AP63">
        <f>AP62</f>
        <v/>
      </c>
      <c r="AQ63">
        <f>AQ62</f>
        <v/>
      </c>
      <c r="AR63">
        <f>AR62</f>
        <v/>
      </c>
      <c r="AS63">
        <f>AS62</f>
        <v/>
      </c>
      <c r="AT63">
        <f>AT62</f>
        <v/>
      </c>
      <c r="AU63">
        <f>AU62</f>
        <v/>
      </c>
      <c r="AV63">
        <f>AV62</f>
        <v/>
      </c>
      <c r="AW63">
        <f>AW62</f>
        <v/>
      </c>
      <c r="AX63">
        <f>AX62</f>
        <v/>
      </c>
      <c r="AY63">
        <f>AY62</f>
        <v/>
      </c>
      <c r="AZ63">
        <f>AZ62</f>
        <v/>
      </c>
      <c r="BA63">
        <f>BA62</f>
        <v/>
      </c>
      <c r="BB63">
        <f>BB62</f>
        <v/>
      </c>
      <c r="BC63">
        <f>BC62</f>
        <v/>
      </c>
      <c r="BD63">
        <f>BD62</f>
        <v/>
      </c>
      <c r="BE63">
        <f>BE62</f>
        <v/>
      </c>
      <c r="BF63">
        <f>BF62</f>
        <v/>
      </c>
    </row>
    <row r="64" ht="12.5" customHeight="1" s="213">
      <c r="W64" t="inlineStr">
        <is>
          <t>Trd_2w_elc50_151</t>
        </is>
      </c>
      <c r="X64">
        <f>X63</f>
        <v/>
      </c>
      <c r="Y64">
        <f>Y63</f>
        <v/>
      </c>
      <c r="Z64">
        <f>Z63</f>
        <v/>
      </c>
      <c r="AA64">
        <f>AA63</f>
        <v/>
      </c>
      <c r="AB64">
        <f>AB63</f>
        <v/>
      </c>
      <c r="AC64">
        <f>AC63</f>
        <v/>
      </c>
      <c r="AD64">
        <f>AD63</f>
        <v/>
      </c>
      <c r="AE64">
        <f>AE63</f>
        <v/>
      </c>
      <c r="AF64">
        <f>AF63</f>
        <v/>
      </c>
      <c r="AG64">
        <f>AG63</f>
        <v/>
      </c>
      <c r="AH64">
        <f>AH63</f>
        <v/>
      </c>
      <c r="AI64">
        <f>AI63</f>
        <v/>
      </c>
      <c r="AJ64">
        <f>AJ63</f>
        <v/>
      </c>
      <c r="AK64">
        <f>AK63</f>
        <v/>
      </c>
      <c r="AL64">
        <f>AL63</f>
        <v/>
      </c>
      <c r="AM64">
        <f>AM63</f>
        <v/>
      </c>
      <c r="AN64">
        <f>AN63</f>
        <v/>
      </c>
      <c r="AO64">
        <f>AO63</f>
        <v/>
      </c>
      <c r="AP64">
        <f>AP63</f>
        <v/>
      </c>
      <c r="AQ64">
        <f>AQ63</f>
        <v/>
      </c>
      <c r="AR64">
        <f>AR63</f>
        <v/>
      </c>
      <c r="AS64">
        <f>AS63</f>
        <v/>
      </c>
      <c r="AT64">
        <f>AT63</f>
        <v/>
      </c>
      <c r="AU64">
        <f>AU63</f>
        <v/>
      </c>
      <c r="AV64">
        <f>AV63</f>
        <v/>
      </c>
      <c r="AW64">
        <f>AW63</f>
        <v/>
      </c>
      <c r="AX64">
        <f>AX63</f>
        <v/>
      </c>
      <c r="AY64">
        <f>AY63</f>
        <v/>
      </c>
      <c r="AZ64">
        <f>AZ63</f>
        <v/>
      </c>
      <c r="BA64">
        <f>BA63</f>
        <v/>
      </c>
      <c r="BB64">
        <f>BB63</f>
        <v/>
      </c>
      <c r="BC64">
        <f>BC63</f>
        <v/>
      </c>
      <c r="BD64">
        <f>BD63</f>
        <v/>
      </c>
      <c r="BE64">
        <f>BE63</f>
        <v/>
      </c>
      <c r="BF64">
        <f>BF63</f>
        <v/>
      </c>
    </row>
    <row r="65" ht="12.5" customHeight="1" s="213">
      <c r="W65" t="inlineStr">
        <is>
          <t>Trd_2w_elc50_160</t>
        </is>
      </c>
      <c r="X65">
        <f>X64</f>
        <v/>
      </c>
      <c r="Y65">
        <f>Y64</f>
        <v/>
      </c>
      <c r="Z65">
        <f>Z64</f>
        <v/>
      </c>
      <c r="AA65">
        <f>AA64</f>
        <v/>
      </c>
      <c r="AB65">
        <f>AB64</f>
        <v/>
      </c>
      <c r="AC65">
        <f>AC64</f>
        <v/>
      </c>
      <c r="AD65">
        <f>AD64</f>
        <v/>
      </c>
      <c r="AE65">
        <f>AE64</f>
        <v/>
      </c>
      <c r="AF65">
        <f>AF64</f>
        <v/>
      </c>
      <c r="AG65">
        <f>AG64</f>
        <v/>
      </c>
      <c r="AH65">
        <f>AH64</f>
        <v/>
      </c>
      <c r="AI65">
        <f>AI64</f>
        <v/>
      </c>
      <c r="AJ65">
        <f>AJ64</f>
        <v/>
      </c>
      <c r="AK65">
        <f>AK64</f>
        <v/>
      </c>
      <c r="AL65">
        <f>AL64</f>
        <v/>
      </c>
      <c r="AM65">
        <f>AM64</f>
        <v/>
      </c>
      <c r="AN65">
        <f>AN64</f>
        <v/>
      </c>
      <c r="AO65">
        <f>AO64</f>
        <v/>
      </c>
      <c r="AP65">
        <f>AP64</f>
        <v/>
      </c>
      <c r="AQ65">
        <f>AQ64</f>
        <v/>
      </c>
      <c r="AR65">
        <f>AR64</f>
        <v/>
      </c>
      <c r="AS65">
        <f>AS64</f>
        <v/>
      </c>
      <c r="AT65">
        <f>AT64</f>
        <v/>
      </c>
      <c r="AU65">
        <f>AU64</f>
        <v/>
      </c>
      <c r="AV65">
        <f>AV64</f>
        <v/>
      </c>
      <c r="AW65">
        <f>AW64</f>
        <v/>
      </c>
      <c r="AX65">
        <f>AX64</f>
        <v/>
      </c>
      <c r="AY65">
        <f>AY64</f>
        <v/>
      </c>
      <c r="AZ65">
        <f>AZ64</f>
        <v/>
      </c>
      <c r="BA65">
        <f>BA64</f>
        <v/>
      </c>
      <c r="BB65">
        <f>BB64</f>
        <v/>
      </c>
      <c r="BC65">
        <f>BC64</f>
        <v/>
      </c>
      <c r="BD65">
        <f>BD64</f>
        <v/>
      </c>
      <c r="BE65">
        <f>BE64</f>
        <v/>
      </c>
      <c r="BF65">
        <f>BF64</f>
        <v/>
      </c>
    </row>
    <row r="66" ht="12.5" customHeight="1" s="213">
      <c r="W66" t="inlineStr">
        <is>
          <t>Trd_bus_elc_120</t>
        </is>
      </c>
      <c r="X66">
        <f>X65</f>
        <v/>
      </c>
      <c r="Y66">
        <f>Y65</f>
        <v/>
      </c>
      <c r="Z66">
        <f>Z65</f>
        <v/>
      </c>
      <c r="AA66">
        <f>AA65</f>
        <v/>
      </c>
      <c r="AB66">
        <f>AB65</f>
        <v/>
      </c>
      <c r="AC66">
        <f>AC65</f>
        <v/>
      </c>
      <c r="AD66">
        <f>AD65</f>
        <v/>
      </c>
      <c r="AE66">
        <f>AE65</f>
        <v/>
      </c>
      <c r="AF66">
        <f>AF65</f>
        <v/>
      </c>
      <c r="AG66">
        <f>AG65</f>
        <v/>
      </c>
      <c r="AH66">
        <f>AH65</f>
        <v/>
      </c>
      <c r="AI66">
        <f>AI65</f>
        <v/>
      </c>
      <c r="AJ66">
        <f>AJ65</f>
        <v/>
      </c>
      <c r="AK66">
        <f>AK65</f>
        <v/>
      </c>
      <c r="AL66">
        <f>AL65</f>
        <v/>
      </c>
      <c r="AM66">
        <f>AM65</f>
        <v/>
      </c>
      <c r="AN66">
        <f>AN65</f>
        <v/>
      </c>
      <c r="AO66">
        <f>AO65</f>
        <v/>
      </c>
      <c r="AP66">
        <f>AP65</f>
        <v/>
      </c>
      <c r="AQ66">
        <f>AQ65</f>
        <v/>
      </c>
      <c r="AR66">
        <f>AR65</f>
        <v/>
      </c>
      <c r="AS66">
        <f>AS65</f>
        <v/>
      </c>
      <c r="AT66">
        <f>AT65</f>
        <v/>
      </c>
      <c r="AU66">
        <f>AU65</f>
        <v/>
      </c>
      <c r="AV66">
        <f>AV65</f>
        <v/>
      </c>
      <c r="AW66">
        <f>AW65</f>
        <v/>
      </c>
      <c r="AX66">
        <f>AX65</f>
        <v/>
      </c>
      <c r="AY66">
        <f>AY65</f>
        <v/>
      </c>
      <c r="AZ66">
        <f>AZ65</f>
        <v/>
      </c>
      <c r="BA66">
        <f>BA65</f>
        <v/>
      </c>
      <c r="BB66">
        <f>BB65</f>
        <v/>
      </c>
      <c r="BC66">
        <f>BC65</f>
        <v/>
      </c>
      <c r="BD66">
        <f>BD65</f>
        <v/>
      </c>
      <c r="BE66">
        <f>BE65</f>
        <v/>
      </c>
      <c r="BF66">
        <f>BF65</f>
        <v/>
      </c>
    </row>
    <row r="67" ht="12.5" customHeight="1" s="213">
      <c r="W67" t="inlineStr">
        <is>
          <t>Trd_bus_elc_134</t>
        </is>
      </c>
      <c r="X67">
        <f>X66</f>
        <v/>
      </c>
      <c r="Y67">
        <f>Y66</f>
        <v/>
      </c>
      <c r="Z67">
        <f>Z66</f>
        <v/>
      </c>
      <c r="AA67">
        <f>AA66</f>
        <v/>
      </c>
      <c r="AB67">
        <f>AB66</f>
        <v/>
      </c>
      <c r="AC67">
        <f>AC66</f>
        <v/>
      </c>
      <c r="AD67">
        <f>AD66</f>
        <v/>
      </c>
      <c r="AE67">
        <f>AE66</f>
        <v/>
      </c>
      <c r="AF67">
        <f>AF66</f>
        <v/>
      </c>
      <c r="AG67">
        <f>AG66</f>
        <v/>
      </c>
      <c r="AH67">
        <f>AH66</f>
        <v/>
      </c>
      <c r="AI67">
        <f>AI66</f>
        <v/>
      </c>
      <c r="AJ67">
        <f>AJ66</f>
        <v/>
      </c>
      <c r="AK67">
        <f>AK66</f>
        <v/>
      </c>
      <c r="AL67">
        <f>AL66</f>
        <v/>
      </c>
      <c r="AM67">
        <f>AM66</f>
        <v/>
      </c>
      <c r="AN67">
        <f>AN66</f>
        <v/>
      </c>
      <c r="AO67">
        <f>AO66</f>
        <v/>
      </c>
      <c r="AP67">
        <f>AP66</f>
        <v/>
      </c>
      <c r="AQ67">
        <f>AQ66</f>
        <v/>
      </c>
      <c r="AR67">
        <f>AR66</f>
        <v/>
      </c>
      <c r="AS67">
        <f>AS66</f>
        <v/>
      </c>
      <c r="AT67">
        <f>AT66</f>
        <v/>
      </c>
      <c r="AU67">
        <f>AU66</f>
        <v/>
      </c>
      <c r="AV67">
        <f>AV66</f>
        <v/>
      </c>
      <c r="AW67">
        <f>AW66</f>
        <v/>
      </c>
      <c r="AX67">
        <f>AX66</f>
        <v/>
      </c>
      <c r="AY67">
        <f>AY66</f>
        <v/>
      </c>
      <c r="AZ67">
        <f>AZ66</f>
        <v/>
      </c>
      <c r="BA67">
        <f>BA66</f>
        <v/>
      </c>
      <c r="BB67">
        <f>BB66</f>
        <v/>
      </c>
      <c r="BC67">
        <f>BC66</f>
        <v/>
      </c>
      <c r="BD67">
        <f>BD66</f>
        <v/>
      </c>
      <c r="BE67">
        <f>BE66</f>
        <v/>
      </c>
      <c r="BF67">
        <f>BF66</f>
        <v/>
      </c>
    </row>
    <row r="68" ht="12.5" customHeight="1" s="213">
      <c r="W68" t="inlineStr">
        <is>
          <t>Trd_bus_elc_149</t>
        </is>
      </c>
      <c r="X68">
        <f>X67</f>
        <v/>
      </c>
      <c r="Y68">
        <f>Y67</f>
        <v/>
      </c>
      <c r="Z68">
        <f>Z67</f>
        <v/>
      </c>
      <c r="AA68">
        <f>AA67</f>
        <v/>
      </c>
      <c r="AB68">
        <f>AB67</f>
        <v/>
      </c>
      <c r="AC68">
        <f>AC67</f>
        <v/>
      </c>
      <c r="AD68">
        <f>AD67</f>
        <v/>
      </c>
      <c r="AE68">
        <f>AE67</f>
        <v/>
      </c>
      <c r="AF68">
        <f>AF67</f>
        <v/>
      </c>
      <c r="AG68">
        <f>AG67</f>
        <v/>
      </c>
      <c r="AH68">
        <f>AH67</f>
        <v/>
      </c>
      <c r="AI68">
        <f>AI67</f>
        <v/>
      </c>
      <c r="AJ68">
        <f>AJ67</f>
        <v/>
      </c>
      <c r="AK68">
        <f>AK67</f>
        <v/>
      </c>
      <c r="AL68">
        <f>AL67</f>
        <v/>
      </c>
      <c r="AM68">
        <f>AM67</f>
        <v/>
      </c>
      <c r="AN68">
        <f>AN67</f>
        <v/>
      </c>
      <c r="AO68">
        <f>AO67</f>
        <v/>
      </c>
      <c r="AP68">
        <f>AP67</f>
        <v/>
      </c>
      <c r="AQ68">
        <f>AQ67</f>
        <v/>
      </c>
      <c r="AR68">
        <f>AR67</f>
        <v/>
      </c>
      <c r="AS68">
        <f>AS67</f>
        <v/>
      </c>
      <c r="AT68">
        <f>AT67</f>
        <v/>
      </c>
      <c r="AU68">
        <f>AU67</f>
        <v/>
      </c>
      <c r="AV68">
        <f>AV67</f>
        <v/>
      </c>
      <c r="AW68">
        <f>AW67</f>
        <v/>
      </c>
      <c r="AX68">
        <f>AX67</f>
        <v/>
      </c>
      <c r="AY68">
        <f>AY67</f>
        <v/>
      </c>
      <c r="AZ68">
        <f>AZ67</f>
        <v/>
      </c>
      <c r="BA68">
        <f>BA67</f>
        <v/>
      </c>
      <c r="BB68">
        <f>BB67</f>
        <v/>
      </c>
      <c r="BC68">
        <f>BC67</f>
        <v/>
      </c>
      <c r="BD68">
        <f>BD67</f>
        <v/>
      </c>
      <c r="BE68">
        <f>BE67</f>
        <v/>
      </c>
      <c r="BF68">
        <f>BF67</f>
        <v/>
      </c>
    </row>
    <row r="69" ht="12.5" customHeight="1" s="213">
      <c r="W69" t="inlineStr">
        <is>
          <t>Trd_bus_elc_163</t>
        </is>
      </c>
      <c r="X69">
        <f>X68</f>
        <v/>
      </c>
      <c r="Y69">
        <f>Y68</f>
        <v/>
      </c>
      <c r="Z69">
        <f>Z68</f>
        <v/>
      </c>
      <c r="AA69">
        <f>AA68</f>
        <v/>
      </c>
      <c r="AB69">
        <f>AB68</f>
        <v/>
      </c>
      <c r="AC69">
        <f>AC68</f>
        <v/>
      </c>
      <c r="AD69">
        <f>AD68</f>
        <v/>
      </c>
      <c r="AE69">
        <f>AE68</f>
        <v/>
      </c>
      <c r="AF69">
        <f>AF68</f>
        <v/>
      </c>
      <c r="AG69">
        <f>AG68</f>
        <v/>
      </c>
      <c r="AH69">
        <f>AH68</f>
        <v/>
      </c>
      <c r="AI69">
        <f>AI68</f>
        <v/>
      </c>
      <c r="AJ69">
        <f>AJ68</f>
        <v/>
      </c>
      <c r="AK69">
        <f>AK68</f>
        <v/>
      </c>
      <c r="AL69">
        <f>AL68</f>
        <v/>
      </c>
      <c r="AM69">
        <f>AM68</f>
        <v/>
      </c>
      <c r="AN69">
        <f>AN68</f>
        <v/>
      </c>
      <c r="AO69">
        <f>AO68</f>
        <v/>
      </c>
      <c r="AP69">
        <f>AP68</f>
        <v/>
      </c>
      <c r="AQ69">
        <f>AQ68</f>
        <v/>
      </c>
      <c r="AR69">
        <f>AR68</f>
        <v/>
      </c>
      <c r="AS69">
        <f>AS68</f>
        <v/>
      </c>
      <c r="AT69">
        <f>AT68</f>
        <v/>
      </c>
      <c r="AU69">
        <f>AU68</f>
        <v/>
      </c>
      <c r="AV69">
        <f>AV68</f>
        <v/>
      </c>
      <c r="AW69">
        <f>AW68</f>
        <v/>
      </c>
      <c r="AX69">
        <f>AX68</f>
        <v/>
      </c>
      <c r="AY69">
        <f>AY68</f>
        <v/>
      </c>
      <c r="AZ69">
        <f>AZ68</f>
        <v/>
      </c>
      <c r="BA69">
        <f>BA68</f>
        <v/>
      </c>
      <c r="BB69">
        <f>BB68</f>
        <v/>
      </c>
      <c r="BC69">
        <f>BC68</f>
        <v/>
      </c>
      <c r="BD69">
        <f>BD68</f>
        <v/>
      </c>
      <c r="BE69">
        <f>BE68</f>
        <v/>
      </c>
      <c r="BF69">
        <f>BF68</f>
        <v/>
      </c>
    </row>
    <row r="70" ht="12.5" customHeight="1" s="213">
      <c r="W70" t="inlineStr">
        <is>
          <t>Trd_bus_elc_177</t>
        </is>
      </c>
      <c r="X70">
        <f>X69</f>
        <v/>
      </c>
      <c r="Y70">
        <f>Y69</f>
        <v/>
      </c>
      <c r="Z70">
        <f>Z69</f>
        <v/>
      </c>
      <c r="AA70">
        <f>AA69</f>
        <v/>
      </c>
      <c r="AB70">
        <f>AB69</f>
        <v/>
      </c>
      <c r="AC70">
        <f>AC69</f>
        <v/>
      </c>
      <c r="AD70">
        <f>AD69</f>
        <v/>
      </c>
      <c r="AE70">
        <f>AE69</f>
        <v/>
      </c>
      <c r="AF70">
        <f>AF69</f>
        <v/>
      </c>
      <c r="AG70">
        <f>AG69</f>
        <v/>
      </c>
      <c r="AH70">
        <f>AH69</f>
        <v/>
      </c>
      <c r="AI70">
        <f>AI69</f>
        <v/>
      </c>
      <c r="AJ70">
        <f>AJ69</f>
        <v/>
      </c>
      <c r="AK70">
        <f>AK69</f>
        <v/>
      </c>
      <c r="AL70">
        <f>AL69</f>
        <v/>
      </c>
      <c r="AM70">
        <f>AM69</f>
        <v/>
      </c>
      <c r="AN70">
        <f>AN69</f>
        <v/>
      </c>
      <c r="AO70">
        <f>AO69</f>
        <v/>
      </c>
      <c r="AP70">
        <f>AP69</f>
        <v/>
      </c>
      <c r="AQ70">
        <f>AQ69</f>
        <v/>
      </c>
      <c r="AR70">
        <f>AR69</f>
        <v/>
      </c>
      <c r="AS70">
        <f>AS69</f>
        <v/>
      </c>
      <c r="AT70">
        <f>AT69</f>
        <v/>
      </c>
      <c r="AU70">
        <f>AU69</f>
        <v/>
      </c>
      <c r="AV70">
        <f>AV69</f>
        <v/>
      </c>
      <c r="AW70">
        <f>AW69</f>
        <v/>
      </c>
      <c r="AX70">
        <f>AX69</f>
        <v/>
      </c>
      <c r="AY70">
        <f>AY69</f>
        <v/>
      </c>
      <c r="AZ70">
        <f>AZ69</f>
        <v/>
      </c>
      <c r="BA70">
        <f>BA69</f>
        <v/>
      </c>
      <c r="BB70">
        <f>BB69</f>
        <v/>
      </c>
      <c r="BC70">
        <f>BC69</f>
        <v/>
      </c>
      <c r="BD70">
        <f>BD69</f>
        <v/>
      </c>
      <c r="BE70">
        <f>BE69</f>
        <v/>
      </c>
      <c r="BF70">
        <f>BF69</f>
        <v/>
      </c>
    </row>
    <row r="71" ht="12.5" customHeight="1" s="213">
      <c r="W71" t="inlineStr">
        <is>
          <t>Trd_bus_elc_191</t>
        </is>
      </c>
      <c r="X71">
        <f>X70</f>
        <v/>
      </c>
      <c r="Y71">
        <f>Y70</f>
        <v/>
      </c>
      <c r="Z71">
        <f>Z70</f>
        <v/>
      </c>
      <c r="AA71">
        <f>AA70</f>
        <v/>
      </c>
      <c r="AB71">
        <f>AB70</f>
        <v/>
      </c>
      <c r="AC71">
        <f>AC70</f>
        <v/>
      </c>
      <c r="AD71">
        <f>AD70</f>
        <v/>
      </c>
      <c r="AE71">
        <f>AE70</f>
        <v/>
      </c>
      <c r="AF71">
        <f>AF70</f>
        <v/>
      </c>
      <c r="AG71">
        <f>AG70</f>
        <v/>
      </c>
      <c r="AH71">
        <f>AH70</f>
        <v/>
      </c>
      <c r="AI71">
        <f>AI70</f>
        <v/>
      </c>
      <c r="AJ71">
        <f>AJ70</f>
        <v/>
      </c>
      <c r="AK71">
        <f>AK70</f>
        <v/>
      </c>
      <c r="AL71">
        <f>AL70</f>
        <v/>
      </c>
      <c r="AM71">
        <f>AM70</f>
        <v/>
      </c>
      <c r="AN71">
        <f>AN70</f>
        <v/>
      </c>
      <c r="AO71">
        <f>AO70</f>
        <v/>
      </c>
      <c r="AP71">
        <f>AP70</f>
        <v/>
      </c>
      <c r="AQ71">
        <f>AQ70</f>
        <v/>
      </c>
      <c r="AR71">
        <f>AR70</f>
        <v/>
      </c>
      <c r="AS71">
        <f>AS70</f>
        <v/>
      </c>
      <c r="AT71">
        <f>AT70</f>
        <v/>
      </c>
      <c r="AU71">
        <f>AU70</f>
        <v/>
      </c>
      <c r="AV71">
        <f>AV70</f>
        <v/>
      </c>
      <c r="AW71">
        <f>AW70</f>
        <v/>
      </c>
      <c r="AX71">
        <f>AX70</f>
        <v/>
      </c>
      <c r="AY71">
        <f>AY70</f>
        <v/>
      </c>
      <c r="AZ71">
        <f>AZ70</f>
        <v/>
      </c>
      <c r="BA71">
        <f>BA70</f>
        <v/>
      </c>
      <c r="BB71">
        <f>BB70</f>
        <v/>
      </c>
      <c r="BC71">
        <f>BC70</f>
        <v/>
      </c>
      <c r="BD71">
        <f>BD70</f>
        <v/>
      </c>
      <c r="BE71">
        <f>BE70</f>
        <v/>
      </c>
      <c r="BF71">
        <f>BF70</f>
        <v/>
      </c>
    </row>
    <row r="72" ht="12.5" customHeight="1" s="213">
      <c r="W72" t="inlineStr">
        <is>
          <t>Trd_bus_elc_206</t>
        </is>
      </c>
      <c r="X72">
        <f>X71</f>
        <v/>
      </c>
      <c r="Y72">
        <f>Y71</f>
        <v/>
      </c>
      <c r="Z72">
        <f>Z71</f>
        <v/>
      </c>
      <c r="AA72">
        <f>AA71</f>
        <v/>
      </c>
      <c r="AB72">
        <f>AB71</f>
        <v/>
      </c>
      <c r="AC72">
        <f>AC71</f>
        <v/>
      </c>
      <c r="AD72">
        <f>AD71</f>
        <v/>
      </c>
      <c r="AE72">
        <f>AE71</f>
        <v/>
      </c>
      <c r="AF72">
        <f>AF71</f>
        <v/>
      </c>
      <c r="AG72">
        <f>AG71</f>
        <v/>
      </c>
      <c r="AH72">
        <f>AH71</f>
        <v/>
      </c>
      <c r="AI72">
        <f>AI71</f>
        <v/>
      </c>
      <c r="AJ72">
        <f>AJ71</f>
        <v/>
      </c>
      <c r="AK72">
        <f>AK71</f>
        <v/>
      </c>
      <c r="AL72">
        <f>AL71</f>
        <v/>
      </c>
      <c r="AM72">
        <f>AM71</f>
        <v/>
      </c>
      <c r="AN72">
        <f>AN71</f>
        <v/>
      </c>
      <c r="AO72">
        <f>AO71</f>
        <v/>
      </c>
      <c r="AP72">
        <f>AP71</f>
        <v/>
      </c>
      <c r="AQ72">
        <f>AQ71</f>
        <v/>
      </c>
      <c r="AR72">
        <f>AR71</f>
        <v/>
      </c>
      <c r="AS72">
        <f>AS71</f>
        <v/>
      </c>
      <c r="AT72">
        <f>AT71</f>
        <v/>
      </c>
      <c r="AU72">
        <f>AU71</f>
        <v/>
      </c>
      <c r="AV72">
        <f>AV71</f>
        <v/>
      </c>
      <c r="AW72">
        <f>AW71</f>
        <v/>
      </c>
      <c r="AX72">
        <f>AX71</f>
        <v/>
      </c>
      <c r="AY72">
        <f>AY71</f>
        <v/>
      </c>
      <c r="AZ72">
        <f>AZ71</f>
        <v/>
      </c>
      <c r="BA72">
        <f>BA71</f>
        <v/>
      </c>
      <c r="BB72">
        <f>BB71</f>
        <v/>
      </c>
      <c r="BC72">
        <f>BC71</f>
        <v/>
      </c>
      <c r="BD72">
        <f>BD71</f>
        <v/>
      </c>
      <c r="BE72">
        <f>BE71</f>
        <v/>
      </c>
      <c r="BF72">
        <f>BF71</f>
        <v/>
      </c>
    </row>
    <row r="73" ht="12.5" customHeight="1" s="213">
      <c r="W73" t="inlineStr">
        <is>
          <t>Trd_bus_elc_220</t>
        </is>
      </c>
      <c r="X73">
        <f>X72</f>
        <v/>
      </c>
      <c r="Y73">
        <f>Y72</f>
        <v/>
      </c>
      <c r="Z73">
        <f>Z72</f>
        <v/>
      </c>
      <c r="AA73">
        <f>AA72</f>
        <v/>
      </c>
      <c r="AB73">
        <f>AB72</f>
        <v/>
      </c>
      <c r="AC73">
        <f>AC72</f>
        <v/>
      </c>
      <c r="AD73">
        <f>AD72</f>
        <v/>
      </c>
      <c r="AE73">
        <f>AE72</f>
        <v/>
      </c>
      <c r="AF73">
        <f>AF72</f>
        <v/>
      </c>
      <c r="AG73">
        <f>AG72</f>
        <v/>
      </c>
      <c r="AH73">
        <f>AH72</f>
        <v/>
      </c>
      <c r="AI73">
        <f>AI72</f>
        <v/>
      </c>
      <c r="AJ73">
        <f>AJ72</f>
        <v/>
      </c>
      <c r="AK73">
        <f>AK72</f>
        <v/>
      </c>
      <c r="AL73">
        <f>AL72</f>
        <v/>
      </c>
      <c r="AM73">
        <f>AM72</f>
        <v/>
      </c>
      <c r="AN73">
        <f>AN72</f>
        <v/>
      </c>
      <c r="AO73">
        <f>AO72</f>
        <v/>
      </c>
      <c r="AP73">
        <f>AP72</f>
        <v/>
      </c>
      <c r="AQ73">
        <f>AQ72</f>
        <v/>
      </c>
      <c r="AR73">
        <f>AR72</f>
        <v/>
      </c>
      <c r="AS73">
        <f>AS72</f>
        <v/>
      </c>
      <c r="AT73">
        <f>AT72</f>
        <v/>
      </c>
      <c r="AU73">
        <f>AU72</f>
        <v/>
      </c>
      <c r="AV73">
        <f>AV72</f>
        <v/>
      </c>
      <c r="AW73">
        <f>AW72</f>
        <v/>
      </c>
      <c r="AX73">
        <f>AX72</f>
        <v/>
      </c>
      <c r="AY73">
        <f>AY72</f>
        <v/>
      </c>
      <c r="AZ73">
        <f>AZ72</f>
        <v/>
      </c>
      <c r="BA73">
        <f>BA72</f>
        <v/>
      </c>
      <c r="BB73">
        <f>BB72</f>
        <v/>
      </c>
      <c r="BC73">
        <f>BC72</f>
        <v/>
      </c>
      <c r="BD73">
        <f>BD72</f>
        <v/>
      </c>
      <c r="BE73">
        <f>BE72</f>
        <v/>
      </c>
      <c r="BF73">
        <f>BF72</f>
        <v/>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D1:DM254"/>
  <sheetViews>
    <sheetView tabSelected="1" topLeftCell="A21" zoomScale="45" zoomScaleNormal="45" workbookViewId="0">
      <selection pane="topLeft" activeCell="BB30" sqref="BB30"/>
    </sheetView>
  </sheetViews>
  <sheetFormatPr baseColWidth="8" defaultColWidth="8.72428571428571" defaultRowHeight="14.5"/>
  <cols>
    <col width="56.5714285714286" customWidth="1" style="213" min="4" max="4"/>
    <col width="32.8571428571429" customWidth="1" style="213" min="5" max="5"/>
    <col width="28.5714285714286" customWidth="1" style="213" min="6" max="6"/>
    <col width="12.8571428571429" customWidth="1" style="213" min="7" max="11"/>
    <col width="32.8571428571429" customWidth="1" style="213" min="12" max="12"/>
    <col width="12.8571428571429" customWidth="1" style="213" min="13" max="38"/>
    <col width="12.8571428571429" customWidth="1" style="213" min="40" max="42"/>
    <col width="32.4285714285714" customWidth="1" style="213" min="44" max="44"/>
    <col width="123.428571428571" customWidth="1" style="213" min="47" max="47"/>
    <col width="32.8571428571429" customWidth="1" style="213" min="48" max="48"/>
    <col width="12.8571428571429" customWidth="1" style="213" min="49" max="49"/>
    <col width="12.8571428571429" customWidth="1" style="213" min="51" max="51"/>
    <col width="21.8571428571429" customWidth="1" style="213" min="52" max="52"/>
    <col width="11.7142857142857" customWidth="1" style="213" min="53" max="53"/>
    <col width="12.8571428571429" customWidth="1" style="213" min="54" max="87"/>
    <col width="12.8571428571429" customWidth="1" style="213" min="89" max="91"/>
    <col width="9.857142857142859" customWidth="1" style="6" min="113" max="115"/>
    <col width="29.8571428571429" customWidth="1" style="6" min="116" max="116"/>
    <col width="9.857142857142859" customWidth="1" style="6" min="117" max="117"/>
  </cols>
  <sheetData>
    <row r="1" ht="14.5" customHeight="1" s="213">
      <c r="DI1" s="6" t="inlineStr">
        <is>
          <t>Application</t>
        </is>
      </c>
      <c r="DJ1" s="6" t="inlineStr">
        <is>
          <t>Year</t>
        </is>
      </c>
      <c r="DK1" s="6" t="inlineStr">
        <is>
          <t>Share</t>
        </is>
      </c>
      <c r="DL1" s="6" t="inlineStr">
        <is>
          <t>Use_for</t>
        </is>
      </c>
      <c r="DM1" s="6" t="inlineStr">
        <is>
          <t>Note</t>
        </is>
      </c>
    </row>
    <row r="2" ht="14.5" customHeight="1" s="213">
      <c r="DI2" s="6" t="inlineStr">
        <is>
          <t>Transport_EV_general</t>
        </is>
      </c>
      <c r="DJ2" s="6" t="n">
        <v>2010</v>
      </c>
      <c r="DK2" s="6" t="n">
        <v>0.001</v>
      </c>
      <c r="DL2" s="6" t="inlineStr">
        <is>
          <t>Transport EV battery PASTI</t>
        </is>
      </c>
      <c r="DM2" s="6" t="inlineStr">
        <is>
          <t>Back-loaded proxy normalized to 2010-2019 historical EV deployment shape</t>
        </is>
      </c>
    </row>
    <row r="3" ht="14.5" customHeight="1" s="213">
      <c r="DI3" s="6" t="inlineStr">
        <is>
          <t>Transport_EV_general</t>
        </is>
      </c>
      <c r="DJ3" s="6" t="n">
        <v>2011</v>
      </c>
      <c r="DK3" s="6" t="n">
        <v>0.004</v>
      </c>
      <c r="DL3" s="6" t="inlineStr">
        <is>
          <t>Transport EV battery PASTI</t>
        </is>
      </c>
      <c r="DM3" s="6" t="inlineStr">
        <is>
          <t>Back-loaded proxy normalized to 2010-2019 historical EV deployment shape</t>
        </is>
      </c>
    </row>
    <row r="4" ht="14.5" customHeight="1" s="213">
      <c r="DI4" s="6" t="inlineStr">
        <is>
          <t>Transport_EV_general</t>
        </is>
      </c>
      <c r="DJ4" s="6" t="n">
        <v>2012</v>
      </c>
      <c r="DK4" s="6" t="n">
        <v>0.008999999999999999</v>
      </c>
      <c r="DL4" s="6" t="inlineStr">
        <is>
          <t>Transport EV battery PASTI</t>
        </is>
      </c>
      <c r="DM4" s="6" t="inlineStr">
        <is>
          <t>Back-loaded proxy normalized to 2010-2019 historical EV deployment shape</t>
        </is>
      </c>
    </row>
    <row r="5" ht="14.5" customHeight="1" s="213">
      <c r="DI5" s="6" t="inlineStr">
        <is>
          <t>Transport_EV_general</t>
        </is>
      </c>
      <c r="DJ5" s="6" t="n">
        <v>2013</v>
      </c>
      <c r="DK5" s="6" t="n">
        <v>0.017</v>
      </c>
      <c r="DL5" s="6" t="inlineStr">
        <is>
          <t>Transport EV battery PASTI</t>
        </is>
      </c>
      <c r="DM5" s="6" t="inlineStr">
        <is>
          <t>Back-loaded proxy normalized to 2010-2019 historical EV deployment shape</t>
        </is>
      </c>
    </row>
    <row r="6" ht="14.5" customHeight="1" s="213">
      <c r="E6" s="14" t="n"/>
      <c r="F6" s="14" t="n"/>
      <c r="G6" s="14" t="n"/>
      <c r="H6" s="14" t="n"/>
      <c r="DI6" s="6" t="inlineStr">
        <is>
          <t>Transport_EV_general</t>
        </is>
      </c>
      <c r="DJ6" s="6" t="n">
        <v>2014</v>
      </c>
      <c r="DK6" s="6" t="n">
        <v>0.029</v>
      </c>
      <c r="DL6" s="6" t="inlineStr">
        <is>
          <t>Transport EV battery PASTI</t>
        </is>
      </c>
      <c r="DM6" s="6" t="inlineStr">
        <is>
          <t>Back-loaded proxy normalized to 2010-2019 historical EV deployment shape</t>
        </is>
      </c>
    </row>
    <row r="7" ht="14.5" customHeight="1" s="213">
      <c r="E7" s="14" t="inlineStr">
        <is>
          <t>attribute</t>
        </is>
      </c>
      <c r="F7" s="14" t="n"/>
      <c r="G7" s="14" t="n"/>
      <c r="H7" s="14" t="inlineStr">
        <is>
          <t>allregions</t>
        </is>
      </c>
      <c r="DI7" s="6" t="inlineStr">
        <is>
          <t>Transport_EV_general</t>
        </is>
      </c>
      <c r="DJ7" s="6" t="n">
        <v>2015</v>
      </c>
      <c r="DK7" s="6" t="n">
        <v>0.058</v>
      </c>
      <c r="DL7" s="6" t="inlineStr">
        <is>
          <t>Transport EV battery PASTI</t>
        </is>
      </c>
      <c r="DM7" s="6" t="inlineStr">
        <is>
          <t>Back-loaded proxy normalized to 2010-2019 historical EV deployment shape</t>
        </is>
      </c>
    </row>
    <row r="8" ht="14.5" customHeight="1" s="213">
      <c r="E8" s="14" t="inlineStr">
        <is>
          <t>PASTI</t>
        </is>
      </c>
      <c r="F8" s="14" t="inlineStr">
        <is>
          <t>*virgin*, -Tra_EV_Batt-Sodium*</t>
        </is>
      </c>
      <c r="G8" s="14" t="n"/>
      <c r="H8" s="14" t="inlineStr">
        <is>
          <t>*0.1</t>
        </is>
      </c>
      <c r="DI8" s="6" t="inlineStr">
        <is>
          <t>Transport_EV_general</t>
        </is>
      </c>
      <c r="DJ8" s="6" t="n">
        <v>2016</v>
      </c>
      <c r="DK8" s="6" t="n">
        <v>0.09</v>
      </c>
      <c r="DL8" s="6" t="inlineStr">
        <is>
          <t>Transport EV battery PASTI</t>
        </is>
      </c>
      <c r="DM8" s="6" t="inlineStr">
        <is>
          <t>Back-loaded proxy normalized to 2010-2019 historical EV deployment shape</t>
        </is>
      </c>
    </row>
    <row r="9" ht="14.5" customHeight="1" s="213">
      <c r="E9" s="14" t="inlineStr">
        <is>
          <t>PASTI</t>
        </is>
      </c>
      <c r="F9" s="14">
        <f>F8</f>
        <v/>
      </c>
      <c r="G9" s="14" t="n"/>
      <c r="H9" s="14" t="inlineStr">
        <is>
          <t>*0.1</t>
        </is>
      </c>
      <c r="AZ9" t="inlineStr">
        <is>
          <t>Whole Sector/All stocks</t>
        </is>
      </c>
      <c r="DI9" s="6" t="inlineStr">
        <is>
          <t>Transport_EV_general</t>
        </is>
      </c>
      <c r="DJ9" s="6" t="n">
        <v>2017</v>
      </c>
      <c r="DK9" s="6" t="n">
        <v>0.163</v>
      </c>
      <c r="DL9" s="6" t="inlineStr">
        <is>
          <t>Transport EV battery PASTI</t>
        </is>
      </c>
      <c r="DM9" s="6" t="inlineStr">
        <is>
          <t>Back-loaded proxy normalized to 2010-2019 historical EV deployment shape</t>
        </is>
      </c>
    </row>
    <row r="10" ht="14.5" customHeight="1" s="213">
      <c r="E10" s="14" t="inlineStr">
        <is>
          <t>PASTI</t>
        </is>
      </c>
      <c r="F10" s="14">
        <f>F9</f>
        <v/>
      </c>
      <c r="G10" s="14" t="n"/>
      <c r="H10" s="14" t="inlineStr">
        <is>
          <t>*0.1</t>
        </is>
      </c>
      <c r="DI10" s="6" t="inlineStr">
        <is>
          <t>Transport_EV_general</t>
        </is>
      </c>
      <c r="DJ10" s="6" t="n">
        <v>2018</v>
      </c>
      <c r="DK10" s="6" t="n">
        <v>0.301</v>
      </c>
      <c r="DL10" s="6" t="inlineStr">
        <is>
          <t>Transport EV battery PASTI</t>
        </is>
      </c>
      <c r="DM10" s="6" t="inlineStr">
        <is>
          <t>Back-loaded proxy normalized to 2010-2019 historical EV deployment shape</t>
        </is>
      </c>
    </row>
    <row r="11" ht="14.5" customHeight="1" s="213">
      <c r="E11" s="14" t="inlineStr">
        <is>
          <t>PASTI</t>
        </is>
      </c>
      <c r="F11" s="14">
        <f>F10</f>
        <v/>
      </c>
      <c r="G11" s="14" t="n"/>
      <c r="H11" s="14" t="inlineStr">
        <is>
          <t>*0.1</t>
        </is>
      </c>
      <c r="DI11" s="6" t="inlineStr">
        <is>
          <t>Transport_EV_general</t>
        </is>
      </c>
      <c r="DJ11" s="6" t="n">
        <v>2019</v>
      </c>
      <c r="DK11" s="6" t="n">
        <v>0.328</v>
      </c>
      <c r="DL11" s="6" t="inlineStr">
        <is>
          <t>Transport EV battery PASTI</t>
        </is>
      </c>
      <c r="DM11" s="6" t="inlineStr">
        <is>
          <t>Back-loaded proxy normalized to 2010-2019 historical EV deployment shape</t>
        </is>
      </c>
    </row>
    <row r="12" ht="14.5" customHeight="1" s="213">
      <c r="E12" s="14" t="inlineStr">
        <is>
          <t>PASTI</t>
        </is>
      </c>
      <c r="F12" s="14">
        <f>F11</f>
        <v/>
      </c>
      <c r="G12" s="14" t="n"/>
      <c r="H12" s="14" t="inlineStr">
        <is>
          <t>*0.1</t>
        </is>
      </c>
      <c r="AZ12" s="208" t="inlineStr">
        <is>
          <t>process</t>
        </is>
      </c>
      <c r="BA12" s="208" t="inlineStr">
        <is>
          <t>Africa_North</t>
        </is>
      </c>
      <c r="BB12" s="208" t="inlineStr">
        <is>
          <t>Africa_Other</t>
        </is>
      </c>
      <c r="BC12" s="208" t="inlineStr">
        <is>
          <t>Australia</t>
        </is>
      </c>
      <c r="BD12" s="208" t="inlineStr">
        <is>
          <t>Austria</t>
        </is>
      </c>
      <c r="BE12" s="208" t="inlineStr">
        <is>
          <t>Baltics</t>
        </is>
      </c>
      <c r="BF12" s="208" t="inlineStr">
        <is>
          <t>BeNeLux</t>
        </is>
      </c>
      <c r="BG12" s="208" t="inlineStr">
        <is>
          <t>Brazil</t>
        </is>
      </c>
      <c r="BH12" s="208" t="inlineStr">
        <is>
          <t>China</t>
        </is>
      </c>
      <c r="BI12" s="208" t="inlineStr">
        <is>
          <t>CroSloven</t>
        </is>
      </c>
      <c r="BJ12" s="208" t="inlineStr">
        <is>
          <t>CzechSlovak</t>
        </is>
      </c>
      <c r="BK12" s="208" t="inlineStr">
        <is>
          <t>France</t>
        </is>
      </c>
      <c r="BL12" s="208" t="inlineStr">
        <is>
          <t>Germany</t>
        </is>
      </c>
      <c r="BM12" s="208" t="inlineStr">
        <is>
          <t>GreeceCyp</t>
        </is>
      </c>
      <c r="BN12" s="208" t="inlineStr">
        <is>
          <t>HunRomBul</t>
        </is>
      </c>
      <c r="BO12" s="208" t="inlineStr">
        <is>
          <t>Iceland</t>
        </is>
      </c>
      <c r="BP12" s="208" t="inlineStr">
        <is>
          <t>India</t>
        </is>
      </c>
      <c r="BQ12" s="208" t="inlineStr">
        <is>
          <t>Ireland</t>
        </is>
      </c>
      <c r="BR12" s="208" t="inlineStr">
        <is>
          <t>ItalyMal</t>
        </is>
      </c>
      <c r="BS12" s="208" t="inlineStr">
        <is>
          <t>Japan</t>
        </is>
      </c>
      <c r="BT12" s="208" t="inlineStr">
        <is>
          <t>LatAm</t>
        </is>
      </c>
      <c r="BU12" s="208" t="inlineStr">
        <is>
          <t>MidEast</t>
        </is>
      </c>
      <c r="BV12" s="208" t="inlineStr">
        <is>
          <t>NorthAm</t>
        </is>
      </c>
      <c r="BW12" s="208" t="inlineStr">
        <is>
          <t>Norway</t>
        </is>
      </c>
      <c r="BX12" s="208" t="inlineStr">
        <is>
          <t>Poland</t>
        </is>
      </c>
      <c r="BY12" s="208" t="inlineStr">
        <is>
          <t>ROW</t>
        </is>
      </c>
      <c r="BZ12" s="208" t="inlineStr">
        <is>
          <t>Russia</t>
        </is>
      </c>
      <c r="CA12" s="208" t="inlineStr">
        <is>
          <t>SaudiArabia</t>
        </is>
      </c>
      <c r="CB12" s="208" t="inlineStr">
        <is>
          <t>SouthAfrica</t>
        </is>
      </c>
      <c r="CC12" s="208" t="inlineStr">
        <is>
          <t>SpainPor</t>
        </is>
      </c>
      <c r="CD12" s="208" t="inlineStr">
        <is>
          <t>SweFinDen</t>
        </is>
      </c>
      <c r="CE12" s="208" t="inlineStr">
        <is>
          <t>Switzerland</t>
        </is>
      </c>
      <c r="CF12" s="208" t="inlineStr">
        <is>
          <t>Turkey</t>
        </is>
      </c>
      <c r="CG12" s="208" t="inlineStr">
        <is>
          <t>UK</t>
        </is>
      </c>
      <c r="CH12" s="208" t="inlineStr">
        <is>
          <t>Ukraine</t>
        </is>
      </c>
      <c r="CI12" t="inlineStr">
        <is>
          <t>WestBalkans</t>
        </is>
      </c>
      <c r="DI12" s="6" t="inlineStr">
        <is>
          <t>China_e_bus_optional</t>
        </is>
      </c>
      <c r="DJ12" s="6" t="n">
        <v>2010</v>
      </c>
      <c r="DK12" s="6" t="n">
        <v>0</v>
      </c>
      <c r="DL12" s="6" t="inlineStr">
        <is>
          <t>China electric bus battery PASTI</t>
        </is>
      </c>
      <c r="DM12" s="6" t="inlineStr">
        <is>
          <t>Optional profile for China e-bus because deployment peaked earlier around 2015-2018</t>
        </is>
      </c>
    </row>
    <row r="13" ht="14.5" customHeight="1" s="213">
      <c r="E13" s="14" t="inlineStr">
        <is>
          <t>PASTI</t>
        </is>
      </c>
      <c r="F13" s="14">
        <f>F12</f>
        <v/>
      </c>
      <c r="G13" s="14" t="n"/>
      <c r="H13" s="14" t="inlineStr">
        <is>
          <t>*0.1</t>
        </is>
      </c>
      <c r="AZ13" s="208" t="inlineStr">
        <is>
          <t>MINBatMaterials_LI</t>
        </is>
      </c>
      <c r="BA13" s="208" t="n">
        <v>0</v>
      </c>
      <c r="BB13" s="208" t="n">
        <v>24.7</v>
      </c>
      <c r="BC13" s="208" t="n">
        <v>88</v>
      </c>
      <c r="BD13" s="208" t="n">
        <v>0</v>
      </c>
      <c r="BE13" s="208" t="n">
        <v>0</v>
      </c>
      <c r="BF13" s="208" t="n">
        <v>0</v>
      </c>
      <c r="BG13" s="208" t="n">
        <v>10</v>
      </c>
      <c r="BH13" s="208" t="n">
        <v>41</v>
      </c>
      <c r="BI13" s="208" t="n">
        <v>0</v>
      </c>
      <c r="BJ13" s="208" t="n">
        <v>0</v>
      </c>
      <c r="BK13" s="208" t="n">
        <v>0</v>
      </c>
      <c r="BL13" s="208" t="n">
        <v>0</v>
      </c>
      <c r="BM13" s="208" t="n">
        <v>0</v>
      </c>
      <c r="BN13" s="208" t="n">
        <v>0</v>
      </c>
      <c r="BO13" s="208" t="n">
        <v>0</v>
      </c>
      <c r="BP13" s="208" t="n">
        <v>0</v>
      </c>
      <c r="BQ13" s="208" t="n">
        <v>0</v>
      </c>
      <c r="BR13" s="208" t="n">
        <v>0</v>
      </c>
      <c r="BS13" s="208" t="n">
        <v>0</v>
      </c>
      <c r="BT13" s="208" t="n">
        <v>67</v>
      </c>
      <c r="BU13" s="208" t="n">
        <v>0</v>
      </c>
      <c r="BV13" s="208" t="n">
        <v>4.3</v>
      </c>
      <c r="BW13" s="208" t="n">
        <v>0</v>
      </c>
      <c r="BX13" s="208" t="n">
        <v>0</v>
      </c>
      <c r="BY13" s="208" t="n">
        <v>4.6</v>
      </c>
      <c r="BZ13" s="208" t="n">
        <v>0</v>
      </c>
      <c r="CA13" s="208" t="n">
        <v>0</v>
      </c>
      <c r="CB13" s="208" t="n">
        <v>0</v>
      </c>
      <c r="CC13" s="208" t="n">
        <v>0.4</v>
      </c>
      <c r="CD13" s="208" t="n">
        <v>0</v>
      </c>
      <c r="CE13" s="208" t="n">
        <v>0</v>
      </c>
      <c r="CF13" s="208" t="n">
        <v>0</v>
      </c>
      <c r="CG13" s="208" t="n">
        <v>0</v>
      </c>
      <c r="CH13" s="208" t="n">
        <v>0</v>
      </c>
      <c r="CI13" s="208" t="n">
        <v>0</v>
      </c>
      <c r="DI13" s="6" t="inlineStr">
        <is>
          <t>China_e_bus_optional</t>
        </is>
      </c>
      <c r="DJ13" s="6" t="n">
        <v>2011</v>
      </c>
      <c r="DK13" s="6" t="n">
        <v>0</v>
      </c>
      <c r="DL13" s="6" t="inlineStr">
        <is>
          <t>China electric bus battery PASTI</t>
        </is>
      </c>
      <c r="DM13" s="6" t="inlineStr">
        <is>
          <t>Optional profile for China e-bus because deployment peaked earlier around 2015-2018</t>
        </is>
      </c>
    </row>
    <row r="14" ht="14.5" customHeight="1" s="213">
      <c r="E14" s="14" t="inlineStr">
        <is>
          <t>PASTI</t>
        </is>
      </c>
      <c r="F14" s="14">
        <f>F13</f>
        <v/>
      </c>
      <c r="G14" s="14" t="n"/>
      <c r="H14" s="14" t="inlineStr">
        <is>
          <t>*0.1</t>
        </is>
      </c>
      <c r="AZ14" s="208" t="inlineStr">
        <is>
          <t>MINBatMaterials_NI</t>
        </is>
      </c>
      <c r="BA14" s="208" t="n">
        <v>0</v>
      </c>
      <c r="BB14" s="208" t="n">
        <v>0</v>
      </c>
      <c r="BC14" s="208" t="n">
        <v>110</v>
      </c>
      <c r="BD14" s="208" t="n">
        <v>0</v>
      </c>
      <c r="BE14" s="208" t="n">
        <v>0</v>
      </c>
      <c r="BF14" s="208" t="n">
        <v>0</v>
      </c>
      <c r="BG14" s="208" t="n">
        <v>77</v>
      </c>
      <c r="BH14" s="208" t="n">
        <v>120</v>
      </c>
      <c r="BI14" s="208" t="n">
        <v>0</v>
      </c>
      <c r="BJ14" s="208" t="n">
        <v>0</v>
      </c>
      <c r="BK14" s="208" t="n">
        <v>0</v>
      </c>
      <c r="BL14" s="208" t="n">
        <v>0</v>
      </c>
      <c r="BM14" s="208" t="n">
        <v>0</v>
      </c>
      <c r="BN14" s="208" t="n">
        <v>0</v>
      </c>
      <c r="BO14" s="208" t="n">
        <v>0</v>
      </c>
      <c r="BP14" s="208" t="n">
        <v>0</v>
      </c>
      <c r="BQ14" s="208" t="n">
        <v>0</v>
      </c>
      <c r="BR14" s="208" t="n">
        <v>0</v>
      </c>
      <c r="BS14" s="208" t="n">
        <v>0</v>
      </c>
      <c r="BT14" s="208" t="n">
        <v>0</v>
      </c>
      <c r="BU14" s="208" t="n">
        <v>0</v>
      </c>
      <c r="BV14" s="208" t="n">
        <v>198</v>
      </c>
      <c r="BW14" s="208" t="n">
        <v>0</v>
      </c>
      <c r="BX14" s="208" t="n">
        <v>0</v>
      </c>
      <c r="BY14" s="208" t="n">
        <v>2985</v>
      </c>
      <c r="BZ14" s="208" t="n">
        <v>210</v>
      </c>
      <c r="CA14" s="208" t="n">
        <v>0</v>
      </c>
      <c r="CB14" s="208" t="n">
        <v>0</v>
      </c>
      <c r="CC14" s="208" t="n">
        <v>0</v>
      </c>
      <c r="CD14" s="208" t="n">
        <v>0</v>
      </c>
      <c r="CE14" s="208" t="n">
        <v>0</v>
      </c>
      <c r="CF14" s="208" t="n">
        <v>0</v>
      </c>
      <c r="CG14" s="208" t="n">
        <v>0</v>
      </c>
      <c r="CH14" s="208" t="n">
        <v>0</v>
      </c>
      <c r="CI14" s="208" t="n">
        <v>0</v>
      </c>
      <c r="DI14" s="6" t="inlineStr">
        <is>
          <t>China_e_bus_optional</t>
        </is>
      </c>
      <c r="DJ14" s="6" t="n">
        <v>2012</v>
      </c>
      <c r="DK14" s="6" t="n">
        <v>0.005</v>
      </c>
      <c r="DL14" s="6" t="inlineStr">
        <is>
          <t>China electric bus battery PASTI</t>
        </is>
      </c>
      <c r="DM14" s="6" t="inlineStr">
        <is>
          <t>Optional profile for China e-bus because deployment peaked earlier around 2015-2018</t>
        </is>
      </c>
    </row>
    <row r="15" ht="14.5" customHeight="1" s="213">
      <c r="E15" s="14" t="inlineStr">
        <is>
          <t>PASTI</t>
        </is>
      </c>
      <c r="F15" s="14">
        <f>F14</f>
        <v/>
      </c>
      <c r="G15" s="14" t="n"/>
      <c r="H15" s="14" t="inlineStr">
        <is>
          <t>*0.1</t>
        </is>
      </c>
      <c r="AZ15" s="208" t="inlineStr">
        <is>
          <t>MINBatMaterials_COB</t>
        </is>
      </c>
      <c r="BA15" s="208" t="n">
        <v>0</v>
      </c>
      <c r="BB15" s="208" t="n">
        <v>222.6</v>
      </c>
      <c r="BC15" s="208" t="n">
        <v>3.6</v>
      </c>
      <c r="BD15" s="208" t="n">
        <v>0</v>
      </c>
      <c r="BE15" s="208" t="n">
        <v>0</v>
      </c>
      <c r="BF15" s="208" t="n">
        <v>0</v>
      </c>
      <c r="BG15" s="208" t="n">
        <v>0</v>
      </c>
      <c r="BH15" s="208" t="n">
        <v>0</v>
      </c>
      <c r="BI15" s="208" t="n">
        <v>0</v>
      </c>
      <c r="BJ15" s="208" t="n">
        <v>0</v>
      </c>
      <c r="BK15" s="208" t="n">
        <v>0</v>
      </c>
      <c r="BL15" s="208" t="n">
        <v>0</v>
      </c>
      <c r="BM15" s="208" t="n">
        <v>0</v>
      </c>
      <c r="BN15" s="208" t="n">
        <v>0</v>
      </c>
      <c r="BO15" s="208" t="n">
        <v>0</v>
      </c>
      <c r="BP15" s="208" t="n">
        <v>0</v>
      </c>
      <c r="BQ15" s="208" t="n">
        <v>0</v>
      </c>
      <c r="BR15" s="208" t="n">
        <v>0</v>
      </c>
      <c r="BS15" s="208" t="n">
        <v>0</v>
      </c>
      <c r="BT15" s="208" t="n">
        <v>3.5</v>
      </c>
      <c r="BU15" s="208" t="n">
        <v>0</v>
      </c>
      <c r="BV15" s="208" t="n">
        <v>4.8</v>
      </c>
      <c r="BW15" s="208" t="n">
        <v>0</v>
      </c>
      <c r="BX15" s="208" t="n">
        <v>0</v>
      </c>
      <c r="BY15" s="208" t="n">
        <v>43.8</v>
      </c>
      <c r="BZ15" s="208" t="n">
        <v>8.699999999999999</v>
      </c>
      <c r="CA15" s="208" t="n">
        <v>0</v>
      </c>
      <c r="CB15" s="208" t="n">
        <v>0</v>
      </c>
      <c r="CC15" s="208" t="n">
        <v>0</v>
      </c>
      <c r="CD15" s="208" t="n">
        <v>0</v>
      </c>
      <c r="CE15" s="208" t="n">
        <v>0</v>
      </c>
      <c r="CF15" s="208" t="n">
        <v>2.7</v>
      </c>
      <c r="CG15" s="208" t="n">
        <v>0</v>
      </c>
      <c r="CH15" s="208" t="n">
        <v>0</v>
      </c>
      <c r="CI15" s="208" t="n">
        <v>0</v>
      </c>
      <c r="DI15" s="6" t="inlineStr">
        <is>
          <t>China_e_bus_optional</t>
        </is>
      </c>
      <c r="DJ15" s="6" t="n">
        <v>2013</v>
      </c>
      <c r="DK15" s="6" t="n">
        <v>0.015</v>
      </c>
      <c r="DL15" s="6" t="inlineStr">
        <is>
          <t>China electric bus battery PASTI</t>
        </is>
      </c>
      <c r="DM15" s="6" t="inlineStr">
        <is>
          <t>Optional profile for China e-bus because deployment peaked earlier around 2015-2018</t>
        </is>
      </c>
    </row>
    <row r="16" ht="14.5" customHeight="1" s="213">
      <c r="E16" s="14" t="inlineStr">
        <is>
          <t>PASTI</t>
        </is>
      </c>
      <c r="F16" s="14">
        <f>F15</f>
        <v/>
      </c>
      <c r="G16" s="14" t="n"/>
      <c r="H16" s="14" t="inlineStr">
        <is>
          <t>*0.1</t>
        </is>
      </c>
      <c r="AZ16" s="208" t="inlineStr">
        <is>
          <t>MINBatMaterials_MN</t>
        </is>
      </c>
      <c r="BA16" s="208" t="n">
        <v>0</v>
      </c>
      <c r="BB16" s="208" t="n">
        <v>5780</v>
      </c>
      <c r="BC16" s="208" t="n">
        <v>2800</v>
      </c>
      <c r="BD16" s="208" t="n">
        <v>0</v>
      </c>
      <c r="BE16" s="208" t="n">
        <v>0</v>
      </c>
      <c r="BF16" s="208" t="n">
        <v>0</v>
      </c>
      <c r="BG16" s="208" t="n">
        <v>590</v>
      </c>
      <c r="BH16" s="208" t="n">
        <v>770</v>
      </c>
      <c r="BI16" s="208" t="n">
        <v>0</v>
      </c>
      <c r="BJ16" s="208" t="n">
        <v>0</v>
      </c>
      <c r="BK16" s="208" t="n">
        <v>0</v>
      </c>
      <c r="BL16" s="208" t="n">
        <v>0</v>
      </c>
      <c r="BM16" s="208" t="n">
        <v>0</v>
      </c>
      <c r="BN16" s="208" t="n">
        <v>0</v>
      </c>
      <c r="BO16" s="208" t="n">
        <v>0</v>
      </c>
      <c r="BP16" s="208" t="n">
        <v>800</v>
      </c>
      <c r="BQ16" s="208" t="n">
        <v>0</v>
      </c>
      <c r="BR16" s="208" t="n">
        <v>0</v>
      </c>
      <c r="BS16" s="208" t="n">
        <v>0</v>
      </c>
      <c r="BT16" s="208" t="n">
        <v>0</v>
      </c>
      <c r="BU16" s="208" t="n">
        <v>0</v>
      </c>
      <c r="BV16" s="208" t="n">
        <v>0</v>
      </c>
      <c r="BW16" s="208" t="n">
        <v>0</v>
      </c>
      <c r="BX16" s="208" t="n">
        <v>0</v>
      </c>
      <c r="BY16" s="208" t="n">
        <v>2060</v>
      </c>
      <c r="BZ16" s="208" t="n">
        <v>0</v>
      </c>
      <c r="CA16" s="208" t="n">
        <v>0</v>
      </c>
      <c r="CB16" s="208" t="n">
        <v>7400</v>
      </c>
      <c r="CC16" s="208" t="n">
        <v>0</v>
      </c>
      <c r="CD16" s="208" t="n">
        <v>0</v>
      </c>
      <c r="CE16" s="208" t="n">
        <v>0</v>
      </c>
      <c r="CF16" s="208" t="n">
        <v>0</v>
      </c>
      <c r="CG16" s="208" t="n">
        <v>0</v>
      </c>
      <c r="CH16" s="208" t="n">
        <v>0</v>
      </c>
      <c r="CI16" s="208" t="n">
        <v>0</v>
      </c>
      <c r="DI16" s="6" t="inlineStr">
        <is>
          <t>China_e_bus_optional</t>
        </is>
      </c>
      <c r="DJ16" s="6" t="n">
        <v>2014</v>
      </c>
      <c r="DK16" s="6" t="n">
        <v>0.04</v>
      </c>
      <c r="DL16" s="6" t="inlineStr">
        <is>
          <t>China electric bus battery PASTI</t>
        </is>
      </c>
      <c r="DM16" s="6" t="inlineStr">
        <is>
          <t>Optional profile for China e-bus because deployment peaked earlier around 2015-2018</t>
        </is>
      </c>
    </row>
    <row r="17" ht="14.5" customHeight="1" s="213">
      <c r="E17" s="14" t="inlineStr">
        <is>
          <t>PASTI</t>
        </is>
      </c>
      <c r="F17" s="14">
        <f>F16</f>
        <v/>
      </c>
      <c r="G17" s="14" t="n"/>
      <c r="H17" s="14" t="inlineStr">
        <is>
          <t>*0.1</t>
        </is>
      </c>
      <c r="AZ17" s="208" t="inlineStr">
        <is>
          <t>MINBatMaterials_AL</t>
        </is>
      </c>
      <c r="BA17" s="208" t="n">
        <v>0</v>
      </c>
      <c r="BB17" s="208" t="n">
        <v>159</v>
      </c>
      <c r="BC17" s="208" t="n">
        <v>9522</v>
      </c>
      <c r="BD17" s="208" t="n">
        <v>0</v>
      </c>
      <c r="BE17" s="208" t="n">
        <v>0</v>
      </c>
      <c r="BF17" s="208" t="n">
        <v>0</v>
      </c>
      <c r="BG17" s="208" t="n">
        <v>5819</v>
      </c>
      <c r="BH17" s="208" t="n">
        <v>44436</v>
      </c>
      <c r="BI17" s="208" t="n">
        <v>0</v>
      </c>
      <c r="BJ17" s="208" t="n">
        <v>0</v>
      </c>
      <c r="BK17" s="208" t="n">
        <v>0</v>
      </c>
      <c r="BL17" s="208" t="n">
        <v>508</v>
      </c>
      <c r="BM17" s="208" t="n">
        <v>455</v>
      </c>
      <c r="BN17" s="208" t="n">
        <v>0</v>
      </c>
      <c r="BO17" s="208" t="n">
        <v>0</v>
      </c>
      <c r="BP17" s="208" t="n">
        <v>4020</v>
      </c>
      <c r="BQ17" s="208" t="n">
        <v>846</v>
      </c>
      <c r="BR17" s="208" t="n">
        <v>0</v>
      </c>
      <c r="BS17" s="208" t="n">
        <v>0</v>
      </c>
      <c r="BT17" s="208" t="n">
        <v>0</v>
      </c>
      <c r="BU17" s="208" t="n">
        <v>1270</v>
      </c>
      <c r="BV17" s="208" t="n">
        <v>1175</v>
      </c>
      <c r="BW17" s="208" t="n">
        <v>0</v>
      </c>
      <c r="BX17" s="208" t="n">
        <v>0</v>
      </c>
      <c r="BY17" s="208" t="n">
        <v>3015</v>
      </c>
      <c r="BZ17" s="208" t="n">
        <v>1534</v>
      </c>
      <c r="CA17" s="208" t="n">
        <v>952</v>
      </c>
      <c r="CB17" s="208" t="n">
        <v>0</v>
      </c>
      <c r="CC17" s="208" t="n">
        <v>434</v>
      </c>
      <c r="CD17" s="208" t="n">
        <v>0</v>
      </c>
      <c r="CE17" s="208" t="n">
        <v>0</v>
      </c>
      <c r="CF17" s="208" t="n">
        <v>169</v>
      </c>
      <c r="CG17" s="208" t="n">
        <v>0</v>
      </c>
      <c r="CH17" s="208" t="n">
        <v>0</v>
      </c>
      <c r="CI17" s="208" t="n">
        <v>0</v>
      </c>
      <c r="DI17" s="6" t="inlineStr">
        <is>
          <t>China_e_bus_optional</t>
        </is>
      </c>
      <c r="DJ17" s="6" t="n">
        <v>2015</v>
      </c>
      <c r="DK17" s="6" t="n">
        <v>0.14</v>
      </c>
      <c r="DL17" s="6" t="inlineStr">
        <is>
          <t>China electric bus battery PASTI</t>
        </is>
      </c>
      <c r="DM17" s="6" t="inlineStr">
        <is>
          <t>Optional profile for China e-bus because deployment peaked earlier around 2015-2018</t>
        </is>
      </c>
    </row>
    <row r="18" ht="14.5" customHeight="1" s="213">
      <c r="E18" s="14" t="n"/>
      <c r="F18" s="14" t="n"/>
      <c r="G18" s="14" t="n"/>
      <c r="H18" s="14" t="n"/>
      <c r="AZ18" s="208" t="inlineStr">
        <is>
          <t>MINBatMaterials_COP</t>
        </is>
      </c>
      <c r="BA18" s="208" t="n">
        <v>0</v>
      </c>
      <c r="BB18" s="208" t="n">
        <v>3980</v>
      </c>
      <c r="BC18" s="208" t="n">
        <v>800</v>
      </c>
      <c r="BD18" s="208" t="n">
        <v>0</v>
      </c>
      <c r="BE18" s="208" t="n">
        <v>0</v>
      </c>
      <c r="BF18" s="208" t="n">
        <v>0</v>
      </c>
      <c r="BG18" s="208" t="n">
        <v>0</v>
      </c>
      <c r="BH18" s="208" t="n">
        <v>1800</v>
      </c>
      <c r="BI18" s="208" t="n">
        <v>0</v>
      </c>
      <c r="BJ18" s="208" t="n">
        <v>0</v>
      </c>
      <c r="BK18" s="208" t="n">
        <v>0</v>
      </c>
      <c r="BL18" s="208" t="n">
        <v>0</v>
      </c>
      <c r="BM18" s="208" t="n">
        <v>0</v>
      </c>
      <c r="BN18" s="208" t="n">
        <v>0</v>
      </c>
      <c r="BO18" s="208" t="n">
        <v>0</v>
      </c>
      <c r="BP18" s="208" t="n">
        <v>30</v>
      </c>
      <c r="BQ18" s="208" t="n">
        <v>0</v>
      </c>
      <c r="BR18" s="208" t="n">
        <v>0</v>
      </c>
      <c r="BS18" s="208" t="n">
        <v>0</v>
      </c>
      <c r="BT18" s="208" t="n">
        <v>7900</v>
      </c>
      <c r="BU18" s="208" t="n">
        <v>0</v>
      </c>
      <c r="BV18" s="208" t="n">
        <v>2250</v>
      </c>
      <c r="BW18" s="208" t="n">
        <v>0</v>
      </c>
      <c r="BX18" s="208" t="n">
        <v>410</v>
      </c>
      <c r="BY18" s="208" t="n">
        <v>4700</v>
      </c>
      <c r="BZ18" s="208" t="n">
        <v>930</v>
      </c>
      <c r="CA18" s="208" t="n">
        <v>0</v>
      </c>
      <c r="CB18" s="208" t="n">
        <v>0</v>
      </c>
      <c r="CC18" s="208" t="n">
        <v>0</v>
      </c>
      <c r="CD18" s="208" t="n">
        <v>0</v>
      </c>
      <c r="CE18" s="208" t="n">
        <v>0</v>
      </c>
      <c r="CF18" s="208" t="n">
        <v>0</v>
      </c>
      <c r="CG18" s="208" t="n">
        <v>0</v>
      </c>
      <c r="CH18" s="208" t="n">
        <v>0</v>
      </c>
      <c r="CI18" s="208" t="n">
        <v>0</v>
      </c>
      <c r="DI18" s="6" t="inlineStr">
        <is>
          <t>China_e_bus_optional</t>
        </is>
      </c>
      <c r="DJ18" s="6" t="n">
        <v>2016</v>
      </c>
      <c r="DK18" s="6" t="n">
        <v>0.22</v>
      </c>
      <c r="DL18" s="6" t="inlineStr">
        <is>
          <t>China electric bus battery PASTI</t>
        </is>
      </c>
      <c r="DM18" s="6" t="inlineStr">
        <is>
          <t>Optional profile for China e-bus because deployment peaked earlier around 2015-2018</t>
        </is>
      </c>
    </row>
    <row r="19" ht="14.5" customHeight="1" s="213">
      <c r="E19" s="14" t="n"/>
      <c r="F19" s="14" t="n"/>
      <c r="G19" s="14" t="n"/>
      <c r="H19" s="14" t="n"/>
      <c r="AZ19" s="208" t="inlineStr">
        <is>
          <t>MINBatMaterials_GR</t>
        </is>
      </c>
      <c r="BA19" s="208" t="n">
        <v>0</v>
      </c>
      <c r="BB19" s="208" t="n">
        <v>189</v>
      </c>
      <c r="BC19" s="208" t="n">
        <v>0</v>
      </c>
      <c r="BD19" s="208" t="n">
        <v>0.5</v>
      </c>
      <c r="BE19" s="208" t="n">
        <v>0</v>
      </c>
      <c r="BF19" s="208" t="n">
        <v>0</v>
      </c>
      <c r="BG19" s="208" t="n">
        <v>68</v>
      </c>
      <c r="BH19" s="208" t="n">
        <v>1270</v>
      </c>
      <c r="BI19" s="208" t="n">
        <v>0</v>
      </c>
      <c r="BJ19" s="208" t="n">
        <v>0</v>
      </c>
      <c r="BK19" s="208" t="n">
        <v>0</v>
      </c>
      <c r="BL19" s="208" t="n">
        <v>0.2</v>
      </c>
      <c r="BM19" s="208" t="n">
        <v>0</v>
      </c>
      <c r="BN19" s="208" t="n">
        <v>0</v>
      </c>
      <c r="BO19" s="208" t="n">
        <v>0</v>
      </c>
      <c r="BP19" s="208" t="n">
        <v>28</v>
      </c>
      <c r="BQ19" s="208" t="n">
        <v>0</v>
      </c>
      <c r="BR19" s="208" t="n">
        <v>0</v>
      </c>
      <c r="BS19" s="208" t="n">
        <v>0</v>
      </c>
      <c r="BT19" s="208" t="n">
        <v>0</v>
      </c>
      <c r="BU19" s="208" t="n">
        <v>0</v>
      </c>
      <c r="BV19" s="208" t="n">
        <v>20.9</v>
      </c>
      <c r="BW19" s="208" t="n">
        <v>7</v>
      </c>
      <c r="BX19" s="208" t="n">
        <v>0</v>
      </c>
      <c r="BY19" s="208" t="n">
        <v>22.9</v>
      </c>
      <c r="BZ19" s="208" t="n">
        <v>20</v>
      </c>
      <c r="CA19" s="208" t="n">
        <v>0</v>
      </c>
      <c r="CB19" s="208" t="n">
        <v>0</v>
      </c>
      <c r="CC19" s="208" t="n">
        <v>0</v>
      </c>
      <c r="CD19" s="208" t="n">
        <v>0</v>
      </c>
      <c r="CE19" s="208" t="n">
        <v>0</v>
      </c>
      <c r="CF19" s="208" t="n">
        <v>3</v>
      </c>
      <c r="CG19" s="208" t="n">
        <v>0</v>
      </c>
      <c r="CH19" s="208" t="n">
        <v>1.2</v>
      </c>
      <c r="CI19" s="208" t="n">
        <v>0</v>
      </c>
      <c r="DI19" s="6" t="inlineStr">
        <is>
          <t>China_e_bus_optional</t>
        </is>
      </c>
      <c r="DJ19" s="6" t="n">
        <v>2017</v>
      </c>
      <c r="DK19" s="6" t="n">
        <v>0.25</v>
      </c>
      <c r="DL19" s="6" t="inlineStr">
        <is>
          <t>China electric bus battery PASTI</t>
        </is>
      </c>
      <c r="DM19" s="6" t="inlineStr">
        <is>
          <t>Optional profile for China e-bus because deployment peaked earlier around 2015-2018</t>
        </is>
      </c>
    </row>
    <row r="20" ht="14.5" customHeight="1" s="213">
      <c r="E20" s="14" t="n"/>
      <c r="F20" s="14" t="n"/>
      <c r="G20" s="14" t="n"/>
      <c r="H20" s="14" t="n"/>
      <c r="AZ20" s="208" t="n"/>
      <c r="BA20" s="208" t="n"/>
      <c r="BB20" s="208" t="n"/>
      <c r="BC20" s="208" t="n"/>
      <c r="BD20" s="208" t="n"/>
      <c r="BE20" s="208" t="n"/>
      <c r="BF20" s="208" t="n"/>
      <c r="BG20" s="208" t="n"/>
      <c r="BH20" s="208" t="n"/>
      <c r="BI20" s="208" t="n"/>
      <c r="BJ20" s="208" t="n"/>
      <c r="BK20" s="208" t="n"/>
      <c r="BL20" s="208" t="n"/>
      <c r="BM20" s="208" t="n"/>
      <c r="BN20" s="208" t="n"/>
      <c r="BO20" s="208" t="n"/>
      <c r="BP20" s="208" t="n"/>
      <c r="BQ20" s="208" t="n"/>
      <c r="BR20" s="208" t="n"/>
      <c r="BS20" s="208" t="n"/>
      <c r="BT20" s="208" t="n"/>
      <c r="BU20" s="208" t="n"/>
      <c r="BV20" s="208" t="n"/>
      <c r="BW20" s="208" t="n"/>
      <c r="BX20" s="208" t="n"/>
      <c r="BY20" s="208" t="n"/>
      <c r="BZ20" s="208" t="n"/>
      <c r="CA20" s="208" t="n"/>
      <c r="CB20" s="208" t="n"/>
      <c r="CC20" s="208" t="n"/>
      <c r="CD20" s="208" t="n"/>
      <c r="CE20" s="208" t="n"/>
      <c r="CF20" s="208" t="n"/>
      <c r="CG20" s="208" t="n"/>
      <c r="CH20" s="208" t="n"/>
      <c r="CI20" s="208" t="n"/>
      <c r="DI20" s="6" t="inlineStr">
        <is>
          <t>China_e_bus_optional</t>
        </is>
      </c>
      <c r="DJ20" s="6" t="n">
        <v>2018</v>
      </c>
      <c r="DK20" s="6" t="n">
        <v>0.21</v>
      </c>
      <c r="DL20" s="6" t="inlineStr">
        <is>
          <t>China electric bus battery PASTI</t>
        </is>
      </c>
      <c r="DM20" s="6" t="inlineStr">
        <is>
          <t>Optional profile for China e-bus because deployment peaked earlier around 2015-2018</t>
        </is>
      </c>
    </row>
    <row r="21" ht="14.5" customHeight="1" s="213">
      <c r="E21" s="14" t="n"/>
      <c r="F21" s="14" t="n"/>
      <c r="G21" s="14" t="n"/>
      <c r="H21" s="14" t="n"/>
      <c r="DI21" s="6" t="inlineStr">
        <is>
          <t>China_e_bus_optional</t>
        </is>
      </c>
      <c r="DJ21" s="6" t="n">
        <v>2019</v>
      </c>
      <c r="DK21" s="6" t="n">
        <v>0.12</v>
      </c>
      <c r="DL21" s="6" t="inlineStr">
        <is>
          <t>China electric bus battery PASTI</t>
        </is>
      </c>
      <c r="DM21" s="6" t="inlineStr">
        <is>
          <t>Optional profile for China e-bus because deployment peaked earlier around 2015-2018</t>
        </is>
      </c>
    </row>
    <row r="22" ht="14.5" customHeight="1" s="213">
      <c r="E22" s="14" t="n"/>
      <c r="F22" s="14" t="n"/>
      <c r="G22" s="14" t="n"/>
      <c r="H22" s="14" t="n"/>
      <c r="DI22" s="6" t="inlineStr">
        <is>
          <t>Grid_storage_Liion</t>
        </is>
      </c>
      <c r="DJ22" s="6" t="n">
        <v>2010</v>
      </c>
      <c r="DK22" s="6" t="n">
        <v>0</v>
      </c>
      <c r="DL22" s="6" t="inlineStr">
        <is>
          <t>Grid battery storage PASTI</t>
        </is>
      </c>
      <c r="DM22" s="6" t="inlineStr">
        <is>
          <t>Grid battery storage should use a later/back-loaded curve than transport EVs</t>
        </is>
      </c>
    </row>
    <row r="23" ht="14.5" customHeight="1" s="213">
      <c r="E23" s="14" t="n"/>
      <c r="F23" s="14" t="n"/>
      <c r="G23" s="14" t="n"/>
      <c r="H23" s="14" t="n"/>
      <c r="DI23" s="6" t="inlineStr">
        <is>
          <t>Grid_storage_Liion</t>
        </is>
      </c>
      <c r="DJ23" s="6" t="n">
        <v>2011</v>
      </c>
      <c r="DK23" s="6" t="n">
        <v>0</v>
      </c>
      <c r="DL23" s="6" t="inlineStr">
        <is>
          <t>Grid battery storage PASTI</t>
        </is>
      </c>
      <c r="DM23" s="6" t="inlineStr">
        <is>
          <t>Grid battery storage should use a later/back-loaded curve than transport EVs</t>
        </is>
      </c>
    </row>
    <row r="24" ht="14.5" customHeight="1" s="213">
      <c r="E24" s="14" t="n"/>
      <c r="F24" s="14" t="n"/>
      <c r="G24" s="14" t="n"/>
      <c r="H24" s="14" t="n"/>
      <c r="DI24" s="6" t="inlineStr">
        <is>
          <t>Grid_storage_Liion</t>
        </is>
      </c>
      <c r="DJ24" s="6" t="n">
        <v>2012</v>
      </c>
      <c r="DK24" s="6" t="n">
        <v>0</v>
      </c>
      <c r="DL24" s="6" t="inlineStr">
        <is>
          <t>Grid battery storage PASTI</t>
        </is>
      </c>
      <c r="DM24" s="6" t="inlineStr">
        <is>
          <t>Grid battery storage should use a later/back-loaded curve than transport EVs</t>
        </is>
      </c>
    </row>
    <row r="25" ht="14.5" customHeight="1" s="213">
      <c r="E25" s="14" t="inlineStr">
        <is>
          <t>attribute</t>
        </is>
      </c>
      <c r="F25" s="14" t="inlineStr">
        <is>
          <t>pset_pn</t>
        </is>
      </c>
      <c r="G25" s="14" t="inlineStr">
        <is>
          <t>year2</t>
        </is>
      </c>
      <c r="H25" s="14" t="inlineStr">
        <is>
          <t>allregions</t>
        </is>
      </c>
      <c r="DI25" s="6" t="inlineStr">
        <is>
          <t>Grid_storage_Liion</t>
        </is>
      </c>
      <c r="DJ25" s="6" t="n">
        <v>2013</v>
      </c>
      <c r="DK25" s="6" t="n">
        <v>0.019</v>
      </c>
      <c r="DL25" s="6" t="inlineStr">
        <is>
          <t>Grid battery storage PASTI</t>
        </is>
      </c>
      <c r="DM25" s="6" t="inlineStr">
        <is>
          <t>Proxy from global battery storage annual deployment shape</t>
        </is>
      </c>
    </row>
    <row r="26" ht="14.5" customHeight="1" s="213">
      <c r="E26" s="14" t="inlineStr">
        <is>
          <t>PASTI</t>
        </is>
      </c>
      <c r="F26" s="14" t="inlineStr">
        <is>
          <t>MINBatMaterials*</t>
        </is>
      </c>
      <c r="G26" s="14" t="n">
        <v>2019</v>
      </c>
      <c r="H26" s="14" t="inlineStr">
        <is>
          <t>*0.1</t>
        </is>
      </c>
      <c r="DI26" s="6" t="inlineStr">
        <is>
          <t>Grid_storage_Liion</t>
        </is>
      </c>
      <c r="DJ26" s="6" t="n">
        <v>2014</v>
      </c>
      <c r="DK26" s="6" t="n">
        <v>0.037</v>
      </c>
      <c r="DL26" s="6" t="inlineStr">
        <is>
          <t>Grid battery storage PASTI</t>
        </is>
      </c>
      <c r="DM26" s="6" t="inlineStr">
        <is>
          <t>Proxy from global battery storage annual deployment shape</t>
        </is>
      </c>
    </row>
    <row r="27" ht="14.5" customHeight="1" s="213">
      <c r="E27" s="14" t="inlineStr">
        <is>
          <t>PASTI</t>
        </is>
      </c>
      <c r="F27" s="14">
        <f>F26</f>
        <v/>
      </c>
      <c r="G27" s="14">
        <f>G26-1</f>
        <v/>
      </c>
      <c r="H27" s="14" t="inlineStr">
        <is>
          <t>*0.1</t>
        </is>
      </c>
      <c r="DI27" s="6" t="inlineStr">
        <is>
          <t>Grid_storage_Liion</t>
        </is>
      </c>
      <c r="DJ27" s="6" t="n">
        <v>2015</v>
      </c>
      <c r="DK27" s="6" t="n">
        <v>0.065</v>
      </c>
      <c r="DL27" s="6" t="inlineStr">
        <is>
          <t>Grid battery storage PASTI</t>
        </is>
      </c>
      <c r="DM27" s="6" t="inlineStr">
        <is>
          <t>Proxy from global battery storage annual deployment shape</t>
        </is>
      </c>
    </row>
    <row r="28" ht="14.5" customHeight="1" s="213">
      <c r="E28" s="14" t="inlineStr">
        <is>
          <t>PASTI</t>
        </is>
      </c>
      <c r="F28" s="14">
        <f>F27</f>
        <v/>
      </c>
      <c r="G28" s="14">
        <f>G27-1</f>
        <v/>
      </c>
      <c r="H28" s="14" t="inlineStr">
        <is>
          <t>*0.1</t>
        </is>
      </c>
      <c r="DI28" s="6" t="inlineStr">
        <is>
          <t>Grid_storage_Liion</t>
        </is>
      </c>
      <c r="DJ28" s="6" t="n">
        <v>2016</v>
      </c>
      <c r="DK28" s="6" t="n">
        <v>0.121</v>
      </c>
      <c r="DL28" s="6" t="inlineStr">
        <is>
          <t>Grid battery storage PASTI</t>
        </is>
      </c>
      <c r="DM28" s="6" t="inlineStr">
        <is>
          <t>Proxy from global battery storage annual deployment shape</t>
        </is>
      </c>
    </row>
    <row r="29" ht="14.5" customHeight="1" s="213">
      <c r="E29" s="14" t="inlineStr">
        <is>
          <t>PASTI</t>
        </is>
      </c>
      <c r="F29" s="14">
        <f>F28</f>
        <v/>
      </c>
      <c r="G29" s="14">
        <f>G28-1</f>
        <v/>
      </c>
      <c r="H29" s="14" t="inlineStr">
        <is>
          <t>*0.1</t>
        </is>
      </c>
      <c r="DI29" s="6" t="inlineStr">
        <is>
          <t>Grid_storage_Liion</t>
        </is>
      </c>
      <c r="DJ29" s="6" t="n">
        <v>2017</v>
      </c>
      <c r="DK29" s="6" t="n">
        <v>0.159</v>
      </c>
      <c r="DL29" s="6" t="inlineStr">
        <is>
          <t>Grid battery storage PASTI</t>
        </is>
      </c>
      <c r="DM29" s="6" t="inlineStr">
        <is>
          <t>Proxy from global battery storage annual deployment shape</t>
        </is>
      </c>
    </row>
    <row r="30" ht="14.5" customHeight="1" s="213">
      <c r="E30" s="14" t="inlineStr">
        <is>
          <t>PASTI</t>
        </is>
      </c>
      <c r="F30" s="14">
        <f>F29</f>
        <v/>
      </c>
      <c r="G30" s="14">
        <f>G29-1</f>
        <v/>
      </c>
      <c r="H30" s="14" t="inlineStr">
        <is>
          <t>*0.1</t>
        </is>
      </c>
      <c r="DI30" s="6" t="inlineStr">
        <is>
          <t>Grid_storage_Liion</t>
        </is>
      </c>
      <c r="DJ30" s="6" t="n">
        <v>2018</v>
      </c>
      <c r="DK30" s="6" t="n">
        <v>0.308</v>
      </c>
      <c r="DL30" s="6" t="inlineStr">
        <is>
          <t>Grid battery storage PASTI</t>
        </is>
      </c>
      <c r="DM30" s="6" t="inlineStr">
        <is>
          <t>Proxy from global battery storage annual deployment shape</t>
        </is>
      </c>
    </row>
    <row r="31" ht="14.5" customHeight="1" s="213">
      <c r="E31" s="14" t="inlineStr">
        <is>
          <t>PASTI</t>
        </is>
      </c>
      <c r="F31" s="14">
        <f>F30</f>
        <v/>
      </c>
      <c r="G31" s="14">
        <f>G30-1</f>
        <v/>
      </c>
      <c r="H31" s="14" t="inlineStr">
        <is>
          <t>*0.1</t>
        </is>
      </c>
      <c r="DI31" s="6" t="inlineStr">
        <is>
          <t>Grid_storage_Liion</t>
        </is>
      </c>
      <c r="DJ31" s="6" t="n">
        <v>2019</v>
      </c>
      <c r="DK31" s="6" t="n">
        <v>0.291</v>
      </c>
      <c r="DL31" s="6" t="inlineStr">
        <is>
          <t>Grid battery storage PASTI</t>
        </is>
      </c>
      <c r="DM31" s="6" t="inlineStr">
        <is>
          <t>Proxy from global battery storage annual deployment shape</t>
        </is>
      </c>
    </row>
    <row r="32" ht="14.5" customHeight="1" s="213">
      <c r="E32" s="14" t="inlineStr">
        <is>
          <t>PASTI</t>
        </is>
      </c>
      <c r="F32" s="14">
        <f>F31</f>
        <v/>
      </c>
      <c r="G32" s="14">
        <f>G31-1</f>
        <v/>
      </c>
      <c r="H32" s="14" t="inlineStr">
        <is>
          <t>*0.1</t>
        </is>
      </c>
    </row>
    <row r="33" ht="14.5" customHeight="1" s="213">
      <c r="E33" s="14" t="inlineStr">
        <is>
          <t>PASTI</t>
        </is>
      </c>
      <c r="F33" s="14">
        <f>F32</f>
        <v/>
      </c>
      <c r="G33" s="14">
        <f>G32-1</f>
        <v/>
      </c>
      <c r="H33" s="14" t="inlineStr">
        <is>
          <t>*0.1</t>
        </is>
      </c>
    </row>
    <row r="34" ht="14.5" customHeight="1" s="213">
      <c r="E34" s="14" t="inlineStr">
        <is>
          <t>PASTI</t>
        </is>
      </c>
      <c r="F34" s="14">
        <f>F33</f>
        <v/>
      </c>
      <c r="G34" s="14">
        <f>G33-1</f>
        <v/>
      </c>
      <c r="H34" s="14" t="inlineStr">
        <is>
          <t>*0.1</t>
        </is>
      </c>
    </row>
    <row r="35" ht="14.5" customHeight="1" s="213">
      <c r="E35" s="14" t="inlineStr">
        <is>
          <t>PASTI</t>
        </is>
      </c>
      <c r="F35" s="14">
        <f>F34</f>
        <v/>
      </c>
      <c r="G35" s="14" t="n">
        <v>2020</v>
      </c>
      <c r="H35" s="14" t="inlineStr">
        <is>
          <t>*0.1</t>
        </is>
      </c>
    </row>
    <row r="43" ht="14.5" customHeight="1" s="213">
      <c r="E43" t="inlineStr">
        <is>
          <t>~TFM_UPD: attribute= PASTI</t>
        </is>
      </c>
      <c r="F43" s="208" t="n"/>
      <c r="G43" s="208" t="n"/>
      <c r="H43" s="208" t="n"/>
      <c r="I43" s="208" t="n"/>
      <c r="J43" s="208" t="n"/>
      <c r="K43" s="208" t="n"/>
      <c r="L43" s="208"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8" t="n"/>
      <c r="AL43" s="208" t="n"/>
      <c r="AM43" s="208" t="n"/>
      <c r="AN43" s="208" t="n"/>
      <c r="AO43" s="208" t="n"/>
      <c r="CG43" s="15" t="inlineStr">
        <is>
          <t>China past deployment curve special</t>
        </is>
      </c>
    </row>
    <row r="44" ht="14.5" customHeight="1" s="213">
      <c r="D44" t="inlineStr">
        <is>
          <t>year</t>
        </is>
      </c>
      <c r="E44" t="inlineStr">
        <is>
          <t>pset_pn</t>
        </is>
      </c>
      <c r="F44" s="208" t="inlineStr">
        <is>
          <t>Africa_North</t>
        </is>
      </c>
      <c r="G44" s="208" t="inlineStr">
        <is>
          <t>Africa_Other</t>
        </is>
      </c>
      <c r="H44" s="208" t="inlineStr">
        <is>
          <t>Australia</t>
        </is>
      </c>
      <c r="I44" s="208" t="inlineStr">
        <is>
          <t>Austria</t>
        </is>
      </c>
      <c r="J44" s="208" t="inlineStr">
        <is>
          <t>Baltics</t>
        </is>
      </c>
      <c r="K44" s="208" t="inlineStr">
        <is>
          <t>BeNeLux</t>
        </is>
      </c>
      <c r="L44" s="208" t="inlineStr">
        <is>
          <t>Brazil</t>
        </is>
      </c>
      <c r="M44" s="208" t="inlineStr">
        <is>
          <t>China</t>
        </is>
      </c>
      <c r="N44" s="208" t="inlineStr">
        <is>
          <t>CroSloven</t>
        </is>
      </c>
      <c r="O44" s="208" t="inlineStr">
        <is>
          <t>CzechSlovak</t>
        </is>
      </c>
      <c r="P44" s="208" t="inlineStr">
        <is>
          <t>France</t>
        </is>
      </c>
      <c r="Q44" s="208" t="inlineStr">
        <is>
          <t>Germany</t>
        </is>
      </c>
      <c r="R44" s="208" t="inlineStr">
        <is>
          <t>GreeceCyp</t>
        </is>
      </c>
      <c r="S44" s="208" t="inlineStr">
        <is>
          <t>HunRomBul</t>
        </is>
      </c>
      <c r="T44" s="208" t="inlineStr">
        <is>
          <t>Iceland</t>
        </is>
      </c>
      <c r="U44" s="208" t="inlineStr">
        <is>
          <t>India</t>
        </is>
      </c>
      <c r="V44" s="208" t="inlineStr">
        <is>
          <t>Ireland</t>
        </is>
      </c>
      <c r="W44" s="208" t="inlineStr">
        <is>
          <t>ItalyMal</t>
        </is>
      </c>
      <c r="X44" s="208" t="inlineStr">
        <is>
          <t>Japan</t>
        </is>
      </c>
      <c r="Y44" s="208" t="inlineStr">
        <is>
          <t>LatAm</t>
        </is>
      </c>
      <c r="Z44" s="208" t="inlineStr">
        <is>
          <t>MidEast</t>
        </is>
      </c>
      <c r="AA44" s="208" t="inlineStr">
        <is>
          <t>NorthAm</t>
        </is>
      </c>
      <c r="AB44" s="208" t="inlineStr">
        <is>
          <t>Norway</t>
        </is>
      </c>
      <c r="AC44" s="208" t="inlineStr">
        <is>
          <t>Poland</t>
        </is>
      </c>
      <c r="AD44" s="208" t="inlineStr">
        <is>
          <t>ROW</t>
        </is>
      </c>
      <c r="AE44" s="208" t="inlineStr">
        <is>
          <t>Russia</t>
        </is>
      </c>
      <c r="AF44" s="208" t="inlineStr">
        <is>
          <t>SaudiArabia</t>
        </is>
      </c>
      <c r="AG44" s="208" t="inlineStr">
        <is>
          <t>SouthAfrica</t>
        </is>
      </c>
      <c r="AH44" s="208" t="inlineStr">
        <is>
          <t>SpainPor</t>
        </is>
      </c>
      <c r="AI44" s="208" t="inlineStr">
        <is>
          <t>SweFinDen</t>
        </is>
      </c>
      <c r="AJ44" s="208" t="inlineStr">
        <is>
          <t>Switzerland</t>
        </is>
      </c>
      <c r="AK44" s="208" t="inlineStr">
        <is>
          <t>Turkey</t>
        </is>
      </c>
      <c r="AL44" s="208" t="inlineStr">
        <is>
          <t>UK</t>
        </is>
      </c>
      <c r="AM44" s="208" t="inlineStr">
        <is>
          <t>Ukraine</t>
        </is>
      </c>
      <c r="AN44" t="inlineStr">
        <is>
          <t>WestBalkans</t>
        </is>
      </c>
      <c r="AO44" s="208" t="n"/>
      <c r="AV44" s="208" t="inlineStr">
        <is>
          <t>process</t>
        </is>
      </c>
      <c r="AW44" s="208" t="inlineStr">
        <is>
          <t>Africa_North</t>
        </is>
      </c>
      <c r="AX44" s="208" t="inlineStr">
        <is>
          <t>Africa_Other</t>
        </is>
      </c>
      <c r="AY44" s="208" t="inlineStr">
        <is>
          <t>Australia</t>
        </is>
      </c>
      <c r="AZ44" s="208" t="inlineStr">
        <is>
          <t>Austria</t>
        </is>
      </c>
      <c r="BA44" s="208" t="inlineStr">
        <is>
          <t>Baltics</t>
        </is>
      </c>
      <c r="BB44" s="208" t="inlineStr">
        <is>
          <t>BeNeLux</t>
        </is>
      </c>
      <c r="BC44" s="208" t="inlineStr">
        <is>
          <t>Brazil</t>
        </is>
      </c>
      <c r="BD44" s="208" t="inlineStr">
        <is>
          <t>China</t>
        </is>
      </c>
      <c r="BE44" s="208" t="inlineStr">
        <is>
          <t>CroSloven</t>
        </is>
      </c>
      <c r="BF44" s="208" t="inlineStr">
        <is>
          <t>CzechSlovak</t>
        </is>
      </c>
      <c r="BG44" s="208" t="inlineStr">
        <is>
          <t>France</t>
        </is>
      </c>
      <c r="BH44" s="208" t="inlineStr">
        <is>
          <t>Germany</t>
        </is>
      </c>
      <c r="BI44" s="208" t="inlineStr">
        <is>
          <t>GreeceCyp</t>
        </is>
      </c>
      <c r="BJ44" s="208" t="inlineStr">
        <is>
          <t>HunRomBul</t>
        </is>
      </c>
      <c r="BK44" s="208" t="inlineStr">
        <is>
          <t>Iceland</t>
        </is>
      </c>
      <c r="BL44" s="208" t="inlineStr">
        <is>
          <t>India</t>
        </is>
      </c>
      <c r="BM44" s="208" t="inlineStr">
        <is>
          <t>Ireland</t>
        </is>
      </c>
      <c r="BN44" s="208" t="inlineStr">
        <is>
          <t>ItalyMal</t>
        </is>
      </c>
      <c r="BO44" s="208" t="inlineStr">
        <is>
          <t>Japan</t>
        </is>
      </c>
      <c r="BP44" s="208" t="inlineStr">
        <is>
          <t>LatAm</t>
        </is>
      </c>
      <c r="BQ44" s="208" t="inlineStr">
        <is>
          <t>MidEast</t>
        </is>
      </c>
      <c r="BR44" s="208" t="inlineStr">
        <is>
          <t>NorthAm</t>
        </is>
      </c>
      <c r="BS44" s="208" t="inlineStr">
        <is>
          <t>Norway</t>
        </is>
      </c>
      <c r="BT44" s="208" t="inlineStr">
        <is>
          <t>Poland</t>
        </is>
      </c>
      <c r="BU44" s="208" t="inlineStr">
        <is>
          <t>ROW</t>
        </is>
      </c>
      <c r="BV44" s="208" t="inlineStr">
        <is>
          <t>Russia</t>
        </is>
      </c>
      <c r="BW44" s="208" t="inlineStr">
        <is>
          <t>SaudiArabia</t>
        </is>
      </c>
      <c r="BX44" s="208" t="inlineStr">
        <is>
          <t>SouthAfrica</t>
        </is>
      </c>
      <c r="BY44" s="208" t="inlineStr">
        <is>
          <t>SpainPor</t>
        </is>
      </c>
      <c r="BZ44" s="208" t="inlineStr">
        <is>
          <t>SweFinDen</t>
        </is>
      </c>
      <c r="CA44" s="208" t="inlineStr">
        <is>
          <t>Switzerland</t>
        </is>
      </c>
      <c r="CB44" s="208" t="inlineStr">
        <is>
          <t>Turkey</t>
        </is>
      </c>
      <c r="CC44" s="208" t="inlineStr">
        <is>
          <t>UK</t>
        </is>
      </c>
      <c r="CD44" s="208" t="inlineStr">
        <is>
          <t>Ukraine</t>
        </is>
      </c>
      <c r="CE44" t="inlineStr">
        <is>
          <t>WestBalkans</t>
        </is>
      </c>
      <c r="CG44" s="6" t="inlineStr">
        <is>
          <t>year</t>
        </is>
      </c>
      <c r="CH44" s="6" t="inlineStr">
        <is>
          <t>pset_pn</t>
        </is>
      </c>
      <c r="CI44" s="6" t="inlineStr">
        <is>
          <t>PASTI_share_default</t>
        </is>
      </c>
      <c r="CJ44" s="6" t="inlineStr">
        <is>
          <t>China_PASTI_share</t>
        </is>
      </c>
      <c r="CK44" s="6" t="inlineStr">
        <is>
          <t>curve_used_default</t>
        </is>
      </c>
      <c r="CL44" s="6" t="inlineStr">
        <is>
          <t>curve_used_china</t>
        </is>
      </c>
      <c r="CM44" s="6" t="inlineStr">
        <is>
          <t>note</t>
        </is>
      </c>
    </row>
    <row r="45" ht="14.5" customHeight="1" s="213">
      <c r="D45" t="n">
        <v>2016</v>
      </c>
      <c r="E45" s="208" t="inlineStr">
        <is>
          <t>MINBatMaterials_LI</t>
        </is>
      </c>
      <c r="F45" s="208">
        <f>AW45*$AS$45</f>
        <v/>
      </c>
      <c r="G45" s="208">
        <f>AX45*$AS$45</f>
        <v/>
      </c>
      <c r="H45" s="208">
        <f>AY45*$AS$45</f>
        <v/>
      </c>
      <c r="I45" s="208">
        <f>AZ45*$AS$45</f>
        <v/>
      </c>
      <c r="J45" s="208">
        <f>BA45*$AS$45</f>
        <v/>
      </c>
      <c r="K45" s="208">
        <f>BB45*$AS$45</f>
        <v/>
      </c>
      <c r="L45" s="208">
        <f>BC45*$AS$45</f>
        <v/>
      </c>
      <c r="M45" s="208">
        <f>BD45*$CI45</f>
        <v/>
      </c>
      <c r="N45" s="208">
        <f>BE45*$AS$45</f>
        <v/>
      </c>
      <c r="O45" s="208">
        <f>BF45*$AS$45</f>
        <v/>
      </c>
      <c r="P45" s="208">
        <f>BG45*$AS$45</f>
        <v/>
      </c>
      <c r="Q45" s="208">
        <f>BH45*$AS$45</f>
        <v/>
      </c>
      <c r="R45" s="208">
        <f>BI45*$AS$45</f>
        <v/>
      </c>
      <c r="S45" s="208">
        <f>BJ45*$AS$45</f>
        <v/>
      </c>
      <c r="T45" s="208">
        <f>BK45*$AS$45</f>
        <v/>
      </c>
      <c r="U45" s="208">
        <f>BL45*$AS$45</f>
        <v/>
      </c>
      <c r="V45" s="208">
        <f>BM45*$AS$45</f>
        <v/>
      </c>
      <c r="W45" s="208">
        <f>BN45*$AS$45</f>
        <v/>
      </c>
      <c r="X45" s="208">
        <f>BO45*$AS$45</f>
        <v/>
      </c>
      <c r="Y45" s="208">
        <f>BP45*$AS$45</f>
        <v/>
      </c>
      <c r="Z45" s="208">
        <f>BQ45*$AS$45</f>
        <v/>
      </c>
      <c r="AA45" s="208">
        <f>BR45*$AS$45</f>
        <v/>
      </c>
      <c r="AB45" s="208">
        <f>BS45*$AS$45</f>
        <v/>
      </c>
      <c r="AC45" s="208">
        <f>BT45*$AS$45</f>
        <v/>
      </c>
      <c r="AD45" s="208">
        <f>BU45*$AS$45</f>
        <v/>
      </c>
      <c r="AE45" s="208">
        <f>BV45*$AS$45</f>
        <v/>
      </c>
      <c r="AF45" s="208">
        <f>BW45*$AS$45</f>
        <v/>
      </c>
      <c r="AG45" s="208">
        <f>BX45*$AS$45</f>
        <v/>
      </c>
      <c r="AH45" s="208">
        <f>BY45*$AS$45</f>
        <v/>
      </c>
      <c r="AI45" s="208">
        <f>BZ45*$AS$45</f>
        <v/>
      </c>
      <c r="AJ45" s="208">
        <f>CA45*$AS$45</f>
        <v/>
      </c>
      <c r="AK45" s="208">
        <f>CB45*$AS$45</f>
        <v/>
      </c>
      <c r="AL45" s="208">
        <f>CC45*$AS$45</f>
        <v/>
      </c>
      <c r="AM45" s="208">
        <f>CD45*$AS$45</f>
        <v/>
      </c>
      <c r="AN45" s="208">
        <f>CE45*$AS$45</f>
        <v/>
      </c>
      <c r="AO45" s="208" t="n"/>
      <c r="AQ45" s="6" t="n">
        <v>2011</v>
      </c>
      <c r="AR45" s="6" t="inlineStr">
        <is>
          <t>MINBatMaterials_LI</t>
        </is>
      </c>
      <c r="AS45" s="6" t="n">
        <v>0.075</v>
      </c>
      <c r="AT45" s="6" t="inlineStr">
        <is>
          <t>Mining_facility_representative</t>
        </is>
      </c>
      <c r="AU45" s="6" t="inlineStr">
        <is>
          <t>Representative mining-capacity vintage curve; COB_direct treated as aggregate cobalt-production route including by-product routes.</t>
        </is>
      </c>
      <c r="AV45" s="208" t="inlineStr">
        <is>
          <t>MINBatMaterials_LI</t>
        </is>
      </c>
      <c r="AW45" s="208">
        <f>BA13*87%</f>
        <v/>
      </c>
      <c r="AX45" s="208">
        <f>BB13*87%</f>
        <v/>
      </c>
      <c r="AY45" s="208">
        <f>BC13*87%</f>
        <v/>
      </c>
      <c r="AZ45" s="208">
        <f>BD13*87%</f>
        <v/>
      </c>
      <c r="BA45" s="208">
        <f>BE13*87%</f>
        <v/>
      </c>
      <c r="BB45" s="208">
        <f>BF13*87%</f>
        <v/>
      </c>
      <c r="BC45" s="208">
        <f>BG13*87%</f>
        <v/>
      </c>
      <c r="BD45" s="208">
        <f>BH13*87%</f>
        <v/>
      </c>
      <c r="BE45" s="208">
        <f>BI13*87%</f>
        <v/>
      </c>
      <c r="BF45" s="208">
        <f>BJ13*87%</f>
        <v/>
      </c>
      <c r="BG45" s="208">
        <f>BK13*87%</f>
        <v/>
      </c>
      <c r="BH45" s="208">
        <f>BL13*87%</f>
        <v/>
      </c>
      <c r="BI45" s="208">
        <f>BM13*87%</f>
        <v/>
      </c>
      <c r="BJ45" s="208">
        <f>BN13*87%</f>
        <v/>
      </c>
      <c r="BK45" s="208">
        <f>BO13*87%</f>
        <v/>
      </c>
      <c r="BL45" s="208">
        <f>BP13*87%</f>
        <v/>
      </c>
      <c r="BM45" s="208">
        <f>BQ13*87%</f>
        <v/>
      </c>
      <c r="BN45" s="208">
        <f>BR13*87%</f>
        <v/>
      </c>
      <c r="BO45" s="208">
        <f>BS13*87%</f>
        <v/>
      </c>
      <c r="BP45" s="208">
        <f>BT13*87%</f>
        <v/>
      </c>
      <c r="BQ45" s="208">
        <f>BU13*87%</f>
        <v/>
      </c>
      <c r="BR45" s="208">
        <f>BV13*87%</f>
        <v/>
      </c>
      <c r="BS45" s="208">
        <f>BW13*87%</f>
        <v/>
      </c>
      <c r="BT45" s="208">
        <f>BX13*87%</f>
        <v/>
      </c>
      <c r="BU45" s="208">
        <f>BY13*87%</f>
        <v/>
      </c>
      <c r="BV45" s="208">
        <f>BZ13*87%</f>
        <v/>
      </c>
      <c r="BW45" s="208">
        <f>CA13*87%</f>
        <v/>
      </c>
      <c r="BX45" s="208">
        <f>CB13*87%</f>
        <v/>
      </c>
      <c r="BY45" s="208">
        <f>CC13*87%</f>
        <v/>
      </c>
      <c r="BZ45" s="208">
        <f>CD13*87%</f>
        <v/>
      </c>
      <c r="CA45" s="208">
        <f>CE13*87%</f>
        <v/>
      </c>
      <c r="CB45" s="208">
        <f>CF13*87%</f>
        <v/>
      </c>
      <c r="CC45" s="208">
        <f>CG13*87%</f>
        <v/>
      </c>
      <c r="CD45" s="208">
        <f>CH13*87%</f>
        <v/>
      </c>
      <c r="CE45" s="208">
        <f>CI13*87%</f>
        <v/>
      </c>
      <c r="CG45" s="6" t="n">
        <v>2011</v>
      </c>
      <c r="CH45" s="6" t="inlineStr">
        <is>
          <t>MINBatMaterials_LI</t>
        </is>
      </c>
      <c r="CI45" s="6" t="n">
        <v>0.075</v>
      </c>
      <c r="CJ45" s="6" t="n">
        <v>0.075</v>
      </c>
      <c r="CK45" s="6" t="inlineStr">
        <is>
          <t>Mining_facility_representative</t>
        </is>
      </c>
      <c r="CL45" s="6" t="inlineStr">
        <is>
          <t>Mining_facility_representative</t>
        </is>
      </c>
      <c r="CM45" s="6" t="inlineStr">
        <is>
          <t>Mining curve kept the same for China; COB_direct treated as aggregate cobalt-production route including by-product routes.</t>
        </is>
      </c>
    </row>
    <row r="46" ht="14.5" customHeight="1" s="213">
      <c r="D46">
        <f>D45</f>
        <v/>
      </c>
      <c r="E46" s="208" t="inlineStr">
        <is>
          <t>MINBatMaterials_NI</t>
        </is>
      </c>
      <c r="F46" s="208">
        <f>AW46*$AS46</f>
        <v/>
      </c>
      <c r="G46" s="208">
        <f>AX46*$AS46</f>
        <v/>
      </c>
      <c r="H46" s="208">
        <f>AY46*$AS46</f>
        <v/>
      </c>
      <c r="I46" s="208">
        <f>AZ46*$AS46</f>
        <v/>
      </c>
      <c r="J46" s="208">
        <f>BA46*$AS46</f>
        <v/>
      </c>
      <c r="K46" s="208">
        <f>BB46*$AS46</f>
        <v/>
      </c>
      <c r="L46" s="208">
        <f>BC46*$AS46</f>
        <v/>
      </c>
      <c r="M46" s="208">
        <f>BD46*$CI46</f>
        <v/>
      </c>
      <c r="N46" s="208">
        <f>BE46*$AS46</f>
        <v/>
      </c>
      <c r="O46" s="208">
        <f>BF46*$AS46</f>
        <v/>
      </c>
      <c r="P46" s="208">
        <f>BG46*$AS46</f>
        <v/>
      </c>
      <c r="Q46" s="208">
        <f>BH46*$AS46</f>
        <v/>
      </c>
      <c r="R46" s="208">
        <f>BI46*$AS46</f>
        <v/>
      </c>
      <c r="S46" s="208">
        <f>BJ46*$AS46</f>
        <v/>
      </c>
      <c r="T46" s="208">
        <f>BK46*$AS46</f>
        <v/>
      </c>
      <c r="U46" s="208">
        <f>BL46*$AS46</f>
        <v/>
      </c>
      <c r="V46" s="208">
        <f>BM46*$AS46</f>
        <v/>
      </c>
      <c r="W46" s="208">
        <f>BN46*$AS46</f>
        <v/>
      </c>
      <c r="X46" s="208">
        <f>BO46*$AS46</f>
        <v/>
      </c>
      <c r="Y46" s="208">
        <f>BP46*$AS46</f>
        <v/>
      </c>
      <c r="Z46" s="208">
        <f>BQ46*$AS46</f>
        <v/>
      </c>
      <c r="AA46" s="208">
        <f>BR46*$AS46</f>
        <v/>
      </c>
      <c r="AB46" s="208">
        <f>BS46*$AS46</f>
        <v/>
      </c>
      <c r="AC46" s="208">
        <f>BT46*$AS46</f>
        <v/>
      </c>
      <c r="AD46" s="208">
        <f>BU46*$AS46</f>
        <v/>
      </c>
      <c r="AE46" s="208">
        <f>BV46*$AS46</f>
        <v/>
      </c>
      <c r="AF46" s="208">
        <f>BW46*$AS46</f>
        <v/>
      </c>
      <c r="AG46" s="208">
        <f>BX46*$AS46</f>
        <v/>
      </c>
      <c r="AH46" s="208">
        <f>BY46*$AS46</f>
        <v/>
      </c>
      <c r="AI46" s="208">
        <f>BZ46*$AS46</f>
        <v/>
      </c>
      <c r="AJ46" s="208">
        <f>CA46*$AS46</f>
        <v/>
      </c>
      <c r="AK46" s="208">
        <f>CB46*$AS46</f>
        <v/>
      </c>
      <c r="AL46" s="208">
        <f>CC46*$AS46</f>
        <v/>
      </c>
      <c r="AM46" s="208">
        <f>CD46*$AS46</f>
        <v/>
      </c>
      <c r="AN46" s="208">
        <f>CE46*$AS46</f>
        <v/>
      </c>
      <c r="AO46" s="208" t="n"/>
      <c r="AQ46" s="6" t="n">
        <v>2011</v>
      </c>
      <c r="AR46" s="6" t="inlineStr">
        <is>
          <t>MINBatMaterials_NI</t>
        </is>
      </c>
      <c r="AS46" s="6" t="n">
        <v>0.075</v>
      </c>
      <c r="AT46" s="6" t="inlineStr">
        <is>
          <t>Mining_facility_representative</t>
        </is>
      </c>
      <c r="AU46" s="6" t="inlineStr">
        <is>
          <t>Representative mining-capacity vintage curve; COB_direct treated as aggregate cobalt-production route including by-product routes.</t>
        </is>
      </c>
      <c r="AV46" s="208" t="inlineStr">
        <is>
          <t>MINBatMaterials_NI</t>
        </is>
      </c>
      <c r="AW46" s="208">
        <f>BA14*15%</f>
        <v/>
      </c>
      <c r="AX46" s="208">
        <f>BB14*15%</f>
        <v/>
      </c>
      <c r="AY46" s="208">
        <f>BC14*15%</f>
        <v/>
      </c>
      <c r="AZ46" s="208">
        <f>BD14*15%</f>
        <v/>
      </c>
      <c r="BA46" s="208">
        <f>BE14*15%</f>
        <v/>
      </c>
      <c r="BB46" s="208">
        <f>BF14*15%</f>
        <v/>
      </c>
      <c r="BC46" s="208">
        <f>BG14*15%</f>
        <v/>
      </c>
      <c r="BD46" s="208">
        <f>BH14*15%</f>
        <v/>
      </c>
      <c r="BE46" s="208">
        <f>BI14*15%</f>
        <v/>
      </c>
      <c r="BF46" s="208">
        <f>BJ14*15%</f>
        <v/>
      </c>
      <c r="BG46" s="208">
        <f>BK14*15%</f>
        <v/>
      </c>
      <c r="BH46" s="208">
        <f>BL14*15%</f>
        <v/>
      </c>
      <c r="BI46" s="208">
        <f>BM14*15%</f>
        <v/>
      </c>
      <c r="BJ46" s="208">
        <f>BN14*15%</f>
        <v/>
      </c>
      <c r="BK46" s="208">
        <f>BO14*15%</f>
        <v/>
      </c>
      <c r="BL46" s="208">
        <f>BP14*15%</f>
        <v/>
      </c>
      <c r="BM46" s="208">
        <f>BQ14*15%</f>
        <v/>
      </c>
      <c r="BN46" s="208">
        <f>BR14*15%</f>
        <v/>
      </c>
      <c r="BO46" s="208">
        <f>BS14*15%</f>
        <v/>
      </c>
      <c r="BP46" s="208">
        <f>BT14*15%</f>
        <v/>
      </c>
      <c r="BQ46" s="208">
        <f>BU14*15%</f>
        <v/>
      </c>
      <c r="BR46" s="208">
        <f>BV14*15%</f>
        <v/>
      </c>
      <c r="BS46" s="208">
        <f>BW14*15%</f>
        <v/>
      </c>
      <c r="BT46" s="208">
        <f>BX14*15%</f>
        <v/>
      </c>
      <c r="BU46" s="208">
        <f>BY14*15%</f>
        <v/>
      </c>
      <c r="BV46" s="208">
        <f>BZ14*15%</f>
        <v/>
      </c>
      <c r="BW46" s="208">
        <f>CA14*15%</f>
        <v/>
      </c>
      <c r="BX46" s="208">
        <f>CB14*15%</f>
        <v/>
      </c>
      <c r="BY46" s="208">
        <f>CC14*15%</f>
        <v/>
      </c>
      <c r="BZ46" s="208">
        <f>CD14*15%</f>
        <v/>
      </c>
      <c r="CA46" s="208">
        <f>CE14*15%</f>
        <v/>
      </c>
      <c r="CB46" s="208">
        <f>CF14*15%</f>
        <v/>
      </c>
      <c r="CC46" s="208">
        <f>CG14*15%</f>
        <v/>
      </c>
      <c r="CD46" s="208">
        <f>CH14*15%</f>
        <v/>
      </c>
      <c r="CE46" s="208">
        <f>CI14*15%</f>
        <v/>
      </c>
      <c r="CG46" s="6" t="n">
        <v>2011</v>
      </c>
      <c r="CH46" s="6" t="inlineStr">
        <is>
          <t>MINBatMaterials_NI</t>
        </is>
      </c>
      <c r="CI46" s="6" t="n">
        <v>0.075</v>
      </c>
      <c r="CJ46" s="6" t="n">
        <v>0.075</v>
      </c>
      <c r="CK46" s="6" t="inlineStr">
        <is>
          <t>Mining_facility_representative</t>
        </is>
      </c>
      <c r="CL46" s="6" t="inlineStr">
        <is>
          <t>Mining_facility_representative</t>
        </is>
      </c>
      <c r="CM46" s="6" t="inlineStr">
        <is>
          <t>Mining curve kept the same for China; COB_direct treated as aggregate cobalt-production route including by-product routes.</t>
        </is>
      </c>
    </row>
    <row r="47" ht="16" customHeight="1" s="213">
      <c r="D47">
        <f>D46</f>
        <v/>
      </c>
      <c r="E47" s="66" t="inlineStr">
        <is>
          <t>MINBatMaterials_COB_direct</t>
        </is>
      </c>
      <c r="F47" s="208">
        <f>AW47*$AS47</f>
        <v/>
      </c>
      <c r="G47" s="208">
        <f>AX47*$AS47</f>
        <v/>
      </c>
      <c r="H47" s="208">
        <f>AY47*$AS47</f>
        <v/>
      </c>
      <c r="I47" s="208">
        <f>AZ47*$AS47</f>
        <v/>
      </c>
      <c r="J47" s="208">
        <f>BA47*$AS47</f>
        <v/>
      </c>
      <c r="K47" s="208">
        <f>BB47*$AS47</f>
        <v/>
      </c>
      <c r="L47" s="208">
        <f>BC47*$AS47</f>
        <v/>
      </c>
      <c r="M47" s="208">
        <f>BD47*$CI47</f>
        <v/>
      </c>
      <c r="N47" s="208">
        <f>BE47*$AS47</f>
        <v/>
      </c>
      <c r="O47" s="208">
        <f>BF47*$AS47</f>
        <v/>
      </c>
      <c r="P47" s="208">
        <f>BG47*$AS47</f>
        <v/>
      </c>
      <c r="Q47" s="208">
        <f>BH47*$AS47</f>
        <v/>
      </c>
      <c r="R47" s="208">
        <f>BI47*$AS47</f>
        <v/>
      </c>
      <c r="S47" s="208">
        <f>BJ47*$AS47</f>
        <v/>
      </c>
      <c r="T47" s="208">
        <f>BK47*$AS47</f>
        <v/>
      </c>
      <c r="U47" s="208">
        <f>BL47*$AS47</f>
        <v/>
      </c>
      <c r="V47" s="208">
        <f>BM47*$AS47</f>
        <v/>
      </c>
      <c r="W47" s="208">
        <f>BN47*$AS47</f>
        <v/>
      </c>
      <c r="X47" s="208">
        <f>BO47*$AS47</f>
        <v/>
      </c>
      <c r="Y47" s="208">
        <f>BP47*$AS47</f>
        <v/>
      </c>
      <c r="Z47" s="208">
        <f>BQ47*$AS47</f>
        <v/>
      </c>
      <c r="AA47" s="208">
        <f>BR47*$AS47</f>
        <v/>
      </c>
      <c r="AB47" s="208">
        <f>BS47*$AS47</f>
        <v/>
      </c>
      <c r="AC47" s="208">
        <f>BT47*$AS47</f>
        <v/>
      </c>
      <c r="AD47" s="208">
        <f>BU47*$AS47</f>
        <v/>
      </c>
      <c r="AE47" s="208">
        <f>BV47*$AS47</f>
        <v/>
      </c>
      <c r="AF47" s="208">
        <f>BW47*$AS47</f>
        <v/>
      </c>
      <c r="AG47" s="208">
        <f>BX47*$AS47</f>
        <v/>
      </c>
      <c r="AH47" s="208">
        <f>BY47*$AS47</f>
        <v/>
      </c>
      <c r="AI47" s="208">
        <f>BZ47*$AS47</f>
        <v/>
      </c>
      <c r="AJ47" s="208">
        <f>CA47*$AS47</f>
        <v/>
      </c>
      <c r="AK47" s="208">
        <f>CB47*$AS47</f>
        <v/>
      </c>
      <c r="AL47" s="208">
        <f>CC47*$AS47</f>
        <v/>
      </c>
      <c r="AM47" s="208">
        <f>CD47*$AS47</f>
        <v/>
      </c>
      <c r="AN47" s="208">
        <f>CE47*$AS47</f>
        <v/>
      </c>
      <c r="AO47" s="208" t="n"/>
      <c r="AQ47" s="6" t="n">
        <v>2011</v>
      </c>
      <c r="AR47" s="6" t="inlineStr">
        <is>
          <t>MINBatMaterials_COB_direct</t>
        </is>
      </c>
      <c r="AS47" s="6" t="n">
        <v>0.075</v>
      </c>
      <c r="AT47" s="6" t="inlineStr">
        <is>
          <t>Mining_facility_representative</t>
        </is>
      </c>
      <c r="AU47" s="6" t="inlineStr">
        <is>
          <t>Representative mining-capacity vintage curve; COB_direct treated as aggregate cobalt-production route including by-product routes.</t>
        </is>
      </c>
      <c r="AV47" s="208" t="inlineStr">
        <is>
          <t>MINBatMaterials_COB</t>
        </is>
      </c>
      <c r="AW47" s="208">
        <f>BA15*76%</f>
        <v/>
      </c>
      <c r="AX47" s="208">
        <f>BB15*76%</f>
        <v/>
      </c>
      <c r="AY47" s="208">
        <f>BC15*76%</f>
        <v/>
      </c>
      <c r="AZ47" s="208">
        <f>BD15*76%</f>
        <v/>
      </c>
      <c r="BA47" s="208">
        <f>BE15*76%</f>
        <v/>
      </c>
      <c r="BB47" s="208">
        <f>BF15*76%</f>
        <v/>
      </c>
      <c r="BC47" s="208">
        <f>BG15*76%</f>
        <v/>
      </c>
      <c r="BD47" s="208">
        <f>BH15*76%</f>
        <v/>
      </c>
      <c r="BE47" s="208">
        <f>BI15*76%</f>
        <v/>
      </c>
      <c r="BF47" s="208">
        <f>BJ15*76%</f>
        <v/>
      </c>
      <c r="BG47" s="208">
        <f>BK15*76%</f>
        <v/>
      </c>
      <c r="BH47" s="208">
        <f>BL15*76%</f>
        <v/>
      </c>
      <c r="BI47" s="208">
        <f>BM15*76%</f>
        <v/>
      </c>
      <c r="BJ47" s="208">
        <f>BN15*76%</f>
        <v/>
      </c>
      <c r="BK47" s="208">
        <f>BO15*76%</f>
        <v/>
      </c>
      <c r="BL47" s="208">
        <f>BP15*76%</f>
        <v/>
      </c>
      <c r="BM47" s="208">
        <f>BQ15*76%</f>
        <v/>
      </c>
      <c r="BN47" s="208">
        <f>BR15*76%</f>
        <v/>
      </c>
      <c r="BO47" s="208">
        <f>BS15*76%</f>
        <v/>
      </c>
      <c r="BP47" s="208">
        <f>BT15*76%</f>
        <v/>
      </c>
      <c r="BQ47" s="208">
        <f>BU15*76%</f>
        <v/>
      </c>
      <c r="BR47" s="208">
        <f>BV15*76%</f>
        <v/>
      </c>
      <c r="BS47" s="208">
        <f>BW15*76%</f>
        <v/>
      </c>
      <c r="BT47" s="208">
        <f>BX15*76%</f>
        <v/>
      </c>
      <c r="BU47" s="208">
        <f>BY15*76%</f>
        <v/>
      </c>
      <c r="BV47" s="208">
        <f>BZ15*76%</f>
        <v/>
      </c>
      <c r="BW47" s="208">
        <f>CA15*76%</f>
        <v/>
      </c>
      <c r="BX47" s="208">
        <f>CB15*76%</f>
        <v/>
      </c>
      <c r="BY47" s="208">
        <f>CC15*76%</f>
        <v/>
      </c>
      <c r="BZ47" s="208">
        <f>CD15*76%</f>
        <v/>
      </c>
      <c r="CA47" s="208">
        <f>CE15*76%</f>
        <v/>
      </c>
      <c r="CB47" s="208">
        <f>CF15*76%</f>
        <v/>
      </c>
      <c r="CC47" s="208">
        <f>CG15*76%</f>
        <v/>
      </c>
      <c r="CD47" s="208">
        <f>CH15*76%</f>
        <v/>
      </c>
      <c r="CE47" s="208">
        <f>CI15*76%</f>
        <v/>
      </c>
      <c r="CG47" s="6" t="n">
        <v>2011</v>
      </c>
      <c r="CH47" s="6" t="inlineStr">
        <is>
          <t>MINBatMaterials_COB_direct</t>
        </is>
      </c>
      <c r="CI47" s="6" t="n">
        <v>0.075</v>
      </c>
      <c r="CJ47" s="6" t="n">
        <v>0.075</v>
      </c>
      <c r="CK47" s="6" t="inlineStr">
        <is>
          <t>Mining_facility_representative</t>
        </is>
      </c>
      <c r="CL47" s="6" t="inlineStr">
        <is>
          <t>Mining_facility_representative</t>
        </is>
      </c>
      <c r="CM47" s="6" t="inlineStr">
        <is>
          <t>Mining curve kept the same for China; COB_direct treated as aggregate cobalt-production route including by-product routes.</t>
        </is>
      </c>
    </row>
    <row r="48" ht="14.5" customHeight="1" s="213">
      <c r="D48">
        <f>D47</f>
        <v/>
      </c>
      <c r="E48" s="208" t="inlineStr">
        <is>
          <t>MINBatMaterials_MN</t>
        </is>
      </c>
      <c r="F48" s="208">
        <f>AW48*$AS48</f>
        <v/>
      </c>
      <c r="G48" s="208">
        <f>AX48*$AS48</f>
        <v/>
      </c>
      <c r="H48" s="208">
        <f>AY48*$AS48</f>
        <v/>
      </c>
      <c r="I48" s="208">
        <f>AZ48*$AS48</f>
        <v/>
      </c>
      <c r="J48" s="208">
        <f>BA48*$AS48</f>
        <v/>
      </c>
      <c r="K48" s="208">
        <f>BB48*$AS48</f>
        <v/>
      </c>
      <c r="L48" s="208">
        <f>BC48*$AS48</f>
        <v/>
      </c>
      <c r="M48" s="208">
        <f>BD48*$CI48</f>
        <v/>
      </c>
      <c r="N48" s="208">
        <f>BE48*$AS48</f>
        <v/>
      </c>
      <c r="O48" s="208">
        <f>BF48*$AS48</f>
        <v/>
      </c>
      <c r="P48" s="208">
        <f>BG48*$AS48</f>
        <v/>
      </c>
      <c r="Q48" s="208">
        <f>BH48*$AS48</f>
        <v/>
      </c>
      <c r="R48" s="208">
        <f>BI48*$AS48</f>
        <v/>
      </c>
      <c r="S48" s="208">
        <f>BJ48*$AS48</f>
        <v/>
      </c>
      <c r="T48" s="208">
        <f>BK48*$AS48</f>
        <v/>
      </c>
      <c r="U48" s="208">
        <f>BL48*$AS48</f>
        <v/>
      </c>
      <c r="V48" s="208">
        <f>BM48*$AS48</f>
        <v/>
      </c>
      <c r="W48" s="208">
        <f>BN48*$AS48</f>
        <v/>
      </c>
      <c r="X48" s="208">
        <f>BO48*$AS48</f>
        <v/>
      </c>
      <c r="Y48" s="208">
        <f>BP48*$AS48</f>
        <v/>
      </c>
      <c r="Z48" s="208">
        <f>BQ48*$AS48</f>
        <v/>
      </c>
      <c r="AA48" s="208">
        <f>BR48*$AS48</f>
        <v/>
      </c>
      <c r="AB48" s="208">
        <f>BS48*$AS48</f>
        <v/>
      </c>
      <c r="AC48" s="208">
        <f>BT48*$AS48</f>
        <v/>
      </c>
      <c r="AD48" s="208">
        <f>BU48*$AS48</f>
        <v/>
      </c>
      <c r="AE48" s="208">
        <f>BV48*$AS48</f>
        <v/>
      </c>
      <c r="AF48" s="208">
        <f>BW48*$AS48</f>
        <v/>
      </c>
      <c r="AG48" s="208">
        <f>BX48*$AS48</f>
        <v/>
      </c>
      <c r="AH48" s="208">
        <f>BY48*$AS48</f>
        <v/>
      </c>
      <c r="AI48" s="208">
        <f>BZ48*$AS48</f>
        <v/>
      </c>
      <c r="AJ48" s="208">
        <f>CA48*$AS48</f>
        <v/>
      </c>
      <c r="AK48" s="208">
        <f>CB48*$AS48</f>
        <v/>
      </c>
      <c r="AL48" s="208">
        <f>CC48*$AS48</f>
        <v/>
      </c>
      <c r="AM48" s="208">
        <f>CD48*$AS48</f>
        <v/>
      </c>
      <c r="AN48" s="208">
        <f>CE48*$AS48</f>
        <v/>
      </c>
      <c r="AO48" s="208" t="n"/>
      <c r="AQ48" s="6" t="n">
        <v>2011</v>
      </c>
      <c r="AR48" s="6" t="inlineStr">
        <is>
          <t>MINBatMaterials_MN</t>
        </is>
      </c>
      <c r="AS48" s="6" t="n">
        <v>0.075</v>
      </c>
      <c r="AT48" s="6" t="inlineStr">
        <is>
          <t>Mining_facility_representative</t>
        </is>
      </c>
      <c r="AU48" s="6" t="inlineStr">
        <is>
          <t>Representative mining-capacity vintage curve; COB_direct treated as aggregate cobalt-production route including by-product routes.</t>
        </is>
      </c>
      <c r="AV48" s="208" t="inlineStr">
        <is>
          <t>MINBatMaterials_MN</t>
        </is>
      </c>
      <c r="AW48" s="208">
        <f>BA16*1%</f>
        <v/>
      </c>
      <c r="AX48" s="208">
        <f>BB16*1%</f>
        <v/>
      </c>
      <c r="AY48" s="208">
        <f>BC16*1%</f>
        <v/>
      </c>
      <c r="AZ48" s="208">
        <f>BD16*1%</f>
        <v/>
      </c>
      <c r="BA48" s="208">
        <f>BE16*1%</f>
        <v/>
      </c>
      <c r="BB48" s="208">
        <f>BF16*1%</f>
        <v/>
      </c>
      <c r="BC48" s="208">
        <f>BG16*1%</f>
        <v/>
      </c>
      <c r="BD48" s="208">
        <f>BH16*1%</f>
        <v/>
      </c>
      <c r="BE48" s="208">
        <f>BI16*1%</f>
        <v/>
      </c>
      <c r="BF48" s="208">
        <f>BJ16*1%</f>
        <v/>
      </c>
      <c r="BG48" s="208">
        <f>BK16*1%</f>
        <v/>
      </c>
      <c r="BH48" s="208">
        <f>BL16*1%</f>
        <v/>
      </c>
      <c r="BI48" s="208">
        <f>BM16*1%</f>
        <v/>
      </c>
      <c r="BJ48" s="208">
        <f>BN16*1%</f>
        <v/>
      </c>
      <c r="BK48" s="208">
        <f>BO16*1%</f>
        <v/>
      </c>
      <c r="BL48" s="208">
        <f>BP16*1%</f>
        <v/>
      </c>
      <c r="BM48" s="208">
        <f>BQ16*1%</f>
        <v/>
      </c>
      <c r="BN48" s="208">
        <f>BR16*1%</f>
        <v/>
      </c>
      <c r="BO48" s="208">
        <f>BS16*1%</f>
        <v/>
      </c>
      <c r="BP48" s="208">
        <f>BT16*1%</f>
        <v/>
      </c>
      <c r="BQ48" s="208">
        <f>BU16*1%</f>
        <v/>
      </c>
      <c r="BR48" s="208">
        <f>BV16*1%</f>
        <v/>
      </c>
      <c r="BS48" s="208">
        <f>BW16*1%</f>
        <v/>
      </c>
      <c r="BT48" s="208">
        <f>BX16*1%</f>
        <v/>
      </c>
      <c r="BU48" s="208">
        <f>BY16*1%</f>
        <v/>
      </c>
      <c r="BV48" s="208">
        <f>BZ16*1%</f>
        <v/>
      </c>
      <c r="BW48" s="208">
        <f>CA16*1%</f>
        <v/>
      </c>
      <c r="BX48" s="208">
        <f>CB16*1%</f>
        <v/>
      </c>
      <c r="BY48" s="208">
        <f>CC16*1%</f>
        <v/>
      </c>
      <c r="BZ48" s="208">
        <f>CD16*1%</f>
        <v/>
      </c>
      <c r="CA48" s="208">
        <f>CE16*1%</f>
        <v/>
      </c>
      <c r="CB48" s="208">
        <f>CF16*1%</f>
        <v/>
      </c>
      <c r="CC48" s="208">
        <f>CG16*1%</f>
        <v/>
      </c>
      <c r="CD48" s="208">
        <f>CH16*1%</f>
        <v/>
      </c>
      <c r="CE48" s="208">
        <f>CI16*1%</f>
        <v/>
      </c>
      <c r="CG48" s="6" t="n">
        <v>2011</v>
      </c>
      <c r="CH48" s="6" t="inlineStr">
        <is>
          <t>MINBatMaterials_MN</t>
        </is>
      </c>
      <c r="CI48" s="6" t="n">
        <v>0.075</v>
      </c>
      <c r="CJ48" s="6" t="n">
        <v>0.075</v>
      </c>
      <c r="CK48" s="6" t="inlineStr">
        <is>
          <t>Mining_facility_representative</t>
        </is>
      </c>
      <c r="CL48" s="6" t="inlineStr">
        <is>
          <t>Mining_facility_representative</t>
        </is>
      </c>
      <c r="CM48" s="6" t="inlineStr">
        <is>
          <t>Mining curve kept the same for China; COB_direct treated as aggregate cobalt-production route including by-product routes.</t>
        </is>
      </c>
    </row>
    <row r="49" ht="14.5" customHeight="1" s="213">
      <c r="D49">
        <f>D48</f>
        <v/>
      </c>
      <c r="E49" s="208" t="inlineStr">
        <is>
          <t>MINBatMaterials_AL</t>
        </is>
      </c>
      <c r="F49" s="208">
        <f>AW49*$AS49</f>
        <v/>
      </c>
      <c r="G49" s="208">
        <f>AX49*$AS49</f>
        <v/>
      </c>
      <c r="H49" s="208">
        <f>AY49*$AS49</f>
        <v/>
      </c>
      <c r="I49" s="208">
        <f>AZ49*$AS49</f>
        <v/>
      </c>
      <c r="J49" s="208">
        <f>BA49*$AS49</f>
        <v/>
      </c>
      <c r="K49" s="208">
        <f>BB49*$AS49</f>
        <v/>
      </c>
      <c r="L49" s="208">
        <f>BC49*$AS49</f>
        <v/>
      </c>
      <c r="M49" s="208">
        <f>BD49*$CI49</f>
        <v/>
      </c>
      <c r="N49" s="208">
        <f>BE49*$AS49</f>
        <v/>
      </c>
      <c r="O49" s="208">
        <f>BF49*$AS49</f>
        <v/>
      </c>
      <c r="P49" s="208">
        <f>BG49*$AS49</f>
        <v/>
      </c>
      <c r="Q49" s="208">
        <f>BH49*$AS49</f>
        <v/>
      </c>
      <c r="R49" s="208">
        <f>BI49*$AS49</f>
        <v/>
      </c>
      <c r="S49" s="208">
        <f>BJ49*$AS49</f>
        <v/>
      </c>
      <c r="T49" s="208">
        <f>BK49*$AS49</f>
        <v/>
      </c>
      <c r="U49" s="208">
        <f>BL49*$AS49</f>
        <v/>
      </c>
      <c r="V49" s="208">
        <f>BM49*$AS49</f>
        <v/>
      </c>
      <c r="W49" s="208">
        <f>BN49*$AS49</f>
        <v/>
      </c>
      <c r="X49" s="208">
        <f>BO49*$AS49</f>
        <v/>
      </c>
      <c r="Y49" s="208">
        <f>BP49*$AS49</f>
        <v/>
      </c>
      <c r="Z49" s="208">
        <f>BQ49*$AS49</f>
        <v/>
      </c>
      <c r="AA49" s="208">
        <f>BR49*$AS49</f>
        <v/>
      </c>
      <c r="AB49" s="208">
        <f>BS49*$AS49</f>
        <v/>
      </c>
      <c r="AC49" s="208">
        <f>BT49*$AS49</f>
        <v/>
      </c>
      <c r="AD49" s="208">
        <f>BU49*$AS49</f>
        <v/>
      </c>
      <c r="AE49" s="208">
        <f>BV49*$AS49</f>
        <v/>
      </c>
      <c r="AF49" s="208">
        <f>BW49*$AS49</f>
        <v/>
      </c>
      <c r="AG49" s="208">
        <f>BX49*$AS49</f>
        <v/>
      </c>
      <c r="AH49" s="208">
        <f>BY49*$AS49</f>
        <v/>
      </c>
      <c r="AI49" s="208">
        <f>BZ49*$AS49</f>
        <v/>
      </c>
      <c r="AJ49" s="208">
        <f>CA49*$AS49</f>
        <v/>
      </c>
      <c r="AK49" s="208">
        <f>CB49*$AS49</f>
        <v/>
      </c>
      <c r="AL49" s="208">
        <f>CC49*$AS49</f>
        <v/>
      </c>
      <c r="AM49" s="208">
        <f>CD49*$AS49</f>
        <v/>
      </c>
      <c r="AN49" s="208">
        <f>CE49*$AS49</f>
        <v/>
      </c>
      <c r="AO49" s="208" t="n"/>
      <c r="AQ49" s="6" t="n">
        <v>2011</v>
      </c>
      <c r="AR49" s="6" t="inlineStr">
        <is>
          <t>MINBatMaterials_AL</t>
        </is>
      </c>
      <c r="AS49" s="6" t="n">
        <v>0.075</v>
      </c>
      <c r="AT49" s="6" t="inlineStr">
        <is>
          <t>Mining_facility_representative</t>
        </is>
      </c>
      <c r="AU49" s="6" t="inlineStr">
        <is>
          <t>Representative mining-capacity vintage curve; COB_direct treated as aggregate cobalt-production route including by-product routes.</t>
        </is>
      </c>
      <c r="AV49" s="208" t="inlineStr">
        <is>
          <t>MINBatMaterials_AL</t>
        </is>
      </c>
      <c r="AW49" s="208">
        <f>BA17*2%</f>
        <v/>
      </c>
      <c r="AX49" s="208">
        <f>BB17*2%</f>
        <v/>
      </c>
      <c r="AY49" s="208">
        <f>BC17*2%</f>
        <v/>
      </c>
      <c r="AZ49" s="208">
        <f>BD17*2%</f>
        <v/>
      </c>
      <c r="BA49" s="208">
        <f>BE17*2%</f>
        <v/>
      </c>
      <c r="BB49" s="208">
        <f>BF17*2%</f>
        <v/>
      </c>
      <c r="BC49" s="208">
        <f>BG17*2%</f>
        <v/>
      </c>
      <c r="BD49" s="208">
        <f>BH17*2%</f>
        <v/>
      </c>
      <c r="BE49" s="208">
        <f>BI17*2%</f>
        <v/>
      </c>
      <c r="BF49" s="208">
        <f>BJ17*2%</f>
        <v/>
      </c>
      <c r="BG49" s="208">
        <f>BK17*2%</f>
        <v/>
      </c>
      <c r="BH49" s="208">
        <f>BL17*2%</f>
        <v/>
      </c>
      <c r="BI49" s="208">
        <f>BM17*2%</f>
        <v/>
      </c>
      <c r="BJ49" s="208">
        <f>BN17*2%</f>
        <v/>
      </c>
      <c r="BK49" s="208">
        <f>BO17*2%</f>
        <v/>
      </c>
      <c r="BL49" s="208">
        <f>BP17*2%</f>
        <v/>
      </c>
      <c r="BM49" s="208">
        <f>BQ17*2%</f>
        <v/>
      </c>
      <c r="BN49" s="208">
        <f>BR17*2%</f>
        <v/>
      </c>
      <c r="BO49" s="208">
        <f>BS17*2%</f>
        <v/>
      </c>
      <c r="BP49" s="208">
        <f>BT17*2%</f>
        <v/>
      </c>
      <c r="BQ49" s="208">
        <f>BU17*2%</f>
        <v/>
      </c>
      <c r="BR49" s="208">
        <f>BV17*2%</f>
        <v/>
      </c>
      <c r="BS49" s="208">
        <f>BW17*2%</f>
        <v/>
      </c>
      <c r="BT49" s="208">
        <f>BX17*2%</f>
        <v/>
      </c>
      <c r="BU49" s="208">
        <f>BY17*2%</f>
        <v/>
      </c>
      <c r="BV49" s="208">
        <f>BZ17*2%</f>
        <v/>
      </c>
      <c r="BW49" s="208">
        <f>CA17*2%</f>
        <v/>
      </c>
      <c r="BX49" s="208">
        <f>CB17*2%</f>
        <v/>
      </c>
      <c r="BY49" s="208">
        <f>CC17*2%</f>
        <v/>
      </c>
      <c r="BZ49" s="208">
        <f>CD17*2%</f>
        <v/>
      </c>
      <c r="CA49" s="208">
        <f>CE17*2%</f>
        <v/>
      </c>
      <c r="CB49" s="208">
        <f>CF17*2%</f>
        <v/>
      </c>
      <c r="CC49" s="208">
        <f>CG17*2%</f>
        <v/>
      </c>
      <c r="CD49" s="208">
        <f>CH17*2%</f>
        <v/>
      </c>
      <c r="CE49" s="208">
        <f>CI17*2%</f>
        <v/>
      </c>
      <c r="CG49" s="6" t="n">
        <v>2011</v>
      </c>
      <c r="CH49" s="6" t="inlineStr">
        <is>
          <t>MINBatMaterials_AL</t>
        </is>
      </c>
      <c r="CI49" s="6" t="n">
        <v>0.075</v>
      </c>
      <c r="CJ49" s="6" t="n">
        <v>0.075</v>
      </c>
      <c r="CK49" s="6" t="inlineStr">
        <is>
          <t>Mining_facility_representative</t>
        </is>
      </c>
      <c r="CL49" s="6" t="inlineStr">
        <is>
          <t>Mining_facility_representative</t>
        </is>
      </c>
      <c r="CM49" s="6" t="inlineStr">
        <is>
          <t>Mining curve kept the same for China; COB_direct treated as aggregate cobalt-production route including by-product routes.</t>
        </is>
      </c>
    </row>
    <row r="50" ht="14.5" customHeight="1" s="213">
      <c r="D50">
        <f>D49</f>
        <v/>
      </c>
      <c r="E50" s="208" t="inlineStr">
        <is>
          <t>MINBatMaterials_COP</t>
        </is>
      </c>
      <c r="F50" s="208">
        <f>AW50*$AS50</f>
        <v/>
      </c>
      <c r="G50" s="208">
        <f>AX50*$AS50</f>
        <v/>
      </c>
      <c r="H50" s="208">
        <f>AY50*$AS50</f>
        <v/>
      </c>
      <c r="I50" s="208">
        <f>AZ50*$AS50</f>
        <v/>
      </c>
      <c r="J50" s="208">
        <f>BA50*$AS50</f>
        <v/>
      </c>
      <c r="K50" s="208">
        <f>BB50*$AS50</f>
        <v/>
      </c>
      <c r="L50" s="208">
        <f>BC50*$AS50</f>
        <v/>
      </c>
      <c r="M50" s="208">
        <f>BD50*$CI50</f>
        <v/>
      </c>
      <c r="N50" s="208">
        <f>BE50*$AS50</f>
        <v/>
      </c>
      <c r="O50" s="208">
        <f>BF50*$AS50</f>
        <v/>
      </c>
      <c r="P50" s="208">
        <f>BG50*$AS50</f>
        <v/>
      </c>
      <c r="Q50" s="208">
        <f>BH50*$AS50</f>
        <v/>
      </c>
      <c r="R50" s="208">
        <f>BI50*$AS50</f>
        <v/>
      </c>
      <c r="S50" s="208">
        <f>BJ50*$AS50</f>
        <v/>
      </c>
      <c r="T50" s="208">
        <f>BK50*$AS50</f>
        <v/>
      </c>
      <c r="U50" s="208">
        <f>BL50*$AS50</f>
        <v/>
      </c>
      <c r="V50" s="208">
        <f>BM50*$AS50</f>
        <v/>
      </c>
      <c r="W50" s="208">
        <f>BN50*$AS50</f>
        <v/>
      </c>
      <c r="X50" s="208">
        <f>BO50*$AS50</f>
        <v/>
      </c>
      <c r="Y50" s="208">
        <f>BP50*$AS50</f>
        <v/>
      </c>
      <c r="Z50" s="208">
        <f>BQ50*$AS50</f>
        <v/>
      </c>
      <c r="AA50" s="208">
        <f>BR50*$AS50</f>
        <v/>
      </c>
      <c r="AB50" s="208">
        <f>BS50*$AS50</f>
        <v/>
      </c>
      <c r="AC50" s="208">
        <f>BT50*$AS50</f>
        <v/>
      </c>
      <c r="AD50" s="208">
        <f>BU50*$AS50</f>
        <v/>
      </c>
      <c r="AE50" s="208">
        <f>BV50*$AS50</f>
        <v/>
      </c>
      <c r="AF50" s="208">
        <f>BW50*$AS50</f>
        <v/>
      </c>
      <c r="AG50" s="208">
        <f>BX50*$AS50</f>
        <v/>
      </c>
      <c r="AH50" s="208">
        <f>BY50*$AS50</f>
        <v/>
      </c>
      <c r="AI50" s="208">
        <f>BZ50*$AS50</f>
        <v/>
      </c>
      <c r="AJ50" s="208">
        <f>CA50*$AS50</f>
        <v/>
      </c>
      <c r="AK50" s="208">
        <f>CB50*$AS50</f>
        <v/>
      </c>
      <c r="AL50" s="208">
        <f>CC50*$AS50</f>
        <v/>
      </c>
      <c r="AM50" s="208">
        <f>CD50*$AS50</f>
        <v/>
      </c>
      <c r="AN50" s="208">
        <f>CE50*$AS50</f>
        <v/>
      </c>
      <c r="AO50" s="208" t="n"/>
      <c r="AQ50" s="6" t="n">
        <v>2011</v>
      </c>
      <c r="AR50" s="6" t="inlineStr">
        <is>
          <t>MINBatMaterials_COP</t>
        </is>
      </c>
      <c r="AS50" s="6" t="n">
        <v>0.075</v>
      </c>
      <c r="AT50" s="6" t="inlineStr">
        <is>
          <t>Mining_facility_representative</t>
        </is>
      </c>
      <c r="AU50" s="6" t="inlineStr">
        <is>
          <t>Representative mining-capacity vintage curve; COB_direct treated as aggregate cobalt-production route including by-product routes.</t>
        </is>
      </c>
      <c r="AV50" s="208" t="inlineStr">
        <is>
          <t>MINBatMaterials_COP</t>
        </is>
      </c>
      <c r="AW50" s="208">
        <f>BA18*2.5%</f>
        <v/>
      </c>
      <c r="AX50" s="208">
        <f>BB18*2.5%</f>
        <v/>
      </c>
      <c r="AY50" s="208">
        <f>BC18*2.5%</f>
        <v/>
      </c>
      <c r="AZ50" s="208">
        <f>BD18*2.5%</f>
        <v/>
      </c>
      <c r="BA50" s="208">
        <f>BE18*2.5%</f>
        <v/>
      </c>
      <c r="BB50" s="208">
        <f>BF18*2.5%</f>
        <v/>
      </c>
      <c r="BC50" s="208">
        <f>BG18*2.5%</f>
        <v/>
      </c>
      <c r="BD50" s="208">
        <f>BH18*2.5%</f>
        <v/>
      </c>
      <c r="BE50" s="208">
        <f>BI18*2.5%</f>
        <v/>
      </c>
      <c r="BF50" s="208">
        <f>BJ18*2.5%</f>
        <v/>
      </c>
      <c r="BG50" s="208">
        <f>BK18*2.5%</f>
        <v/>
      </c>
      <c r="BH50" s="208">
        <f>BL18*2.5%</f>
        <v/>
      </c>
      <c r="BI50" s="208">
        <f>BM18*2.5%</f>
        <v/>
      </c>
      <c r="BJ50" s="208">
        <f>BN18*2.5%</f>
        <v/>
      </c>
      <c r="BK50" s="208">
        <f>BO18*2.5%</f>
        <v/>
      </c>
      <c r="BL50" s="208">
        <f>BP18*2.5%</f>
        <v/>
      </c>
      <c r="BM50" s="208">
        <f>BQ18*2.5%</f>
        <v/>
      </c>
      <c r="BN50" s="208">
        <f>BR18*2.5%</f>
        <v/>
      </c>
      <c r="BO50" s="208">
        <f>BS18*2.5%</f>
        <v/>
      </c>
      <c r="BP50" s="208">
        <f>BT18*2.5%</f>
        <v/>
      </c>
      <c r="BQ50" s="208">
        <f>BU18*2.5%</f>
        <v/>
      </c>
      <c r="BR50" s="208">
        <f>BV18*2.5%</f>
        <v/>
      </c>
      <c r="BS50" s="208">
        <f>BW18*2.5%</f>
        <v/>
      </c>
      <c r="BT50" s="208">
        <f>BX18*2.5%</f>
        <v/>
      </c>
      <c r="BU50" s="208">
        <f>BY18*2.5%</f>
        <v/>
      </c>
      <c r="BV50" s="208">
        <f>BZ18*2.5%</f>
        <v/>
      </c>
      <c r="BW50" s="208">
        <f>CA18*2.5%</f>
        <v/>
      </c>
      <c r="BX50" s="208">
        <f>CB18*2.5%</f>
        <v/>
      </c>
      <c r="BY50" s="208">
        <f>CC18*2.5%</f>
        <v/>
      </c>
      <c r="BZ50" s="208">
        <f>CD18*2.5%</f>
        <v/>
      </c>
      <c r="CA50" s="208">
        <f>CE18*2.5%</f>
        <v/>
      </c>
      <c r="CB50" s="208">
        <f>CF18*2.5%</f>
        <v/>
      </c>
      <c r="CC50" s="208">
        <f>CG18*2.5%</f>
        <v/>
      </c>
      <c r="CD50" s="208">
        <f>CH18*2.5%</f>
        <v/>
      </c>
      <c r="CE50" s="208">
        <f>CI18*2.5%</f>
        <v/>
      </c>
      <c r="CG50" s="6" t="n">
        <v>2011</v>
      </c>
      <c r="CH50" s="6" t="inlineStr">
        <is>
          <t>MINBatMaterials_COP</t>
        </is>
      </c>
      <c r="CI50" s="6" t="n">
        <v>0.075</v>
      </c>
      <c r="CJ50" s="6" t="n">
        <v>0.075</v>
      </c>
      <c r="CK50" s="6" t="inlineStr">
        <is>
          <t>Mining_facility_representative</t>
        </is>
      </c>
      <c r="CL50" s="6" t="inlineStr">
        <is>
          <t>Mining_facility_representative</t>
        </is>
      </c>
      <c r="CM50" s="6" t="inlineStr">
        <is>
          <t>Mining curve kept the same for China; COB_direct treated as aggregate cobalt-production route including by-product routes.</t>
        </is>
      </c>
    </row>
    <row r="51" ht="14.5" customHeight="1" s="213">
      <c r="D51">
        <f>D50</f>
        <v/>
      </c>
      <c r="E51" s="208" t="inlineStr">
        <is>
          <t>MINBatMaterials_GR</t>
        </is>
      </c>
      <c r="F51" s="208">
        <f>AW51*$AS51</f>
        <v/>
      </c>
      <c r="G51" s="208">
        <f>AX51*$AS51</f>
        <v/>
      </c>
      <c r="H51" s="208">
        <f>AY51*$AS51</f>
        <v/>
      </c>
      <c r="I51" s="208">
        <f>AZ51*$AS51</f>
        <v/>
      </c>
      <c r="J51" s="208">
        <f>BA51*$AS51</f>
        <v/>
      </c>
      <c r="K51" s="208">
        <f>BB51*$AS51</f>
        <v/>
      </c>
      <c r="L51" s="208">
        <f>BC51*$AS51</f>
        <v/>
      </c>
      <c r="M51" s="208">
        <f>BD51*$CI51</f>
        <v/>
      </c>
      <c r="N51" s="208">
        <f>BE51*$AS51</f>
        <v/>
      </c>
      <c r="O51" s="208">
        <f>BF51*$AS51</f>
        <v/>
      </c>
      <c r="P51" s="208">
        <f>BG51*$AS51</f>
        <v/>
      </c>
      <c r="Q51" s="208">
        <f>BH51*$AS51</f>
        <v/>
      </c>
      <c r="R51" s="208">
        <f>BI51*$AS51</f>
        <v/>
      </c>
      <c r="S51" s="208">
        <f>BJ51*$AS51</f>
        <v/>
      </c>
      <c r="T51" s="208">
        <f>BK51*$AS51</f>
        <v/>
      </c>
      <c r="U51" s="208">
        <f>BL51*$AS51</f>
        <v/>
      </c>
      <c r="V51" s="208">
        <f>BM51*$AS51</f>
        <v/>
      </c>
      <c r="W51" s="208">
        <f>BN51*$AS51</f>
        <v/>
      </c>
      <c r="X51" s="208">
        <f>BO51*$AS51</f>
        <v/>
      </c>
      <c r="Y51" s="208">
        <f>BP51*$AS51</f>
        <v/>
      </c>
      <c r="Z51" s="208">
        <f>BQ51*$AS51</f>
        <v/>
      </c>
      <c r="AA51" s="208">
        <f>BR51*$AS51</f>
        <v/>
      </c>
      <c r="AB51" s="208">
        <f>BS51*$AS51</f>
        <v/>
      </c>
      <c r="AC51" s="208">
        <f>BT51*$AS51</f>
        <v/>
      </c>
      <c r="AD51" s="208">
        <f>BU51*$AS51</f>
        <v/>
      </c>
      <c r="AE51" s="208">
        <f>BV51*$AS51</f>
        <v/>
      </c>
      <c r="AF51" s="208">
        <f>BW51*$AS51</f>
        <v/>
      </c>
      <c r="AG51" s="208">
        <f>BX51*$AS51</f>
        <v/>
      </c>
      <c r="AH51" s="208">
        <f>BY51*$AS51</f>
        <v/>
      </c>
      <c r="AI51" s="208">
        <f>BZ51*$AS51</f>
        <v/>
      </c>
      <c r="AJ51" s="208">
        <f>CA51*$AS51</f>
        <v/>
      </c>
      <c r="AK51" s="208">
        <f>CB51*$AS51</f>
        <v/>
      </c>
      <c r="AL51" s="208">
        <f>CC51*$AS51</f>
        <v/>
      </c>
      <c r="AM51" s="208">
        <f>CD51*$AS51</f>
        <v/>
      </c>
      <c r="AN51" s="208">
        <f>CE51*$AS51</f>
        <v/>
      </c>
      <c r="AO51" s="208" t="n"/>
      <c r="AQ51" s="6" t="n">
        <v>2011</v>
      </c>
      <c r="AR51" s="6" t="inlineStr">
        <is>
          <t>MINBatMaterials_GR</t>
        </is>
      </c>
      <c r="AS51" s="6" t="n">
        <v>0.075</v>
      </c>
      <c r="AT51" s="6" t="inlineStr">
        <is>
          <t>Mining_facility_representative</t>
        </is>
      </c>
      <c r="AU51" s="6" t="inlineStr">
        <is>
          <t>Representative mining-capacity vintage curve; COB_direct treated as aggregate cobalt-production route including by-product routes.</t>
        </is>
      </c>
      <c r="AV51" s="208" t="inlineStr">
        <is>
          <t>MINBatMaterials_GR</t>
        </is>
      </c>
      <c r="AW51" s="208">
        <f>BA19*90%</f>
        <v/>
      </c>
      <c r="AX51" s="208">
        <f>BB19*90%</f>
        <v/>
      </c>
      <c r="AY51" s="208">
        <f>BC19*90%</f>
        <v/>
      </c>
      <c r="AZ51" s="208">
        <f>BD19*90%</f>
        <v/>
      </c>
      <c r="BA51" s="208">
        <f>BE19*90%</f>
        <v/>
      </c>
      <c r="BB51" s="208">
        <f>BF19*90%</f>
        <v/>
      </c>
      <c r="BC51" s="208">
        <f>BG19*90%</f>
        <v/>
      </c>
      <c r="BD51" s="208">
        <f>BH19*90%</f>
        <v/>
      </c>
      <c r="BE51" s="208">
        <f>BI19*90%</f>
        <v/>
      </c>
      <c r="BF51" s="208">
        <f>BJ19*90%</f>
        <v/>
      </c>
      <c r="BG51" s="208">
        <f>BK19*90%</f>
        <v/>
      </c>
      <c r="BH51" s="208">
        <f>BL19*90%</f>
        <v/>
      </c>
      <c r="BI51" s="208">
        <f>BM19*90%</f>
        <v/>
      </c>
      <c r="BJ51" s="208">
        <f>BN19*90%</f>
        <v/>
      </c>
      <c r="BK51" s="208">
        <f>BO19*90%</f>
        <v/>
      </c>
      <c r="BL51" s="208">
        <f>BP19*90%</f>
        <v/>
      </c>
      <c r="BM51" s="208">
        <f>BQ19*90%</f>
        <v/>
      </c>
      <c r="BN51" s="208">
        <f>BR19*90%</f>
        <v/>
      </c>
      <c r="BO51" s="208">
        <f>BS19*90%</f>
        <v/>
      </c>
      <c r="BP51" s="208">
        <f>BT19*90%</f>
        <v/>
      </c>
      <c r="BQ51" s="208">
        <f>BU19*90%</f>
        <v/>
      </c>
      <c r="BR51" s="208">
        <f>BV19*90%</f>
        <v/>
      </c>
      <c r="BS51" s="208">
        <f>BW19*90%</f>
        <v/>
      </c>
      <c r="BT51" s="208">
        <f>BX19*90%</f>
        <v/>
      </c>
      <c r="BU51" s="208">
        <f>BY19*90%</f>
        <v/>
      </c>
      <c r="BV51" s="208">
        <f>BZ19*90%</f>
        <v/>
      </c>
      <c r="BW51" s="208">
        <f>CA19*90%</f>
        <v/>
      </c>
      <c r="BX51" s="208">
        <f>CB19*90%</f>
        <v/>
      </c>
      <c r="BY51" s="208">
        <f>CC19*90%</f>
        <v/>
      </c>
      <c r="BZ51" s="208">
        <f>CD19*90%</f>
        <v/>
      </c>
      <c r="CA51" s="208">
        <f>CE19*90%</f>
        <v/>
      </c>
      <c r="CB51" s="208">
        <f>CF19*90%</f>
        <v/>
      </c>
      <c r="CC51" s="208">
        <f>CG19*90%</f>
        <v/>
      </c>
      <c r="CD51" s="208">
        <f>CH19*90%</f>
        <v/>
      </c>
      <c r="CE51" s="208">
        <f>CI19*90%</f>
        <v/>
      </c>
      <c r="CG51" s="6" t="n">
        <v>2011</v>
      </c>
      <c r="CH51" s="6" t="inlineStr">
        <is>
          <t>MINBatMaterials_GR</t>
        </is>
      </c>
      <c r="CI51" s="6" t="n">
        <v>0.075</v>
      </c>
      <c r="CJ51" s="6" t="n">
        <v>0.075</v>
      </c>
      <c r="CK51" s="6" t="inlineStr">
        <is>
          <t>Mining_facility_representative</t>
        </is>
      </c>
      <c r="CL51" s="6" t="inlineStr">
        <is>
          <t>Mining_facility_representative</t>
        </is>
      </c>
      <c r="CM51" s="6" t="inlineStr">
        <is>
          <t>Mining curve kept the same for China; COB_direct treated as aggregate cobalt-production route including by-product routes.</t>
        </is>
      </c>
    </row>
    <row r="52" ht="14.5" customHeight="1" s="213">
      <c r="D52" t="n">
        <v>2011</v>
      </c>
      <c r="E52" t="inlineStr">
        <is>
          <t>Tra_EV_Batt-LFP_virgin</t>
        </is>
      </c>
      <c r="F52" s="208">
        <f>AW52*$AS52</f>
        <v/>
      </c>
      <c r="G52" s="208">
        <f>AX52*$AS52</f>
        <v/>
      </c>
      <c r="H52" s="208">
        <f>AY52*$AS52</f>
        <v/>
      </c>
      <c r="I52" s="208">
        <f>AZ52*$AS52</f>
        <v/>
      </c>
      <c r="J52" s="208">
        <f>BA52*$AS52</f>
        <v/>
      </c>
      <c r="K52" s="208">
        <f>BB52*$AS52</f>
        <v/>
      </c>
      <c r="L52" s="208">
        <f>BC52*$AS52</f>
        <v/>
      </c>
      <c r="M52" s="208">
        <f>BD52*$CI52</f>
        <v/>
      </c>
      <c r="N52" s="208">
        <f>BE52*$AS52</f>
        <v/>
      </c>
      <c r="O52" s="208">
        <f>BF52*$AS52</f>
        <v/>
      </c>
      <c r="P52" s="208">
        <f>BG52*$AS52</f>
        <v/>
      </c>
      <c r="Q52" s="208">
        <f>BH52*$AS52</f>
        <v/>
      </c>
      <c r="R52" s="208">
        <f>BI52*$AS52</f>
        <v/>
      </c>
      <c r="S52" s="208">
        <f>BJ52*$AS52</f>
        <v/>
      </c>
      <c r="T52" s="208">
        <f>BK52*$AS52</f>
        <v/>
      </c>
      <c r="U52" s="208">
        <f>BL52*$AS52</f>
        <v/>
      </c>
      <c r="V52" s="208">
        <f>BM52*$AS52</f>
        <v/>
      </c>
      <c r="W52" s="208">
        <f>BN52*$AS52</f>
        <v/>
      </c>
      <c r="X52" s="208">
        <f>BO52*$AS52</f>
        <v/>
      </c>
      <c r="Y52" s="208">
        <f>BP52*$AS52</f>
        <v/>
      </c>
      <c r="Z52" s="208">
        <f>BQ52*$AS52</f>
        <v/>
      </c>
      <c r="AA52" s="208">
        <f>BR52*$AS52</f>
        <v/>
      </c>
      <c r="AB52" s="208">
        <f>BS52*$AS52</f>
        <v/>
      </c>
      <c r="AC52" s="208">
        <f>BT52*$AS52</f>
        <v/>
      </c>
      <c r="AD52" s="208">
        <f>BU52*$AS52</f>
        <v/>
      </c>
      <c r="AE52" s="208">
        <f>BV52*$AS52</f>
        <v/>
      </c>
      <c r="AF52" s="208">
        <f>BW52*$AS52</f>
        <v/>
      </c>
      <c r="AG52" s="208">
        <f>BX52*$AS52</f>
        <v/>
      </c>
      <c r="AH52" s="208">
        <f>BY52*$AS52</f>
        <v/>
      </c>
      <c r="AI52" s="208">
        <f>BZ52*$AS52</f>
        <v/>
      </c>
      <c r="AJ52" s="208">
        <f>CA52*$AS52</f>
        <v/>
      </c>
      <c r="AK52" s="208">
        <f>CB52*$AS52</f>
        <v/>
      </c>
      <c r="AL52" s="208">
        <f>CC52*$AS52</f>
        <v/>
      </c>
      <c r="AM52" s="208">
        <f>CD52*$AS52</f>
        <v/>
      </c>
      <c r="AN52" s="208">
        <f>CE52*$AS52</f>
        <v/>
      </c>
      <c r="AO52" s="208" t="n"/>
      <c r="AQ52" s="6" t="n">
        <v>2011</v>
      </c>
      <c r="AR52" s="6" t="inlineStr">
        <is>
          <t>Tra_EV_Batt-LFP_virgin</t>
        </is>
      </c>
      <c r="AS52" s="6" t="n">
        <v>0.004</v>
      </c>
      <c r="AT52" s="6" t="inlineStr">
        <is>
          <t>Transport_EV_general</t>
        </is>
      </c>
      <c r="AU52" s="6" t="inlineStr">
        <is>
          <t>Back-loaded transport EV battery vintage curve based on historical EV deployment shape.</t>
        </is>
      </c>
      <c r="AV52" s="208" t="inlineStr">
        <is>
          <t>Tra_EV_Batt-LFP_virgin</t>
        </is>
      </c>
      <c r="AW52" s="208" t="n">
        <v>2.70047156845812</v>
      </c>
      <c r="AX52" s="208" t="n">
        <v>0</v>
      </c>
      <c r="AY52" s="208" t="n">
        <v>3.03412561201197</v>
      </c>
      <c r="AZ52" s="208" t="n">
        <v>0.476962737941833</v>
      </c>
      <c r="BA52" s="208" t="n">
        <v>0.00409064974235645</v>
      </c>
      <c r="BB52" s="208" t="n">
        <v>4.6301135077302</v>
      </c>
      <c r="BC52" s="208" t="n">
        <v>1.90663375437732</v>
      </c>
      <c r="BD52" s="208" t="n">
        <v>167.552498082159</v>
      </c>
      <c r="BE52" s="208" t="n">
        <v>0.579445415374862</v>
      </c>
      <c r="BF52" s="208" t="n">
        <v>2.64382085354907</v>
      </c>
      <c r="BG52" s="208" t="n">
        <v>11.2538795555429</v>
      </c>
      <c r="BH52" s="208" t="n">
        <v>6.6423572524105</v>
      </c>
      <c r="BI52" s="208" t="n">
        <v>0.224780310033883</v>
      </c>
      <c r="BJ52" s="208" t="n">
        <v>3.0175573987723</v>
      </c>
      <c r="BK52" s="208" t="n">
        <v>0.08405702833949651</v>
      </c>
      <c r="BL52" s="208" t="n">
        <v>22.6664174429379</v>
      </c>
      <c r="BM52" s="208" t="n">
        <v>0.024654019511857</v>
      </c>
      <c r="BN52" s="208" t="n">
        <v>7.09546051638262</v>
      </c>
      <c r="BO52" s="208" t="n">
        <v>22.1794832455743</v>
      </c>
      <c r="BP52" s="208" t="n">
        <v>1.8551035254334</v>
      </c>
      <c r="BQ52" s="208" t="n">
        <v>0.147291672799524</v>
      </c>
      <c r="BR52" s="208" t="n">
        <v>10.7367486821926</v>
      </c>
      <c r="BS52" s="208" t="n">
        <v>2.32906895797145</v>
      </c>
      <c r="BT52" s="208" t="n">
        <v>4.03549622432517</v>
      </c>
      <c r="BU52" s="208" t="n">
        <v>16.6333708524932</v>
      </c>
      <c r="BV52" s="208" t="n">
        <v>66.0476618761158</v>
      </c>
      <c r="BW52" s="208" t="n">
        <v>0</v>
      </c>
      <c r="BX52" s="208" t="n">
        <v>3.17356159859707</v>
      </c>
      <c r="BY52" s="208" t="n">
        <v>7.830330737292</v>
      </c>
      <c r="BZ52" s="208" t="n">
        <v>5.264142175387</v>
      </c>
      <c r="CA52" s="208" t="n">
        <v>0</v>
      </c>
      <c r="CB52" s="208" t="n">
        <v>0</v>
      </c>
      <c r="CC52" s="208" t="n">
        <v>0</v>
      </c>
      <c r="CD52" s="208" t="n">
        <v>0</v>
      </c>
      <c r="CE52" s="208" t="n">
        <v>0</v>
      </c>
      <c r="CG52" s="6" t="n">
        <v>2011</v>
      </c>
      <c r="CH52" s="6" t="inlineStr">
        <is>
          <t>Tra_EV_Batt-LFP_virgin</t>
        </is>
      </c>
      <c r="CI52" s="6" t="n">
        <v>0.004</v>
      </c>
      <c r="CJ52" s="6" t="n">
        <v>0.003</v>
      </c>
      <c r="CK52" s="6" t="inlineStr">
        <is>
          <t>Transport_EV_global</t>
        </is>
      </c>
      <c r="CL52" s="6" t="inlineStr">
        <is>
          <t>Transport_EV_China</t>
        </is>
      </c>
      <c r="CM52" s="6" t="inlineStr">
        <is>
          <t>China transport EV curve is shifted earlier than the global curve to reflect earlier China EV/e-bus deployment in the 2010s.</t>
        </is>
      </c>
    </row>
    <row r="53" ht="14.5" customHeight="1" s="213">
      <c r="D53">
        <f>D52</f>
        <v/>
      </c>
      <c r="E53" t="inlineStr">
        <is>
          <t>Tra_EV_Batt-NMC622_virgin</t>
        </is>
      </c>
      <c r="F53" s="208">
        <f>AW53*$AS53</f>
        <v/>
      </c>
      <c r="G53" s="208">
        <f>AX53*$AS53</f>
        <v/>
      </c>
      <c r="H53" s="208">
        <f>AY53*$AS53</f>
        <v/>
      </c>
      <c r="I53" s="208">
        <f>AZ53*$AS53</f>
        <v/>
      </c>
      <c r="J53" s="208">
        <f>BA53*$AS53</f>
        <v/>
      </c>
      <c r="K53" s="208">
        <f>BB53*$AS53</f>
        <v/>
      </c>
      <c r="L53" s="208">
        <f>BC53*$AS53</f>
        <v/>
      </c>
      <c r="M53" s="208">
        <f>BD53*$CI53</f>
        <v/>
      </c>
      <c r="N53" s="208">
        <f>BE53*$AS53</f>
        <v/>
      </c>
      <c r="O53" s="208">
        <f>BF53*$AS53</f>
        <v/>
      </c>
      <c r="P53" s="208">
        <f>BG53*$AS53</f>
        <v/>
      </c>
      <c r="Q53" s="208">
        <f>BH53*$AS53</f>
        <v/>
      </c>
      <c r="R53" s="208">
        <f>BI53*$AS53</f>
        <v/>
      </c>
      <c r="S53" s="208">
        <f>BJ53*$AS53</f>
        <v/>
      </c>
      <c r="T53" s="208">
        <f>BK53*$AS53</f>
        <v/>
      </c>
      <c r="U53" s="208">
        <f>BL53*$AS53</f>
        <v/>
      </c>
      <c r="V53" s="208">
        <f>BM53*$AS53</f>
        <v/>
      </c>
      <c r="W53" s="208">
        <f>BN53*$AS53</f>
        <v/>
      </c>
      <c r="X53" s="208">
        <f>BO53*$AS53</f>
        <v/>
      </c>
      <c r="Y53" s="208">
        <f>BP53*$AS53</f>
        <v/>
      </c>
      <c r="Z53" s="208">
        <f>BQ53*$AS53</f>
        <v/>
      </c>
      <c r="AA53" s="208">
        <f>BR53*$AS53</f>
        <v/>
      </c>
      <c r="AB53" s="208">
        <f>BS53*$AS53</f>
        <v/>
      </c>
      <c r="AC53" s="208">
        <f>BT53*$AS53</f>
        <v/>
      </c>
      <c r="AD53" s="208">
        <f>BU53*$AS53</f>
        <v/>
      </c>
      <c r="AE53" s="208">
        <f>BV53*$AS53</f>
        <v/>
      </c>
      <c r="AF53" s="208">
        <f>BW53*$AS53</f>
        <v/>
      </c>
      <c r="AG53" s="208">
        <f>BX53*$AS53</f>
        <v/>
      </c>
      <c r="AH53" s="208">
        <f>BY53*$AS53</f>
        <v/>
      </c>
      <c r="AI53" s="208">
        <f>BZ53*$AS53</f>
        <v/>
      </c>
      <c r="AJ53" s="208">
        <f>CA53*$AS53</f>
        <v/>
      </c>
      <c r="AK53" s="208">
        <f>CB53*$AS53</f>
        <v/>
      </c>
      <c r="AL53" s="208">
        <f>CC53*$AS53</f>
        <v/>
      </c>
      <c r="AM53" s="208">
        <f>CD53*$AS53</f>
        <v/>
      </c>
      <c r="AN53" s="208">
        <f>CE53*$AS53</f>
        <v/>
      </c>
      <c r="AO53" s="208" t="n"/>
      <c r="AQ53" s="6" t="n">
        <v>2011</v>
      </c>
      <c r="AR53" s="6" t="inlineStr">
        <is>
          <t>Tra_EV_Batt-NMC622_virgin</t>
        </is>
      </c>
      <c r="AS53" s="6" t="n">
        <v>0.004</v>
      </c>
      <c r="AT53" s="6" t="inlineStr">
        <is>
          <t>Transport_EV_general</t>
        </is>
      </c>
      <c r="AU53" s="6" t="inlineStr">
        <is>
          <t>Back-loaded transport EV battery vintage curve based on historical EV deployment shape.</t>
        </is>
      </c>
      <c r="AV53" s="208" t="inlineStr">
        <is>
          <t>Tra_EV_Batt-NMC622_virgin</t>
        </is>
      </c>
      <c r="AW53" s="208" t="n">
        <v>1.62028294107487</v>
      </c>
      <c r="AX53" s="208" t="n">
        <v>0</v>
      </c>
      <c r="AY53" s="208" t="n">
        <v>1.82047536720718</v>
      </c>
      <c r="AZ53" s="208" t="n">
        <v>0.286177642765099</v>
      </c>
      <c r="BA53" s="208" t="n">
        <v>0.00245438984541387</v>
      </c>
      <c r="BB53" s="208" t="n">
        <v>2.77806810463812</v>
      </c>
      <c r="BC53" s="208" t="n">
        <v>1.14398025262639</v>
      </c>
      <c r="BD53" s="208" t="n">
        <v>100.531498849296</v>
      </c>
      <c r="BE53" s="208" t="n">
        <v>0.347667249224917</v>
      </c>
      <c r="BF53" s="208" t="n">
        <v>1.58629251212944</v>
      </c>
      <c r="BG53" s="208" t="n">
        <v>6.75232773332572</v>
      </c>
      <c r="BH53" s="208" t="n">
        <v>3.9854143514463</v>
      </c>
      <c r="BI53" s="208" t="n">
        <v>0.13486818602033</v>
      </c>
      <c r="BJ53" s="208" t="n">
        <v>1.81053443926338</v>
      </c>
      <c r="BK53" s="208" t="n">
        <v>0.0504342170036979</v>
      </c>
      <c r="BL53" s="208" t="n">
        <v>13.5998504657627</v>
      </c>
      <c r="BM53" s="208" t="n">
        <v>0.0147924117071142</v>
      </c>
      <c r="BN53" s="208" t="n">
        <v>4.25727630982957</v>
      </c>
      <c r="BO53" s="208" t="n">
        <v>13.3076899473446</v>
      </c>
      <c r="BP53" s="208" t="n">
        <v>1.11306211526004</v>
      </c>
      <c r="BQ53" s="208" t="n">
        <v>0.0883750036797145</v>
      </c>
      <c r="BR53" s="208" t="n">
        <v>6.44204920931559</v>
      </c>
      <c r="BS53" s="208" t="n">
        <v>1.39744137478287</v>
      </c>
      <c r="BT53" s="208" t="n">
        <v>2.4212977345951</v>
      </c>
      <c r="BU53" s="208" t="n">
        <v>9.980022511495919</v>
      </c>
      <c r="BV53" s="208" t="n">
        <v>39.6285971256695</v>
      </c>
      <c r="BW53" s="208" t="n">
        <v>0</v>
      </c>
      <c r="BX53" s="208" t="n">
        <v>1.90413695915824</v>
      </c>
      <c r="BY53" s="208" t="n">
        <v>4.6981984423752</v>
      </c>
      <c r="BZ53" s="208" t="n">
        <v>3.1584853052322</v>
      </c>
      <c r="CA53" s="208" t="n">
        <v>0</v>
      </c>
      <c r="CB53" s="208" t="n">
        <v>0</v>
      </c>
      <c r="CC53" s="208" t="n">
        <v>0</v>
      </c>
      <c r="CD53" s="208" t="n">
        <v>0</v>
      </c>
      <c r="CE53" s="208" t="n">
        <v>0</v>
      </c>
      <c r="CG53" s="6" t="n">
        <v>2011</v>
      </c>
      <c r="CH53" s="6" t="inlineStr">
        <is>
          <t>Tra_EV_Batt-NMC622_virgin</t>
        </is>
      </c>
      <c r="CI53" s="6" t="n">
        <v>0.004</v>
      </c>
      <c r="CJ53" s="6" t="n">
        <v>0.003</v>
      </c>
      <c r="CK53" s="6" t="inlineStr">
        <is>
          <t>Transport_EV_global</t>
        </is>
      </c>
      <c r="CL53" s="6" t="inlineStr">
        <is>
          <t>Transport_EV_China</t>
        </is>
      </c>
      <c r="CM53" s="6" t="inlineStr">
        <is>
          <t>China transport EV curve is shifted earlier than the global curve to reflect earlier China EV/e-bus deployment in the 2010s.</t>
        </is>
      </c>
    </row>
    <row r="54" ht="14.5" customHeight="1" s="213">
      <c r="D54">
        <f>D53</f>
        <v/>
      </c>
      <c r="E54" t="inlineStr">
        <is>
          <t>Tra_EV_Batt-NMC811_virgin</t>
        </is>
      </c>
      <c r="F54" s="208">
        <f>AW54*$AS54</f>
        <v/>
      </c>
      <c r="G54" s="208">
        <f>AX54*$AS54</f>
        <v/>
      </c>
      <c r="H54" s="208">
        <f>AY54*$AS54</f>
        <v/>
      </c>
      <c r="I54" s="208">
        <f>AZ54*$AS54</f>
        <v/>
      </c>
      <c r="J54" s="208">
        <f>BA54*$AS54</f>
        <v/>
      </c>
      <c r="K54" s="208">
        <f>BB54*$AS54</f>
        <v/>
      </c>
      <c r="L54" s="208">
        <f>BC54*$AS54</f>
        <v/>
      </c>
      <c r="M54" s="208">
        <f>BD54*$CI54</f>
        <v/>
      </c>
      <c r="N54" s="208">
        <f>BE54*$AS54</f>
        <v/>
      </c>
      <c r="O54" s="208">
        <f>BF54*$AS54</f>
        <v/>
      </c>
      <c r="P54" s="208">
        <f>BG54*$AS54</f>
        <v/>
      </c>
      <c r="Q54" s="208">
        <f>BH54*$AS54</f>
        <v/>
      </c>
      <c r="R54" s="208">
        <f>BI54*$AS54</f>
        <v/>
      </c>
      <c r="S54" s="208">
        <f>BJ54*$AS54</f>
        <v/>
      </c>
      <c r="T54" s="208">
        <f>BK54*$AS54</f>
        <v/>
      </c>
      <c r="U54" s="208">
        <f>BL54*$AS54</f>
        <v/>
      </c>
      <c r="V54" s="208">
        <f>BM54*$AS54</f>
        <v/>
      </c>
      <c r="W54" s="208">
        <f>BN54*$AS54</f>
        <v/>
      </c>
      <c r="X54" s="208">
        <f>BO54*$AS54</f>
        <v/>
      </c>
      <c r="Y54" s="208">
        <f>BP54*$AS54</f>
        <v/>
      </c>
      <c r="Z54" s="208">
        <f>BQ54*$AS54</f>
        <v/>
      </c>
      <c r="AA54" s="208">
        <f>BR54*$AS54</f>
        <v/>
      </c>
      <c r="AB54" s="208">
        <f>BS54*$AS54</f>
        <v/>
      </c>
      <c r="AC54" s="208">
        <f>BT54*$AS54</f>
        <v/>
      </c>
      <c r="AD54" s="208">
        <f>BU54*$AS54</f>
        <v/>
      </c>
      <c r="AE54" s="208">
        <f>BV54*$AS54</f>
        <v/>
      </c>
      <c r="AF54" s="208">
        <f>BW54*$AS54</f>
        <v/>
      </c>
      <c r="AG54" s="208">
        <f>BX54*$AS54</f>
        <v/>
      </c>
      <c r="AH54" s="208">
        <f>BY54*$AS54</f>
        <v/>
      </c>
      <c r="AI54" s="208">
        <f>BZ54*$AS54</f>
        <v/>
      </c>
      <c r="AJ54" s="208">
        <f>CA54*$AS54</f>
        <v/>
      </c>
      <c r="AK54" s="208">
        <f>CB54*$AS54</f>
        <v/>
      </c>
      <c r="AL54" s="208">
        <f>CC54*$AS54</f>
        <v/>
      </c>
      <c r="AM54" s="208">
        <f>CD54*$AS54</f>
        <v/>
      </c>
      <c r="AN54" s="208">
        <f>CE54*$AS54</f>
        <v/>
      </c>
      <c r="AO54" s="208" t="n"/>
      <c r="AQ54" s="6" t="n">
        <v>2011</v>
      </c>
      <c r="AR54" s="6" t="inlineStr">
        <is>
          <t>Tra_EV_Batt-NMC811_virgin</t>
        </is>
      </c>
      <c r="AS54" s="6" t="n">
        <v>0.004</v>
      </c>
      <c r="AT54" s="6" t="inlineStr">
        <is>
          <t>Transport_EV_general</t>
        </is>
      </c>
      <c r="AU54" s="6" t="inlineStr">
        <is>
          <t>Back-loaded transport EV battery vintage curve based on historical EV deployment shape.</t>
        </is>
      </c>
      <c r="AV54" s="208" t="inlineStr">
        <is>
          <t>Tra_EV_Batt-NMC811_virgin</t>
        </is>
      </c>
      <c r="AW54" s="208" t="n">
        <v>1.62028294107487</v>
      </c>
      <c r="AX54" s="208" t="n">
        <v>0</v>
      </c>
      <c r="AY54" s="208" t="n">
        <v>1.82047536720718</v>
      </c>
      <c r="AZ54" s="208" t="n">
        <v>0.286177642765099</v>
      </c>
      <c r="BA54" s="208" t="n">
        <v>0.00245438984541387</v>
      </c>
      <c r="BB54" s="208" t="n">
        <v>2.77806810463812</v>
      </c>
      <c r="BC54" s="208" t="n">
        <v>1.14398025262639</v>
      </c>
      <c r="BD54" s="208" t="n">
        <v>100.531498849296</v>
      </c>
      <c r="BE54" s="208" t="n">
        <v>0.347667249224917</v>
      </c>
      <c r="BF54" s="208" t="n">
        <v>1.58629251212944</v>
      </c>
      <c r="BG54" s="208" t="n">
        <v>6.75232773332572</v>
      </c>
      <c r="BH54" s="208" t="n">
        <v>3.9854143514463</v>
      </c>
      <c r="BI54" s="208" t="n">
        <v>0.13486818602033</v>
      </c>
      <c r="BJ54" s="208" t="n">
        <v>1.81053443926338</v>
      </c>
      <c r="BK54" s="208" t="n">
        <v>0.0504342170036979</v>
      </c>
      <c r="BL54" s="208" t="n">
        <v>13.5998504657627</v>
      </c>
      <c r="BM54" s="208" t="n">
        <v>0.0147924117071142</v>
      </c>
      <c r="BN54" s="208" t="n">
        <v>4.25727630982957</v>
      </c>
      <c r="BO54" s="208" t="n">
        <v>13.3076899473446</v>
      </c>
      <c r="BP54" s="208" t="n">
        <v>1.11306211526004</v>
      </c>
      <c r="BQ54" s="208" t="n">
        <v>0.0883750036797145</v>
      </c>
      <c r="BR54" s="208" t="n">
        <v>6.44204920931559</v>
      </c>
      <c r="BS54" s="208" t="n">
        <v>1.39744137478287</v>
      </c>
      <c r="BT54" s="208" t="n">
        <v>2.4212977345951</v>
      </c>
      <c r="BU54" s="208" t="n">
        <v>9.980022511495919</v>
      </c>
      <c r="BV54" s="208" t="n">
        <v>39.6285971256695</v>
      </c>
      <c r="BW54" s="208" t="n">
        <v>0</v>
      </c>
      <c r="BX54" s="208" t="n">
        <v>1.90413695915824</v>
      </c>
      <c r="BY54" s="208" t="n">
        <v>4.6981984423752</v>
      </c>
      <c r="BZ54" s="208" t="n">
        <v>3.1584853052322</v>
      </c>
      <c r="CA54" s="208" t="n">
        <v>0</v>
      </c>
      <c r="CB54" s="208" t="n">
        <v>0</v>
      </c>
      <c r="CC54" s="208" t="n">
        <v>0</v>
      </c>
      <c r="CD54" s="208" t="n">
        <v>0</v>
      </c>
      <c r="CE54" s="208" t="n">
        <v>0</v>
      </c>
      <c r="CG54" s="6" t="n">
        <v>2011</v>
      </c>
      <c r="CH54" s="6" t="inlineStr">
        <is>
          <t>Tra_EV_Batt-NMC811_virgin</t>
        </is>
      </c>
      <c r="CI54" s="6" t="n">
        <v>0.004</v>
      </c>
      <c r="CJ54" s="6" t="n">
        <v>0.003</v>
      </c>
      <c r="CK54" s="6" t="inlineStr">
        <is>
          <t>Transport_EV_global</t>
        </is>
      </c>
      <c r="CL54" s="6" t="inlineStr">
        <is>
          <t>Transport_EV_China</t>
        </is>
      </c>
      <c r="CM54" s="6" t="inlineStr">
        <is>
          <t>China transport EV curve is shifted earlier than the global curve to reflect earlier China EV/e-bus deployment in the 2010s.</t>
        </is>
      </c>
    </row>
    <row r="55" ht="14.5" customHeight="1" s="213">
      <c r="D55">
        <f>D54</f>
        <v/>
      </c>
      <c r="E55" t="inlineStr">
        <is>
          <t>Tra_EV_Batt-NMC532_virgin</t>
        </is>
      </c>
      <c r="F55" s="208">
        <f>AW55*$AS55</f>
        <v/>
      </c>
      <c r="G55" s="208">
        <f>AX55*$AS55</f>
        <v/>
      </c>
      <c r="H55" s="208">
        <f>AY55*$AS55</f>
        <v/>
      </c>
      <c r="I55" s="208">
        <f>AZ55*$AS55</f>
        <v/>
      </c>
      <c r="J55" s="208">
        <f>BA55*$AS55</f>
        <v/>
      </c>
      <c r="K55" s="208">
        <f>BB55*$AS55</f>
        <v/>
      </c>
      <c r="L55" s="208">
        <f>BC55*$AS55</f>
        <v/>
      </c>
      <c r="M55" s="208">
        <f>BD55*$CI55</f>
        <v/>
      </c>
      <c r="N55" s="208">
        <f>BE55*$AS55</f>
        <v/>
      </c>
      <c r="O55" s="208">
        <f>BF55*$AS55</f>
        <v/>
      </c>
      <c r="P55" s="208">
        <f>BG55*$AS55</f>
        <v/>
      </c>
      <c r="Q55" s="208">
        <f>BH55*$AS55</f>
        <v/>
      </c>
      <c r="R55" s="208">
        <f>BI55*$AS55</f>
        <v/>
      </c>
      <c r="S55" s="208">
        <f>BJ55*$AS55</f>
        <v/>
      </c>
      <c r="T55" s="208">
        <f>BK55*$AS55</f>
        <v/>
      </c>
      <c r="U55" s="208">
        <f>BL55*$AS55</f>
        <v/>
      </c>
      <c r="V55" s="208">
        <f>BM55*$AS55</f>
        <v/>
      </c>
      <c r="W55" s="208">
        <f>BN55*$AS55</f>
        <v/>
      </c>
      <c r="X55" s="208">
        <f>BO55*$AS55</f>
        <v/>
      </c>
      <c r="Y55" s="208">
        <f>BP55*$AS55</f>
        <v/>
      </c>
      <c r="Z55" s="208">
        <f>BQ55*$AS55</f>
        <v/>
      </c>
      <c r="AA55" s="208">
        <f>BR55*$AS55</f>
        <v/>
      </c>
      <c r="AB55" s="208">
        <f>BS55*$AS55</f>
        <v/>
      </c>
      <c r="AC55" s="208">
        <f>BT55*$AS55</f>
        <v/>
      </c>
      <c r="AD55" s="208">
        <f>BU55*$AS55</f>
        <v/>
      </c>
      <c r="AE55" s="208">
        <f>BV55*$AS55</f>
        <v/>
      </c>
      <c r="AF55" s="208">
        <f>BW55*$AS55</f>
        <v/>
      </c>
      <c r="AG55" s="208">
        <f>BX55*$AS55</f>
        <v/>
      </c>
      <c r="AH55" s="208">
        <f>BY55*$AS55</f>
        <v/>
      </c>
      <c r="AI55" s="208">
        <f>BZ55*$AS55</f>
        <v/>
      </c>
      <c r="AJ55" s="208">
        <f>CA55*$AS55</f>
        <v/>
      </c>
      <c r="AK55" s="208">
        <f>CB55*$AS55</f>
        <v/>
      </c>
      <c r="AL55" s="208">
        <f>CC55*$AS55</f>
        <v/>
      </c>
      <c r="AM55" s="208">
        <f>CD55*$AS55</f>
        <v/>
      </c>
      <c r="AN55" s="208">
        <f>CE55*$AS55</f>
        <v/>
      </c>
      <c r="AO55" s="208" t="n"/>
      <c r="AQ55" s="6" t="n">
        <v>2011</v>
      </c>
      <c r="AR55" s="6" t="inlineStr">
        <is>
          <t>Tra_EV_Batt-NMC532_virgin</t>
        </is>
      </c>
      <c r="AS55" s="6" t="n">
        <v>0.004</v>
      </c>
      <c r="AT55" s="6" t="inlineStr">
        <is>
          <t>Transport_EV_general</t>
        </is>
      </c>
      <c r="AU55" s="6" t="inlineStr">
        <is>
          <t>Back-loaded transport EV battery vintage curve based on historical EV deployment shape.</t>
        </is>
      </c>
      <c r="AV55" s="208" t="inlineStr">
        <is>
          <t>Tra_EV_Batt-NMC532_virgin</t>
        </is>
      </c>
      <c r="AW55" s="208" t="n">
        <v>1.62028294107487</v>
      </c>
      <c r="AX55" s="208" t="n">
        <v>0</v>
      </c>
      <c r="AY55" s="208" t="n">
        <v>1.82047536720718</v>
      </c>
      <c r="AZ55" s="208" t="n">
        <v>0.286177642765099</v>
      </c>
      <c r="BA55" s="208" t="n">
        <v>0.00245438984541387</v>
      </c>
      <c r="BB55" s="208" t="n">
        <v>2.77806810463812</v>
      </c>
      <c r="BC55" s="208" t="n">
        <v>1.14398025262639</v>
      </c>
      <c r="BD55" s="208" t="n">
        <v>100.531498849296</v>
      </c>
      <c r="BE55" s="208" t="n">
        <v>0.347667249224917</v>
      </c>
      <c r="BF55" s="208" t="n">
        <v>1.58629251212944</v>
      </c>
      <c r="BG55" s="208" t="n">
        <v>6.75232773332572</v>
      </c>
      <c r="BH55" s="208" t="n">
        <v>3.9854143514463</v>
      </c>
      <c r="BI55" s="208" t="n">
        <v>0.13486818602033</v>
      </c>
      <c r="BJ55" s="208" t="n">
        <v>1.81053443926338</v>
      </c>
      <c r="BK55" s="208" t="n">
        <v>0.0504342170036979</v>
      </c>
      <c r="BL55" s="208" t="n">
        <v>13.5998504657627</v>
      </c>
      <c r="BM55" s="208" t="n">
        <v>0.0147924117071142</v>
      </c>
      <c r="BN55" s="208" t="n">
        <v>4.25727630982957</v>
      </c>
      <c r="BO55" s="208" t="n">
        <v>13.3076899473446</v>
      </c>
      <c r="BP55" s="208" t="n">
        <v>1.11306211526004</v>
      </c>
      <c r="BQ55" s="208" t="n">
        <v>0.0883750036797145</v>
      </c>
      <c r="BR55" s="208" t="n">
        <v>6.44204920931559</v>
      </c>
      <c r="BS55" s="208" t="n">
        <v>1.39744137478287</v>
      </c>
      <c r="BT55" s="208" t="n">
        <v>2.4212977345951</v>
      </c>
      <c r="BU55" s="208" t="n">
        <v>9.980022511495919</v>
      </c>
      <c r="BV55" s="208" t="n">
        <v>39.6285971256695</v>
      </c>
      <c r="BW55" s="208" t="n">
        <v>0</v>
      </c>
      <c r="BX55" s="208" t="n">
        <v>1.90413695915824</v>
      </c>
      <c r="BY55" s="208" t="n">
        <v>4.6981984423752</v>
      </c>
      <c r="BZ55" s="208" t="n">
        <v>3.1584853052322</v>
      </c>
      <c r="CA55" s="208" t="n">
        <v>0</v>
      </c>
      <c r="CB55" s="208" t="n">
        <v>0</v>
      </c>
      <c r="CC55" s="208" t="n">
        <v>0</v>
      </c>
      <c r="CD55" s="208" t="n">
        <v>0</v>
      </c>
      <c r="CE55" s="208" t="n">
        <v>0</v>
      </c>
      <c r="CG55" s="6" t="n">
        <v>2011</v>
      </c>
      <c r="CH55" s="6" t="inlineStr">
        <is>
          <t>Tra_EV_Batt-NMC532_virgin</t>
        </is>
      </c>
      <c r="CI55" s="6" t="n">
        <v>0.004</v>
      </c>
      <c r="CJ55" s="6" t="n">
        <v>0.003</v>
      </c>
      <c r="CK55" s="6" t="inlineStr">
        <is>
          <t>Transport_EV_global</t>
        </is>
      </c>
      <c r="CL55" s="6" t="inlineStr">
        <is>
          <t>Transport_EV_China</t>
        </is>
      </c>
      <c r="CM55" s="6" t="inlineStr">
        <is>
          <t>China transport EV curve is shifted earlier than the global curve to reflect earlier China EV/e-bus deployment in the 2010s.</t>
        </is>
      </c>
    </row>
    <row r="56" ht="14.5" customHeight="1" s="213">
      <c r="D56">
        <f>D55</f>
        <v/>
      </c>
      <c r="E56" t="inlineStr">
        <is>
          <t>Tra_EV_Batt-NCA_virgin</t>
        </is>
      </c>
      <c r="F56" s="208">
        <f>AW56*$AS56</f>
        <v/>
      </c>
      <c r="G56" s="208">
        <f>AX56*$AS56</f>
        <v/>
      </c>
      <c r="H56" s="208">
        <f>AY56*$AS56</f>
        <v/>
      </c>
      <c r="I56" s="208">
        <f>AZ56*$AS56</f>
        <v/>
      </c>
      <c r="J56" s="208">
        <f>BA56*$AS56</f>
        <v/>
      </c>
      <c r="K56" s="208">
        <f>BB56*$AS56</f>
        <v/>
      </c>
      <c r="L56" s="208">
        <f>BC56*$AS56</f>
        <v/>
      </c>
      <c r="M56" s="208">
        <f>BD56*$CI56</f>
        <v/>
      </c>
      <c r="N56" s="208">
        <f>BE56*$AS56</f>
        <v/>
      </c>
      <c r="O56" s="208">
        <f>BF56*$AS56</f>
        <v/>
      </c>
      <c r="P56" s="208">
        <f>BG56*$AS56</f>
        <v/>
      </c>
      <c r="Q56" s="208">
        <f>BH56*$AS56</f>
        <v/>
      </c>
      <c r="R56" s="208">
        <f>BI56*$AS56</f>
        <v/>
      </c>
      <c r="S56" s="208">
        <f>BJ56*$AS56</f>
        <v/>
      </c>
      <c r="T56" s="208">
        <f>BK56*$AS56</f>
        <v/>
      </c>
      <c r="U56" s="208">
        <f>BL56*$AS56</f>
        <v/>
      </c>
      <c r="V56" s="208">
        <f>BM56*$AS56</f>
        <v/>
      </c>
      <c r="W56" s="208">
        <f>BN56*$AS56</f>
        <v/>
      </c>
      <c r="X56" s="208">
        <f>BO56*$AS56</f>
        <v/>
      </c>
      <c r="Y56" s="208">
        <f>BP56*$AS56</f>
        <v/>
      </c>
      <c r="Z56" s="208">
        <f>BQ56*$AS56</f>
        <v/>
      </c>
      <c r="AA56" s="208">
        <f>BR56*$AS56</f>
        <v/>
      </c>
      <c r="AB56" s="208">
        <f>BS56*$AS56</f>
        <v/>
      </c>
      <c r="AC56" s="208">
        <f>BT56*$AS56</f>
        <v/>
      </c>
      <c r="AD56" s="208">
        <f>BU56*$AS56</f>
        <v/>
      </c>
      <c r="AE56" s="208">
        <f>BV56*$AS56</f>
        <v/>
      </c>
      <c r="AF56" s="208">
        <f>BW56*$AS56</f>
        <v/>
      </c>
      <c r="AG56" s="208">
        <f>BX56*$AS56</f>
        <v/>
      </c>
      <c r="AH56" s="208">
        <f>BY56*$AS56</f>
        <v/>
      </c>
      <c r="AI56" s="208">
        <f>BZ56*$AS56</f>
        <v/>
      </c>
      <c r="AJ56" s="208">
        <f>CA56*$AS56</f>
        <v/>
      </c>
      <c r="AK56" s="208">
        <f>CB56*$AS56</f>
        <v/>
      </c>
      <c r="AL56" s="208">
        <f>CC56*$AS56</f>
        <v/>
      </c>
      <c r="AM56" s="208">
        <f>CD56*$AS56</f>
        <v/>
      </c>
      <c r="AN56" s="208">
        <f>CE56*$AS56</f>
        <v/>
      </c>
      <c r="AO56" s="208" t="n"/>
      <c r="AQ56" s="6" t="n">
        <v>2011</v>
      </c>
      <c r="AR56" s="6" t="inlineStr">
        <is>
          <t>Tra_EV_Batt-NCA_virgin</t>
        </is>
      </c>
      <c r="AS56" s="6" t="n">
        <v>0.004</v>
      </c>
      <c r="AT56" s="6" t="inlineStr">
        <is>
          <t>Transport_EV_general</t>
        </is>
      </c>
      <c r="AU56" s="6" t="inlineStr">
        <is>
          <t>Back-loaded transport EV battery vintage curve based on historical EV deployment shape.</t>
        </is>
      </c>
      <c r="AV56" s="208" t="inlineStr">
        <is>
          <t>Tra_EV_Batt-NCA_virgin</t>
        </is>
      </c>
      <c r="AW56" s="208" t="n">
        <v>1.62028294107487</v>
      </c>
      <c r="AX56" s="208" t="n">
        <v>0</v>
      </c>
      <c r="AY56" s="208" t="n">
        <v>1.82047536720718</v>
      </c>
      <c r="AZ56" s="208" t="n">
        <v>0.286177642765099</v>
      </c>
      <c r="BA56" s="208" t="n">
        <v>0.00245438984541387</v>
      </c>
      <c r="BB56" s="208" t="n">
        <v>2.77806810463812</v>
      </c>
      <c r="BC56" s="208" t="n">
        <v>1.14398025262639</v>
      </c>
      <c r="BD56" s="208" t="n">
        <v>100.531498849296</v>
      </c>
      <c r="BE56" s="208" t="n">
        <v>0.347667249224917</v>
      </c>
      <c r="BF56" s="208" t="n">
        <v>1.58629251212944</v>
      </c>
      <c r="BG56" s="208" t="n">
        <v>6.75232773332572</v>
      </c>
      <c r="BH56" s="208" t="n">
        <v>3.9854143514463</v>
      </c>
      <c r="BI56" s="208" t="n">
        <v>0.13486818602033</v>
      </c>
      <c r="BJ56" s="208" t="n">
        <v>1.81053443926338</v>
      </c>
      <c r="BK56" s="208" t="n">
        <v>0.0504342170036979</v>
      </c>
      <c r="BL56" s="208" t="n">
        <v>13.5998504657627</v>
      </c>
      <c r="BM56" s="208" t="n">
        <v>0.0147924117071142</v>
      </c>
      <c r="BN56" s="208" t="n">
        <v>4.25727630982957</v>
      </c>
      <c r="BO56" s="208" t="n">
        <v>13.3076899473446</v>
      </c>
      <c r="BP56" s="208" t="n">
        <v>1.11306211526004</v>
      </c>
      <c r="BQ56" s="208" t="n">
        <v>0.0883750036797145</v>
      </c>
      <c r="BR56" s="208" t="n">
        <v>6.44204920931559</v>
      </c>
      <c r="BS56" s="208" t="n">
        <v>1.39744137478287</v>
      </c>
      <c r="BT56" s="208" t="n">
        <v>2.4212977345951</v>
      </c>
      <c r="BU56" s="208" t="n">
        <v>9.980022511495919</v>
      </c>
      <c r="BV56" s="208" t="n">
        <v>39.6285971256695</v>
      </c>
      <c r="BW56" s="208" t="n">
        <v>0</v>
      </c>
      <c r="BX56" s="208" t="n">
        <v>1.90413695915824</v>
      </c>
      <c r="BY56" s="208" t="n">
        <v>4.6981984423752</v>
      </c>
      <c r="BZ56" s="208" t="n">
        <v>3.1584853052322</v>
      </c>
      <c r="CA56" s="208" t="n">
        <v>0</v>
      </c>
      <c r="CB56" s="208" t="n">
        <v>0</v>
      </c>
      <c r="CC56" s="208" t="n">
        <v>0</v>
      </c>
      <c r="CD56" s="208" t="n">
        <v>0</v>
      </c>
      <c r="CE56" s="208" t="n">
        <v>0</v>
      </c>
      <c r="CG56" s="6" t="n">
        <v>2011</v>
      </c>
      <c r="CH56" s="6" t="inlineStr">
        <is>
          <t>Tra_EV_Batt-NCA_virgin</t>
        </is>
      </c>
      <c r="CI56" s="6" t="n">
        <v>0.004</v>
      </c>
      <c r="CJ56" s="6" t="n">
        <v>0.003</v>
      </c>
      <c r="CK56" s="6" t="inlineStr">
        <is>
          <t>Transport_EV_global</t>
        </is>
      </c>
      <c r="CL56" s="6" t="inlineStr">
        <is>
          <t>Transport_EV_China</t>
        </is>
      </c>
      <c r="CM56" s="6" t="inlineStr">
        <is>
          <t>China transport EV curve is shifted earlier than the global curve to reflect earlier China EV/e-bus deployment in the 2010s.</t>
        </is>
      </c>
    </row>
    <row r="57" ht="14.5" customHeight="1" s="213">
      <c r="D57">
        <f>D56</f>
        <v/>
      </c>
      <c r="E57" t="inlineStr">
        <is>
          <t>Tra_EV_Batt-LMO_virgin</t>
        </is>
      </c>
      <c r="F57" s="208">
        <f>AW57*$AS57</f>
        <v/>
      </c>
      <c r="G57" s="208">
        <f>AX57*$AS57</f>
        <v/>
      </c>
      <c r="H57" s="208">
        <f>AY57*$AS57</f>
        <v/>
      </c>
      <c r="I57" s="208">
        <f>AZ57*$AS57</f>
        <v/>
      </c>
      <c r="J57" s="208">
        <f>BA57*$AS57</f>
        <v/>
      </c>
      <c r="K57" s="208">
        <f>BB57*$AS57</f>
        <v/>
      </c>
      <c r="L57" s="208">
        <f>BC57*$AS57</f>
        <v/>
      </c>
      <c r="M57" s="208">
        <f>BD57*$CI57</f>
        <v/>
      </c>
      <c r="N57" s="208">
        <f>BE57*$AS57</f>
        <v/>
      </c>
      <c r="O57" s="208">
        <f>BF57*$AS57</f>
        <v/>
      </c>
      <c r="P57" s="208">
        <f>BG57*$AS57</f>
        <v/>
      </c>
      <c r="Q57" s="208">
        <f>BH57*$AS57</f>
        <v/>
      </c>
      <c r="R57" s="208">
        <f>BI57*$AS57</f>
        <v/>
      </c>
      <c r="S57" s="208">
        <f>BJ57*$AS57</f>
        <v/>
      </c>
      <c r="T57" s="208">
        <f>BK57*$AS57</f>
        <v/>
      </c>
      <c r="U57" s="208">
        <f>BL57*$AS57</f>
        <v/>
      </c>
      <c r="V57" s="208">
        <f>BM57*$AS57</f>
        <v/>
      </c>
      <c r="W57" s="208">
        <f>BN57*$AS57</f>
        <v/>
      </c>
      <c r="X57" s="208">
        <f>BO57*$AS57</f>
        <v/>
      </c>
      <c r="Y57" s="208">
        <f>BP57*$AS57</f>
        <v/>
      </c>
      <c r="Z57" s="208">
        <f>BQ57*$AS57</f>
        <v/>
      </c>
      <c r="AA57" s="208">
        <f>BR57*$AS57</f>
        <v/>
      </c>
      <c r="AB57" s="208">
        <f>BS57*$AS57</f>
        <v/>
      </c>
      <c r="AC57" s="208">
        <f>BT57*$AS57</f>
        <v/>
      </c>
      <c r="AD57" s="208">
        <f>BU57*$AS57</f>
        <v/>
      </c>
      <c r="AE57" s="208">
        <f>BV57*$AS57</f>
        <v/>
      </c>
      <c r="AF57" s="208">
        <f>BW57*$AS57</f>
        <v/>
      </c>
      <c r="AG57" s="208">
        <f>BX57*$AS57</f>
        <v/>
      </c>
      <c r="AH57" s="208">
        <f>BY57*$AS57</f>
        <v/>
      </c>
      <c r="AI57" s="208">
        <f>BZ57*$AS57</f>
        <v/>
      </c>
      <c r="AJ57" s="208">
        <f>CA57*$AS57</f>
        <v/>
      </c>
      <c r="AK57" s="208">
        <f>CB57*$AS57</f>
        <v/>
      </c>
      <c r="AL57" s="208">
        <f>CC57*$AS57</f>
        <v/>
      </c>
      <c r="AM57" s="208">
        <f>CD57*$AS57</f>
        <v/>
      </c>
      <c r="AN57" s="208">
        <f>CE57*$AS57</f>
        <v/>
      </c>
      <c r="AO57" s="208" t="n"/>
      <c r="AQ57" s="6" t="n">
        <v>2011</v>
      </c>
      <c r="AR57" s="6" t="inlineStr">
        <is>
          <t>Tra_EV_Batt-LMO_virgin</t>
        </is>
      </c>
      <c r="AS57" s="6" t="n">
        <v>0.004</v>
      </c>
      <c r="AT57" s="6" t="inlineStr">
        <is>
          <t>Transport_EV_general</t>
        </is>
      </c>
      <c r="AU57" s="6" t="inlineStr">
        <is>
          <t>Back-loaded transport EV battery vintage curve based on historical EV deployment shape.</t>
        </is>
      </c>
      <c r="AV57" s="208" t="inlineStr">
        <is>
          <t>Tra_EV_Batt-LMO_virgin</t>
        </is>
      </c>
      <c r="AW57" s="208" t="n">
        <v>0</v>
      </c>
      <c r="AX57" s="208" t="n">
        <v>0</v>
      </c>
      <c r="AY57" s="208" t="n">
        <v>0</v>
      </c>
      <c r="AZ57" s="208" t="n">
        <v>0</v>
      </c>
      <c r="BA57" s="208" t="n">
        <v>0</v>
      </c>
      <c r="BB57" s="208" t="n">
        <v>0</v>
      </c>
      <c r="BC57" s="208" t="n">
        <v>0</v>
      </c>
      <c r="BD57" s="208" t="n">
        <v>0</v>
      </c>
      <c r="BE57" s="208" t="n">
        <v>0</v>
      </c>
      <c r="BF57" s="208" t="n">
        <v>0</v>
      </c>
      <c r="BG57" s="208" t="n">
        <v>0</v>
      </c>
      <c r="BH57" s="208" t="n">
        <v>0</v>
      </c>
      <c r="BI57" s="208" t="n">
        <v>0</v>
      </c>
      <c r="BJ57" s="208" t="n">
        <v>0</v>
      </c>
      <c r="BK57" s="208" t="n">
        <v>0</v>
      </c>
      <c r="BL57" s="208" t="n">
        <v>0</v>
      </c>
      <c r="BM57" s="208" t="n">
        <v>0</v>
      </c>
      <c r="BN57" s="208" t="n">
        <v>0</v>
      </c>
      <c r="BO57" s="208" t="n">
        <v>0</v>
      </c>
      <c r="BP57" s="208" t="n">
        <v>0</v>
      </c>
      <c r="BQ57" s="208" t="n">
        <v>0</v>
      </c>
      <c r="BR57" s="208" t="n">
        <v>0</v>
      </c>
      <c r="BS57" s="208" t="n">
        <v>0</v>
      </c>
      <c r="BT57" s="208" t="n">
        <v>0</v>
      </c>
      <c r="BU57" s="208" t="n">
        <v>0</v>
      </c>
      <c r="BV57" s="208" t="n">
        <v>0</v>
      </c>
      <c r="BW57" s="208" t="n">
        <v>0</v>
      </c>
      <c r="BX57" s="208" t="n">
        <v>0</v>
      </c>
      <c r="BY57" s="208" t="n">
        <v>0</v>
      </c>
      <c r="BZ57" s="208" t="n">
        <v>0</v>
      </c>
      <c r="CA57" s="208" t="n">
        <v>0</v>
      </c>
      <c r="CB57" s="208" t="n">
        <v>0</v>
      </c>
      <c r="CC57" s="208" t="n">
        <v>0</v>
      </c>
      <c r="CD57" s="208" t="n">
        <v>0</v>
      </c>
      <c r="CE57" s="208" t="n">
        <v>0</v>
      </c>
      <c r="CG57" s="6" t="n">
        <v>2011</v>
      </c>
      <c r="CH57" s="6" t="inlineStr">
        <is>
          <t>Tra_EV_Batt-LMO_virgin</t>
        </is>
      </c>
      <c r="CI57" s="6" t="n">
        <v>0.004</v>
      </c>
      <c r="CJ57" s="6" t="n">
        <v>0.003</v>
      </c>
      <c r="CK57" s="6" t="inlineStr">
        <is>
          <t>Transport_EV_global</t>
        </is>
      </c>
      <c r="CL57" s="6" t="inlineStr">
        <is>
          <t>Transport_EV_China</t>
        </is>
      </c>
      <c r="CM57" s="6" t="inlineStr">
        <is>
          <t>China transport EV curve is shifted earlier than the global curve to reflect earlier China EV/e-bus deployment in the 2010s.</t>
        </is>
      </c>
    </row>
    <row r="58" ht="14.5" customHeight="1" s="213">
      <c r="D58">
        <f>D57</f>
        <v/>
      </c>
      <c r="E58" t="inlineStr">
        <is>
          <t>Tra_EV_Batt-NMC111_virgin</t>
        </is>
      </c>
      <c r="F58" s="208">
        <f>AW58*$AS58</f>
        <v/>
      </c>
      <c r="G58" s="208">
        <f>AX58*$AS58</f>
        <v/>
      </c>
      <c r="H58" s="208">
        <f>AY58*$AS58</f>
        <v/>
      </c>
      <c r="I58" s="208">
        <f>AZ58*$AS58</f>
        <v/>
      </c>
      <c r="J58" s="208">
        <f>BA58*$AS58</f>
        <v/>
      </c>
      <c r="K58" s="208">
        <f>BB58*$AS58</f>
        <v/>
      </c>
      <c r="L58" s="208">
        <f>BC58*$AS58</f>
        <v/>
      </c>
      <c r="M58" s="208">
        <f>BD58*$CI58</f>
        <v/>
      </c>
      <c r="N58" s="208">
        <f>BE58*$AS58</f>
        <v/>
      </c>
      <c r="O58" s="208">
        <f>BF58*$AS58</f>
        <v/>
      </c>
      <c r="P58" s="208">
        <f>BG58*$AS58</f>
        <v/>
      </c>
      <c r="Q58" s="208">
        <f>BH58*$AS58</f>
        <v/>
      </c>
      <c r="R58" s="208">
        <f>BI58*$AS58</f>
        <v/>
      </c>
      <c r="S58" s="208">
        <f>BJ58*$AS58</f>
        <v/>
      </c>
      <c r="T58" s="208">
        <f>BK58*$AS58</f>
        <v/>
      </c>
      <c r="U58" s="208">
        <f>BL58*$AS58</f>
        <v/>
      </c>
      <c r="V58" s="208">
        <f>BM58*$AS58</f>
        <v/>
      </c>
      <c r="W58" s="208">
        <f>BN58*$AS58</f>
        <v/>
      </c>
      <c r="X58" s="208">
        <f>BO58*$AS58</f>
        <v/>
      </c>
      <c r="Y58" s="208">
        <f>BP58*$AS58</f>
        <v/>
      </c>
      <c r="Z58" s="208">
        <f>BQ58*$AS58</f>
        <v/>
      </c>
      <c r="AA58" s="208">
        <f>BR58*$AS58</f>
        <v/>
      </c>
      <c r="AB58" s="208">
        <f>BS58*$AS58</f>
        <v/>
      </c>
      <c r="AC58" s="208">
        <f>BT58*$AS58</f>
        <v/>
      </c>
      <c r="AD58" s="208">
        <f>BU58*$AS58</f>
        <v/>
      </c>
      <c r="AE58" s="208">
        <f>BV58*$AS58</f>
        <v/>
      </c>
      <c r="AF58" s="208">
        <f>BW58*$AS58</f>
        <v/>
      </c>
      <c r="AG58" s="208">
        <f>BX58*$AS58</f>
        <v/>
      </c>
      <c r="AH58" s="208">
        <f>BY58*$AS58</f>
        <v/>
      </c>
      <c r="AI58" s="208">
        <f>BZ58*$AS58</f>
        <v/>
      </c>
      <c r="AJ58" s="208">
        <f>CA58*$AS58</f>
        <v/>
      </c>
      <c r="AK58" s="208">
        <f>CB58*$AS58</f>
        <v/>
      </c>
      <c r="AL58" s="208">
        <f>CC58*$AS58</f>
        <v/>
      </c>
      <c r="AM58" s="208">
        <f>CD58*$AS58</f>
        <v/>
      </c>
      <c r="AN58" s="208">
        <f>CE58*$AS58</f>
        <v/>
      </c>
      <c r="AO58" s="208" t="n"/>
      <c r="AQ58" s="6" t="n">
        <v>2011</v>
      </c>
      <c r="AR58" s="6" t="inlineStr">
        <is>
          <t>Tra_EV_Batt-NMC111_virgin</t>
        </is>
      </c>
      <c r="AS58" s="6" t="n">
        <v>0.004</v>
      </c>
      <c r="AT58" s="6" t="inlineStr">
        <is>
          <t>Transport_EV_general</t>
        </is>
      </c>
      <c r="AU58" s="6" t="inlineStr">
        <is>
          <t>Back-loaded transport EV battery vintage curve based on historical EV deployment shape.</t>
        </is>
      </c>
      <c r="AV58" s="208" t="inlineStr">
        <is>
          <t>Tra_EV_Batt-NMC111_virgin</t>
        </is>
      </c>
      <c r="AW58" s="208" t="n">
        <v>1.62028294107487</v>
      </c>
      <c r="AX58" s="208" t="n">
        <v>0</v>
      </c>
      <c r="AY58" s="208" t="n">
        <v>1.82047536720718</v>
      </c>
      <c r="AZ58" s="208" t="n">
        <v>0.286177642765099</v>
      </c>
      <c r="BA58" s="208" t="n">
        <v>0.00245438984541387</v>
      </c>
      <c r="BB58" s="208" t="n">
        <v>2.77806810463812</v>
      </c>
      <c r="BC58" s="208" t="n">
        <v>1.14398025262639</v>
      </c>
      <c r="BD58" s="208" t="n">
        <v>100.531498849296</v>
      </c>
      <c r="BE58" s="208" t="n">
        <v>0.347667249224917</v>
      </c>
      <c r="BF58" s="208" t="n">
        <v>1.58629251212944</v>
      </c>
      <c r="BG58" s="208" t="n">
        <v>6.75232773332572</v>
      </c>
      <c r="BH58" s="208" t="n">
        <v>3.9854143514463</v>
      </c>
      <c r="BI58" s="208" t="n">
        <v>0.13486818602033</v>
      </c>
      <c r="BJ58" s="208" t="n">
        <v>1.81053443926338</v>
      </c>
      <c r="BK58" s="208" t="n">
        <v>0.0504342170036979</v>
      </c>
      <c r="BL58" s="208" t="n">
        <v>13.5998504657627</v>
      </c>
      <c r="BM58" s="208" t="n">
        <v>0.0147924117071142</v>
      </c>
      <c r="BN58" s="208" t="n">
        <v>4.25727630982957</v>
      </c>
      <c r="BO58" s="208" t="n">
        <v>13.3076899473446</v>
      </c>
      <c r="BP58" s="208" t="n">
        <v>1.11306211526004</v>
      </c>
      <c r="BQ58" s="208" t="n">
        <v>0.0883750036797145</v>
      </c>
      <c r="BR58" s="208" t="n">
        <v>6.44204920931559</v>
      </c>
      <c r="BS58" s="208" t="n">
        <v>1.39744137478287</v>
      </c>
      <c r="BT58" s="208" t="n">
        <v>2.4212977345951</v>
      </c>
      <c r="BU58" s="208" t="n">
        <v>9.980022511495919</v>
      </c>
      <c r="BV58" s="208" t="n">
        <v>39.6285971256695</v>
      </c>
      <c r="BW58" s="208" t="n">
        <v>0</v>
      </c>
      <c r="BX58" s="208" t="n">
        <v>1.90413695915824</v>
      </c>
      <c r="BY58" s="208" t="n">
        <v>4.6981984423752</v>
      </c>
      <c r="BZ58" s="208" t="n">
        <v>3.1584853052322</v>
      </c>
      <c r="CA58" s="208" t="n">
        <v>0</v>
      </c>
      <c r="CB58" s="208" t="n">
        <v>0</v>
      </c>
      <c r="CC58" s="208" t="n">
        <v>0</v>
      </c>
      <c r="CD58" s="208" t="n">
        <v>0</v>
      </c>
      <c r="CE58" s="208" t="n">
        <v>0</v>
      </c>
      <c r="CG58" s="6" t="n">
        <v>2011</v>
      </c>
      <c r="CH58" s="6" t="inlineStr">
        <is>
          <t>Tra_EV_Batt-NMC111_virgin</t>
        </is>
      </c>
      <c r="CI58" s="6" t="n">
        <v>0.004</v>
      </c>
      <c r="CJ58" s="6" t="n">
        <v>0.003</v>
      </c>
      <c r="CK58" s="6" t="inlineStr">
        <is>
          <t>Transport_EV_global</t>
        </is>
      </c>
      <c r="CL58" s="6" t="inlineStr">
        <is>
          <t>Transport_EV_China</t>
        </is>
      </c>
      <c r="CM58" s="6" t="inlineStr">
        <is>
          <t>China transport EV curve is shifted earlier than the global curve to reflect earlier China EV/e-bus deployment in the 2010s.</t>
        </is>
      </c>
    </row>
    <row r="59" ht="14.5" customHeight="1" s="213">
      <c r="D59">
        <f>D58</f>
        <v/>
      </c>
      <c r="E59" t="inlineStr">
        <is>
          <t>Tra_EV_Batt-LFP_virgin_pack</t>
        </is>
      </c>
      <c r="F59" s="208">
        <f>AW59*$AS59</f>
        <v/>
      </c>
      <c r="G59" s="208">
        <f>AX59*$AS59</f>
        <v/>
      </c>
      <c r="H59" s="208">
        <f>AY59*$AS59</f>
        <v/>
      </c>
      <c r="I59" s="208">
        <f>AZ59*$AS59</f>
        <v/>
      </c>
      <c r="J59" s="208">
        <f>BA59*$AS59</f>
        <v/>
      </c>
      <c r="K59" s="208">
        <f>BB59*$AS59</f>
        <v/>
      </c>
      <c r="L59" s="208">
        <f>BC59*$AS59</f>
        <v/>
      </c>
      <c r="M59" s="208">
        <f>BD59*$CI59</f>
        <v/>
      </c>
      <c r="N59" s="208">
        <f>BE59*$AS59</f>
        <v/>
      </c>
      <c r="O59" s="208">
        <f>BF59*$AS59</f>
        <v/>
      </c>
      <c r="P59" s="208">
        <f>BG59*$AS59</f>
        <v/>
      </c>
      <c r="Q59" s="208">
        <f>BH59*$AS59</f>
        <v/>
      </c>
      <c r="R59" s="208">
        <f>BI59*$AS59</f>
        <v/>
      </c>
      <c r="S59" s="208">
        <f>BJ59*$AS59</f>
        <v/>
      </c>
      <c r="T59" s="208">
        <f>BK59*$AS59</f>
        <v/>
      </c>
      <c r="U59" s="208">
        <f>BL59*$AS59</f>
        <v/>
      </c>
      <c r="V59" s="208">
        <f>BM59*$AS59</f>
        <v/>
      </c>
      <c r="W59" s="208">
        <f>BN59*$AS59</f>
        <v/>
      </c>
      <c r="X59" s="208">
        <f>BO59*$AS59</f>
        <v/>
      </c>
      <c r="Y59" s="208">
        <f>BP59*$AS59</f>
        <v/>
      </c>
      <c r="Z59" s="208">
        <f>BQ59*$AS59</f>
        <v/>
      </c>
      <c r="AA59" s="208">
        <f>BR59*$AS59</f>
        <v/>
      </c>
      <c r="AB59" s="208">
        <f>BS59*$AS59</f>
        <v/>
      </c>
      <c r="AC59" s="208">
        <f>BT59*$AS59</f>
        <v/>
      </c>
      <c r="AD59" s="208">
        <f>BU59*$AS59</f>
        <v/>
      </c>
      <c r="AE59" s="208">
        <f>BV59*$AS59</f>
        <v/>
      </c>
      <c r="AF59" s="208">
        <f>BW59*$AS59</f>
        <v/>
      </c>
      <c r="AG59" s="208">
        <f>BX59*$AS59</f>
        <v/>
      </c>
      <c r="AH59" s="208">
        <f>BY59*$AS59</f>
        <v/>
      </c>
      <c r="AI59" s="208">
        <f>BZ59*$AS59</f>
        <v/>
      </c>
      <c r="AJ59" s="208">
        <f>CA59*$AS59</f>
        <v/>
      </c>
      <c r="AK59" s="208">
        <f>CB59*$AS59</f>
        <v/>
      </c>
      <c r="AL59" s="208">
        <f>CC59*$AS59</f>
        <v/>
      </c>
      <c r="AM59" s="208">
        <f>CD59*$AS59</f>
        <v/>
      </c>
      <c r="AN59" s="208">
        <f>CE59*$AS59</f>
        <v/>
      </c>
      <c r="AO59" s="208" t="n"/>
      <c r="AQ59" s="6" t="n">
        <v>2011</v>
      </c>
      <c r="AR59" s="6" t="inlineStr">
        <is>
          <t>Tra_EV_Batt-LFP_virgin_pack</t>
        </is>
      </c>
      <c r="AS59" s="6" t="n">
        <v>0.004</v>
      </c>
      <c r="AT59" s="6" t="inlineStr">
        <is>
          <t>Transport_EV_general</t>
        </is>
      </c>
      <c r="AU59" s="6" t="inlineStr">
        <is>
          <t>Back-loaded transport EV battery vintage curve based on historical EV deployment shape.</t>
        </is>
      </c>
      <c r="AV59" s="208" t="inlineStr">
        <is>
          <t>Tra_EV_Batt-LFP_virgin_pack</t>
        </is>
      </c>
      <c r="AW59" s="208" t="n">
        <v>2.70047156845812</v>
      </c>
      <c r="AX59" s="208" t="n">
        <v>0</v>
      </c>
      <c r="AY59" s="208" t="n">
        <v>3.03412561201197</v>
      </c>
      <c r="AZ59" s="208" t="n">
        <v>0.476962737941833</v>
      </c>
      <c r="BA59" s="208" t="n">
        <v>0.00409064974235645</v>
      </c>
      <c r="BB59" s="208" t="n">
        <v>4.6301135077302</v>
      </c>
      <c r="BC59" s="208" t="n">
        <v>1.90663375437732</v>
      </c>
      <c r="BD59" s="208" t="n">
        <v>167.552498082159</v>
      </c>
      <c r="BE59" s="208" t="n">
        <v>0.579445415374862</v>
      </c>
      <c r="BF59" s="208" t="n">
        <v>2.64382085354907</v>
      </c>
      <c r="BG59" s="208" t="n">
        <v>11.2538795555429</v>
      </c>
      <c r="BH59" s="208" t="n">
        <v>6.6423572524105</v>
      </c>
      <c r="BI59" s="208" t="n">
        <v>0.224780310033883</v>
      </c>
      <c r="BJ59" s="208" t="n">
        <v>3.0175573987723</v>
      </c>
      <c r="BK59" s="208" t="n">
        <v>0.08405702833949651</v>
      </c>
      <c r="BL59" s="208" t="n">
        <v>22.6664174429379</v>
      </c>
      <c r="BM59" s="208" t="n">
        <v>0.024654019511857</v>
      </c>
      <c r="BN59" s="208" t="n">
        <v>7.09546051638262</v>
      </c>
      <c r="BO59" s="208" t="n">
        <v>22.1794832455743</v>
      </c>
      <c r="BP59" s="208" t="n">
        <v>1.8551035254334</v>
      </c>
      <c r="BQ59" s="208" t="n">
        <v>0.147291672799524</v>
      </c>
      <c r="BR59" s="208" t="n">
        <v>10.7367486821926</v>
      </c>
      <c r="BS59" s="208" t="n">
        <v>2.32906895797145</v>
      </c>
      <c r="BT59" s="208" t="n">
        <v>4.03549622432517</v>
      </c>
      <c r="BU59" s="208" t="n">
        <v>16.6333708524932</v>
      </c>
      <c r="BV59" s="208" t="n">
        <v>66.0476618761158</v>
      </c>
      <c r="BW59" s="208" t="n">
        <v>0</v>
      </c>
      <c r="BX59" s="208" t="n">
        <v>3.17356159859707</v>
      </c>
      <c r="BY59" s="208" t="n">
        <v>7.830330737292</v>
      </c>
      <c r="BZ59" s="208" t="n">
        <v>5.264142175387</v>
      </c>
      <c r="CA59" s="208" t="n">
        <v>0</v>
      </c>
      <c r="CB59" s="208" t="n">
        <v>0</v>
      </c>
      <c r="CC59" s="208" t="n">
        <v>0</v>
      </c>
      <c r="CD59" s="208" t="n">
        <v>0</v>
      </c>
      <c r="CE59" s="208" t="n">
        <v>0</v>
      </c>
      <c r="CG59" s="6" t="n">
        <v>2011</v>
      </c>
      <c r="CH59" s="6" t="inlineStr">
        <is>
          <t>Tra_EV_Batt-LFP_virgin_pack</t>
        </is>
      </c>
      <c r="CI59" s="6" t="n">
        <v>0.004</v>
      </c>
      <c r="CJ59" s="6" t="n">
        <v>0.003</v>
      </c>
      <c r="CK59" s="6" t="inlineStr">
        <is>
          <t>Transport_EV_global</t>
        </is>
      </c>
      <c r="CL59" s="6" t="inlineStr">
        <is>
          <t>Transport_EV_China</t>
        </is>
      </c>
      <c r="CM59" s="6" t="inlineStr">
        <is>
          <t>China transport EV curve is shifted earlier than the global curve to reflect earlier China EV/e-bus deployment in the 2010s.</t>
        </is>
      </c>
    </row>
    <row r="60" ht="14.5" customHeight="1" s="213">
      <c r="D60">
        <f>D59</f>
        <v/>
      </c>
      <c r="E60" t="inlineStr">
        <is>
          <t>Tra_EV_Batt-NMC622_virgin_pack</t>
        </is>
      </c>
      <c r="F60" s="208">
        <f>AW60*$AS60</f>
        <v/>
      </c>
      <c r="G60" s="208">
        <f>AX60*$AS60</f>
        <v/>
      </c>
      <c r="H60" s="208">
        <f>AY60*$AS60</f>
        <v/>
      </c>
      <c r="I60" s="208">
        <f>AZ60*$AS60</f>
        <v/>
      </c>
      <c r="J60" s="208">
        <f>BA60*$AS60</f>
        <v/>
      </c>
      <c r="K60" s="208">
        <f>BB60*$AS60</f>
        <v/>
      </c>
      <c r="L60" s="208">
        <f>BC60*$AS60</f>
        <v/>
      </c>
      <c r="M60" s="208">
        <f>BD60*$CI60</f>
        <v/>
      </c>
      <c r="N60" s="208">
        <f>BE60*$AS60</f>
        <v/>
      </c>
      <c r="O60" s="208">
        <f>BF60*$AS60</f>
        <v/>
      </c>
      <c r="P60" s="208">
        <f>BG60*$AS60</f>
        <v/>
      </c>
      <c r="Q60" s="208">
        <f>BH60*$AS60</f>
        <v/>
      </c>
      <c r="R60" s="208">
        <f>BI60*$AS60</f>
        <v/>
      </c>
      <c r="S60" s="208">
        <f>BJ60*$AS60</f>
        <v/>
      </c>
      <c r="T60" s="208">
        <f>BK60*$AS60</f>
        <v/>
      </c>
      <c r="U60" s="208">
        <f>BL60*$AS60</f>
        <v/>
      </c>
      <c r="V60" s="208">
        <f>BM60*$AS60</f>
        <v/>
      </c>
      <c r="W60" s="208">
        <f>BN60*$AS60</f>
        <v/>
      </c>
      <c r="X60" s="208">
        <f>BO60*$AS60</f>
        <v/>
      </c>
      <c r="Y60" s="208">
        <f>BP60*$AS60</f>
        <v/>
      </c>
      <c r="Z60" s="208">
        <f>BQ60*$AS60</f>
        <v/>
      </c>
      <c r="AA60" s="208">
        <f>BR60*$AS60</f>
        <v/>
      </c>
      <c r="AB60" s="208">
        <f>BS60*$AS60</f>
        <v/>
      </c>
      <c r="AC60" s="208">
        <f>BT60*$AS60</f>
        <v/>
      </c>
      <c r="AD60" s="208">
        <f>BU60*$AS60</f>
        <v/>
      </c>
      <c r="AE60" s="208">
        <f>BV60*$AS60</f>
        <v/>
      </c>
      <c r="AF60" s="208">
        <f>BW60*$AS60</f>
        <v/>
      </c>
      <c r="AG60" s="208">
        <f>BX60*$AS60</f>
        <v/>
      </c>
      <c r="AH60" s="208">
        <f>BY60*$AS60</f>
        <v/>
      </c>
      <c r="AI60" s="208">
        <f>BZ60*$AS60</f>
        <v/>
      </c>
      <c r="AJ60" s="208">
        <f>CA60*$AS60</f>
        <v/>
      </c>
      <c r="AK60" s="208">
        <f>CB60*$AS60</f>
        <v/>
      </c>
      <c r="AL60" s="208">
        <f>CC60*$AS60</f>
        <v/>
      </c>
      <c r="AM60" s="208">
        <f>CD60*$AS60</f>
        <v/>
      </c>
      <c r="AN60" s="208">
        <f>CE60*$AS60</f>
        <v/>
      </c>
      <c r="AO60" s="208" t="n"/>
      <c r="AQ60" s="6" t="n">
        <v>2011</v>
      </c>
      <c r="AR60" s="6" t="inlineStr">
        <is>
          <t>Tra_EV_Batt-NMC622_virgin_pack</t>
        </is>
      </c>
      <c r="AS60" s="6" t="n">
        <v>0.004</v>
      </c>
      <c r="AT60" s="6" t="inlineStr">
        <is>
          <t>Transport_EV_general</t>
        </is>
      </c>
      <c r="AU60" s="6" t="inlineStr">
        <is>
          <t>Back-loaded transport EV battery vintage curve based on historical EV deployment shape.</t>
        </is>
      </c>
      <c r="AV60" s="208" t="inlineStr">
        <is>
          <t>Tra_EV_Batt-NMC622_virgin_pack</t>
        </is>
      </c>
      <c r="AW60" s="208" t="n">
        <v>1.62028294107487</v>
      </c>
      <c r="AX60" s="208" t="n">
        <v>0</v>
      </c>
      <c r="AY60" s="208" t="n">
        <v>1.82047536720718</v>
      </c>
      <c r="AZ60" s="208" t="n">
        <v>0.286177642765099</v>
      </c>
      <c r="BA60" s="208" t="n">
        <v>0.00245438984541387</v>
      </c>
      <c r="BB60" s="208" t="n">
        <v>2.77806810463812</v>
      </c>
      <c r="BC60" s="208" t="n">
        <v>1.14398025262639</v>
      </c>
      <c r="BD60" s="208" t="n">
        <v>100.531498849296</v>
      </c>
      <c r="BE60" s="208" t="n">
        <v>0.347667249224917</v>
      </c>
      <c r="BF60" s="208" t="n">
        <v>1.58629251212944</v>
      </c>
      <c r="BG60" s="208" t="n">
        <v>6.75232773332572</v>
      </c>
      <c r="BH60" s="208" t="n">
        <v>3.9854143514463</v>
      </c>
      <c r="BI60" s="208" t="n">
        <v>0.13486818602033</v>
      </c>
      <c r="BJ60" s="208" t="n">
        <v>1.81053443926338</v>
      </c>
      <c r="BK60" s="208" t="n">
        <v>0.0504342170036979</v>
      </c>
      <c r="BL60" s="208" t="n">
        <v>13.5998504657627</v>
      </c>
      <c r="BM60" s="208" t="n">
        <v>0.0147924117071142</v>
      </c>
      <c r="BN60" s="208" t="n">
        <v>4.25727630982957</v>
      </c>
      <c r="BO60" s="208" t="n">
        <v>13.3076899473446</v>
      </c>
      <c r="BP60" s="208" t="n">
        <v>1.11306211526004</v>
      </c>
      <c r="BQ60" s="208" t="n">
        <v>0.0883750036797145</v>
      </c>
      <c r="BR60" s="208" t="n">
        <v>6.44204920931559</v>
      </c>
      <c r="BS60" s="208" t="n">
        <v>1.39744137478287</v>
      </c>
      <c r="BT60" s="208" t="n">
        <v>2.4212977345951</v>
      </c>
      <c r="BU60" s="208" t="n">
        <v>9.980022511495919</v>
      </c>
      <c r="BV60" s="208" t="n">
        <v>39.6285971256695</v>
      </c>
      <c r="BW60" s="208" t="n">
        <v>0</v>
      </c>
      <c r="BX60" s="208" t="n">
        <v>1.90413695915824</v>
      </c>
      <c r="BY60" s="208" t="n">
        <v>4.6981984423752</v>
      </c>
      <c r="BZ60" s="208" t="n">
        <v>3.1584853052322</v>
      </c>
      <c r="CA60" s="208" t="n">
        <v>0</v>
      </c>
      <c r="CB60" s="208" t="n">
        <v>0</v>
      </c>
      <c r="CC60" s="208" t="n">
        <v>0</v>
      </c>
      <c r="CD60" s="208" t="n">
        <v>0</v>
      </c>
      <c r="CE60" s="208" t="n">
        <v>0</v>
      </c>
      <c r="CG60" s="6" t="n">
        <v>2011</v>
      </c>
      <c r="CH60" s="6" t="inlineStr">
        <is>
          <t>Tra_EV_Batt-NMC622_virgin_pack</t>
        </is>
      </c>
      <c r="CI60" s="6" t="n">
        <v>0.004</v>
      </c>
      <c r="CJ60" s="6" t="n">
        <v>0.003</v>
      </c>
      <c r="CK60" s="6" t="inlineStr">
        <is>
          <t>Transport_EV_global</t>
        </is>
      </c>
      <c r="CL60" s="6" t="inlineStr">
        <is>
          <t>Transport_EV_China</t>
        </is>
      </c>
      <c r="CM60" s="6" t="inlineStr">
        <is>
          <t>China transport EV curve is shifted earlier than the global curve to reflect earlier China EV/e-bus deployment in the 2010s.</t>
        </is>
      </c>
    </row>
    <row r="61" ht="14.5" customHeight="1" s="213">
      <c r="D61">
        <f>D60</f>
        <v/>
      </c>
      <c r="E61" t="inlineStr">
        <is>
          <t>Tra_EV_Batt-NMC811_virgin_pack</t>
        </is>
      </c>
      <c r="F61" s="208">
        <f>AW61*$AS61</f>
        <v/>
      </c>
      <c r="G61" s="208">
        <f>AX61*$AS61</f>
        <v/>
      </c>
      <c r="H61" s="208">
        <f>AY61*$AS61</f>
        <v/>
      </c>
      <c r="I61" s="208">
        <f>AZ61*$AS61</f>
        <v/>
      </c>
      <c r="J61" s="208">
        <f>BA61*$AS61</f>
        <v/>
      </c>
      <c r="K61" s="208">
        <f>BB61*$AS61</f>
        <v/>
      </c>
      <c r="L61" s="208">
        <f>BC61*$AS61</f>
        <v/>
      </c>
      <c r="M61" s="208">
        <f>BD61*$CI61</f>
        <v/>
      </c>
      <c r="N61" s="208">
        <f>BE61*$AS61</f>
        <v/>
      </c>
      <c r="O61" s="208">
        <f>BF61*$AS61</f>
        <v/>
      </c>
      <c r="P61" s="208">
        <f>BG61*$AS61</f>
        <v/>
      </c>
      <c r="Q61" s="208">
        <f>BH61*$AS61</f>
        <v/>
      </c>
      <c r="R61" s="208">
        <f>BI61*$AS61</f>
        <v/>
      </c>
      <c r="S61" s="208">
        <f>BJ61*$AS61</f>
        <v/>
      </c>
      <c r="T61" s="208">
        <f>BK61*$AS61</f>
        <v/>
      </c>
      <c r="U61" s="208">
        <f>BL61*$AS61</f>
        <v/>
      </c>
      <c r="V61" s="208">
        <f>BM61*$AS61</f>
        <v/>
      </c>
      <c r="W61" s="208">
        <f>BN61*$AS61</f>
        <v/>
      </c>
      <c r="X61" s="208">
        <f>BO61*$AS61</f>
        <v/>
      </c>
      <c r="Y61" s="208">
        <f>BP61*$AS61</f>
        <v/>
      </c>
      <c r="Z61" s="208">
        <f>BQ61*$AS61</f>
        <v/>
      </c>
      <c r="AA61" s="208">
        <f>BR61*$AS61</f>
        <v/>
      </c>
      <c r="AB61" s="208">
        <f>BS61*$AS61</f>
        <v/>
      </c>
      <c r="AC61" s="208">
        <f>BT61*$AS61</f>
        <v/>
      </c>
      <c r="AD61" s="208">
        <f>BU61*$AS61</f>
        <v/>
      </c>
      <c r="AE61" s="208">
        <f>BV61*$AS61</f>
        <v/>
      </c>
      <c r="AF61" s="208">
        <f>BW61*$AS61</f>
        <v/>
      </c>
      <c r="AG61" s="208">
        <f>BX61*$AS61</f>
        <v/>
      </c>
      <c r="AH61" s="208">
        <f>BY61*$AS61</f>
        <v/>
      </c>
      <c r="AI61" s="208">
        <f>BZ61*$AS61</f>
        <v/>
      </c>
      <c r="AJ61" s="208">
        <f>CA61*$AS61</f>
        <v/>
      </c>
      <c r="AK61" s="208">
        <f>CB61*$AS61</f>
        <v/>
      </c>
      <c r="AL61" s="208">
        <f>CC61*$AS61</f>
        <v/>
      </c>
      <c r="AM61" s="208">
        <f>CD61*$AS61</f>
        <v/>
      </c>
      <c r="AN61" s="208">
        <f>CE61*$AS61</f>
        <v/>
      </c>
      <c r="AO61" s="208" t="n"/>
      <c r="AQ61" s="6" t="n">
        <v>2011</v>
      </c>
      <c r="AR61" s="6" t="inlineStr">
        <is>
          <t>Tra_EV_Batt-NMC811_virgin_pack</t>
        </is>
      </c>
      <c r="AS61" s="6" t="n">
        <v>0.004</v>
      </c>
      <c r="AT61" s="6" t="inlineStr">
        <is>
          <t>Transport_EV_general</t>
        </is>
      </c>
      <c r="AU61" s="6" t="inlineStr">
        <is>
          <t>Back-loaded transport EV battery vintage curve based on historical EV deployment shape.</t>
        </is>
      </c>
      <c r="AV61" s="208" t="inlineStr">
        <is>
          <t>Tra_EV_Batt-NMC811_virgin_pack</t>
        </is>
      </c>
      <c r="AW61" s="208" t="n">
        <v>1.62028294107487</v>
      </c>
      <c r="AX61" s="208" t="n">
        <v>0</v>
      </c>
      <c r="AY61" s="208" t="n">
        <v>1.82047536720718</v>
      </c>
      <c r="AZ61" s="208" t="n">
        <v>0.286177642765099</v>
      </c>
      <c r="BA61" s="208" t="n">
        <v>0.00245438984541387</v>
      </c>
      <c r="BB61" s="208" t="n">
        <v>2.77806810463812</v>
      </c>
      <c r="BC61" s="208" t="n">
        <v>1.14398025262639</v>
      </c>
      <c r="BD61" s="208" t="n">
        <v>100.531498849296</v>
      </c>
      <c r="BE61" s="208" t="n">
        <v>0.347667249224917</v>
      </c>
      <c r="BF61" s="208" t="n">
        <v>1.58629251212944</v>
      </c>
      <c r="BG61" s="208" t="n">
        <v>6.75232773332572</v>
      </c>
      <c r="BH61" s="208" t="n">
        <v>3.9854143514463</v>
      </c>
      <c r="BI61" s="208" t="n">
        <v>0.13486818602033</v>
      </c>
      <c r="BJ61" s="208" t="n">
        <v>1.81053443926338</v>
      </c>
      <c r="BK61" s="208" t="n">
        <v>0.0504342170036979</v>
      </c>
      <c r="BL61" s="208" t="n">
        <v>13.5998504657627</v>
      </c>
      <c r="BM61" s="208" t="n">
        <v>0.0147924117071142</v>
      </c>
      <c r="BN61" s="208" t="n">
        <v>4.25727630982957</v>
      </c>
      <c r="BO61" s="208" t="n">
        <v>13.3076899473446</v>
      </c>
      <c r="BP61" s="208" t="n">
        <v>1.11306211526004</v>
      </c>
      <c r="BQ61" s="208" t="n">
        <v>0.0883750036797145</v>
      </c>
      <c r="BR61" s="208" t="n">
        <v>6.44204920931559</v>
      </c>
      <c r="BS61" s="208" t="n">
        <v>1.39744137478287</v>
      </c>
      <c r="BT61" s="208" t="n">
        <v>2.4212977345951</v>
      </c>
      <c r="BU61" s="208" t="n">
        <v>9.980022511495919</v>
      </c>
      <c r="BV61" s="208" t="n">
        <v>39.6285971256695</v>
      </c>
      <c r="BW61" s="208" t="n">
        <v>0</v>
      </c>
      <c r="BX61" s="208" t="n">
        <v>1.90413695915824</v>
      </c>
      <c r="BY61" s="208" t="n">
        <v>4.6981984423752</v>
      </c>
      <c r="BZ61" s="208" t="n">
        <v>3.1584853052322</v>
      </c>
      <c r="CA61" s="208" t="n">
        <v>0</v>
      </c>
      <c r="CB61" s="208" t="n">
        <v>0</v>
      </c>
      <c r="CC61" s="208" t="n">
        <v>0</v>
      </c>
      <c r="CD61" s="208" t="n">
        <v>0</v>
      </c>
      <c r="CE61" s="208" t="n">
        <v>0</v>
      </c>
      <c r="CG61" s="6" t="n">
        <v>2011</v>
      </c>
      <c r="CH61" s="6" t="inlineStr">
        <is>
          <t>Tra_EV_Batt-NMC811_virgin_pack</t>
        </is>
      </c>
      <c r="CI61" s="6" t="n">
        <v>0.004</v>
      </c>
      <c r="CJ61" s="6" t="n">
        <v>0.003</v>
      </c>
      <c r="CK61" s="6" t="inlineStr">
        <is>
          <t>Transport_EV_global</t>
        </is>
      </c>
      <c r="CL61" s="6" t="inlineStr">
        <is>
          <t>Transport_EV_China</t>
        </is>
      </c>
      <c r="CM61" s="6" t="inlineStr">
        <is>
          <t>China transport EV curve is shifted earlier than the global curve to reflect earlier China EV/e-bus deployment in the 2010s.</t>
        </is>
      </c>
    </row>
    <row r="62" ht="14.5" customHeight="1" s="213">
      <c r="D62">
        <f>D61</f>
        <v/>
      </c>
      <c r="E62" t="inlineStr">
        <is>
          <t>Tra_EV_Batt-NMC532_virgin_pack</t>
        </is>
      </c>
      <c r="F62" s="208">
        <f>AW62*$AS62</f>
        <v/>
      </c>
      <c r="G62" s="208">
        <f>AX62*$AS62</f>
        <v/>
      </c>
      <c r="H62" s="208">
        <f>AY62*$AS62</f>
        <v/>
      </c>
      <c r="I62" s="208">
        <f>AZ62*$AS62</f>
        <v/>
      </c>
      <c r="J62" s="208">
        <f>BA62*$AS62</f>
        <v/>
      </c>
      <c r="K62" s="208">
        <f>BB62*$AS62</f>
        <v/>
      </c>
      <c r="L62" s="208">
        <f>BC62*$AS62</f>
        <v/>
      </c>
      <c r="M62" s="208">
        <f>BD62*$CI62</f>
        <v/>
      </c>
      <c r="N62" s="208">
        <f>BE62*$AS62</f>
        <v/>
      </c>
      <c r="O62" s="208">
        <f>BF62*$AS62</f>
        <v/>
      </c>
      <c r="P62" s="208">
        <f>BG62*$AS62</f>
        <v/>
      </c>
      <c r="Q62" s="208">
        <f>BH62*$AS62</f>
        <v/>
      </c>
      <c r="R62" s="208">
        <f>BI62*$AS62</f>
        <v/>
      </c>
      <c r="S62" s="208">
        <f>BJ62*$AS62</f>
        <v/>
      </c>
      <c r="T62" s="208">
        <f>BK62*$AS62</f>
        <v/>
      </c>
      <c r="U62" s="208">
        <f>BL62*$AS62</f>
        <v/>
      </c>
      <c r="V62" s="208">
        <f>BM62*$AS62</f>
        <v/>
      </c>
      <c r="W62" s="208">
        <f>BN62*$AS62</f>
        <v/>
      </c>
      <c r="X62" s="208">
        <f>BO62*$AS62</f>
        <v/>
      </c>
      <c r="Y62" s="208">
        <f>BP62*$AS62</f>
        <v/>
      </c>
      <c r="Z62" s="208">
        <f>BQ62*$AS62</f>
        <v/>
      </c>
      <c r="AA62" s="208">
        <f>BR62*$AS62</f>
        <v/>
      </c>
      <c r="AB62" s="208">
        <f>BS62*$AS62</f>
        <v/>
      </c>
      <c r="AC62" s="208">
        <f>BT62*$AS62</f>
        <v/>
      </c>
      <c r="AD62" s="208">
        <f>BU62*$AS62</f>
        <v/>
      </c>
      <c r="AE62" s="208">
        <f>BV62*$AS62</f>
        <v/>
      </c>
      <c r="AF62" s="208">
        <f>BW62*$AS62</f>
        <v/>
      </c>
      <c r="AG62" s="208">
        <f>BX62*$AS62</f>
        <v/>
      </c>
      <c r="AH62" s="208">
        <f>BY62*$AS62</f>
        <v/>
      </c>
      <c r="AI62" s="208">
        <f>BZ62*$AS62</f>
        <v/>
      </c>
      <c r="AJ62" s="208">
        <f>CA62*$AS62</f>
        <v/>
      </c>
      <c r="AK62" s="208">
        <f>CB62*$AS62</f>
        <v/>
      </c>
      <c r="AL62" s="208">
        <f>CC62*$AS62</f>
        <v/>
      </c>
      <c r="AM62" s="208">
        <f>CD62*$AS62</f>
        <v/>
      </c>
      <c r="AN62" s="208">
        <f>CE62*$AS62</f>
        <v/>
      </c>
      <c r="AO62" s="208" t="n"/>
      <c r="AQ62" s="6" t="n">
        <v>2011</v>
      </c>
      <c r="AR62" s="6" t="inlineStr">
        <is>
          <t>Tra_EV_Batt-NMC532_virgin_pack</t>
        </is>
      </c>
      <c r="AS62" s="6" t="n">
        <v>0.004</v>
      </c>
      <c r="AT62" s="6" t="inlineStr">
        <is>
          <t>Transport_EV_general</t>
        </is>
      </c>
      <c r="AU62" s="6" t="inlineStr">
        <is>
          <t>Back-loaded transport EV battery vintage curve based on historical EV deployment shape.</t>
        </is>
      </c>
      <c r="AV62" s="208" t="inlineStr">
        <is>
          <t xml:space="preserve"> Tra_EV_Batt-NMC532_virgin_pack</t>
        </is>
      </c>
      <c r="AW62" s="208" t="n">
        <v>1.62028294107487</v>
      </c>
      <c r="AX62" s="208" t="n">
        <v>0</v>
      </c>
      <c r="AY62" s="208" t="n">
        <v>1.82047536720718</v>
      </c>
      <c r="AZ62" s="208" t="n">
        <v>0.286177642765099</v>
      </c>
      <c r="BA62" s="208" t="n">
        <v>0.00245438984541387</v>
      </c>
      <c r="BB62" s="208" t="n">
        <v>2.77806810463812</v>
      </c>
      <c r="BC62" s="208" t="n">
        <v>1.14398025262639</v>
      </c>
      <c r="BD62" s="208" t="n">
        <v>100.531498849296</v>
      </c>
      <c r="BE62" s="208" t="n">
        <v>0.347667249224917</v>
      </c>
      <c r="BF62" s="208" t="n">
        <v>1.58629251212944</v>
      </c>
      <c r="BG62" s="208" t="n">
        <v>6.75232773332572</v>
      </c>
      <c r="BH62" s="208" t="n">
        <v>3.9854143514463</v>
      </c>
      <c r="BI62" s="208" t="n">
        <v>0.13486818602033</v>
      </c>
      <c r="BJ62" s="208" t="n">
        <v>1.81053443926338</v>
      </c>
      <c r="BK62" s="208" t="n">
        <v>0.0504342170036979</v>
      </c>
      <c r="BL62" s="208" t="n">
        <v>13.5998504657627</v>
      </c>
      <c r="BM62" s="208" t="n">
        <v>0.0147924117071142</v>
      </c>
      <c r="BN62" s="208" t="n">
        <v>4.25727630982957</v>
      </c>
      <c r="BO62" s="208" t="n">
        <v>13.3076899473446</v>
      </c>
      <c r="BP62" s="208" t="n">
        <v>1.11306211526004</v>
      </c>
      <c r="BQ62" s="208" t="n">
        <v>0.0883750036797145</v>
      </c>
      <c r="BR62" s="208" t="n">
        <v>6.44204920931559</v>
      </c>
      <c r="BS62" s="208" t="n">
        <v>1.39744137478287</v>
      </c>
      <c r="BT62" s="208" t="n">
        <v>2.4212977345951</v>
      </c>
      <c r="BU62" s="208" t="n">
        <v>9.980022511495919</v>
      </c>
      <c r="BV62" s="208" t="n">
        <v>39.6285971256695</v>
      </c>
      <c r="BW62" s="208" t="n">
        <v>0</v>
      </c>
      <c r="BX62" s="208" t="n">
        <v>1.90413695915824</v>
      </c>
      <c r="BY62" s="208" t="n">
        <v>4.6981984423752</v>
      </c>
      <c r="BZ62" s="208" t="n">
        <v>3.1584853052322</v>
      </c>
      <c r="CA62" s="208" t="n">
        <v>0</v>
      </c>
      <c r="CB62" s="208" t="n">
        <v>0</v>
      </c>
      <c r="CC62" s="208" t="n">
        <v>0</v>
      </c>
      <c r="CD62" s="208" t="n">
        <v>0</v>
      </c>
      <c r="CE62" s="208" t="n">
        <v>0</v>
      </c>
      <c r="CG62" s="6" t="n">
        <v>2011</v>
      </c>
      <c r="CH62" s="6" t="inlineStr">
        <is>
          <t>Tra_EV_Batt-NMC532_virgin_pack</t>
        </is>
      </c>
      <c r="CI62" s="6" t="n">
        <v>0.004</v>
      </c>
      <c r="CJ62" s="6" t="n">
        <v>0.003</v>
      </c>
      <c r="CK62" s="6" t="inlineStr">
        <is>
          <t>Transport_EV_global</t>
        </is>
      </c>
      <c r="CL62" s="6" t="inlineStr">
        <is>
          <t>Transport_EV_China</t>
        </is>
      </c>
      <c r="CM62" s="6" t="inlineStr">
        <is>
          <t>China transport EV curve is shifted earlier than the global curve to reflect earlier China EV/e-bus deployment in the 2010s.</t>
        </is>
      </c>
    </row>
    <row r="63" ht="14.5" customHeight="1" s="213">
      <c r="D63">
        <f>D62</f>
        <v/>
      </c>
      <c r="E63" t="inlineStr">
        <is>
          <t>Tra_EV_Batt-NCA_virgin_pack</t>
        </is>
      </c>
      <c r="F63" s="208">
        <f>AW63*$AS63</f>
        <v/>
      </c>
      <c r="G63" s="208">
        <f>AX63*$AS63</f>
        <v/>
      </c>
      <c r="H63" s="208">
        <f>AY63*$AS63</f>
        <v/>
      </c>
      <c r="I63" s="208">
        <f>AZ63*$AS63</f>
        <v/>
      </c>
      <c r="J63" s="208">
        <f>BA63*$AS63</f>
        <v/>
      </c>
      <c r="K63" s="208">
        <f>BB63*$AS63</f>
        <v/>
      </c>
      <c r="L63" s="208">
        <f>BC63*$AS63</f>
        <v/>
      </c>
      <c r="M63" s="208">
        <f>BD63*$CI63</f>
        <v/>
      </c>
      <c r="N63" s="208">
        <f>BE63*$AS63</f>
        <v/>
      </c>
      <c r="O63" s="208">
        <f>BF63*$AS63</f>
        <v/>
      </c>
      <c r="P63" s="208">
        <f>BG63*$AS63</f>
        <v/>
      </c>
      <c r="Q63" s="208">
        <f>BH63*$AS63</f>
        <v/>
      </c>
      <c r="R63" s="208">
        <f>BI63*$AS63</f>
        <v/>
      </c>
      <c r="S63" s="208">
        <f>BJ63*$AS63</f>
        <v/>
      </c>
      <c r="T63" s="208">
        <f>BK63*$AS63</f>
        <v/>
      </c>
      <c r="U63" s="208">
        <f>BL63*$AS63</f>
        <v/>
      </c>
      <c r="V63" s="208">
        <f>BM63*$AS63</f>
        <v/>
      </c>
      <c r="W63" s="208">
        <f>BN63*$AS63</f>
        <v/>
      </c>
      <c r="X63" s="208">
        <f>BO63*$AS63</f>
        <v/>
      </c>
      <c r="Y63" s="208">
        <f>BP63*$AS63</f>
        <v/>
      </c>
      <c r="Z63" s="208">
        <f>BQ63*$AS63</f>
        <v/>
      </c>
      <c r="AA63" s="208">
        <f>BR63*$AS63</f>
        <v/>
      </c>
      <c r="AB63" s="208">
        <f>BS63*$AS63</f>
        <v/>
      </c>
      <c r="AC63" s="208">
        <f>BT63*$AS63</f>
        <v/>
      </c>
      <c r="AD63" s="208">
        <f>BU63*$AS63</f>
        <v/>
      </c>
      <c r="AE63" s="208">
        <f>BV63*$AS63</f>
        <v/>
      </c>
      <c r="AF63" s="208">
        <f>BW63*$AS63</f>
        <v/>
      </c>
      <c r="AG63" s="208">
        <f>BX63*$AS63</f>
        <v/>
      </c>
      <c r="AH63" s="208">
        <f>BY63*$AS63</f>
        <v/>
      </c>
      <c r="AI63" s="208">
        <f>BZ63*$AS63</f>
        <v/>
      </c>
      <c r="AJ63" s="208">
        <f>CA63*$AS63</f>
        <v/>
      </c>
      <c r="AK63" s="208">
        <f>CB63*$AS63</f>
        <v/>
      </c>
      <c r="AL63" s="208">
        <f>CC63*$AS63</f>
        <v/>
      </c>
      <c r="AM63" s="208">
        <f>CD63*$AS63</f>
        <v/>
      </c>
      <c r="AN63" s="208">
        <f>CE63*$AS63</f>
        <v/>
      </c>
      <c r="AO63" s="208" t="n"/>
      <c r="AQ63" s="6" t="n">
        <v>2011</v>
      </c>
      <c r="AR63" s="6" t="inlineStr">
        <is>
          <t>Tra_EV_Batt-NCA_virgin_pack</t>
        </is>
      </c>
      <c r="AS63" s="6" t="n">
        <v>0.004</v>
      </c>
      <c r="AT63" s="6" t="inlineStr">
        <is>
          <t>Transport_EV_general</t>
        </is>
      </c>
      <c r="AU63" s="6" t="inlineStr">
        <is>
          <t>Back-loaded transport EV battery vintage curve based on historical EV deployment shape.</t>
        </is>
      </c>
      <c r="AV63" s="208" t="inlineStr">
        <is>
          <t>Tra_EV_Batt-NCA_virgin_pack</t>
        </is>
      </c>
      <c r="AW63" s="208" t="n">
        <v>1.62028294107487</v>
      </c>
      <c r="AX63" s="208" t="n">
        <v>0</v>
      </c>
      <c r="AY63" s="208" t="n">
        <v>1.82047536720718</v>
      </c>
      <c r="AZ63" s="208" t="n">
        <v>0.286177642765099</v>
      </c>
      <c r="BA63" s="208" t="n">
        <v>0.00245438984541387</v>
      </c>
      <c r="BB63" s="208" t="n">
        <v>2.77806810463812</v>
      </c>
      <c r="BC63" s="208" t="n">
        <v>1.14398025262639</v>
      </c>
      <c r="BD63" s="208" t="n">
        <v>100.531498849296</v>
      </c>
      <c r="BE63" s="208" t="n">
        <v>0.347667249224917</v>
      </c>
      <c r="BF63" s="208" t="n">
        <v>1.58629251212944</v>
      </c>
      <c r="BG63" s="208" t="n">
        <v>6.75232773332572</v>
      </c>
      <c r="BH63" s="208" t="n">
        <v>3.9854143514463</v>
      </c>
      <c r="BI63" s="208" t="n">
        <v>0.13486818602033</v>
      </c>
      <c r="BJ63" s="208" t="n">
        <v>1.81053443926338</v>
      </c>
      <c r="BK63" s="208" t="n">
        <v>0.0504342170036979</v>
      </c>
      <c r="BL63" s="208" t="n">
        <v>13.5998504657627</v>
      </c>
      <c r="BM63" s="208" t="n">
        <v>0.0147924117071142</v>
      </c>
      <c r="BN63" s="208" t="n">
        <v>4.25727630982957</v>
      </c>
      <c r="BO63" s="208" t="n">
        <v>13.3076899473446</v>
      </c>
      <c r="BP63" s="208" t="n">
        <v>1.11306211526004</v>
      </c>
      <c r="BQ63" s="208" t="n">
        <v>0.0883750036797145</v>
      </c>
      <c r="BR63" s="208" t="n">
        <v>6.44204920931559</v>
      </c>
      <c r="BS63" s="208" t="n">
        <v>1.39744137478287</v>
      </c>
      <c r="BT63" s="208" t="n">
        <v>2.4212977345951</v>
      </c>
      <c r="BU63" s="208" t="n">
        <v>9.980022511495919</v>
      </c>
      <c r="BV63" s="208" t="n">
        <v>39.6285971256695</v>
      </c>
      <c r="BW63" s="208" t="n">
        <v>0</v>
      </c>
      <c r="BX63" s="208" t="n">
        <v>1.90413695915824</v>
      </c>
      <c r="BY63" s="208" t="n">
        <v>4.6981984423752</v>
      </c>
      <c r="BZ63" s="208" t="n">
        <v>3.1584853052322</v>
      </c>
      <c r="CA63" s="208" t="n">
        <v>0</v>
      </c>
      <c r="CB63" s="208" t="n">
        <v>0</v>
      </c>
      <c r="CC63" s="208" t="n">
        <v>0</v>
      </c>
      <c r="CD63" s="208" t="n">
        <v>0</v>
      </c>
      <c r="CE63" s="208" t="n">
        <v>0</v>
      </c>
      <c r="CG63" s="6" t="n">
        <v>2011</v>
      </c>
      <c r="CH63" s="6" t="inlineStr">
        <is>
          <t>Tra_EV_Batt-NCA_virgin_pack</t>
        </is>
      </c>
      <c r="CI63" s="6" t="n">
        <v>0.004</v>
      </c>
      <c r="CJ63" s="6" t="n">
        <v>0.003</v>
      </c>
      <c r="CK63" s="6" t="inlineStr">
        <is>
          <t>Transport_EV_global</t>
        </is>
      </c>
      <c r="CL63" s="6" t="inlineStr">
        <is>
          <t>Transport_EV_China</t>
        </is>
      </c>
      <c r="CM63" s="6" t="inlineStr">
        <is>
          <t>China transport EV curve is shifted earlier than the global curve to reflect earlier China EV/e-bus deployment in the 2010s.</t>
        </is>
      </c>
    </row>
    <row r="64" ht="14.5" customHeight="1" s="213">
      <c r="D64">
        <f>D63</f>
        <v/>
      </c>
      <c r="E64" t="inlineStr">
        <is>
          <t>Tra_EV_Batt-LMO_virgin_pack</t>
        </is>
      </c>
      <c r="F64" s="208">
        <f>AW64*$AS64</f>
        <v/>
      </c>
      <c r="G64" s="208">
        <f>AX64*$AS64</f>
        <v/>
      </c>
      <c r="H64" s="208">
        <f>AY64*$AS64</f>
        <v/>
      </c>
      <c r="I64" s="208">
        <f>AZ64*$AS64</f>
        <v/>
      </c>
      <c r="J64" s="208">
        <f>BA64*$AS64</f>
        <v/>
      </c>
      <c r="K64" s="208">
        <f>BB64*$AS64</f>
        <v/>
      </c>
      <c r="L64" s="208">
        <f>BC64*$AS64</f>
        <v/>
      </c>
      <c r="M64" s="208">
        <f>BD64*$CI64</f>
        <v/>
      </c>
      <c r="N64" s="208">
        <f>BE64*$AS64</f>
        <v/>
      </c>
      <c r="O64" s="208">
        <f>BF64*$AS64</f>
        <v/>
      </c>
      <c r="P64" s="208">
        <f>BG64*$AS64</f>
        <v/>
      </c>
      <c r="Q64" s="208">
        <f>BH64*$AS64</f>
        <v/>
      </c>
      <c r="R64" s="208">
        <f>BI64*$AS64</f>
        <v/>
      </c>
      <c r="S64" s="208">
        <f>BJ64*$AS64</f>
        <v/>
      </c>
      <c r="T64" s="208">
        <f>BK64*$AS64</f>
        <v/>
      </c>
      <c r="U64" s="208">
        <f>BL64*$AS64</f>
        <v/>
      </c>
      <c r="V64" s="208">
        <f>BM64*$AS64</f>
        <v/>
      </c>
      <c r="W64" s="208">
        <f>BN64*$AS64</f>
        <v/>
      </c>
      <c r="X64" s="208">
        <f>BO64*$AS64</f>
        <v/>
      </c>
      <c r="Y64" s="208">
        <f>BP64*$AS64</f>
        <v/>
      </c>
      <c r="Z64" s="208">
        <f>BQ64*$AS64</f>
        <v/>
      </c>
      <c r="AA64" s="208">
        <f>BR64*$AS64</f>
        <v/>
      </c>
      <c r="AB64" s="208">
        <f>BS64*$AS64</f>
        <v/>
      </c>
      <c r="AC64" s="208">
        <f>BT64*$AS64</f>
        <v/>
      </c>
      <c r="AD64" s="208">
        <f>BU64*$AS64</f>
        <v/>
      </c>
      <c r="AE64" s="208">
        <f>BV64*$AS64</f>
        <v/>
      </c>
      <c r="AF64" s="208">
        <f>BW64*$AS64</f>
        <v/>
      </c>
      <c r="AG64" s="208">
        <f>BX64*$AS64</f>
        <v/>
      </c>
      <c r="AH64" s="208">
        <f>BY64*$AS64</f>
        <v/>
      </c>
      <c r="AI64" s="208">
        <f>BZ64*$AS64</f>
        <v/>
      </c>
      <c r="AJ64" s="208">
        <f>CA64*$AS64</f>
        <v/>
      </c>
      <c r="AK64" s="208">
        <f>CB64*$AS64</f>
        <v/>
      </c>
      <c r="AL64" s="208">
        <f>CC64*$AS64</f>
        <v/>
      </c>
      <c r="AM64" s="208">
        <f>CD64*$AS64</f>
        <v/>
      </c>
      <c r="AN64" s="208">
        <f>CE64*$AS64</f>
        <v/>
      </c>
      <c r="AO64" s="208" t="n"/>
      <c r="AQ64" s="6" t="n">
        <v>2011</v>
      </c>
      <c r="AR64" s="6" t="inlineStr">
        <is>
          <t>Tra_EV_Batt-LMO_virgin_pack</t>
        </is>
      </c>
      <c r="AS64" s="6" t="n">
        <v>0.004</v>
      </c>
      <c r="AT64" s="6" t="inlineStr">
        <is>
          <t>Transport_EV_general</t>
        </is>
      </c>
      <c r="AU64" s="6" t="inlineStr">
        <is>
          <t>Back-loaded transport EV battery vintage curve based on historical EV deployment shape.</t>
        </is>
      </c>
      <c r="AV64" s="208" t="inlineStr">
        <is>
          <t xml:space="preserve"> Tra_EV_Batt-LMO_virgin_pack</t>
        </is>
      </c>
      <c r="AW64" s="208" t="n">
        <v>0</v>
      </c>
      <c r="AX64" s="208" t="n">
        <v>0</v>
      </c>
      <c r="AY64" s="208" t="n">
        <v>0</v>
      </c>
      <c r="AZ64" s="208" t="n">
        <v>0</v>
      </c>
      <c r="BA64" s="208" t="n">
        <v>0</v>
      </c>
      <c r="BB64" s="208" t="n">
        <v>0</v>
      </c>
      <c r="BC64" s="208" t="n">
        <v>0</v>
      </c>
      <c r="BD64" s="208" t="n">
        <v>0</v>
      </c>
      <c r="BE64" s="208" t="n">
        <v>0</v>
      </c>
      <c r="BF64" s="208" t="n">
        <v>0</v>
      </c>
      <c r="BG64" s="208" t="n">
        <v>0</v>
      </c>
      <c r="BH64" s="208" t="n">
        <v>0</v>
      </c>
      <c r="BI64" s="208" t="n">
        <v>0</v>
      </c>
      <c r="BJ64" s="208" t="n">
        <v>0</v>
      </c>
      <c r="BK64" s="208" t="n">
        <v>0</v>
      </c>
      <c r="BL64" s="208" t="n">
        <v>0</v>
      </c>
      <c r="BM64" s="208" t="n">
        <v>0</v>
      </c>
      <c r="BN64" s="208" t="n">
        <v>0</v>
      </c>
      <c r="BO64" s="208" t="n">
        <v>0</v>
      </c>
      <c r="BP64" s="208" t="n">
        <v>0</v>
      </c>
      <c r="BQ64" s="208" t="n">
        <v>0</v>
      </c>
      <c r="BR64" s="208" t="n">
        <v>0</v>
      </c>
      <c r="BS64" s="208" t="n">
        <v>0</v>
      </c>
      <c r="BT64" s="208" t="n">
        <v>0</v>
      </c>
      <c r="BU64" s="208" t="n">
        <v>0</v>
      </c>
      <c r="BV64" s="208" t="n">
        <v>0</v>
      </c>
      <c r="BW64" s="208" t="n">
        <v>0</v>
      </c>
      <c r="BX64" s="208" t="n">
        <v>0</v>
      </c>
      <c r="BY64" s="208" t="n">
        <v>0</v>
      </c>
      <c r="BZ64" s="208" t="n">
        <v>0</v>
      </c>
      <c r="CA64" s="208" t="n">
        <v>0</v>
      </c>
      <c r="CB64" s="208" t="n">
        <v>0</v>
      </c>
      <c r="CC64" s="208" t="n">
        <v>0</v>
      </c>
      <c r="CD64" s="208" t="n">
        <v>0</v>
      </c>
      <c r="CE64" s="208" t="n">
        <v>0</v>
      </c>
      <c r="CG64" s="6" t="n">
        <v>2011</v>
      </c>
      <c r="CH64" s="6" t="inlineStr">
        <is>
          <t>Tra_EV_Batt-LMO_virgin_pack</t>
        </is>
      </c>
      <c r="CI64" s="6" t="n">
        <v>0.004</v>
      </c>
      <c r="CJ64" s="6" t="n">
        <v>0.003</v>
      </c>
      <c r="CK64" s="6" t="inlineStr">
        <is>
          <t>Transport_EV_global</t>
        </is>
      </c>
      <c r="CL64" s="6" t="inlineStr">
        <is>
          <t>Transport_EV_China</t>
        </is>
      </c>
      <c r="CM64" s="6" t="inlineStr">
        <is>
          <t>China transport EV curve is shifted earlier than the global curve to reflect earlier China EV/e-bus deployment in the 2010s.</t>
        </is>
      </c>
    </row>
    <row r="65" ht="14.5" customHeight="1" s="213">
      <c r="D65">
        <f>D64</f>
        <v/>
      </c>
      <c r="E65" t="inlineStr">
        <is>
          <t>Tra_EV_Batt-NMC111_virgin_pack</t>
        </is>
      </c>
      <c r="F65" s="208">
        <f>AW65*$AS65</f>
        <v/>
      </c>
      <c r="G65" s="208">
        <f>AX65*$AS65</f>
        <v/>
      </c>
      <c r="H65" s="208">
        <f>AY65*$AS65</f>
        <v/>
      </c>
      <c r="I65" s="208">
        <f>AZ65*$AS65</f>
        <v/>
      </c>
      <c r="J65" s="208">
        <f>BA65*$AS65</f>
        <v/>
      </c>
      <c r="K65" s="208">
        <f>BB65*$AS65</f>
        <v/>
      </c>
      <c r="L65" s="208">
        <f>BC65*$AS65</f>
        <v/>
      </c>
      <c r="M65" s="208">
        <f>BD65*$CI65</f>
        <v/>
      </c>
      <c r="N65" s="208">
        <f>BE65*$AS65</f>
        <v/>
      </c>
      <c r="O65" s="208">
        <f>BF65*$AS65</f>
        <v/>
      </c>
      <c r="P65" s="208">
        <f>BG65*$AS65</f>
        <v/>
      </c>
      <c r="Q65" s="208">
        <f>BH65*$AS65</f>
        <v/>
      </c>
      <c r="R65" s="208">
        <f>BI65*$AS65</f>
        <v/>
      </c>
      <c r="S65" s="208">
        <f>BJ65*$AS65</f>
        <v/>
      </c>
      <c r="T65" s="208">
        <f>BK65*$AS65</f>
        <v/>
      </c>
      <c r="U65" s="208">
        <f>BL65*$AS65</f>
        <v/>
      </c>
      <c r="V65" s="208">
        <f>BM65*$AS65</f>
        <v/>
      </c>
      <c r="W65" s="208">
        <f>BN65*$AS65</f>
        <v/>
      </c>
      <c r="X65" s="208">
        <f>BO65*$AS65</f>
        <v/>
      </c>
      <c r="Y65" s="208">
        <f>BP65*$AS65</f>
        <v/>
      </c>
      <c r="Z65" s="208">
        <f>BQ65*$AS65</f>
        <v/>
      </c>
      <c r="AA65" s="208">
        <f>BR65*$AS65</f>
        <v/>
      </c>
      <c r="AB65" s="208">
        <f>BS65*$AS65</f>
        <v/>
      </c>
      <c r="AC65" s="208">
        <f>BT65*$AS65</f>
        <v/>
      </c>
      <c r="AD65" s="208">
        <f>BU65*$AS65</f>
        <v/>
      </c>
      <c r="AE65" s="208">
        <f>BV65*$AS65</f>
        <v/>
      </c>
      <c r="AF65" s="208">
        <f>BW65*$AS65</f>
        <v/>
      </c>
      <c r="AG65" s="208">
        <f>BX65*$AS65</f>
        <v/>
      </c>
      <c r="AH65" s="208">
        <f>BY65*$AS65</f>
        <v/>
      </c>
      <c r="AI65" s="208">
        <f>BZ65*$AS65</f>
        <v/>
      </c>
      <c r="AJ65" s="208">
        <f>CA65*$AS65</f>
        <v/>
      </c>
      <c r="AK65" s="208">
        <f>CB65*$AS65</f>
        <v/>
      </c>
      <c r="AL65" s="208">
        <f>CC65*$AS65</f>
        <v/>
      </c>
      <c r="AM65" s="208">
        <f>CD65*$AS65</f>
        <v/>
      </c>
      <c r="AN65" s="208">
        <f>CE65*$AS65</f>
        <v/>
      </c>
      <c r="AO65" s="208" t="n"/>
      <c r="AQ65" s="6" t="n">
        <v>2011</v>
      </c>
      <c r="AR65" s="6" t="inlineStr">
        <is>
          <t>Tra_EV_Batt-NMC111_virgin_pack</t>
        </is>
      </c>
      <c r="AS65" s="6" t="n">
        <v>0.004</v>
      </c>
      <c r="AT65" s="6" t="inlineStr">
        <is>
          <t>Transport_EV_general</t>
        </is>
      </c>
      <c r="AU65" s="6" t="inlineStr">
        <is>
          <t>Back-loaded transport EV battery vintage curve based on historical EV deployment shape.</t>
        </is>
      </c>
      <c r="AV65" s="208" t="inlineStr">
        <is>
          <t>Tra_EV_Batt-NMC111_virgin_pack</t>
        </is>
      </c>
      <c r="AW65" s="208" t="n">
        <v>1.62028294107487</v>
      </c>
      <c r="AX65" s="208" t="n">
        <v>0</v>
      </c>
      <c r="AY65" s="208" t="n">
        <v>1.82047536720718</v>
      </c>
      <c r="AZ65" s="208" t="n">
        <v>0.286177642765099</v>
      </c>
      <c r="BA65" s="208" t="n">
        <v>0.00245438984541387</v>
      </c>
      <c r="BB65" s="208" t="n">
        <v>2.77806810463812</v>
      </c>
      <c r="BC65" s="208" t="n">
        <v>1.14398025262639</v>
      </c>
      <c r="BD65" s="208" t="n">
        <v>100.531498849296</v>
      </c>
      <c r="BE65" s="208" t="n">
        <v>0.347667249224917</v>
      </c>
      <c r="BF65" s="208" t="n">
        <v>1.58629251212944</v>
      </c>
      <c r="BG65" s="208" t="n">
        <v>6.75232773332572</v>
      </c>
      <c r="BH65" s="208" t="n">
        <v>3.9854143514463</v>
      </c>
      <c r="BI65" s="208" t="n">
        <v>0.13486818602033</v>
      </c>
      <c r="BJ65" s="208" t="n">
        <v>1.81053443926338</v>
      </c>
      <c r="BK65" s="208" t="n">
        <v>0.0504342170036979</v>
      </c>
      <c r="BL65" s="208" t="n">
        <v>13.5998504657627</v>
      </c>
      <c r="BM65" s="208" t="n">
        <v>0.0147924117071142</v>
      </c>
      <c r="BN65" s="208" t="n">
        <v>4.25727630982957</v>
      </c>
      <c r="BO65" s="208" t="n">
        <v>13.3076899473446</v>
      </c>
      <c r="BP65" s="208" t="n">
        <v>1.11306211526004</v>
      </c>
      <c r="BQ65" s="208" t="n">
        <v>0.0883750036797145</v>
      </c>
      <c r="BR65" s="208" t="n">
        <v>6.44204920931559</v>
      </c>
      <c r="BS65" s="208" t="n">
        <v>1.39744137478287</v>
      </c>
      <c r="BT65" s="208" t="n">
        <v>2.4212977345951</v>
      </c>
      <c r="BU65" s="208" t="n">
        <v>9.980022511495919</v>
      </c>
      <c r="BV65" s="208" t="n">
        <v>39.6285971256695</v>
      </c>
      <c r="BW65" s="208" t="n">
        <v>0</v>
      </c>
      <c r="BX65" s="208" t="n">
        <v>1.90413695915824</v>
      </c>
      <c r="BY65" s="208" t="n">
        <v>4.6981984423752</v>
      </c>
      <c r="BZ65" s="208" t="n">
        <v>3.1584853052322</v>
      </c>
      <c r="CA65" s="208" t="n">
        <v>0</v>
      </c>
      <c r="CB65" s="208" t="n">
        <v>0</v>
      </c>
      <c r="CC65" s="208" t="n">
        <v>0</v>
      </c>
      <c r="CD65" s="208" t="n">
        <v>0</v>
      </c>
      <c r="CE65" s="208" t="n">
        <v>0</v>
      </c>
      <c r="CG65" s="6" t="n">
        <v>2011</v>
      </c>
      <c r="CH65" s="6" t="inlineStr">
        <is>
          <t>Tra_EV_Batt-NMC111_virgin_pack</t>
        </is>
      </c>
      <c r="CI65" s="6" t="n">
        <v>0.004</v>
      </c>
      <c r="CJ65" s="6" t="n">
        <v>0.003</v>
      </c>
      <c r="CK65" s="6" t="inlineStr">
        <is>
          <t>Transport_EV_global</t>
        </is>
      </c>
      <c r="CL65" s="6" t="inlineStr">
        <is>
          <t>Transport_EV_China</t>
        </is>
      </c>
      <c r="CM65" s="6" t="inlineStr">
        <is>
          <t>China transport EV curve is shifted earlier than the global curve to reflect earlier China EV/e-bus deployment in the 2010s.</t>
        </is>
      </c>
    </row>
    <row r="66" ht="14.5" customHeight="1" s="213">
      <c r="D66" t="n">
        <v>2017</v>
      </c>
      <c r="E66">
        <f>E45</f>
        <v/>
      </c>
      <c r="F66" s="208">
        <f>AW66*$AS66</f>
        <v/>
      </c>
      <c r="G66" s="208">
        <f>AX66*$AS66</f>
        <v/>
      </c>
      <c r="H66" s="208">
        <f>AY66*$AS66</f>
        <v/>
      </c>
      <c r="I66" s="208">
        <f>AZ66*$AS66</f>
        <v/>
      </c>
      <c r="J66" s="208">
        <f>BA66*$AS66</f>
        <v/>
      </c>
      <c r="K66" s="208">
        <f>BB66*$AS66</f>
        <v/>
      </c>
      <c r="L66" s="208">
        <f>BC66*$AS66</f>
        <v/>
      </c>
      <c r="M66" s="208">
        <f>BD66*$CI66</f>
        <v/>
      </c>
      <c r="N66" s="208">
        <f>BE66*$AS66</f>
        <v/>
      </c>
      <c r="O66" s="208">
        <f>BF66*$AS66</f>
        <v/>
      </c>
      <c r="P66" s="208">
        <f>BG66*$AS66</f>
        <v/>
      </c>
      <c r="Q66" s="208">
        <f>BH66*$AS66</f>
        <v/>
      </c>
      <c r="R66" s="208">
        <f>BI66*$AS66</f>
        <v/>
      </c>
      <c r="S66" s="208">
        <f>BJ66*$AS66</f>
        <v/>
      </c>
      <c r="T66" s="208">
        <f>BK66*$AS66</f>
        <v/>
      </c>
      <c r="U66" s="208">
        <f>BL66*$AS66</f>
        <v/>
      </c>
      <c r="V66" s="208">
        <f>BM66*$AS66</f>
        <v/>
      </c>
      <c r="W66" s="208">
        <f>BN66*$AS66</f>
        <v/>
      </c>
      <c r="X66" s="208">
        <f>BO66*$AS66</f>
        <v/>
      </c>
      <c r="Y66" s="208">
        <f>BP66*$AS66</f>
        <v/>
      </c>
      <c r="Z66" s="208">
        <f>BQ66*$AS66</f>
        <v/>
      </c>
      <c r="AA66" s="208">
        <f>BR66*$AS66</f>
        <v/>
      </c>
      <c r="AB66" s="208">
        <f>BS66*$AS66</f>
        <v/>
      </c>
      <c r="AC66" s="208">
        <f>BT66*$AS66</f>
        <v/>
      </c>
      <c r="AD66" s="208">
        <f>BU66*$AS66</f>
        <v/>
      </c>
      <c r="AE66" s="208">
        <f>BV66*$AS66</f>
        <v/>
      </c>
      <c r="AF66" s="208">
        <f>BW66*$AS66</f>
        <v/>
      </c>
      <c r="AG66" s="208">
        <f>BX66*$AS66</f>
        <v/>
      </c>
      <c r="AH66" s="208">
        <f>BY66*$AS66</f>
        <v/>
      </c>
      <c r="AI66" s="208">
        <f>BZ66*$AS66</f>
        <v/>
      </c>
      <c r="AJ66" s="208">
        <f>CA66*$AS66</f>
        <v/>
      </c>
      <c r="AK66" s="208">
        <f>CB66*$AS66</f>
        <v/>
      </c>
      <c r="AL66" s="208">
        <f>CC66*$AS66</f>
        <v/>
      </c>
      <c r="AM66" s="208">
        <f>CD66*$AS66</f>
        <v/>
      </c>
      <c r="AN66" s="208">
        <f>CE66*$AS66</f>
        <v/>
      </c>
      <c r="AQ66" s="6" t="n">
        <v>2012</v>
      </c>
      <c r="AR66" s="6" t="inlineStr">
        <is>
          <t>MINBatMaterials_LI</t>
        </is>
      </c>
      <c r="AS66" s="6" t="n">
        <v>0.08</v>
      </c>
      <c r="AT66" s="6" t="inlineStr">
        <is>
          <t>Mining_facility_representative</t>
        </is>
      </c>
      <c r="AU66" s="6" t="inlineStr">
        <is>
          <t>Representative mining-capacity vintage curve; COB_direct treated as aggregate cobalt-production route including by-product routes.</t>
        </is>
      </c>
      <c r="AV66">
        <f>AV45</f>
        <v/>
      </c>
      <c r="AW66">
        <f>AW45</f>
        <v/>
      </c>
      <c r="AX66">
        <f>AX45</f>
        <v/>
      </c>
      <c r="AY66">
        <f>AY45</f>
        <v/>
      </c>
      <c r="AZ66">
        <f>AZ45</f>
        <v/>
      </c>
      <c r="BA66">
        <f>BA45</f>
        <v/>
      </c>
      <c r="BB66">
        <f>BB45</f>
        <v/>
      </c>
      <c r="BC66">
        <f>BC45</f>
        <v/>
      </c>
      <c r="BD66">
        <f>BD45</f>
        <v/>
      </c>
      <c r="BE66">
        <f>BE45</f>
        <v/>
      </c>
      <c r="BF66">
        <f>BF45</f>
        <v/>
      </c>
      <c r="BG66">
        <f>BG45</f>
        <v/>
      </c>
      <c r="BH66">
        <f>BH45</f>
        <v/>
      </c>
      <c r="BI66">
        <f>BI45</f>
        <v/>
      </c>
      <c r="BJ66">
        <f>BJ45</f>
        <v/>
      </c>
      <c r="BK66">
        <f>BK45</f>
        <v/>
      </c>
      <c r="BL66">
        <f>BL45</f>
        <v/>
      </c>
      <c r="BM66">
        <f>BM45</f>
        <v/>
      </c>
      <c r="BN66">
        <f>BN45</f>
        <v/>
      </c>
      <c r="BO66">
        <f>BO45</f>
        <v/>
      </c>
      <c r="BP66">
        <f>BP45</f>
        <v/>
      </c>
      <c r="BQ66">
        <f>BQ45</f>
        <v/>
      </c>
      <c r="BR66">
        <f>BR45</f>
        <v/>
      </c>
      <c r="BS66">
        <f>BS45</f>
        <v/>
      </c>
      <c r="BT66">
        <f>BT45</f>
        <v/>
      </c>
      <c r="BU66">
        <f>BU45</f>
        <v/>
      </c>
      <c r="BV66">
        <f>BV45</f>
        <v/>
      </c>
      <c r="BW66">
        <f>BW45</f>
        <v/>
      </c>
      <c r="BX66">
        <f>BX45</f>
        <v/>
      </c>
      <c r="BY66">
        <f>BY45</f>
        <v/>
      </c>
      <c r="BZ66">
        <f>BZ45</f>
        <v/>
      </c>
      <c r="CA66">
        <f>CA45</f>
        <v/>
      </c>
      <c r="CB66">
        <f>CB45</f>
        <v/>
      </c>
      <c r="CC66">
        <f>CC45</f>
        <v/>
      </c>
      <c r="CD66">
        <f>CD45</f>
        <v/>
      </c>
      <c r="CE66">
        <f>CE45</f>
        <v/>
      </c>
      <c r="CG66" s="6" t="n">
        <v>2012</v>
      </c>
      <c r="CH66" s="6" t="inlineStr">
        <is>
          <t>MINBatMaterials_LI</t>
        </is>
      </c>
      <c r="CI66" s="6" t="n">
        <v>0.08</v>
      </c>
      <c r="CJ66" s="6" t="n">
        <v>0.08</v>
      </c>
      <c r="CK66" s="6" t="inlineStr">
        <is>
          <t>Mining_facility_representative</t>
        </is>
      </c>
      <c r="CL66" s="6" t="inlineStr">
        <is>
          <t>Mining_facility_representative</t>
        </is>
      </c>
      <c r="CM66" s="6" t="inlineStr">
        <is>
          <t>Mining curve kept the same for China; COB_direct treated as aggregate cobalt-production route including by-product routes.</t>
        </is>
      </c>
    </row>
    <row r="67" ht="14.5" customHeight="1" s="213">
      <c r="D67">
        <f>D66</f>
        <v/>
      </c>
      <c r="E67">
        <f>E46</f>
        <v/>
      </c>
      <c r="F67" s="208">
        <f>AW67*$AS67</f>
        <v/>
      </c>
      <c r="G67" s="208">
        <f>AX67*$AS67</f>
        <v/>
      </c>
      <c r="H67" s="208">
        <f>AY67*$AS67</f>
        <v/>
      </c>
      <c r="I67" s="208">
        <f>AZ67*$AS67</f>
        <v/>
      </c>
      <c r="J67" s="208">
        <f>BA67*$AS67</f>
        <v/>
      </c>
      <c r="K67" s="208">
        <f>BB67*$AS67</f>
        <v/>
      </c>
      <c r="L67" s="208">
        <f>BC67*$AS67</f>
        <v/>
      </c>
      <c r="M67" s="208">
        <f>BD67*$CI67</f>
        <v/>
      </c>
      <c r="N67" s="208">
        <f>BE67*$AS67</f>
        <v/>
      </c>
      <c r="O67" s="208">
        <f>BF67*$AS67</f>
        <v/>
      </c>
      <c r="P67" s="208">
        <f>BG67*$AS67</f>
        <v/>
      </c>
      <c r="Q67" s="208">
        <f>BH67*$AS67</f>
        <v/>
      </c>
      <c r="R67" s="208">
        <f>BI67*$AS67</f>
        <v/>
      </c>
      <c r="S67" s="208">
        <f>BJ67*$AS67</f>
        <v/>
      </c>
      <c r="T67" s="208">
        <f>BK67*$AS67</f>
        <v/>
      </c>
      <c r="U67" s="208">
        <f>BL67*$AS67</f>
        <v/>
      </c>
      <c r="V67" s="208">
        <f>BM67*$AS67</f>
        <v/>
      </c>
      <c r="W67" s="208">
        <f>BN67*$AS67</f>
        <v/>
      </c>
      <c r="X67" s="208">
        <f>BO67*$AS67</f>
        <v/>
      </c>
      <c r="Y67" s="208">
        <f>BP67*$AS67</f>
        <v/>
      </c>
      <c r="Z67" s="208">
        <f>BQ67*$AS67</f>
        <v/>
      </c>
      <c r="AA67" s="208">
        <f>BR67*$AS67</f>
        <v/>
      </c>
      <c r="AB67" s="208">
        <f>BS67*$AS67</f>
        <v/>
      </c>
      <c r="AC67" s="208">
        <f>BT67*$AS67</f>
        <v/>
      </c>
      <c r="AD67" s="208">
        <f>BU67*$AS67</f>
        <v/>
      </c>
      <c r="AE67" s="208">
        <f>BV67*$AS67</f>
        <v/>
      </c>
      <c r="AF67" s="208">
        <f>BW67*$AS67</f>
        <v/>
      </c>
      <c r="AG67" s="208">
        <f>BX67*$AS67</f>
        <v/>
      </c>
      <c r="AH67" s="208">
        <f>BY67*$AS67</f>
        <v/>
      </c>
      <c r="AI67" s="208">
        <f>BZ67*$AS67</f>
        <v/>
      </c>
      <c r="AJ67" s="208">
        <f>CA67*$AS67</f>
        <v/>
      </c>
      <c r="AK67" s="208">
        <f>CB67*$AS67</f>
        <v/>
      </c>
      <c r="AL67" s="208">
        <f>CC67*$AS67</f>
        <v/>
      </c>
      <c r="AM67" s="208">
        <f>CD67*$AS67</f>
        <v/>
      </c>
      <c r="AN67" s="208">
        <f>CE67*$AS67</f>
        <v/>
      </c>
      <c r="AQ67" s="6" t="n">
        <v>2012</v>
      </c>
      <c r="AR67" s="6" t="inlineStr">
        <is>
          <t>MINBatMaterials_NI</t>
        </is>
      </c>
      <c r="AS67" s="6" t="n">
        <v>0.08</v>
      </c>
      <c r="AT67" s="6" t="inlineStr">
        <is>
          <t>Mining_facility_representative</t>
        </is>
      </c>
      <c r="AU67" s="6" t="inlineStr">
        <is>
          <t>Representative mining-capacity vintage curve; COB_direct treated as aggregate cobalt-production route including by-product routes.</t>
        </is>
      </c>
      <c r="AV67">
        <f>AV46</f>
        <v/>
      </c>
      <c r="AW67">
        <f>AW46</f>
        <v/>
      </c>
      <c r="AX67">
        <f>AX46</f>
        <v/>
      </c>
      <c r="AY67">
        <f>AY46</f>
        <v/>
      </c>
      <c r="AZ67">
        <f>AZ46</f>
        <v/>
      </c>
      <c r="BA67">
        <f>BA46</f>
        <v/>
      </c>
      <c r="BB67">
        <f>BB46</f>
        <v/>
      </c>
      <c r="BC67">
        <f>BC46</f>
        <v/>
      </c>
      <c r="BD67">
        <f>BD46</f>
        <v/>
      </c>
      <c r="BE67">
        <f>BE46</f>
        <v/>
      </c>
      <c r="BF67">
        <f>BF46</f>
        <v/>
      </c>
      <c r="BG67">
        <f>BG46</f>
        <v/>
      </c>
      <c r="BH67">
        <f>BH46</f>
        <v/>
      </c>
      <c r="BI67">
        <f>BI46</f>
        <v/>
      </c>
      <c r="BJ67">
        <f>BJ46</f>
        <v/>
      </c>
      <c r="BK67">
        <f>BK46</f>
        <v/>
      </c>
      <c r="BL67">
        <f>BL46</f>
        <v/>
      </c>
      <c r="BM67">
        <f>BM46</f>
        <v/>
      </c>
      <c r="BN67">
        <f>BN46</f>
        <v/>
      </c>
      <c r="BO67">
        <f>BO46</f>
        <v/>
      </c>
      <c r="BP67">
        <f>BP46</f>
        <v/>
      </c>
      <c r="BQ67">
        <f>BQ46</f>
        <v/>
      </c>
      <c r="BR67">
        <f>BR46</f>
        <v/>
      </c>
      <c r="BS67">
        <f>BS46</f>
        <v/>
      </c>
      <c r="BT67">
        <f>BT46</f>
        <v/>
      </c>
      <c r="BU67">
        <f>BU46</f>
        <v/>
      </c>
      <c r="BV67">
        <f>BV46</f>
        <v/>
      </c>
      <c r="BW67">
        <f>BW46</f>
        <v/>
      </c>
      <c r="BX67">
        <f>BX46</f>
        <v/>
      </c>
      <c r="BY67">
        <f>BY46</f>
        <v/>
      </c>
      <c r="BZ67">
        <f>BZ46</f>
        <v/>
      </c>
      <c r="CA67">
        <f>CA46</f>
        <v/>
      </c>
      <c r="CB67">
        <f>CB46</f>
        <v/>
      </c>
      <c r="CC67">
        <f>CC46</f>
        <v/>
      </c>
      <c r="CD67">
        <f>CD46</f>
        <v/>
      </c>
      <c r="CE67">
        <f>CE46</f>
        <v/>
      </c>
      <c r="CG67" s="6" t="n">
        <v>2012</v>
      </c>
      <c r="CH67" s="6" t="inlineStr">
        <is>
          <t>MINBatMaterials_NI</t>
        </is>
      </c>
      <c r="CI67" s="6" t="n">
        <v>0.08</v>
      </c>
      <c r="CJ67" s="6" t="n">
        <v>0.08</v>
      </c>
      <c r="CK67" s="6" t="inlineStr">
        <is>
          <t>Mining_facility_representative</t>
        </is>
      </c>
      <c r="CL67" s="6" t="inlineStr">
        <is>
          <t>Mining_facility_representative</t>
        </is>
      </c>
      <c r="CM67" s="6" t="inlineStr">
        <is>
          <t>Mining curve kept the same for China; COB_direct treated as aggregate cobalt-production route including by-product routes.</t>
        </is>
      </c>
    </row>
    <row r="68" ht="14.5" customHeight="1" s="213">
      <c r="D68">
        <f>D67</f>
        <v/>
      </c>
      <c r="E68">
        <f>E47</f>
        <v/>
      </c>
      <c r="F68" s="208">
        <f>AW68*$AS68</f>
        <v/>
      </c>
      <c r="G68" s="208">
        <f>AX68*$AS68</f>
        <v/>
      </c>
      <c r="H68" s="208">
        <f>AY68*$AS68</f>
        <v/>
      </c>
      <c r="I68" s="208">
        <f>AZ68*$AS68</f>
        <v/>
      </c>
      <c r="J68" s="208">
        <f>BA68*$AS68</f>
        <v/>
      </c>
      <c r="K68" s="208">
        <f>BB68*$AS68</f>
        <v/>
      </c>
      <c r="L68" s="208">
        <f>BC68*$AS68</f>
        <v/>
      </c>
      <c r="M68" s="208">
        <f>BD68*$CI68</f>
        <v/>
      </c>
      <c r="N68" s="208">
        <f>BE68*$AS68</f>
        <v/>
      </c>
      <c r="O68" s="208">
        <f>BF68*$AS68</f>
        <v/>
      </c>
      <c r="P68" s="208">
        <f>BG68*$AS68</f>
        <v/>
      </c>
      <c r="Q68" s="208">
        <f>BH68*$AS68</f>
        <v/>
      </c>
      <c r="R68" s="208">
        <f>BI68*$AS68</f>
        <v/>
      </c>
      <c r="S68" s="208">
        <f>BJ68*$AS68</f>
        <v/>
      </c>
      <c r="T68" s="208">
        <f>BK68*$AS68</f>
        <v/>
      </c>
      <c r="U68" s="208">
        <f>BL68*$AS68</f>
        <v/>
      </c>
      <c r="V68" s="208">
        <f>BM68*$AS68</f>
        <v/>
      </c>
      <c r="W68" s="208">
        <f>BN68*$AS68</f>
        <v/>
      </c>
      <c r="X68" s="208">
        <f>BO68*$AS68</f>
        <v/>
      </c>
      <c r="Y68" s="208">
        <f>BP68*$AS68</f>
        <v/>
      </c>
      <c r="Z68" s="208">
        <f>BQ68*$AS68</f>
        <v/>
      </c>
      <c r="AA68" s="208">
        <f>BR68*$AS68</f>
        <v/>
      </c>
      <c r="AB68" s="208">
        <f>BS68*$AS68</f>
        <v/>
      </c>
      <c r="AC68" s="208">
        <f>BT68*$AS68</f>
        <v/>
      </c>
      <c r="AD68" s="208">
        <f>BU68*$AS68</f>
        <v/>
      </c>
      <c r="AE68" s="208">
        <f>BV68*$AS68</f>
        <v/>
      </c>
      <c r="AF68" s="208">
        <f>BW68*$AS68</f>
        <v/>
      </c>
      <c r="AG68" s="208">
        <f>BX68*$AS68</f>
        <v/>
      </c>
      <c r="AH68" s="208">
        <f>BY68*$AS68</f>
        <v/>
      </c>
      <c r="AI68" s="208">
        <f>BZ68*$AS68</f>
        <v/>
      </c>
      <c r="AJ68" s="208">
        <f>CA68*$AS68</f>
        <v/>
      </c>
      <c r="AK68" s="208">
        <f>CB68*$AS68</f>
        <v/>
      </c>
      <c r="AL68" s="208">
        <f>CC68*$AS68</f>
        <v/>
      </c>
      <c r="AM68" s="208">
        <f>CD68*$AS68</f>
        <v/>
      </c>
      <c r="AN68" s="208">
        <f>CE68*$AS68</f>
        <v/>
      </c>
      <c r="AQ68" s="6" t="n">
        <v>2012</v>
      </c>
      <c r="AR68" s="6" t="inlineStr">
        <is>
          <t>MINBatMaterials_COB_direct</t>
        </is>
      </c>
      <c r="AS68" s="6" t="n">
        <v>0.08</v>
      </c>
      <c r="AT68" s="6" t="inlineStr">
        <is>
          <t>Mining_facility_representative</t>
        </is>
      </c>
      <c r="AU68" s="6" t="inlineStr">
        <is>
          <t>Representative mining-capacity vintage curve; COB_direct treated as aggregate cobalt-production route including by-product routes.</t>
        </is>
      </c>
      <c r="AV68">
        <f>AV47</f>
        <v/>
      </c>
      <c r="AW68">
        <f>AW47</f>
        <v/>
      </c>
      <c r="AX68">
        <f>AX47</f>
        <v/>
      </c>
      <c r="AY68">
        <f>AY47</f>
        <v/>
      </c>
      <c r="AZ68">
        <f>AZ47</f>
        <v/>
      </c>
      <c r="BA68">
        <f>BA47</f>
        <v/>
      </c>
      <c r="BB68">
        <f>BB47</f>
        <v/>
      </c>
      <c r="BC68">
        <f>BC47</f>
        <v/>
      </c>
      <c r="BD68">
        <f>BD47</f>
        <v/>
      </c>
      <c r="BE68">
        <f>BE47</f>
        <v/>
      </c>
      <c r="BF68">
        <f>BF47</f>
        <v/>
      </c>
      <c r="BG68">
        <f>BG47</f>
        <v/>
      </c>
      <c r="BH68">
        <f>BH47</f>
        <v/>
      </c>
      <c r="BI68">
        <f>BI47</f>
        <v/>
      </c>
      <c r="BJ68">
        <f>BJ47</f>
        <v/>
      </c>
      <c r="BK68">
        <f>BK47</f>
        <v/>
      </c>
      <c r="BL68">
        <f>BL47</f>
        <v/>
      </c>
      <c r="BM68">
        <f>BM47</f>
        <v/>
      </c>
      <c r="BN68">
        <f>BN47</f>
        <v/>
      </c>
      <c r="BO68">
        <f>BO47</f>
        <v/>
      </c>
      <c r="BP68">
        <f>BP47</f>
        <v/>
      </c>
      <c r="BQ68">
        <f>BQ47</f>
        <v/>
      </c>
      <c r="BR68">
        <f>BR47</f>
        <v/>
      </c>
      <c r="BS68">
        <f>BS47</f>
        <v/>
      </c>
      <c r="BT68">
        <f>BT47</f>
        <v/>
      </c>
      <c r="BU68">
        <f>BU47</f>
        <v/>
      </c>
      <c r="BV68">
        <f>BV47</f>
        <v/>
      </c>
      <c r="BW68">
        <f>BW47</f>
        <v/>
      </c>
      <c r="BX68">
        <f>BX47</f>
        <v/>
      </c>
      <c r="BY68">
        <f>BY47</f>
        <v/>
      </c>
      <c r="BZ68">
        <f>BZ47</f>
        <v/>
      </c>
      <c r="CA68">
        <f>CA47</f>
        <v/>
      </c>
      <c r="CB68">
        <f>CB47</f>
        <v/>
      </c>
      <c r="CC68">
        <f>CC47</f>
        <v/>
      </c>
      <c r="CD68">
        <f>CD47</f>
        <v/>
      </c>
      <c r="CE68">
        <f>CE47</f>
        <v/>
      </c>
      <c r="CG68" s="6" t="n">
        <v>2012</v>
      </c>
      <c r="CH68" s="6" t="inlineStr">
        <is>
          <t>MINBatMaterials_COB_direct</t>
        </is>
      </c>
      <c r="CI68" s="6" t="n">
        <v>0.08</v>
      </c>
      <c r="CJ68" s="6" t="n">
        <v>0.08</v>
      </c>
      <c r="CK68" s="6" t="inlineStr">
        <is>
          <t>Mining_facility_representative</t>
        </is>
      </c>
      <c r="CL68" s="6" t="inlineStr">
        <is>
          <t>Mining_facility_representative</t>
        </is>
      </c>
      <c r="CM68" s="6" t="inlineStr">
        <is>
          <t>Mining curve kept the same for China; COB_direct treated as aggregate cobalt-production route including by-product routes.</t>
        </is>
      </c>
    </row>
    <row r="69" ht="14.5" customHeight="1" s="213">
      <c r="D69">
        <f>D68</f>
        <v/>
      </c>
      <c r="E69">
        <f>E48</f>
        <v/>
      </c>
      <c r="F69" s="208">
        <f>AW69*$AS69</f>
        <v/>
      </c>
      <c r="G69" s="208">
        <f>AX69*$AS69</f>
        <v/>
      </c>
      <c r="H69" s="208">
        <f>AY69*$AS69</f>
        <v/>
      </c>
      <c r="I69" s="208">
        <f>AZ69*$AS69</f>
        <v/>
      </c>
      <c r="J69" s="208">
        <f>BA69*$AS69</f>
        <v/>
      </c>
      <c r="K69" s="208">
        <f>BB69*$AS69</f>
        <v/>
      </c>
      <c r="L69" s="208">
        <f>BC69*$AS69</f>
        <v/>
      </c>
      <c r="M69" s="208">
        <f>BD69*$CI69</f>
        <v/>
      </c>
      <c r="N69" s="208">
        <f>BE69*$AS69</f>
        <v/>
      </c>
      <c r="O69" s="208">
        <f>BF69*$AS69</f>
        <v/>
      </c>
      <c r="P69" s="208">
        <f>BG69*$AS69</f>
        <v/>
      </c>
      <c r="Q69" s="208">
        <f>BH69*$AS69</f>
        <v/>
      </c>
      <c r="R69" s="208">
        <f>BI69*$AS69</f>
        <v/>
      </c>
      <c r="S69" s="208">
        <f>BJ69*$AS69</f>
        <v/>
      </c>
      <c r="T69" s="208">
        <f>BK69*$AS69</f>
        <v/>
      </c>
      <c r="U69" s="208">
        <f>BL69*$AS69</f>
        <v/>
      </c>
      <c r="V69" s="208">
        <f>BM69*$AS69</f>
        <v/>
      </c>
      <c r="W69" s="208">
        <f>BN69*$AS69</f>
        <v/>
      </c>
      <c r="X69" s="208">
        <f>BO69*$AS69</f>
        <v/>
      </c>
      <c r="Y69" s="208">
        <f>BP69*$AS69</f>
        <v/>
      </c>
      <c r="Z69" s="208">
        <f>BQ69*$AS69</f>
        <v/>
      </c>
      <c r="AA69" s="208">
        <f>BR69*$AS69</f>
        <v/>
      </c>
      <c r="AB69" s="208">
        <f>BS69*$AS69</f>
        <v/>
      </c>
      <c r="AC69" s="208">
        <f>BT69*$AS69</f>
        <v/>
      </c>
      <c r="AD69" s="208">
        <f>BU69*$AS69</f>
        <v/>
      </c>
      <c r="AE69" s="208">
        <f>BV69*$AS69</f>
        <v/>
      </c>
      <c r="AF69" s="208">
        <f>BW69*$AS69</f>
        <v/>
      </c>
      <c r="AG69" s="208">
        <f>BX69*$AS69</f>
        <v/>
      </c>
      <c r="AH69" s="208">
        <f>BY69*$AS69</f>
        <v/>
      </c>
      <c r="AI69" s="208">
        <f>BZ69*$AS69</f>
        <v/>
      </c>
      <c r="AJ69" s="208">
        <f>CA69*$AS69</f>
        <v/>
      </c>
      <c r="AK69" s="208">
        <f>CB69*$AS69</f>
        <v/>
      </c>
      <c r="AL69" s="208">
        <f>CC69*$AS69</f>
        <v/>
      </c>
      <c r="AM69" s="208">
        <f>CD69*$AS69</f>
        <v/>
      </c>
      <c r="AN69" s="208">
        <f>CE69*$AS69</f>
        <v/>
      </c>
      <c r="AQ69" s="6" t="n">
        <v>2012</v>
      </c>
      <c r="AR69" s="6" t="inlineStr">
        <is>
          <t>MINBatMaterials_MN</t>
        </is>
      </c>
      <c r="AS69" s="6" t="n">
        <v>0.08</v>
      </c>
      <c r="AT69" s="6" t="inlineStr">
        <is>
          <t>Mining_facility_representative</t>
        </is>
      </c>
      <c r="AU69" s="6" t="inlineStr">
        <is>
          <t>Representative mining-capacity vintage curve; COB_direct treated as aggregate cobalt-production route including by-product routes.</t>
        </is>
      </c>
      <c r="AV69">
        <f>AV48</f>
        <v/>
      </c>
      <c r="AW69">
        <f>AW48</f>
        <v/>
      </c>
      <c r="AX69">
        <f>AX48</f>
        <v/>
      </c>
      <c r="AY69">
        <f>AY48</f>
        <v/>
      </c>
      <c r="AZ69">
        <f>AZ48</f>
        <v/>
      </c>
      <c r="BA69">
        <f>BA48</f>
        <v/>
      </c>
      <c r="BB69">
        <f>BB48</f>
        <v/>
      </c>
      <c r="BC69">
        <f>BC48</f>
        <v/>
      </c>
      <c r="BD69">
        <f>BD48</f>
        <v/>
      </c>
      <c r="BE69">
        <f>BE48</f>
        <v/>
      </c>
      <c r="BF69">
        <f>BF48</f>
        <v/>
      </c>
      <c r="BG69">
        <f>BG48</f>
        <v/>
      </c>
      <c r="BH69">
        <f>BH48</f>
        <v/>
      </c>
      <c r="BI69">
        <f>BI48</f>
        <v/>
      </c>
      <c r="BJ69">
        <f>BJ48</f>
        <v/>
      </c>
      <c r="BK69">
        <f>BK48</f>
        <v/>
      </c>
      <c r="BL69">
        <f>BL48</f>
        <v/>
      </c>
      <c r="BM69">
        <f>BM48</f>
        <v/>
      </c>
      <c r="BN69">
        <f>BN48</f>
        <v/>
      </c>
      <c r="BO69">
        <f>BO48</f>
        <v/>
      </c>
      <c r="BP69">
        <f>BP48</f>
        <v/>
      </c>
      <c r="BQ69">
        <f>BQ48</f>
        <v/>
      </c>
      <c r="BR69">
        <f>BR48</f>
        <v/>
      </c>
      <c r="BS69">
        <f>BS48</f>
        <v/>
      </c>
      <c r="BT69">
        <f>BT48</f>
        <v/>
      </c>
      <c r="BU69">
        <f>BU48</f>
        <v/>
      </c>
      <c r="BV69">
        <f>BV48</f>
        <v/>
      </c>
      <c r="BW69">
        <f>BW48</f>
        <v/>
      </c>
      <c r="BX69">
        <f>BX48</f>
        <v/>
      </c>
      <c r="BY69">
        <f>BY48</f>
        <v/>
      </c>
      <c r="BZ69">
        <f>BZ48</f>
        <v/>
      </c>
      <c r="CA69">
        <f>CA48</f>
        <v/>
      </c>
      <c r="CB69">
        <f>CB48</f>
        <v/>
      </c>
      <c r="CC69">
        <f>CC48</f>
        <v/>
      </c>
      <c r="CD69">
        <f>CD48</f>
        <v/>
      </c>
      <c r="CE69">
        <f>CE48</f>
        <v/>
      </c>
      <c r="CG69" s="6" t="n">
        <v>2012</v>
      </c>
      <c r="CH69" s="6" t="inlineStr">
        <is>
          <t>MINBatMaterials_MN</t>
        </is>
      </c>
      <c r="CI69" s="6" t="n">
        <v>0.08</v>
      </c>
      <c r="CJ69" s="6" t="n">
        <v>0.08</v>
      </c>
      <c r="CK69" s="6" t="inlineStr">
        <is>
          <t>Mining_facility_representative</t>
        </is>
      </c>
      <c r="CL69" s="6" t="inlineStr">
        <is>
          <t>Mining_facility_representative</t>
        </is>
      </c>
      <c r="CM69" s="6" t="inlineStr">
        <is>
          <t>Mining curve kept the same for China; COB_direct treated as aggregate cobalt-production route including by-product routes.</t>
        </is>
      </c>
    </row>
    <row r="70" ht="14.5" customHeight="1" s="213">
      <c r="D70">
        <f>D69</f>
        <v/>
      </c>
      <c r="E70">
        <f>E49</f>
        <v/>
      </c>
      <c r="F70" s="208">
        <f>AW70*$AS70</f>
        <v/>
      </c>
      <c r="G70" s="208">
        <f>AX70*$AS70</f>
        <v/>
      </c>
      <c r="H70" s="208">
        <f>AY70*$AS70</f>
        <v/>
      </c>
      <c r="I70" s="208">
        <f>AZ70*$AS70</f>
        <v/>
      </c>
      <c r="J70" s="208">
        <f>BA70*$AS70</f>
        <v/>
      </c>
      <c r="K70" s="208">
        <f>BB70*$AS70</f>
        <v/>
      </c>
      <c r="L70" s="208">
        <f>BC70*$AS70</f>
        <v/>
      </c>
      <c r="M70" s="208">
        <f>BD70*$CI70</f>
        <v/>
      </c>
      <c r="N70" s="208">
        <f>BE70*$AS70</f>
        <v/>
      </c>
      <c r="O70" s="208">
        <f>BF70*$AS70</f>
        <v/>
      </c>
      <c r="P70" s="208">
        <f>BG70*$AS70</f>
        <v/>
      </c>
      <c r="Q70" s="208">
        <f>BH70*$AS70</f>
        <v/>
      </c>
      <c r="R70" s="208">
        <f>BI70*$AS70</f>
        <v/>
      </c>
      <c r="S70" s="208">
        <f>BJ70*$AS70</f>
        <v/>
      </c>
      <c r="T70" s="208">
        <f>BK70*$AS70</f>
        <v/>
      </c>
      <c r="U70" s="208">
        <f>BL70*$AS70</f>
        <v/>
      </c>
      <c r="V70" s="208">
        <f>BM70*$AS70</f>
        <v/>
      </c>
      <c r="W70" s="208">
        <f>BN70*$AS70</f>
        <v/>
      </c>
      <c r="X70" s="208">
        <f>BO70*$AS70</f>
        <v/>
      </c>
      <c r="Y70" s="208">
        <f>BP70*$AS70</f>
        <v/>
      </c>
      <c r="Z70" s="208">
        <f>BQ70*$AS70</f>
        <v/>
      </c>
      <c r="AA70" s="208">
        <f>BR70*$AS70</f>
        <v/>
      </c>
      <c r="AB70" s="208">
        <f>BS70*$AS70</f>
        <v/>
      </c>
      <c r="AC70" s="208">
        <f>BT70*$AS70</f>
        <v/>
      </c>
      <c r="AD70" s="208">
        <f>BU70*$AS70</f>
        <v/>
      </c>
      <c r="AE70" s="208">
        <f>BV70*$AS70</f>
        <v/>
      </c>
      <c r="AF70" s="208">
        <f>BW70*$AS70</f>
        <v/>
      </c>
      <c r="AG70" s="208">
        <f>BX70*$AS70</f>
        <v/>
      </c>
      <c r="AH70" s="208">
        <f>BY70*$AS70</f>
        <v/>
      </c>
      <c r="AI70" s="208">
        <f>BZ70*$AS70</f>
        <v/>
      </c>
      <c r="AJ70" s="208">
        <f>CA70*$AS70</f>
        <v/>
      </c>
      <c r="AK70" s="208">
        <f>CB70*$AS70</f>
        <v/>
      </c>
      <c r="AL70" s="208">
        <f>CC70*$AS70</f>
        <v/>
      </c>
      <c r="AM70" s="208">
        <f>CD70*$AS70</f>
        <v/>
      </c>
      <c r="AN70" s="208">
        <f>CE70*$AS70</f>
        <v/>
      </c>
      <c r="AQ70" s="6" t="n">
        <v>2012</v>
      </c>
      <c r="AR70" s="6" t="inlineStr">
        <is>
          <t>MINBatMaterials_AL</t>
        </is>
      </c>
      <c r="AS70" s="6" t="n">
        <v>0.08</v>
      </c>
      <c r="AT70" s="6" t="inlineStr">
        <is>
          <t>Mining_facility_representative</t>
        </is>
      </c>
      <c r="AU70" s="6" t="inlineStr">
        <is>
          <t>Representative mining-capacity vintage curve; COB_direct treated as aggregate cobalt-production route including by-product routes.</t>
        </is>
      </c>
      <c r="AV70">
        <f>AV49</f>
        <v/>
      </c>
      <c r="AW70">
        <f>AW49</f>
        <v/>
      </c>
      <c r="AX70">
        <f>AX49</f>
        <v/>
      </c>
      <c r="AY70">
        <f>AY49</f>
        <v/>
      </c>
      <c r="AZ70">
        <f>AZ49</f>
        <v/>
      </c>
      <c r="BA70">
        <f>BA49</f>
        <v/>
      </c>
      <c r="BB70">
        <f>BB49</f>
        <v/>
      </c>
      <c r="BC70">
        <f>BC49</f>
        <v/>
      </c>
      <c r="BD70">
        <f>BD49</f>
        <v/>
      </c>
      <c r="BE70">
        <f>BE49</f>
        <v/>
      </c>
      <c r="BF70">
        <f>BF49</f>
        <v/>
      </c>
      <c r="BG70">
        <f>BG49</f>
        <v/>
      </c>
      <c r="BH70">
        <f>BH49</f>
        <v/>
      </c>
      <c r="BI70">
        <f>BI49</f>
        <v/>
      </c>
      <c r="BJ70">
        <f>BJ49</f>
        <v/>
      </c>
      <c r="BK70">
        <f>BK49</f>
        <v/>
      </c>
      <c r="BL70">
        <f>BL49</f>
        <v/>
      </c>
      <c r="BM70">
        <f>BM49</f>
        <v/>
      </c>
      <c r="BN70">
        <f>BN49</f>
        <v/>
      </c>
      <c r="BO70">
        <f>BO49</f>
        <v/>
      </c>
      <c r="BP70">
        <f>BP49</f>
        <v/>
      </c>
      <c r="BQ70">
        <f>BQ49</f>
        <v/>
      </c>
      <c r="BR70">
        <f>BR49</f>
        <v/>
      </c>
      <c r="BS70">
        <f>BS49</f>
        <v/>
      </c>
      <c r="BT70">
        <f>BT49</f>
        <v/>
      </c>
      <c r="BU70">
        <f>BU49</f>
        <v/>
      </c>
      <c r="BV70">
        <f>BV49</f>
        <v/>
      </c>
      <c r="BW70">
        <f>BW49</f>
        <v/>
      </c>
      <c r="BX70">
        <f>BX49</f>
        <v/>
      </c>
      <c r="BY70">
        <f>BY49</f>
        <v/>
      </c>
      <c r="BZ70">
        <f>BZ49</f>
        <v/>
      </c>
      <c r="CA70">
        <f>CA49</f>
        <v/>
      </c>
      <c r="CB70">
        <f>CB49</f>
        <v/>
      </c>
      <c r="CC70">
        <f>CC49</f>
        <v/>
      </c>
      <c r="CD70">
        <f>CD49</f>
        <v/>
      </c>
      <c r="CE70">
        <f>CE49</f>
        <v/>
      </c>
      <c r="CG70" s="6" t="n">
        <v>2012</v>
      </c>
      <c r="CH70" s="6" t="inlineStr">
        <is>
          <t>MINBatMaterials_AL</t>
        </is>
      </c>
      <c r="CI70" s="6" t="n">
        <v>0.08</v>
      </c>
      <c r="CJ70" s="6" t="n">
        <v>0.08</v>
      </c>
      <c r="CK70" s="6" t="inlineStr">
        <is>
          <t>Mining_facility_representative</t>
        </is>
      </c>
      <c r="CL70" s="6" t="inlineStr">
        <is>
          <t>Mining_facility_representative</t>
        </is>
      </c>
      <c r="CM70" s="6" t="inlineStr">
        <is>
          <t>Mining curve kept the same for China; COB_direct treated as aggregate cobalt-production route including by-product routes.</t>
        </is>
      </c>
    </row>
    <row r="71" ht="14.5" customHeight="1" s="213">
      <c r="D71">
        <f>D70</f>
        <v/>
      </c>
      <c r="E71">
        <f>E50</f>
        <v/>
      </c>
      <c r="F71" s="208">
        <f>AW71*$AS71</f>
        <v/>
      </c>
      <c r="G71" s="208">
        <f>AX71*$AS71</f>
        <v/>
      </c>
      <c r="H71" s="208">
        <f>AY71*$AS71</f>
        <v/>
      </c>
      <c r="I71" s="208">
        <f>AZ71*$AS71</f>
        <v/>
      </c>
      <c r="J71" s="208">
        <f>BA71*$AS71</f>
        <v/>
      </c>
      <c r="K71" s="208">
        <f>BB71*$AS71</f>
        <v/>
      </c>
      <c r="L71" s="208">
        <f>BC71*$AS71</f>
        <v/>
      </c>
      <c r="M71" s="208">
        <f>BD71*$CI71</f>
        <v/>
      </c>
      <c r="N71" s="208">
        <f>BE71*$AS71</f>
        <v/>
      </c>
      <c r="O71" s="208">
        <f>BF71*$AS71</f>
        <v/>
      </c>
      <c r="P71" s="208">
        <f>BG71*$AS71</f>
        <v/>
      </c>
      <c r="Q71" s="208">
        <f>BH71*$AS71</f>
        <v/>
      </c>
      <c r="R71" s="208">
        <f>BI71*$AS71</f>
        <v/>
      </c>
      <c r="S71" s="208">
        <f>BJ71*$AS71</f>
        <v/>
      </c>
      <c r="T71" s="208">
        <f>BK71*$AS71</f>
        <v/>
      </c>
      <c r="U71" s="208">
        <f>BL71*$AS71</f>
        <v/>
      </c>
      <c r="V71" s="208">
        <f>BM71*$AS71</f>
        <v/>
      </c>
      <c r="W71" s="208">
        <f>BN71*$AS71</f>
        <v/>
      </c>
      <c r="X71" s="208">
        <f>BO71*$AS71</f>
        <v/>
      </c>
      <c r="Y71" s="208">
        <f>BP71*$AS71</f>
        <v/>
      </c>
      <c r="Z71" s="208">
        <f>BQ71*$AS71</f>
        <v/>
      </c>
      <c r="AA71" s="208">
        <f>BR71*$AS71</f>
        <v/>
      </c>
      <c r="AB71" s="208">
        <f>BS71*$AS71</f>
        <v/>
      </c>
      <c r="AC71" s="208">
        <f>BT71*$AS71</f>
        <v/>
      </c>
      <c r="AD71" s="208">
        <f>BU71*$AS71</f>
        <v/>
      </c>
      <c r="AE71" s="208">
        <f>BV71*$AS71</f>
        <v/>
      </c>
      <c r="AF71" s="208">
        <f>BW71*$AS71</f>
        <v/>
      </c>
      <c r="AG71" s="208">
        <f>BX71*$AS71</f>
        <v/>
      </c>
      <c r="AH71" s="208">
        <f>BY71*$AS71</f>
        <v/>
      </c>
      <c r="AI71" s="208">
        <f>BZ71*$AS71</f>
        <v/>
      </c>
      <c r="AJ71" s="208">
        <f>CA71*$AS71</f>
        <v/>
      </c>
      <c r="AK71" s="208">
        <f>CB71*$AS71</f>
        <v/>
      </c>
      <c r="AL71" s="208">
        <f>CC71*$AS71</f>
        <v/>
      </c>
      <c r="AM71" s="208">
        <f>CD71*$AS71</f>
        <v/>
      </c>
      <c r="AN71" s="208">
        <f>CE71*$AS71</f>
        <v/>
      </c>
      <c r="AQ71" s="6" t="n">
        <v>2012</v>
      </c>
      <c r="AR71" s="6" t="inlineStr">
        <is>
          <t>MINBatMaterials_COP</t>
        </is>
      </c>
      <c r="AS71" s="6" t="n">
        <v>0.08</v>
      </c>
      <c r="AT71" s="6" t="inlineStr">
        <is>
          <t>Mining_facility_representative</t>
        </is>
      </c>
      <c r="AU71" s="6" t="inlineStr">
        <is>
          <t>Representative mining-capacity vintage curve; COB_direct treated as aggregate cobalt-production route including by-product routes.</t>
        </is>
      </c>
      <c r="AV71">
        <f>AV50</f>
        <v/>
      </c>
      <c r="AW71">
        <f>AW50</f>
        <v/>
      </c>
      <c r="AX71">
        <f>AX50</f>
        <v/>
      </c>
      <c r="AY71">
        <f>AY50</f>
        <v/>
      </c>
      <c r="AZ71">
        <f>AZ50</f>
        <v/>
      </c>
      <c r="BA71">
        <f>BA50</f>
        <v/>
      </c>
      <c r="BB71">
        <f>BB50</f>
        <v/>
      </c>
      <c r="BC71">
        <f>BC50</f>
        <v/>
      </c>
      <c r="BD71">
        <f>BD50</f>
        <v/>
      </c>
      <c r="BE71">
        <f>BE50</f>
        <v/>
      </c>
      <c r="BF71">
        <f>BF50</f>
        <v/>
      </c>
      <c r="BG71">
        <f>BG50</f>
        <v/>
      </c>
      <c r="BH71">
        <f>BH50</f>
        <v/>
      </c>
      <c r="BI71">
        <f>BI50</f>
        <v/>
      </c>
      <c r="BJ71">
        <f>BJ50</f>
        <v/>
      </c>
      <c r="BK71">
        <f>BK50</f>
        <v/>
      </c>
      <c r="BL71">
        <f>BL50</f>
        <v/>
      </c>
      <c r="BM71">
        <f>BM50</f>
        <v/>
      </c>
      <c r="BN71">
        <f>BN50</f>
        <v/>
      </c>
      <c r="BO71">
        <f>BO50</f>
        <v/>
      </c>
      <c r="BP71">
        <f>BP50</f>
        <v/>
      </c>
      <c r="BQ71">
        <f>BQ50</f>
        <v/>
      </c>
      <c r="BR71">
        <f>BR50</f>
        <v/>
      </c>
      <c r="BS71">
        <f>BS50</f>
        <v/>
      </c>
      <c r="BT71">
        <f>BT50</f>
        <v/>
      </c>
      <c r="BU71">
        <f>BU50</f>
        <v/>
      </c>
      <c r="BV71">
        <f>BV50</f>
        <v/>
      </c>
      <c r="BW71">
        <f>BW50</f>
        <v/>
      </c>
      <c r="BX71">
        <f>BX50</f>
        <v/>
      </c>
      <c r="BY71">
        <f>BY50</f>
        <v/>
      </c>
      <c r="BZ71">
        <f>BZ50</f>
        <v/>
      </c>
      <c r="CA71">
        <f>CA50</f>
        <v/>
      </c>
      <c r="CB71">
        <f>CB50</f>
        <v/>
      </c>
      <c r="CC71">
        <f>CC50</f>
        <v/>
      </c>
      <c r="CD71">
        <f>CD50</f>
        <v/>
      </c>
      <c r="CE71">
        <f>CE50</f>
        <v/>
      </c>
      <c r="CG71" s="6" t="n">
        <v>2012</v>
      </c>
      <c r="CH71" s="6" t="inlineStr">
        <is>
          <t>MINBatMaterials_COP</t>
        </is>
      </c>
      <c r="CI71" s="6" t="n">
        <v>0.08</v>
      </c>
      <c r="CJ71" s="6" t="n">
        <v>0.08</v>
      </c>
      <c r="CK71" s="6" t="inlineStr">
        <is>
          <t>Mining_facility_representative</t>
        </is>
      </c>
      <c r="CL71" s="6" t="inlineStr">
        <is>
          <t>Mining_facility_representative</t>
        </is>
      </c>
      <c r="CM71" s="6" t="inlineStr">
        <is>
          <t>Mining curve kept the same for China; COB_direct treated as aggregate cobalt-production route including by-product routes.</t>
        </is>
      </c>
    </row>
    <row r="72" ht="14.5" customHeight="1" s="213">
      <c r="D72">
        <f>D71</f>
        <v/>
      </c>
      <c r="E72">
        <f>E51</f>
        <v/>
      </c>
      <c r="F72" s="208">
        <f>AW72*$AS72</f>
        <v/>
      </c>
      <c r="G72" s="208">
        <f>AX72*$AS72</f>
        <v/>
      </c>
      <c r="H72" s="208">
        <f>AY72*$AS72</f>
        <v/>
      </c>
      <c r="I72" s="208">
        <f>AZ72*$AS72</f>
        <v/>
      </c>
      <c r="J72" s="208">
        <f>BA72*$AS72</f>
        <v/>
      </c>
      <c r="K72" s="208">
        <f>BB72*$AS72</f>
        <v/>
      </c>
      <c r="L72" s="208">
        <f>BC72*$AS72</f>
        <v/>
      </c>
      <c r="M72" s="208">
        <f>BD72*$CI72</f>
        <v/>
      </c>
      <c r="N72" s="208">
        <f>BE72*$AS72</f>
        <v/>
      </c>
      <c r="O72" s="208">
        <f>BF72*$AS72</f>
        <v/>
      </c>
      <c r="P72" s="208">
        <f>BG72*$AS72</f>
        <v/>
      </c>
      <c r="Q72" s="208">
        <f>BH72*$AS72</f>
        <v/>
      </c>
      <c r="R72" s="208">
        <f>BI72*$AS72</f>
        <v/>
      </c>
      <c r="S72" s="208">
        <f>BJ72*$AS72</f>
        <v/>
      </c>
      <c r="T72" s="208">
        <f>BK72*$AS72</f>
        <v/>
      </c>
      <c r="U72" s="208">
        <f>BL72*$AS72</f>
        <v/>
      </c>
      <c r="V72" s="208">
        <f>BM72*$AS72</f>
        <v/>
      </c>
      <c r="W72" s="208">
        <f>BN72*$AS72</f>
        <v/>
      </c>
      <c r="X72" s="208">
        <f>BO72*$AS72</f>
        <v/>
      </c>
      <c r="Y72" s="208">
        <f>BP72*$AS72</f>
        <v/>
      </c>
      <c r="Z72" s="208">
        <f>BQ72*$AS72</f>
        <v/>
      </c>
      <c r="AA72" s="208">
        <f>BR72*$AS72</f>
        <v/>
      </c>
      <c r="AB72" s="208">
        <f>BS72*$AS72</f>
        <v/>
      </c>
      <c r="AC72" s="208">
        <f>BT72*$AS72</f>
        <v/>
      </c>
      <c r="AD72" s="208">
        <f>BU72*$AS72</f>
        <v/>
      </c>
      <c r="AE72" s="208">
        <f>BV72*$AS72</f>
        <v/>
      </c>
      <c r="AF72" s="208">
        <f>BW72*$AS72</f>
        <v/>
      </c>
      <c r="AG72" s="208">
        <f>BX72*$AS72</f>
        <v/>
      </c>
      <c r="AH72" s="208">
        <f>BY72*$AS72</f>
        <v/>
      </c>
      <c r="AI72" s="208">
        <f>BZ72*$AS72</f>
        <v/>
      </c>
      <c r="AJ72" s="208">
        <f>CA72*$AS72</f>
        <v/>
      </c>
      <c r="AK72" s="208">
        <f>CB72*$AS72</f>
        <v/>
      </c>
      <c r="AL72" s="208">
        <f>CC72*$AS72</f>
        <v/>
      </c>
      <c r="AM72" s="208">
        <f>CD72*$AS72</f>
        <v/>
      </c>
      <c r="AN72" s="208">
        <f>CE72*$AS72</f>
        <v/>
      </c>
      <c r="AQ72" s="6" t="n">
        <v>2012</v>
      </c>
      <c r="AR72" s="6" t="inlineStr">
        <is>
          <t>MINBatMaterials_GR</t>
        </is>
      </c>
      <c r="AS72" s="6" t="n">
        <v>0.08</v>
      </c>
      <c r="AT72" s="6" t="inlineStr">
        <is>
          <t>Mining_facility_representative</t>
        </is>
      </c>
      <c r="AU72" s="6" t="inlineStr">
        <is>
          <t>Representative mining-capacity vintage curve; COB_direct treated as aggregate cobalt-production route including by-product routes.</t>
        </is>
      </c>
      <c r="AV72">
        <f>AV51</f>
        <v/>
      </c>
      <c r="AW72">
        <f>AW51</f>
        <v/>
      </c>
      <c r="AX72">
        <f>AX51</f>
        <v/>
      </c>
      <c r="AY72">
        <f>AY51</f>
        <v/>
      </c>
      <c r="AZ72">
        <f>AZ51</f>
        <v/>
      </c>
      <c r="BA72">
        <f>BA51</f>
        <v/>
      </c>
      <c r="BB72">
        <f>BB51</f>
        <v/>
      </c>
      <c r="BC72">
        <f>BC51</f>
        <v/>
      </c>
      <c r="BD72">
        <f>BD51</f>
        <v/>
      </c>
      <c r="BE72">
        <f>BE51</f>
        <v/>
      </c>
      <c r="BF72">
        <f>BF51</f>
        <v/>
      </c>
      <c r="BG72">
        <f>BG51</f>
        <v/>
      </c>
      <c r="BH72">
        <f>BH51</f>
        <v/>
      </c>
      <c r="BI72">
        <f>BI51</f>
        <v/>
      </c>
      <c r="BJ72">
        <f>BJ51</f>
        <v/>
      </c>
      <c r="BK72">
        <f>BK51</f>
        <v/>
      </c>
      <c r="BL72">
        <f>BL51</f>
        <v/>
      </c>
      <c r="BM72">
        <f>BM51</f>
        <v/>
      </c>
      <c r="BN72">
        <f>BN51</f>
        <v/>
      </c>
      <c r="BO72">
        <f>BO51</f>
        <v/>
      </c>
      <c r="BP72">
        <f>BP51</f>
        <v/>
      </c>
      <c r="BQ72">
        <f>BQ51</f>
        <v/>
      </c>
      <c r="BR72">
        <f>BR51</f>
        <v/>
      </c>
      <c r="BS72">
        <f>BS51</f>
        <v/>
      </c>
      <c r="BT72">
        <f>BT51</f>
        <v/>
      </c>
      <c r="BU72">
        <f>BU51</f>
        <v/>
      </c>
      <c r="BV72">
        <f>BV51</f>
        <v/>
      </c>
      <c r="BW72">
        <f>BW51</f>
        <v/>
      </c>
      <c r="BX72">
        <f>BX51</f>
        <v/>
      </c>
      <c r="BY72">
        <f>BY51</f>
        <v/>
      </c>
      <c r="BZ72">
        <f>BZ51</f>
        <v/>
      </c>
      <c r="CA72">
        <f>CA51</f>
        <v/>
      </c>
      <c r="CB72">
        <f>CB51</f>
        <v/>
      </c>
      <c r="CC72">
        <f>CC51</f>
        <v/>
      </c>
      <c r="CD72">
        <f>CD51</f>
        <v/>
      </c>
      <c r="CE72">
        <f>CE51</f>
        <v/>
      </c>
      <c r="CG72" s="6" t="n">
        <v>2012</v>
      </c>
      <c r="CH72" s="6" t="inlineStr">
        <is>
          <t>MINBatMaterials_GR</t>
        </is>
      </c>
      <c r="CI72" s="6" t="n">
        <v>0.08</v>
      </c>
      <c r="CJ72" s="6" t="n">
        <v>0.08</v>
      </c>
      <c r="CK72" s="6" t="inlineStr">
        <is>
          <t>Mining_facility_representative</t>
        </is>
      </c>
      <c r="CL72" s="6" t="inlineStr">
        <is>
          <t>Mining_facility_representative</t>
        </is>
      </c>
      <c r="CM72" s="6" t="inlineStr">
        <is>
          <t>Mining curve kept the same for China; COB_direct treated as aggregate cobalt-production route including by-product routes.</t>
        </is>
      </c>
    </row>
    <row r="73" ht="14.5" customHeight="1" s="213">
      <c r="D73" t="n">
        <v>2012</v>
      </c>
      <c r="E73" t="inlineStr">
        <is>
          <t>Tra_EV_Batt-LFP_virgin</t>
        </is>
      </c>
      <c r="F73" s="208">
        <f>AW73*$AS73</f>
        <v/>
      </c>
      <c r="G73" s="208">
        <f>AX73*$AS73</f>
        <v/>
      </c>
      <c r="H73" s="208">
        <f>AY73*$AS73</f>
        <v/>
      </c>
      <c r="I73" s="208">
        <f>AZ73*$AS73</f>
        <v/>
      </c>
      <c r="J73" s="208">
        <f>BA73*$AS73</f>
        <v/>
      </c>
      <c r="K73" s="208">
        <f>BB73*$AS73</f>
        <v/>
      </c>
      <c r="L73" s="208">
        <f>BC73*$AS73</f>
        <v/>
      </c>
      <c r="M73" s="208">
        <f>BD73*$CI73</f>
        <v/>
      </c>
      <c r="N73" s="208">
        <f>BE73*$AS73</f>
        <v/>
      </c>
      <c r="O73" s="208">
        <f>BF73*$AS73</f>
        <v/>
      </c>
      <c r="P73" s="208">
        <f>BG73*$AS73</f>
        <v/>
      </c>
      <c r="Q73" s="208">
        <f>BH73*$AS73</f>
        <v/>
      </c>
      <c r="R73" s="208">
        <f>BI73*$AS73</f>
        <v/>
      </c>
      <c r="S73" s="208">
        <f>BJ73*$AS73</f>
        <v/>
      </c>
      <c r="T73" s="208">
        <f>BK73*$AS73</f>
        <v/>
      </c>
      <c r="U73" s="208">
        <f>BL73*$AS73</f>
        <v/>
      </c>
      <c r="V73" s="208">
        <f>BM73*$AS73</f>
        <v/>
      </c>
      <c r="W73" s="208">
        <f>BN73*$AS73</f>
        <v/>
      </c>
      <c r="X73" s="208">
        <f>BO73*$AS73</f>
        <v/>
      </c>
      <c r="Y73" s="208">
        <f>BP73*$AS73</f>
        <v/>
      </c>
      <c r="Z73" s="208">
        <f>BQ73*$AS73</f>
        <v/>
      </c>
      <c r="AA73" s="208">
        <f>BR73*$AS73</f>
        <v/>
      </c>
      <c r="AB73" s="208">
        <f>BS73*$AS73</f>
        <v/>
      </c>
      <c r="AC73" s="208">
        <f>BT73*$AS73</f>
        <v/>
      </c>
      <c r="AD73" s="208">
        <f>BU73*$AS73</f>
        <v/>
      </c>
      <c r="AE73" s="208">
        <f>BV73*$AS73</f>
        <v/>
      </c>
      <c r="AF73" s="208">
        <f>BW73*$AS73</f>
        <v/>
      </c>
      <c r="AG73" s="208">
        <f>BX73*$AS73</f>
        <v/>
      </c>
      <c r="AH73" s="208">
        <f>BY73*$AS73</f>
        <v/>
      </c>
      <c r="AI73" s="208">
        <f>BZ73*$AS73</f>
        <v/>
      </c>
      <c r="AJ73" s="208">
        <f>CA73*$AS73</f>
        <v/>
      </c>
      <c r="AK73" s="208">
        <f>CB73*$AS73</f>
        <v/>
      </c>
      <c r="AL73" s="208">
        <f>CC73*$AS73</f>
        <v/>
      </c>
      <c r="AM73" s="208">
        <f>CD73*$AS73</f>
        <v/>
      </c>
      <c r="AN73" s="208">
        <f>CE73*$AS73</f>
        <v/>
      </c>
      <c r="AQ73" s="6" t="n">
        <v>2012</v>
      </c>
      <c r="AR73" s="6" t="inlineStr">
        <is>
          <t>Tra_EV_Batt-LFP_virgin</t>
        </is>
      </c>
      <c r="AS73" s="6" t="n">
        <v>0.008999999999999999</v>
      </c>
      <c r="AT73" s="6" t="inlineStr">
        <is>
          <t>Transport_EV_general</t>
        </is>
      </c>
      <c r="AU73" s="6" t="inlineStr">
        <is>
          <t>Back-loaded transport EV battery vintage curve based on historical EV deployment shape.</t>
        </is>
      </c>
      <c r="AV73">
        <f>AV52</f>
        <v/>
      </c>
      <c r="AW73">
        <f>AW52</f>
        <v/>
      </c>
      <c r="AX73">
        <f>AX52</f>
        <v/>
      </c>
      <c r="AY73">
        <f>AY52</f>
        <v/>
      </c>
      <c r="AZ73">
        <f>AZ52</f>
        <v/>
      </c>
      <c r="BA73">
        <f>BA52</f>
        <v/>
      </c>
      <c r="BB73">
        <f>BB52</f>
        <v/>
      </c>
      <c r="BC73">
        <f>BC52</f>
        <v/>
      </c>
      <c r="BD73">
        <f>BD52</f>
        <v/>
      </c>
      <c r="BE73">
        <f>BE52</f>
        <v/>
      </c>
      <c r="BF73">
        <f>BF52</f>
        <v/>
      </c>
      <c r="BG73">
        <f>BG52</f>
        <v/>
      </c>
      <c r="BH73">
        <f>BH52</f>
        <v/>
      </c>
      <c r="BI73">
        <f>BI52</f>
        <v/>
      </c>
      <c r="BJ73">
        <f>BJ52</f>
        <v/>
      </c>
      <c r="BK73">
        <f>BK52</f>
        <v/>
      </c>
      <c r="BL73">
        <f>BL52</f>
        <v/>
      </c>
      <c r="BM73">
        <f>BM52</f>
        <v/>
      </c>
      <c r="BN73">
        <f>BN52</f>
        <v/>
      </c>
      <c r="BO73">
        <f>BO52</f>
        <v/>
      </c>
      <c r="BP73">
        <f>BP52</f>
        <v/>
      </c>
      <c r="BQ73">
        <f>BQ52</f>
        <v/>
      </c>
      <c r="BR73">
        <f>BR52</f>
        <v/>
      </c>
      <c r="BS73">
        <f>BS52</f>
        <v/>
      </c>
      <c r="BT73">
        <f>BT52</f>
        <v/>
      </c>
      <c r="BU73">
        <f>BU52</f>
        <v/>
      </c>
      <c r="BV73">
        <f>BV52</f>
        <v/>
      </c>
      <c r="BW73">
        <f>BW52</f>
        <v/>
      </c>
      <c r="BX73">
        <f>BX52</f>
        <v/>
      </c>
      <c r="BY73">
        <f>BY52</f>
        <v/>
      </c>
      <c r="BZ73">
        <f>BZ52</f>
        <v/>
      </c>
      <c r="CA73">
        <f>CA52</f>
        <v/>
      </c>
      <c r="CB73">
        <f>CB52</f>
        <v/>
      </c>
      <c r="CC73">
        <f>CC52</f>
        <v/>
      </c>
      <c r="CD73">
        <f>CD52</f>
        <v/>
      </c>
      <c r="CE73">
        <f>CE52</f>
        <v/>
      </c>
      <c r="CG73" s="6" t="n">
        <v>2012</v>
      </c>
      <c r="CH73" s="6" t="inlineStr">
        <is>
          <t>Tra_EV_Batt-LFP_virgin</t>
        </is>
      </c>
      <c r="CI73" s="6" t="n">
        <v>0.008999999999999999</v>
      </c>
      <c r="CJ73" s="6" t="n">
        <v>0.007</v>
      </c>
      <c r="CK73" s="6" t="inlineStr">
        <is>
          <t>Transport_EV_global</t>
        </is>
      </c>
      <c r="CL73" s="6" t="inlineStr">
        <is>
          <t>Transport_EV_China</t>
        </is>
      </c>
      <c r="CM73" s="6" t="inlineStr">
        <is>
          <t>China transport EV curve is shifted earlier than the global curve to reflect earlier China EV/e-bus deployment in the 2010s.</t>
        </is>
      </c>
    </row>
    <row r="74" ht="14.5" customHeight="1" s="213">
      <c r="D74">
        <f>D73</f>
        <v/>
      </c>
      <c r="E74" t="inlineStr">
        <is>
          <t>Tra_EV_Batt-NMC622_virgin</t>
        </is>
      </c>
      <c r="F74" s="208">
        <f>AW74*$AS74</f>
        <v/>
      </c>
      <c r="G74" s="208">
        <f>AX74*$AS74</f>
        <v/>
      </c>
      <c r="H74" s="208">
        <f>AY74*$AS74</f>
        <v/>
      </c>
      <c r="I74" s="208">
        <f>AZ74*$AS74</f>
        <v/>
      </c>
      <c r="J74" s="208">
        <f>BA74*$AS74</f>
        <v/>
      </c>
      <c r="K74" s="208">
        <f>BB74*$AS74</f>
        <v/>
      </c>
      <c r="L74" s="208">
        <f>BC74*$AS74</f>
        <v/>
      </c>
      <c r="M74" s="208">
        <f>BD74*$CI74</f>
        <v/>
      </c>
      <c r="N74" s="208">
        <f>BE74*$AS74</f>
        <v/>
      </c>
      <c r="O74" s="208">
        <f>BF74*$AS74</f>
        <v/>
      </c>
      <c r="P74" s="208">
        <f>BG74*$AS74</f>
        <v/>
      </c>
      <c r="Q74" s="208">
        <f>BH74*$AS74</f>
        <v/>
      </c>
      <c r="R74" s="208">
        <f>BI74*$AS74</f>
        <v/>
      </c>
      <c r="S74" s="208">
        <f>BJ74*$AS74</f>
        <v/>
      </c>
      <c r="T74" s="208">
        <f>BK74*$AS74</f>
        <v/>
      </c>
      <c r="U74" s="208">
        <f>BL74*$AS74</f>
        <v/>
      </c>
      <c r="V74" s="208">
        <f>BM74*$AS74</f>
        <v/>
      </c>
      <c r="W74" s="208">
        <f>BN74*$AS74</f>
        <v/>
      </c>
      <c r="X74" s="208">
        <f>BO74*$AS74</f>
        <v/>
      </c>
      <c r="Y74" s="208">
        <f>BP74*$AS74</f>
        <v/>
      </c>
      <c r="Z74" s="208">
        <f>BQ74*$AS74</f>
        <v/>
      </c>
      <c r="AA74" s="208">
        <f>BR74*$AS74</f>
        <v/>
      </c>
      <c r="AB74" s="208">
        <f>BS74*$AS74</f>
        <v/>
      </c>
      <c r="AC74" s="208">
        <f>BT74*$AS74</f>
        <v/>
      </c>
      <c r="AD74" s="208">
        <f>BU74*$AS74</f>
        <v/>
      </c>
      <c r="AE74" s="208">
        <f>BV74*$AS74</f>
        <v/>
      </c>
      <c r="AF74" s="208">
        <f>BW74*$AS74</f>
        <v/>
      </c>
      <c r="AG74" s="208">
        <f>BX74*$AS74</f>
        <v/>
      </c>
      <c r="AH74" s="208">
        <f>BY74*$AS74</f>
        <v/>
      </c>
      <c r="AI74" s="208">
        <f>BZ74*$AS74</f>
        <v/>
      </c>
      <c r="AJ74" s="208">
        <f>CA74*$AS74</f>
        <v/>
      </c>
      <c r="AK74" s="208">
        <f>CB74*$AS74</f>
        <v/>
      </c>
      <c r="AL74" s="208">
        <f>CC74*$AS74</f>
        <v/>
      </c>
      <c r="AM74" s="208">
        <f>CD74*$AS74</f>
        <v/>
      </c>
      <c r="AN74" s="208">
        <f>CE74*$AS74</f>
        <v/>
      </c>
      <c r="AQ74" s="6" t="n">
        <v>2012</v>
      </c>
      <c r="AR74" s="6" t="inlineStr">
        <is>
          <t>Tra_EV_Batt-NMC622_virgin</t>
        </is>
      </c>
      <c r="AS74" s="6" t="n">
        <v>0.008999999999999999</v>
      </c>
      <c r="AT74" s="6" t="inlineStr">
        <is>
          <t>Transport_EV_general</t>
        </is>
      </c>
      <c r="AU74" s="6" t="inlineStr">
        <is>
          <t>Back-loaded transport EV battery vintage curve based on historical EV deployment shape.</t>
        </is>
      </c>
      <c r="AV74">
        <f>AV53</f>
        <v/>
      </c>
      <c r="AW74">
        <f>AW53</f>
        <v/>
      </c>
      <c r="AX74">
        <f>AX53</f>
        <v/>
      </c>
      <c r="AY74">
        <f>AY53</f>
        <v/>
      </c>
      <c r="AZ74">
        <f>AZ53</f>
        <v/>
      </c>
      <c r="BA74">
        <f>BA53</f>
        <v/>
      </c>
      <c r="BB74">
        <f>BB53</f>
        <v/>
      </c>
      <c r="BC74">
        <f>BC53</f>
        <v/>
      </c>
      <c r="BD74">
        <f>BD53</f>
        <v/>
      </c>
      <c r="BE74">
        <f>BE53</f>
        <v/>
      </c>
      <c r="BF74">
        <f>BF53</f>
        <v/>
      </c>
      <c r="BG74">
        <f>BG53</f>
        <v/>
      </c>
      <c r="BH74">
        <f>BH53</f>
        <v/>
      </c>
      <c r="BI74">
        <f>BI53</f>
        <v/>
      </c>
      <c r="BJ74">
        <f>BJ53</f>
        <v/>
      </c>
      <c r="BK74">
        <f>BK53</f>
        <v/>
      </c>
      <c r="BL74">
        <f>BL53</f>
        <v/>
      </c>
      <c r="BM74">
        <f>BM53</f>
        <v/>
      </c>
      <c r="BN74">
        <f>BN53</f>
        <v/>
      </c>
      <c r="BO74">
        <f>BO53</f>
        <v/>
      </c>
      <c r="BP74">
        <f>BP53</f>
        <v/>
      </c>
      <c r="BQ74">
        <f>BQ53</f>
        <v/>
      </c>
      <c r="BR74">
        <f>BR53</f>
        <v/>
      </c>
      <c r="BS74">
        <f>BS53</f>
        <v/>
      </c>
      <c r="BT74">
        <f>BT53</f>
        <v/>
      </c>
      <c r="BU74">
        <f>BU53</f>
        <v/>
      </c>
      <c r="BV74">
        <f>BV53</f>
        <v/>
      </c>
      <c r="BW74">
        <f>BW53</f>
        <v/>
      </c>
      <c r="BX74">
        <f>BX53</f>
        <v/>
      </c>
      <c r="BY74">
        <f>BY53</f>
        <v/>
      </c>
      <c r="BZ74">
        <f>BZ53</f>
        <v/>
      </c>
      <c r="CA74">
        <f>CA53</f>
        <v/>
      </c>
      <c r="CB74">
        <f>CB53</f>
        <v/>
      </c>
      <c r="CC74">
        <f>CC53</f>
        <v/>
      </c>
      <c r="CD74">
        <f>CD53</f>
        <v/>
      </c>
      <c r="CE74">
        <f>CE53</f>
        <v/>
      </c>
      <c r="CG74" s="6" t="n">
        <v>2012</v>
      </c>
      <c r="CH74" s="6" t="inlineStr">
        <is>
          <t>Tra_EV_Batt-NMC622_virgin</t>
        </is>
      </c>
      <c r="CI74" s="6" t="n">
        <v>0.008999999999999999</v>
      </c>
      <c r="CJ74" s="6" t="n">
        <v>0.007</v>
      </c>
      <c r="CK74" s="6" t="inlineStr">
        <is>
          <t>Transport_EV_global</t>
        </is>
      </c>
      <c r="CL74" s="6" t="inlineStr">
        <is>
          <t>Transport_EV_China</t>
        </is>
      </c>
      <c r="CM74" s="6" t="inlineStr">
        <is>
          <t>China transport EV curve is shifted earlier than the global curve to reflect earlier China EV/e-bus deployment in the 2010s.</t>
        </is>
      </c>
    </row>
    <row r="75" ht="14.5" customHeight="1" s="213">
      <c r="D75">
        <f>D74</f>
        <v/>
      </c>
      <c r="E75" t="inlineStr">
        <is>
          <t>Tra_EV_Batt-NMC811_virgin</t>
        </is>
      </c>
      <c r="F75" s="208">
        <f>AW75*$AS75</f>
        <v/>
      </c>
      <c r="G75" s="208">
        <f>AX75*$AS75</f>
        <v/>
      </c>
      <c r="H75" s="208">
        <f>AY75*$AS75</f>
        <v/>
      </c>
      <c r="I75" s="208">
        <f>AZ75*$AS75</f>
        <v/>
      </c>
      <c r="J75" s="208">
        <f>BA75*$AS75</f>
        <v/>
      </c>
      <c r="K75" s="208">
        <f>BB75*$AS75</f>
        <v/>
      </c>
      <c r="L75" s="208">
        <f>BC75*$AS75</f>
        <v/>
      </c>
      <c r="M75" s="208">
        <f>BD75*$CI75</f>
        <v/>
      </c>
      <c r="N75" s="208">
        <f>BE75*$AS75</f>
        <v/>
      </c>
      <c r="O75" s="208">
        <f>BF75*$AS75</f>
        <v/>
      </c>
      <c r="P75" s="208">
        <f>BG75*$AS75</f>
        <v/>
      </c>
      <c r="Q75" s="208">
        <f>BH75*$AS75</f>
        <v/>
      </c>
      <c r="R75" s="208">
        <f>BI75*$AS75</f>
        <v/>
      </c>
      <c r="S75" s="208">
        <f>BJ75*$AS75</f>
        <v/>
      </c>
      <c r="T75" s="208">
        <f>BK75*$AS75</f>
        <v/>
      </c>
      <c r="U75" s="208">
        <f>BL75*$AS75</f>
        <v/>
      </c>
      <c r="V75" s="208">
        <f>BM75*$AS75</f>
        <v/>
      </c>
      <c r="W75" s="208">
        <f>BN75*$AS75</f>
        <v/>
      </c>
      <c r="X75" s="208">
        <f>BO75*$AS75</f>
        <v/>
      </c>
      <c r="Y75" s="208">
        <f>BP75*$AS75</f>
        <v/>
      </c>
      <c r="Z75" s="208">
        <f>BQ75*$AS75</f>
        <v/>
      </c>
      <c r="AA75" s="208">
        <f>BR75*$AS75</f>
        <v/>
      </c>
      <c r="AB75" s="208">
        <f>BS75*$AS75</f>
        <v/>
      </c>
      <c r="AC75" s="208">
        <f>BT75*$AS75</f>
        <v/>
      </c>
      <c r="AD75" s="208">
        <f>BU75*$AS75</f>
        <v/>
      </c>
      <c r="AE75" s="208">
        <f>BV75*$AS75</f>
        <v/>
      </c>
      <c r="AF75" s="208">
        <f>BW75*$AS75</f>
        <v/>
      </c>
      <c r="AG75" s="208">
        <f>BX75*$AS75</f>
        <v/>
      </c>
      <c r="AH75" s="208">
        <f>BY75*$AS75</f>
        <v/>
      </c>
      <c r="AI75" s="208">
        <f>BZ75*$AS75</f>
        <v/>
      </c>
      <c r="AJ75" s="208">
        <f>CA75*$AS75</f>
        <v/>
      </c>
      <c r="AK75" s="208">
        <f>CB75*$AS75</f>
        <v/>
      </c>
      <c r="AL75" s="208">
        <f>CC75*$AS75</f>
        <v/>
      </c>
      <c r="AM75" s="208">
        <f>CD75*$AS75</f>
        <v/>
      </c>
      <c r="AN75" s="208">
        <f>CE75*$AS75</f>
        <v/>
      </c>
      <c r="AQ75" s="6" t="n">
        <v>2012</v>
      </c>
      <c r="AR75" s="6" t="inlineStr">
        <is>
          <t>Tra_EV_Batt-NMC811_virgin</t>
        </is>
      </c>
      <c r="AS75" s="6" t="n">
        <v>0.008999999999999999</v>
      </c>
      <c r="AT75" s="6" t="inlineStr">
        <is>
          <t>Transport_EV_general</t>
        </is>
      </c>
      <c r="AU75" s="6" t="inlineStr">
        <is>
          <t>Back-loaded transport EV battery vintage curve based on historical EV deployment shape.</t>
        </is>
      </c>
      <c r="AV75">
        <f>AV54</f>
        <v/>
      </c>
      <c r="AW75">
        <f>AW54</f>
        <v/>
      </c>
      <c r="AX75">
        <f>AX54</f>
        <v/>
      </c>
      <c r="AY75">
        <f>AY54</f>
        <v/>
      </c>
      <c r="AZ75">
        <f>AZ54</f>
        <v/>
      </c>
      <c r="BA75">
        <f>BA54</f>
        <v/>
      </c>
      <c r="BB75">
        <f>BB54</f>
        <v/>
      </c>
      <c r="BC75">
        <f>BC54</f>
        <v/>
      </c>
      <c r="BD75">
        <f>BD54</f>
        <v/>
      </c>
      <c r="BE75">
        <f>BE54</f>
        <v/>
      </c>
      <c r="BF75">
        <f>BF54</f>
        <v/>
      </c>
      <c r="BG75">
        <f>BG54</f>
        <v/>
      </c>
      <c r="BH75">
        <f>BH54</f>
        <v/>
      </c>
      <c r="BI75">
        <f>BI54</f>
        <v/>
      </c>
      <c r="BJ75">
        <f>BJ54</f>
        <v/>
      </c>
      <c r="BK75">
        <f>BK54</f>
        <v/>
      </c>
      <c r="BL75">
        <f>BL54</f>
        <v/>
      </c>
      <c r="BM75">
        <f>BM54</f>
        <v/>
      </c>
      <c r="BN75">
        <f>BN54</f>
        <v/>
      </c>
      <c r="BO75">
        <f>BO54</f>
        <v/>
      </c>
      <c r="BP75">
        <f>BP54</f>
        <v/>
      </c>
      <c r="BQ75">
        <f>BQ54</f>
        <v/>
      </c>
      <c r="BR75">
        <f>BR54</f>
        <v/>
      </c>
      <c r="BS75">
        <f>BS54</f>
        <v/>
      </c>
      <c r="BT75">
        <f>BT54</f>
        <v/>
      </c>
      <c r="BU75">
        <f>BU54</f>
        <v/>
      </c>
      <c r="BV75">
        <f>BV54</f>
        <v/>
      </c>
      <c r="BW75">
        <f>BW54</f>
        <v/>
      </c>
      <c r="BX75">
        <f>BX54</f>
        <v/>
      </c>
      <c r="BY75">
        <f>BY54</f>
        <v/>
      </c>
      <c r="BZ75">
        <f>BZ54</f>
        <v/>
      </c>
      <c r="CA75">
        <f>CA54</f>
        <v/>
      </c>
      <c r="CB75">
        <f>CB54</f>
        <v/>
      </c>
      <c r="CC75">
        <f>CC54</f>
        <v/>
      </c>
      <c r="CD75">
        <f>CD54</f>
        <v/>
      </c>
      <c r="CE75">
        <f>CE54</f>
        <v/>
      </c>
      <c r="CG75" s="6" t="n">
        <v>2012</v>
      </c>
      <c r="CH75" s="6" t="inlineStr">
        <is>
          <t>Tra_EV_Batt-NMC811_virgin</t>
        </is>
      </c>
      <c r="CI75" s="6" t="n">
        <v>0.008999999999999999</v>
      </c>
      <c r="CJ75" s="6" t="n">
        <v>0.007</v>
      </c>
      <c r="CK75" s="6" t="inlineStr">
        <is>
          <t>Transport_EV_global</t>
        </is>
      </c>
      <c r="CL75" s="6" t="inlineStr">
        <is>
          <t>Transport_EV_China</t>
        </is>
      </c>
      <c r="CM75" s="6" t="inlineStr">
        <is>
          <t>China transport EV curve is shifted earlier than the global curve to reflect earlier China EV/e-bus deployment in the 2010s.</t>
        </is>
      </c>
    </row>
    <row r="76" ht="14.5" customHeight="1" s="213">
      <c r="D76">
        <f>D75</f>
        <v/>
      </c>
      <c r="E76" t="inlineStr">
        <is>
          <t>Tra_EV_Batt-NMC532_virgin</t>
        </is>
      </c>
      <c r="F76" s="208">
        <f>AW76*$AS76</f>
        <v/>
      </c>
      <c r="G76" s="208">
        <f>AX76*$AS76</f>
        <v/>
      </c>
      <c r="H76" s="208">
        <f>AY76*$AS76</f>
        <v/>
      </c>
      <c r="I76" s="208">
        <f>AZ76*$AS76</f>
        <v/>
      </c>
      <c r="J76" s="208">
        <f>BA76*$AS76</f>
        <v/>
      </c>
      <c r="K76" s="208">
        <f>BB76*$AS76</f>
        <v/>
      </c>
      <c r="L76" s="208">
        <f>BC76*$AS76</f>
        <v/>
      </c>
      <c r="M76" s="208">
        <f>BD76*$CI76</f>
        <v/>
      </c>
      <c r="N76" s="208">
        <f>BE76*$AS76</f>
        <v/>
      </c>
      <c r="O76" s="208">
        <f>BF76*$AS76</f>
        <v/>
      </c>
      <c r="P76" s="208">
        <f>BG76*$AS76</f>
        <v/>
      </c>
      <c r="Q76" s="208">
        <f>BH76*$AS76</f>
        <v/>
      </c>
      <c r="R76" s="208">
        <f>BI76*$AS76</f>
        <v/>
      </c>
      <c r="S76" s="208">
        <f>BJ76*$AS76</f>
        <v/>
      </c>
      <c r="T76" s="208">
        <f>BK76*$AS76</f>
        <v/>
      </c>
      <c r="U76" s="208">
        <f>BL76*$AS76</f>
        <v/>
      </c>
      <c r="V76" s="208">
        <f>BM76*$AS76</f>
        <v/>
      </c>
      <c r="W76" s="208">
        <f>BN76*$AS76</f>
        <v/>
      </c>
      <c r="X76" s="208">
        <f>BO76*$AS76</f>
        <v/>
      </c>
      <c r="Y76" s="208">
        <f>BP76*$AS76</f>
        <v/>
      </c>
      <c r="Z76" s="208">
        <f>BQ76*$AS76</f>
        <v/>
      </c>
      <c r="AA76" s="208">
        <f>BR76*$AS76</f>
        <v/>
      </c>
      <c r="AB76" s="208">
        <f>BS76*$AS76</f>
        <v/>
      </c>
      <c r="AC76" s="208">
        <f>BT76*$AS76</f>
        <v/>
      </c>
      <c r="AD76" s="208">
        <f>BU76*$AS76</f>
        <v/>
      </c>
      <c r="AE76" s="208">
        <f>BV76*$AS76</f>
        <v/>
      </c>
      <c r="AF76" s="208">
        <f>BW76*$AS76</f>
        <v/>
      </c>
      <c r="AG76" s="208">
        <f>BX76*$AS76</f>
        <v/>
      </c>
      <c r="AH76" s="208">
        <f>BY76*$AS76</f>
        <v/>
      </c>
      <c r="AI76" s="208">
        <f>BZ76*$AS76</f>
        <v/>
      </c>
      <c r="AJ76" s="208">
        <f>CA76*$AS76</f>
        <v/>
      </c>
      <c r="AK76" s="208">
        <f>CB76*$AS76</f>
        <v/>
      </c>
      <c r="AL76" s="208">
        <f>CC76*$AS76</f>
        <v/>
      </c>
      <c r="AM76" s="208">
        <f>CD76*$AS76</f>
        <v/>
      </c>
      <c r="AN76" s="208">
        <f>CE76*$AS76</f>
        <v/>
      </c>
      <c r="AQ76" s="6" t="n">
        <v>2012</v>
      </c>
      <c r="AR76" s="6" t="inlineStr">
        <is>
          <t>Tra_EV_Batt-NMC532_virgin</t>
        </is>
      </c>
      <c r="AS76" s="6" t="n">
        <v>0.008999999999999999</v>
      </c>
      <c r="AT76" s="6" t="inlineStr">
        <is>
          <t>Transport_EV_general</t>
        </is>
      </c>
      <c r="AU76" s="6" t="inlineStr">
        <is>
          <t>Back-loaded transport EV battery vintage curve based on historical EV deployment shape.</t>
        </is>
      </c>
      <c r="AV76">
        <f>AV55</f>
        <v/>
      </c>
      <c r="AW76">
        <f>AW55</f>
        <v/>
      </c>
      <c r="AX76">
        <f>AX55</f>
        <v/>
      </c>
      <c r="AY76">
        <f>AY55</f>
        <v/>
      </c>
      <c r="AZ76">
        <f>AZ55</f>
        <v/>
      </c>
      <c r="BA76">
        <f>BA55</f>
        <v/>
      </c>
      <c r="BB76">
        <f>BB55</f>
        <v/>
      </c>
      <c r="BC76">
        <f>BC55</f>
        <v/>
      </c>
      <c r="BD76">
        <f>BD55</f>
        <v/>
      </c>
      <c r="BE76">
        <f>BE55</f>
        <v/>
      </c>
      <c r="BF76">
        <f>BF55</f>
        <v/>
      </c>
      <c r="BG76">
        <f>BG55</f>
        <v/>
      </c>
      <c r="BH76">
        <f>BH55</f>
        <v/>
      </c>
      <c r="BI76">
        <f>BI55</f>
        <v/>
      </c>
      <c r="BJ76">
        <f>BJ55</f>
        <v/>
      </c>
      <c r="BK76">
        <f>BK55</f>
        <v/>
      </c>
      <c r="BL76">
        <f>BL55</f>
        <v/>
      </c>
      <c r="BM76">
        <f>BM55</f>
        <v/>
      </c>
      <c r="BN76">
        <f>BN55</f>
        <v/>
      </c>
      <c r="BO76">
        <f>BO55</f>
        <v/>
      </c>
      <c r="BP76">
        <f>BP55</f>
        <v/>
      </c>
      <c r="BQ76">
        <f>BQ55</f>
        <v/>
      </c>
      <c r="BR76">
        <f>BR55</f>
        <v/>
      </c>
      <c r="BS76">
        <f>BS55</f>
        <v/>
      </c>
      <c r="BT76">
        <f>BT55</f>
        <v/>
      </c>
      <c r="BU76">
        <f>BU55</f>
        <v/>
      </c>
      <c r="BV76">
        <f>BV55</f>
        <v/>
      </c>
      <c r="BW76">
        <f>BW55</f>
        <v/>
      </c>
      <c r="BX76">
        <f>BX55</f>
        <v/>
      </c>
      <c r="BY76">
        <f>BY55</f>
        <v/>
      </c>
      <c r="BZ76">
        <f>BZ55</f>
        <v/>
      </c>
      <c r="CA76">
        <f>CA55</f>
        <v/>
      </c>
      <c r="CB76">
        <f>CB55</f>
        <v/>
      </c>
      <c r="CC76">
        <f>CC55</f>
        <v/>
      </c>
      <c r="CD76">
        <f>CD55</f>
        <v/>
      </c>
      <c r="CE76">
        <f>CE55</f>
        <v/>
      </c>
      <c r="CG76" s="6" t="n">
        <v>2012</v>
      </c>
      <c r="CH76" s="6" t="inlineStr">
        <is>
          <t>Tra_EV_Batt-NMC532_virgin</t>
        </is>
      </c>
      <c r="CI76" s="6" t="n">
        <v>0.008999999999999999</v>
      </c>
      <c r="CJ76" s="6" t="n">
        <v>0.007</v>
      </c>
      <c r="CK76" s="6" t="inlineStr">
        <is>
          <t>Transport_EV_global</t>
        </is>
      </c>
      <c r="CL76" s="6" t="inlineStr">
        <is>
          <t>Transport_EV_China</t>
        </is>
      </c>
      <c r="CM76" s="6" t="inlineStr">
        <is>
          <t>China transport EV curve is shifted earlier than the global curve to reflect earlier China EV/e-bus deployment in the 2010s.</t>
        </is>
      </c>
    </row>
    <row r="77" ht="14.5" customHeight="1" s="213">
      <c r="D77">
        <f>D76</f>
        <v/>
      </c>
      <c r="E77" t="inlineStr">
        <is>
          <t>Tra_EV_Batt-NCA_virgin</t>
        </is>
      </c>
      <c r="F77" s="208">
        <f>AW77*$AS77</f>
        <v/>
      </c>
      <c r="G77" s="208">
        <f>AX77*$AS77</f>
        <v/>
      </c>
      <c r="H77" s="208">
        <f>AY77*$AS77</f>
        <v/>
      </c>
      <c r="I77" s="208">
        <f>AZ77*$AS77</f>
        <v/>
      </c>
      <c r="J77" s="208">
        <f>BA77*$AS77</f>
        <v/>
      </c>
      <c r="K77" s="208">
        <f>BB77*$AS77</f>
        <v/>
      </c>
      <c r="L77" s="208">
        <f>BC77*$AS77</f>
        <v/>
      </c>
      <c r="M77" s="208">
        <f>BD77*$CI77</f>
        <v/>
      </c>
      <c r="N77" s="208">
        <f>BE77*$AS77</f>
        <v/>
      </c>
      <c r="O77" s="208">
        <f>BF77*$AS77</f>
        <v/>
      </c>
      <c r="P77" s="208">
        <f>BG77*$AS77</f>
        <v/>
      </c>
      <c r="Q77" s="208">
        <f>BH77*$AS77</f>
        <v/>
      </c>
      <c r="R77" s="208">
        <f>BI77*$AS77</f>
        <v/>
      </c>
      <c r="S77" s="208">
        <f>BJ77*$AS77</f>
        <v/>
      </c>
      <c r="T77" s="208">
        <f>BK77*$AS77</f>
        <v/>
      </c>
      <c r="U77" s="208">
        <f>BL77*$AS77</f>
        <v/>
      </c>
      <c r="V77" s="208">
        <f>BM77*$AS77</f>
        <v/>
      </c>
      <c r="W77" s="208">
        <f>BN77*$AS77</f>
        <v/>
      </c>
      <c r="X77" s="208">
        <f>BO77*$AS77</f>
        <v/>
      </c>
      <c r="Y77" s="208">
        <f>BP77*$AS77</f>
        <v/>
      </c>
      <c r="Z77" s="208">
        <f>BQ77*$AS77</f>
        <v/>
      </c>
      <c r="AA77" s="208">
        <f>BR77*$AS77</f>
        <v/>
      </c>
      <c r="AB77" s="208">
        <f>BS77*$AS77</f>
        <v/>
      </c>
      <c r="AC77" s="208">
        <f>BT77*$AS77</f>
        <v/>
      </c>
      <c r="AD77" s="208">
        <f>BU77*$AS77</f>
        <v/>
      </c>
      <c r="AE77" s="208">
        <f>BV77*$AS77</f>
        <v/>
      </c>
      <c r="AF77" s="208">
        <f>BW77*$AS77</f>
        <v/>
      </c>
      <c r="AG77" s="208">
        <f>BX77*$AS77</f>
        <v/>
      </c>
      <c r="AH77" s="208">
        <f>BY77*$AS77</f>
        <v/>
      </c>
      <c r="AI77" s="208">
        <f>BZ77*$AS77</f>
        <v/>
      </c>
      <c r="AJ77" s="208">
        <f>CA77*$AS77</f>
        <v/>
      </c>
      <c r="AK77" s="208">
        <f>CB77*$AS77</f>
        <v/>
      </c>
      <c r="AL77" s="208">
        <f>CC77*$AS77</f>
        <v/>
      </c>
      <c r="AM77" s="208">
        <f>CD77*$AS77</f>
        <v/>
      </c>
      <c r="AN77" s="208">
        <f>CE77*$AS77</f>
        <v/>
      </c>
      <c r="AQ77" s="6" t="n">
        <v>2012</v>
      </c>
      <c r="AR77" s="6" t="inlineStr">
        <is>
          <t>Tra_EV_Batt-NCA_virgin</t>
        </is>
      </c>
      <c r="AS77" s="6" t="n">
        <v>0.008999999999999999</v>
      </c>
      <c r="AT77" s="6" t="inlineStr">
        <is>
          <t>Transport_EV_general</t>
        </is>
      </c>
      <c r="AU77" s="6" t="inlineStr">
        <is>
          <t>Back-loaded transport EV battery vintage curve based on historical EV deployment shape.</t>
        </is>
      </c>
      <c r="AV77">
        <f>AV56</f>
        <v/>
      </c>
      <c r="AW77">
        <f>AW56</f>
        <v/>
      </c>
      <c r="AX77">
        <f>AX56</f>
        <v/>
      </c>
      <c r="AY77">
        <f>AY56</f>
        <v/>
      </c>
      <c r="AZ77">
        <f>AZ56</f>
        <v/>
      </c>
      <c r="BA77">
        <f>BA56</f>
        <v/>
      </c>
      <c r="BB77">
        <f>BB56</f>
        <v/>
      </c>
      <c r="BC77">
        <f>BC56</f>
        <v/>
      </c>
      <c r="BD77">
        <f>BD56</f>
        <v/>
      </c>
      <c r="BE77">
        <f>BE56</f>
        <v/>
      </c>
      <c r="BF77">
        <f>BF56</f>
        <v/>
      </c>
      <c r="BG77">
        <f>BG56</f>
        <v/>
      </c>
      <c r="BH77">
        <f>BH56</f>
        <v/>
      </c>
      <c r="BI77">
        <f>BI56</f>
        <v/>
      </c>
      <c r="BJ77">
        <f>BJ56</f>
        <v/>
      </c>
      <c r="BK77">
        <f>BK56</f>
        <v/>
      </c>
      <c r="BL77">
        <f>BL56</f>
        <v/>
      </c>
      <c r="BM77">
        <f>BM56</f>
        <v/>
      </c>
      <c r="BN77">
        <f>BN56</f>
        <v/>
      </c>
      <c r="BO77">
        <f>BO56</f>
        <v/>
      </c>
      <c r="BP77">
        <f>BP56</f>
        <v/>
      </c>
      <c r="BQ77">
        <f>BQ56</f>
        <v/>
      </c>
      <c r="BR77">
        <f>BR56</f>
        <v/>
      </c>
      <c r="BS77">
        <f>BS56</f>
        <v/>
      </c>
      <c r="BT77">
        <f>BT56</f>
        <v/>
      </c>
      <c r="BU77">
        <f>BU56</f>
        <v/>
      </c>
      <c r="BV77">
        <f>BV56</f>
        <v/>
      </c>
      <c r="BW77">
        <f>BW56</f>
        <v/>
      </c>
      <c r="BX77">
        <f>BX56</f>
        <v/>
      </c>
      <c r="BY77">
        <f>BY56</f>
        <v/>
      </c>
      <c r="BZ77">
        <f>BZ56</f>
        <v/>
      </c>
      <c r="CA77">
        <f>CA56</f>
        <v/>
      </c>
      <c r="CB77">
        <f>CB56</f>
        <v/>
      </c>
      <c r="CC77">
        <f>CC56</f>
        <v/>
      </c>
      <c r="CD77">
        <f>CD56</f>
        <v/>
      </c>
      <c r="CE77">
        <f>CE56</f>
        <v/>
      </c>
      <c r="CG77" s="6" t="n">
        <v>2012</v>
      </c>
      <c r="CH77" s="6" t="inlineStr">
        <is>
          <t>Tra_EV_Batt-NCA_virgin</t>
        </is>
      </c>
      <c r="CI77" s="6" t="n">
        <v>0.008999999999999999</v>
      </c>
      <c r="CJ77" s="6" t="n">
        <v>0.007</v>
      </c>
      <c r="CK77" s="6" t="inlineStr">
        <is>
          <t>Transport_EV_global</t>
        </is>
      </c>
      <c r="CL77" s="6" t="inlineStr">
        <is>
          <t>Transport_EV_China</t>
        </is>
      </c>
      <c r="CM77" s="6" t="inlineStr">
        <is>
          <t>China transport EV curve is shifted earlier than the global curve to reflect earlier China EV/e-bus deployment in the 2010s.</t>
        </is>
      </c>
    </row>
    <row r="78" ht="14.5" customHeight="1" s="213">
      <c r="D78">
        <f>D77</f>
        <v/>
      </c>
      <c r="E78" t="inlineStr">
        <is>
          <t>Tra_EV_Batt-LMO_virgin</t>
        </is>
      </c>
      <c r="F78" s="208">
        <f>AW78*$AS78</f>
        <v/>
      </c>
      <c r="G78" s="208">
        <f>AX78*$AS78</f>
        <v/>
      </c>
      <c r="H78" s="208">
        <f>AY78*$AS78</f>
        <v/>
      </c>
      <c r="I78" s="208">
        <f>AZ78*$AS78</f>
        <v/>
      </c>
      <c r="J78" s="208">
        <f>BA78*$AS78</f>
        <v/>
      </c>
      <c r="K78" s="208">
        <f>BB78*$AS78</f>
        <v/>
      </c>
      <c r="L78" s="208">
        <f>BC78*$AS78</f>
        <v/>
      </c>
      <c r="M78" s="208">
        <f>BD78*$CI78</f>
        <v/>
      </c>
      <c r="N78" s="208">
        <f>BE78*$AS78</f>
        <v/>
      </c>
      <c r="O78" s="208">
        <f>BF78*$AS78</f>
        <v/>
      </c>
      <c r="P78" s="208">
        <f>BG78*$AS78</f>
        <v/>
      </c>
      <c r="Q78" s="208">
        <f>BH78*$AS78</f>
        <v/>
      </c>
      <c r="R78" s="208">
        <f>BI78*$AS78</f>
        <v/>
      </c>
      <c r="S78" s="208">
        <f>BJ78*$AS78</f>
        <v/>
      </c>
      <c r="T78" s="208">
        <f>BK78*$AS78</f>
        <v/>
      </c>
      <c r="U78" s="208">
        <f>BL78*$AS78</f>
        <v/>
      </c>
      <c r="V78" s="208">
        <f>BM78*$AS78</f>
        <v/>
      </c>
      <c r="W78" s="208">
        <f>BN78*$AS78</f>
        <v/>
      </c>
      <c r="X78" s="208">
        <f>BO78*$AS78</f>
        <v/>
      </c>
      <c r="Y78" s="208">
        <f>BP78*$AS78</f>
        <v/>
      </c>
      <c r="Z78" s="208">
        <f>BQ78*$AS78</f>
        <v/>
      </c>
      <c r="AA78" s="208">
        <f>BR78*$AS78</f>
        <v/>
      </c>
      <c r="AB78" s="208">
        <f>BS78*$AS78</f>
        <v/>
      </c>
      <c r="AC78" s="208">
        <f>BT78*$AS78</f>
        <v/>
      </c>
      <c r="AD78" s="208">
        <f>BU78*$AS78</f>
        <v/>
      </c>
      <c r="AE78" s="208">
        <f>BV78*$AS78</f>
        <v/>
      </c>
      <c r="AF78" s="208">
        <f>BW78*$AS78</f>
        <v/>
      </c>
      <c r="AG78" s="208">
        <f>BX78*$AS78</f>
        <v/>
      </c>
      <c r="AH78" s="208">
        <f>BY78*$AS78</f>
        <v/>
      </c>
      <c r="AI78" s="208">
        <f>BZ78*$AS78</f>
        <v/>
      </c>
      <c r="AJ78" s="208">
        <f>CA78*$AS78</f>
        <v/>
      </c>
      <c r="AK78" s="208">
        <f>CB78*$AS78</f>
        <v/>
      </c>
      <c r="AL78" s="208">
        <f>CC78*$AS78</f>
        <v/>
      </c>
      <c r="AM78" s="208">
        <f>CD78*$AS78</f>
        <v/>
      </c>
      <c r="AN78" s="208">
        <f>CE78*$AS78</f>
        <v/>
      </c>
      <c r="AQ78" s="6" t="n">
        <v>2012</v>
      </c>
      <c r="AR78" s="6" t="inlineStr">
        <is>
          <t>Tra_EV_Batt-LMO_virgin</t>
        </is>
      </c>
      <c r="AS78" s="6" t="n">
        <v>0.008999999999999999</v>
      </c>
      <c r="AT78" s="6" t="inlineStr">
        <is>
          <t>Transport_EV_general</t>
        </is>
      </c>
      <c r="AU78" s="6" t="inlineStr">
        <is>
          <t>Back-loaded transport EV battery vintage curve based on historical EV deployment shape.</t>
        </is>
      </c>
      <c r="AV78">
        <f>AV57</f>
        <v/>
      </c>
      <c r="AW78">
        <f>AW57</f>
        <v/>
      </c>
      <c r="AX78">
        <f>AX57</f>
        <v/>
      </c>
      <c r="AY78">
        <f>AY57</f>
        <v/>
      </c>
      <c r="AZ78">
        <f>AZ57</f>
        <v/>
      </c>
      <c r="BA78">
        <f>BA57</f>
        <v/>
      </c>
      <c r="BB78">
        <f>BB57</f>
        <v/>
      </c>
      <c r="BC78">
        <f>BC57</f>
        <v/>
      </c>
      <c r="BD78">
        <f>BD57</f>
        <v/>
      </c>
      <c r="BE78">
        <f>BE57</f>
        <v/>
      </c>
      <c r="BF78">
        <f>BF57</f>
        <v/>
      </c>
      <c r="BG78">
        <f>BG57</f>
        <v/>
      </c>
      <c r="BH78">
        <f>BH57</f>
        <v/>
      </c>
      <c r="BI78">
        <f>BI57</f>
        <v/>
      </c>
      <c r="BJ78">
        <f>BJ57</f>
        <v/>
      </c>
      <c r="BK78">
        <f>BK57</f>
        <v/>
      </c>
      <c r="BL78">
        <f>BL57</f>
        <v/>
      </c>
      <c r="BM78">
        <f>BM57</f>
        <v/>
      </c>
      <c r="BN78">
        <f>BN57</f>
        <v/>
      </c>
      <c r="BO78">
        <f>BO57</f>
        <v/>
      </c>
      <c r="BP78">
        <f>BP57</f>
        <v/>
      </c>
      <c r="BQ78">
        <f>BQ57</f>
        <v/>
      </c>
      <c r="BR78">
        <f>BR57</f>
        <v/>
      </c>
      <c r="BS78">
        <f>BS57</f>
        <v/>
      </c>
      <c r="BT78">
        <f>BT57</f>
        <v/>
      </c>
      <c r="BU78">
        <f>BU57</f>
        <v/>
      </c>
      <c r="BV78">
        <f>BV57</f>
        <v/>
      </c>
      <c r="BW78">
        <f>BW57</f>
        <v/>
      </c>
      <c r="BX78">
        <f>BX57</f>
        <v/>
      </c>
      <c r="BY78">
        <f>BY57</f>
        <v/>
      </c>
      <c r="BZ78">
        <f>BZ57</f>
        <v/>
      </c>
      <c r="CA78">
        <f>CA57</f>
        <v/>
      </c>
      <c r="CB78">
        <f>CB57</f>
        <v/>
      </c>
      <c r="CC78">
        <f>CC57</f>
        <v/>
      </c>
      <c r="CD78">
        <f>CD57</f>
        <v/>
      </c>
      <c r="CE78">
        <f>CE57</f>
        <v/>
      </c>
      <c r="CG78" s="6" t="n">
        <v>2012</v>
      </c>
      <c r="CH78" s="6" t="inlineStr">
        <is>
          <t>Tra_EV_Batt-LMO_virgin</t>
        </is>
      </c>
      <c r="CI78" s="6" t="n">
        <v>0.008999999999999999</v>
      </c>
      <c r="CJ78" s="6" t="n">
        <v>0.007</v>
      </c>
      <c r="CK78" s="6" t="inlineStr">
        <is>
          <t>Transport_EV_global</t>
        </is>
      </c>
      <c r="CL78" s="6" t="inlineStr">
        <is>
          <t>Transport_EV_China</t>
        </is>
      </c>
      <c r="CM78" s="6" t="inlineStr">
        <is>
          <t>China transport EV curve is shifted earlier than the global curve to reflect earlier China EV/e-bus deployment in the 2010s.</t>
        </is>
      </c>
    </row>
    <row r="79" ht="14.5" customHeight="1" s="213">
      <c r="D79">
        <f>D78</f>
        <v/>
      </c>
      <c r="E79" t="inlineStr">
        <is>
          <t>Tra_EV_Batt-NMC111_virgin</t>
        </is>
      </c>
      <c r="F79" s="208">
        <f>AW79*$AS79</f>
        <v/>
      </c>
      <c r="G79" s="208">
        <f>AX79*$AS79</f>
        <v/>
      </c>
      <c r="H79" s="208">
        <f>AY79*$AS79</f>
        <v/>
      </c>
      <c r="I79" s="208">
        <f>AZ79*$AS79</f>
        <v/>
      </c>
      <c r="J79" s="208">
        <f>BA79*$AS79</f>
        <v/>
      </c>
      <c r="K79" s="208">
        <f>BB79*$AS79</f>
        <v/>
      </c>
      <c r="L79" s="208">
        <f>BC79*$AS79</f>
        <v/>
      </c>
      <c r="M79" s="208">
        <f>BD79*$CI79</f>
        <v/>
      </c>
      <c r="N79" s="208">
        <f>BE79*$AS79</f>
        <v/>
      </c>
      <c r="O79" s="208">
        <f>BF79*$AS79</f>
        <v/>
      </c>
      <c r="P79" s="208">
        <f>BG79*$AS79</f>
        <v/>
      </c>
      <c r="Q79" s="208">
        <f>BH79*$AS79</f>
        <v/>
      </c>
      <c r="R79" s="208">
        <f>BI79*$AS79</f>
        <v/>
      </c>
      <c r="S79" s="208">
        <f>BJ79*$AS79</f>
        <v/>
      </c>
      <c r="T79" s="208">
        <f>BK79*$AS79</f>
        <v/>
      </c>
      <c r="U79" s="208">
        <f>BL79*$AS79</f>
        <v/>
      </c>
      <c r="V79" s="208">
        <f>BM79*$AS79</f>
        <v/>
      </c>
      <c r="W79" s="208">
        <f>BN79*$AS79</f>
        <v/>
      </c>
      <c r="X79" s="208">
        <f>BO79*$AS79</f>
        <v/>
      </c>
      <c r="Y79" s="208">
        <f>BP79*$AS79</f>
        <v/>
      </c>
      <c r="Z79" s="208">
        <f>BQ79*$AS79</f>
        <v/>
      </c>
      <c r="AA79" s="208">
        <f>BR79*$AS79</f>
        <v/>
      </c>
      <c r="AB79" s="208">
        <f>BS79*$AS79</f>
        <v/>
      </c>
      <c r="AC79" s="208">
        <f>BT79*$AS79</f>
        <v/>
      </c>
      <c r="AD79" s="208">
        <f>BU79*$AS79</f>
        <v/>
      </c>
      <c r="AE79" s="208">
        <f>BV79*$AS79</f>
        <v/>
      </c>
      <c r="AF79" s="208">
        <f>BW79*$AS79</f>
        <v/>
      </c>
      <c r="AG79" s="208">
        <f>BX79*$AS79</f>
        <v/>
      </c>
      <c r="AH79" s="208">
        <f>BY79*$AS79</f>
        <v/>
      </c>
      <c r="AI79" s="208">
        <f>BZ79*$AS79</f>
        <v/>
      </c>
      <c r="AJ79" s="208">
        <f>CA79*$AS79</f>
        <v/>
      </c>
      <c r="AK79" s="208">
        <f>CB79*$AS79</f>
        <v/>
      </c>
      <c r="AL79" s="208">
        <f>CC79*$AS79</f>
        <v/>
      </c>
      <c r="AM79" s="208">
        <f>CD79*$AS79</f>
        <v/>
      </c>
      <c r="AN79" s="208">
        <f>CE79*$AS79</f>
        <v/>
      </c>
      <c r="AQ79" s="6" t="n">
        <v>2012</v>
      </c>
      <c r="AR79" s="6" t="inlineStr">
        <is>
          <t>Tra_EV_Batt-NMC111_virgin</t>
        </is>
      </c>
      <c r="AS79" s="6" t="n">
        <v>0.008999999999999999</v>
      </c>
      <c r="AT79" s="6" t="inlineStr">
        <is>
          <t>Transport_EV_general</t>
        </is>
      </c>
      <c r="AU79" s="6" t="inlineStr">
        <is>
          <t>Back-loaded transport EV battery vintage curve based on historical EV deployment shape.</t>
        </is>
      </c>
      <c r="AV79">
        <f>AV58</f>
        <v/>
      </c>
      <c r="AW79">
        <f>AW58</f>
        <v/>
      </c>
      <c r="AX79">
        <f>AX58</f>
        <v/>
      </c>
      <c r="AY79">
        <f>AY58</f>
        <v/>
      </c>
      <c r="AZ79">
        <f>AZ58</f>
        <v/>
      </c>
      <c r="BA79">
        <f>BA58</f>
        <v/>
      </c>
      <c r="BB79">
        <f>BB58</f>
        <v/>
      </c>
      <c r="BC79">
        <f>BC58</f>
        <v/>
      </c>
      <c r="BD79">
        <f>BD58</f>
        <v/>
      </c>
      <c r="BE79">
        <f>BE58</f>
        <v/>
      </c>
      <c r="BF79">
        <f>BF58</f>
        <v/>
      </c>
      <c r="BG79">
        <f>BG58</f>
        <v/>
      </c>
      <c r="BH79">
        <f>BH58</f>
        <v/>
      </c>
      <c r="BI79">
        <f>BI58</f>
        <v/>
      </c>
      <c r="BJ79">
        <f>BJ58</f>
        <v/>
      </c>
      <c r="BK79">
        <f>BK58</f>
        <v/>
      </c>
      <c r="BL79">
        <f>BL58</f>
        <v/>
      </c>
      <c r="BM79">
        <f>BM58</f>
        <v/>
      </c>
      <c r="BN79">
        <f>BN58</f>
        <v/>
      </c>
      <c r="BO79">
        <f>BO58</f>
        <v/>
      </c>
      <c r="BP79">
        <f>BP58</f>
        <v/>
      </c>
      <c r="BQ79">
        <f>BQ58</f>
        <v/>
      </c>
      <c r="BR79">
        <f>BR58</f>
        <v/>
      </c>
      <c r="BS79">
        <f>BS58</f>
        <v/>
      </c>
      <c r="BT79">
        <f>BT58</f>
        <v/>
      </c>
      <c r="BU79">
        <f>BU58</f>
        <v/>
      </c>
      <c r="BV79">
        <f>BV58</f>
        <v/>
      </c>
      <c r="BW79">
        <f>BW58</f>
        <v/>
      </c>
      <c r="BX79">
        <f>BX58</f>
        <v/>
      </c>
      <c r="BY79">
        <f>BY58</f>
        <v/>
      </c>
      <c r="BZ79">
        <f>BZ58</f>
        <v/>
      </c>
      <c r="CA79">
        <f>CA58</f>
        <v/>
      </c>
      <c r="CB79">
        <f>CB58</f>
        <v/>
      </c>
      <c r="CC79">
        <f>CC58</f>
        <v/>
      </c>
      <c r="CD79">
        <f>CD58</f>
        <v/>
      </c>
      <c r="CE79">
        <f>CE58</f>
        <v/>
      </c>
      <c r="CG79" s="6" t="n">
        <v>2012</v>
      </c>
      <c r="CH79" s="6" t="inlineStr">
        <is>
          <t>Tra_EV_Batt-NMC111_virgin</t>
        </is>
      </c>
      <c r="CI79" s="6" t="n">
        <v>0.008999999999999999</v>
      </c>
      <c r="CJ79" s="6" t="n">
        <v>0.007</v>
      </c>
      <c r="CK79" s="6" t="inlineStr">
        <is>
          <t>Transport_EV_global</t>
        </is>
      </c>
      <c r="CL79" s="6" t="inlineStr">
        <is>
          <t>Transport_EV_China</t>
        </is>
      </c>
      <c r="CM79" s="6" t="inlineStr">
        <is>
          <t>China transport EV curve is shifted earlier than the global curve to reflect earlier China EV/e-bus deployment in the 2010s.</t>
        </is>
      </c>
    </row>
    <row r="80" ht="14.5" customHeight="1" s="213">
      <c r="D80">
        <f>D79</f>
        <v/>
      </c>
      <c r="E80" t="inlineStr">
        <is>
          <t>Tra_EV_Batt-LFP_virgin_pack</t>
        </is>
      </c>
      <c r="F80" s="208">
        <f>AW80*$AS80</f>
        <v/>
      </c>
      <c r="G80" s="208">
        <f>AX80*$AS80</f>
        <v/>
      </c>
      <c r="H80" s="208">
        <f>AY80*$AS80</f>
        <v/>
      </c>
      <c r="I80" s="208">
        <f>AZ80*$AS80</f>
        <v/>
      </c>
      <c r="J80" s="208">
        <f>BA80*$AS80</f>
        <v/>
      </c>
      <c r="K80" s="208">
        <f>BB80*$AS80</f>
        <v/>
      </c>
      <c r="L80" s="208">
        <f>BC80*$AS80</f>
        <v/>
      </c>
      <c r="M80" s="208">
        <f>BD80*$CI80</f>
        <v/>
      </c>
      <c r="N80" s="208">
        <f>BE80*$AS80</f>
        <v/>
      </c>
      <c r="O80" s="208">
        <f>BF80*$AS80</f>
        <v/>
      </c>
      <c r="P80" s="208">
        <f>BG80*$AS80</f>
        <v/>
      </c>
      <c r="Q80" s="208">
        <f>BH80*$AS80</f>
        <v/>
      </c>
      <c r="R80" s="208">
        <f>BI80*$AS80</f>
        <v/>
      </c>
      <c r="S80" s="208">
        <f>BJ80*$AS80</f>
        <v/>
      </c>
      <c r="T80" s="208">
        <f>BK80*$AS80</f>
        <v/>
      </c>
      <c r="U80" s="208">
        <f>BL80*$AS80</f>
        <v/>
      </c>
      <c r="V80" s="208">
        <f>BM80*$AS80</f>
        <v/>
      </c>
      <c r="W80" s="208">
        <f>BN80*$AS80</f>
        <v/>
      </c>
      <c r="X80" s="208">
        <f>BO80*$AS80</f>
        <v/>
      </c>
      <c r="Y80" s="208">
        <f>BP80*$AS80</f>
        <v/>
      </c>
      <c r="Z80" s="208">
        <f>BQ80*$AS80</f>
        <v/>
      </c>
      <c r="AA80" s="208">
        <f>BR80*$AS80</f>
        <v/>
      </c>
      <c r="AB80" s="208">
        <f>BS80*$AS80</f>
        <v/>
      </c>
      <c r="AC80" s="208">
        <f>BT80*$AS80</f>
        <v/>
      </c>
      <c r="AD80" s="208">
        <f>BU80*$AS80</f>
        <v/>
      </c>
      <c r="AE80" s="208">
        <f>BV80*$AS80</f>
        <v/>
      </c>
      <c r="AF80" s="208">
        <f>BW80*$AS80</f>
        <v/>
      </c>
      <c r="AG80" s="208">
        <f>BX80*$AS80</f>
        <v/>
      </c>
      <c r="AH80" s="208">
        <f>BY80*$AS80</f>
        <v/>
      </c>
      <c r="AI80" s="208">
        <f>BZ80*$AS80</f>
        <v/>
      </c>
      <c r="AJ80" s="208">
        <f>CA80*$AS80</f>
        <v/>
      </c>
      <c r="AK80" s="208">
        <f>CB80*$AS80</f>
        <v/>
      </c>
      <c r="AL80" s="208">
        <f>CC80*$AS80</f>
        <v/>
      </c>
      <c r="AM80" s="208">
        <f>CD80*$AS80</f>
        <v/>
      </c>
      <c r="AN80" s="208">
        <f>CE80*$AS80</f>
        <v/>
      </c>
      <c r="AQ80" s="6" t="n">
        <v>2012</v>
      </c>
      <c r="AR80" s="6" t="inlineStr">
        <is>
          <t>Tra_EV_Batt-LFP_virgin_pack</t>
        </is>
      </c>
      <c r="AS80" s="6" t="n">
        <v>0.008999999999999999</v>
      </c>
      <c r="AT80" s="6" t="inlineStr">
        <is>
          <t>Transport_EV_general</t>
        </is>
      </c>
      <c r="AU80" s="6" t="inlineStr">
        <is>
          <t>Back-loaded transport EV battery vintage curve based on historical EV deployment shape.</t>
        </is>
      </c>
      <c r="AV80">
        <f>AV59</f>
        <v/>
      </c>
      <c r="AW80">
        <f>AW59</f>
        <v/>
      </c>
      <c r="AX80">
        <f>AX59</f>
        <v/>
      </c>
      <c r="AY80">
        <f>AY59</f>
        <v/>
      </c>
      <c r="AZ80">
        <f>AZ59</f>
        <v/>
      </c>
      <c r="BA80">
        <f>BA59</f>
        <v/>
      </c>
      <c r="BB80">
        <f>BB59</f>
        <v/>
      </c>
      <c r="BC80">
        <f>BC59</f>
        <v/>
      </c>
      <c r="BD80">
        <f>BD59</f>
        <v/>
      </c>
      <c r="BE80">
        <f>BE59</f>
        <v/>
      </c>
      <c r="BF80">
        <f>BF59</f>
        <v/>
      </c>
      <c r="BG80">
        <f>BG59</f>
        <v/>
      </c>
      <c r="BH80">
        <f>BH59</f>
        <v/>
      </c>
      <c r="BI80">
        <f>BI59</f>
        <v/>
      </c>
      <c r="BJ80">
        <f>BJ59</f>
        <v/>
      </c>
      <c r="BK80">
        <f>BK59</f>
        <v/>
      </c>
      <c r="BL80">
        <f>BL59</f>
        <v/>
      </c>
      <c r="BM80">
        <f>BM59</f>
        <v/>
      </c>
      <c r="BN80">
        <f>BN59</f>
        <v/>
      </c>
      <c r="BO80">
        <f>BO59</f>
        <v/>
      </c>
      <c r="BP80">
        <f>BP59</f>
        <v/>
      </c>
      <c r="BQ80">
        <f>BQ59</f>
        <v/>
      </c>
      <c r="BR80">
        <f>BR59</f>
        <v/>
      </c>
      <c r="BS80">
        <f>BS59</f>
        <v/>
      </c>
      <c r="BT80">
        <f>BT59</f>
        <v/>
      </c>
      <c r="BU80">
        <f>BU59</f>
        <v/>
      </c>
      <c r="BV80">
        <f>BV59</f>
        <v/>
      </c>
      <c r="BW80">
        <f>BW59</f>
        <v/>
      </c>
      <c r="BX80">
        <f>BX59</f>
        <v/>
      </c>
      <c r="BY80">
        <f>BY59</f>
        <v/>
      </c>
      <c r="BZ80">
        <f>BZ59</f>
        <v/>
      </c>
      <c r="CA80">
        <f>CA59</f>
        <v/>
      </c>
      <c r="CB80">
        <f>CB59</f>
        <v/>
      </c>
      <c r="CC80">
        <f>CC59</f>
        <v/>
      </c>
      <c r="CD80">
        <f>CD59</f>
        <v/>
      </c>
      <c r="CE80">
        <f>CE59</f>
        <v/>
      </c>
      <c r="CG80" s="6" t="n">
        <v>2012</v>
      </c>
      <c r="CH80" s="6" t="inlineStr">
        <is>
          <t>Tra_EV_Batt-LFP_virgin_pack</t>
        </is>
      </c>
      <c r="CI80" s="6" t="n">
        <v>0.008999999999999999</v>
      </c>
      <c r="CJ80" s="6" t="n">
        <v>0.007</v>
      </c>
      <c r="CK80" s="6" t="inlineStr">
        <is>
          <t>Transport_EV_global</t>
        </is>
      </c>
      <c r="CL80" s="6" t="inlineStr">
        <is>
          <t>Transport_EV_China</t>
        </is>
      </c>
      <c r="CM80" s="6" t="inlineStr">
        <is>
          <t>China transport EV curve is shifted earlier than the global curve to reflect earlier China EV/e-bus deployment in the 2010s.</t>
        </is>
      </c>
    </row>
    <row r="81" ht="14.5" customHeight="1" s="213">
      <c r="D81">
        <f>D80</f>
        <v/>
      </c>
      <c r="E81" t="inlineStr">
        <is>
          <t>Tra_EV_Batt-NMC622_virgin_pack</t>
        </is>
      </c>
      <c r="F81" s="208">
        <f>AW81*$AS81</f>
        <v/>
      </c>
      <c r="G81" s="208">
        <f>AX81*$AS81</f>
        <v/>
      </c>
      <c r="H81" s="208">
        <f>AY81*$AS81</f>
        <v/>
      </c>
      <c r="I81" s="208">
        <f>AZ81*$AS81</f>
        <v/>
      </c>
      <c r="J81" s="208">
        <f>BA81*$AS81</f>
        <v/>
      </c>
      <c r="K81" s="208">
        <f>BB81*$AS81</f>
        <v/>
      </c>
      <c r="L81" s="208">
        <f>BC81*$AS81</f>
        <v/>
      </c>
      <c r="M81" s="208">
        <f>BD81*$CI81</f>
        <v/>
      </c>
      <c r="N81" s="208">
        <f>BE81*$AS81</f>
        <v/>
      </c>
      <c r="O81" s="208">
        <f>BF81*$AS81</f>
        <v/>
      </c>
      <c r="P81" s="208">
        <f>BG81*$AS81</f>
        <v/>
      </c>
      <c r="Q81" s="208">
        <f>BH81*$AS81</f>
        <v/>
      </c>
      <c r="R81" s="208">
        <f>BI81*$AS81</f>
        <v/>
      </c>
      <c r="S81" s="208">
        <f>BJ81*$AS81</f>
        <v/>
      </c>
      <c r="T81" s="208">
        <f>BK81*$AS81</f>
        <v/>
      </c>
      <c r="U81" s="208">
        <f>BL81*$AS81</f>
        <v/>
      </c>
      <c r="V81" s="208">
        <f>BM81*$AS81</f>
        <v/>
      </c>
      <c r="W81" s="208">
        <f>BN81*$AS81</f>
        <v/>
      </c>
      <c r="X81" s="208">
        <f>BO81*$AS81</f>
        <v/>
      </c>
      <c r="Y81" s="208">
        <f>BP81*$AS81</f>
        <v/>
      </c>
      <c r="Z81" s="208">
        <f>BQ81*$AS81</f>
        <v/>
      </c>
      <c r="AA81" s="208">
        <f>BR81*$AS81</f>
        <v/>
      </c>
      <c r="AB81" s="208">
        <f>BS81*$AS81</f>
        <v/>
      </c>
      <c r="AC81" s="208">
        <f>BT81*$AS81</f>
        <v/>
      </c>
      <c r="AD81" s="208">
        <f>BU81*$AS81</f>
        <v/>
      </c>
      <c r="AE81" s="208">
        <f>BV81*$AS81</f>
        <v/>
      </c>
      <c r="AF81" s="208">
        <f>BW81*$AS81</f>
        <v/>
      </c>
      <c r="AG81" s="208">
        <f>BX81*$AS81</f>
        <v/>
      </c>
      <c r="AH81" s="208">
        <f>BY81*$AS81</f>
        <v/>
      </c>
      <c r="AI81" s="208">
        <f>BZ81*$AS81</f>
        <v/>
      </c>
      <c r="AJ81" s="208">
        <f>CA81*$AS81</f>
        <v/>
      </c>
      <c r="AK81" s="208">
        <f>CB81*$AS81</f>
        <v/>
      </c>
      <c r="AL81" s="208">
        <f>CC81*$AS81</f>
        <v/>
      </c>
      <c r="AM81" s="208">
        <f>CD81*$AS81</f>
        <v/>
      </c>
      <c r="AN81" s="208">
        <f>CE81*$AS81</f>
        <v/>
      </c>
      <c r="AQ81" s="6" t="n">
        <v>2012</v>
      </c>
      <c r="AR81" s="6" t="inlineStr">
        <is>
          <t>Tra_EV_Batt-NMC622_virgin_pack</t>
        </is>
      </c>
      <c r="AS81" s="6" t="n">
        <v>0.008999999999999999</v>
      </c>
      <c r="AT81" s="6" t="inlineStr">
        <is>
          <t>Transport_EV_general</t>
        </is>
      </c>
      <c r="AU81" s="6" t="inlineStr">
        <is>
          <t>Back-loaded transport EV battery vintage curve based on historical EV deployment shape.</t>
        </is>
      </c>
      <c r="AV81">
        <f>AV60</f>
        <v/>
      </c>
      <c r="AW81">
        <f>AW60</f>
        <v/>
      </c>
      <c r="AX81">
        <f>AX60</f>
        <v/>
      </c>
      <c r="AY81">
        <f>AY60</f>
        <v/>
      </c>
      <c r="AZ81">
        <f>AZ60</f>
        <v/>
      </c>
      <c r="BA81">
        <f>BA60</f>
        <v/>
      </c>
      <c r="BB81">
        <f>BB60</f>
        <v/>
      </c>
      <c r="BC81">
        <f>BC60</f>
        <v/>
      </c>
      <c r="BD81">
        <f>BD60</f>
        <v/>
      </c>
      <c r="BE81">
        <f>BE60</f>
        <v/>
      </c>
      <c r="BF81">
        <f>BF60</f>
        <v/>
      </c>
      <c r="BG81">
        <f>BG60</f>
        <v/>
      </c>
      <c r="BH81">
        <f>BH60</f>
        <v/>
      </c>
      <c r="BI81">
        <f>BI60</f>
        <v/>
      </c>
      <c r="BJ81">
        <f>BJ60</f>
        <v/>
      </c>
      <c r="BK81">
        <f>BK60</f>
        <v/>
      </c>
      <c r="BL81">
        <f>BL60</f>
        <v/>
      </c>
      <c r="BM81">
        <f>BM60</f>
        <v/>
      </c>
      <c r="BN81">
        <f>BN60</f>
        <v/>
      </c>
      <c r="BO81">
        <f>BO60</f>
        <v/>
      </c>
      <c r="BP81">
        <f>BP60</f>
        <v/>
      </c>
      <c r="BQ81">
        <f>BQ60</f>
        <v/>
      </c>
      <c r="BR81">
        <f>BR60</f>
        <v/>
      </c>
      <c r="BS81">
        <f>BS60</f>
        <v/>
      </c>
      <c r="BT81">
        <f>BT60</f>
        <v/>
      </c>
      <c r="BU81">
        <f>BU60</f>
        <v/>
      </c>
      <c r="BV81">
        <f>BV60</f>
        <v/>
      </c>
      <c r="BW81">
        <f>BW60</f>
        <v/>
      </c>
      <c r="BX81">
        <f>BX60</f>
        <v/>
      </c>
      <c r="BY81">
        <f>BY60</f>
        <v/>
      </c>
      <c r="BZ81">
        <f>BZ60</f>
        <v/>
      </c>
      <c r="CA81">
        <f>CA60</f>
        <v/>
      </c>
      <c r="CB81">
        <f>CB60</f>
        <v/>
      </c>
      <c r="CC81">
        <f>CC60</f>
        <v/>
      </c>
      <c r="CD81">
        <f>CD60</f>
        <v/>
      </c>
      <c r="CE81">
        <f>CE60</f>
        <v/>
      </c>
      <c r="CG81" s="6" t="n">
        <v>2012</v>
      </c>
      <c r="CH81" s="6" t="inlineStr">
        <is>
          <t>Tra_EV_Batt-NMC622_virgin_pack</t>
        </is>
      </c>
      <c r="CI81" s="6" t="n">
        <v>0.008999999999999999</v>
      </c>
      <c r="CJ81" s="6" t="n">
        <v>0.007</v>
      </c>
      <c r="CK81" s="6" t="inlineStr">
        <is>
          <t>Transport_EV_global</t>
        </is>
      </c>
      <c r="CL81" s="6" t="inlineStr">
        <is>
          <t>Transport_EV_China</t>
        </is>
      </c>
      <c r="CM81" s="6" t="inlineStr">
        <is>
          <t>China transport EV curve is shifted earlier than the global curve to reflect earlier China EV/e-bus deployment in the 2010s.</t>
        </is>
      </c>
    </row>
    <row r="82" ht="14.5" customHeight="1" s="213">
      <c r="D82">
        <f>D81</f>
        <v/>
      </c>
      <c r="E82" t="inlineStr">
        <is>
          <t>Tra_EV_Batt-NMC811_virgin_pack</t>
        </is>
      </c>
      <c r="F82" s="208">
        <f>AW82*$AS82</f>
        <v/>
      </c>
      <c r="G82" s="208">
        <f>AX82*$AS82</f>
        <v/>
      </c>
      <c r="H82" s="208">
        <f>AY82*$AS82</f>
        <v/>
      </c>
      <c r="I82" s="208">
        <f>AZ82*$AS82</f>
        <v/>
      </c>
      <c r="J82" s="208">
        <f>BA82*$AS82</f>
        <v/>
      </c>
      <c r="K82" s="208">
        <f>BB82*$AS82</f>
        <v/>
      </c>
      <c r="L82" s="208">
        <f>BC82*$AS82</f>
        <v/>
      </c>
      <c r="M82" s="208">
        <f>BD82*$CI82</f>
        <v/>
      </c>
      <c r="N82" s="208">
        <f>BE82*$AS82</f>
        <v/>
      </c>
      <c r="O82" s="208">
        <f>BF82*$AS82</f>
        <v/>
      </c>
      <c r="P82" s="208">
        <f>BG82*$AS82</f>
        <v/>
      </c>
      <c r="Q82" s="208">
        <f>BH82*$AS82</f>
        <v/>
      </c>
      <c r="R82" s="208">
        <f>BI82*$AS82</f>
        <v/>
      </c>
      <c r="S82" s="208">
        <f>BJ82*$AS82</f>
        <v/>
      </c>
      <c r="T82" s="208">
        <f>BK82*$AS82</f>
        <v/>
      </c>
      <c r="U82" s="208">
        <f>BL82*$AS82</f>
        <v/>
      </c>
      <c r="V82" s="208">
        <f>BM82*$AS82</f>
        <v/>
      </c>
      <c r="W82" s="208">
        <f>BN82*$AS82</f>
        <v/>
      </c>
      <c r="X82" s="208">
        <f>BO82*$AS82</f>
        <v/>
      </c>
      <c r="Y82" s="208">
        <f>BP82*$AS82</f>
        <v/>
      </c>
      <c r="Z82" s="208">
        <f>BQ82*$AS82</f>
        <v/>
      </c>
      <c r="AA82" s="208">
        <f>BR82*$AS82</f>
        <v/>
      </c>
      <c r="AB82" s="208">
        <f>BS82*$AS82</f>
        <v/>
      </c>
      <c r="AC82" s="208">
        <f>BT82*$AS82</f>
        <v/>
      </c>
      <c r="AD82" s="208">
        <f>BU82*$AS82</f>
        <v/>
      </c>
      <c r="AE82" s="208">
        <f>BV82*$AS82</f>
        <v/>
      </c>
      <c r="AF82" s="208">
        <f>BW82*$AS82</f>
        <v/>
      </c>
      <c r="AG82" s="208">
        <f>BX82*$AS82</f>
        <v/>
      </c>
      <c r="AH82" s="208">
        <f>BY82*$AS82</f>
        <v/>
      </c>
      <c r="AI82" s="208">
        <f>BZ82*$AS82</f>
        <v/>
      </c>
      <c r="AJ82" s="208">
        <f>CA82*$AS82</f>
        <v/>
      </c>
      <c r="AK82" s="208">
        <f>CB82*$AS82</f>
        <v/>
      </c>
      <c r="AL82" s="208">
        <f>CC82*$AS82</f>
        <v/>
      </c>
      <c r="AM82" s="208">
        <f>CD82*$AS82</f>
        <v/>
      </c>
      <c r="AN82" s="208">
        <f>CE82*$AS82</f>
        <v/>
      </c>
      <c r="AQ82" s="6" t="n">
        <v>2012</v>
      </c>
      <c r="AR82" s="6" t="inlineStr">
        <is>
          <t>Tra_EV_Batt-NMC811_virgin_pack</t>
        </is>
      </c>
      <c r="AS82" s="6" t="n">
        <v>0.008999999999999999</v>
      </c>
      <c r="AT82" s="6" t="inlineStr">
        <is>
          <t>Transport_EV_general</t>
        </is>
      </c>
      <c r="AU82" s="6" t="inlineStr">
        <is>
          <t>Back-loaded transport EV battery vintage curve based on historical EV deployment shape.</t>
        </is>
      </c>
      <c r="AV82">
        <f>AV61</f>
        <v/>
      </c>
      <c r="AW82">
        <f>AW61</f>
        <v/>
      </c>
      <c r="AX82">
        <f>AX61</f>
        <v/>
      </c>
      <c r="AY82">
        <f>AY61</f>
        <v/>
      </c>
      <c r="AZ82">
        <f>AZ61</f>
        <v/>
      </c>
      <c r="BA82">
        <f>BA61</f>
        <v/>
      </c>
      <c r="BB82">
        <f>BB61</f>
        <v/>
      </c>
      <c r="BC82">
        <f>BC61</f>
        <v/>
      </c>
      <c r="BD82">
        <f>BD61</f>
        <v/>
      </c>
      <c r="BE82">
        <f>BE61</f>
        <v/>
      </c>
      <c r="BF82">
        <f>BF61</f>
        <v/>
      </c>
      <c r="BG82">
        <f>BG61</f>
        <v/>
      </c>
      <c r="BH82">
        <f>BH61</f>
        <v/>
      </c>
      <c r="BI82">
        <f>BI61</f>
        <v/>
      </c>
      <c r="BJ82">
        <f>BJ61</f>
        <v/>
      </c>
      <c r="BK82">
        <f>BK61</f>
        <v/>
      </c>
      <c r="BL82">
        <f>BL61</f>
        <v/>
      </c>
      <c r="BM82">
        <f>BM61</f>
        <v/>
      </c>
      <c r="BN82">
        <f>BN61</f>
        <v/>
      </c>
      <c r="BO82">
        <f>BO61</f>
        <v/>
      </c>
      <c r="BP82">
        <f>BP61</f>
        <v/>
      </c>
      <c r="BQ82">
        <f>BQ61</f>
        <v/>
      </c>
      <c r="BR82">
        <f>BR61</f>
        <v/>
      </c>
      <c r="BS82">
        <f>BS61</f>
        <v/>
      </c>
      <c r="BT82">
        <f>BT61</f>
        <v/>
      </c>
      <c r="BU82">
        <f>BU61</f>
        <v/>
      </c>
      <c r="BV82">
        <f>BV61</f>
        <v/>
      </c>
      <c r="BW82">
        <f>BW61</f>
        <v/>
      </c>
      <c r="BX82">
        <f>BX61</f>
        <v/>
      </c>
      <c r="BY82">
        <f>BY61</f>
        <v/>
      </c>
      <c r="BZ82">
        <f>BZ61</f>
        <v/>
      </c>
      <c r="CA82">
        <f>CA61</f>
        <v/>
      </c>
      <c r="CB82">
        <f>CB61</f>
        <v/>
      </c>
      <c r="CC82">
        <f>CC61</f>
        <v/>
      </c>
      <c r="CD82">
        <f>CD61</f>
        <v/>
      </c>
      <c r="CE82">
        <f>CE61</f>
        <v/>
      </c>
      <c r="CG82" s="6" t="n">
        <v>2012</v>
      </c>
      <c r="CH82" s="6" t="inlineStr">
        <is>
          <t>Tra_EV_Batt-NMC811_virgin_pack</t>
        </is>
      </c>
      <c r="CI82" s="6" t="n">
        <v>0.008999999999999999</v>
      </c>
      <c r="CJ82" s="6" t="n">
        <v>0.007</v>
      </c>
      <c r="CK82" s="6" t="inlineStr">
        <is>
          <t>Transport_EV_global</t>
        </is>
      </c>
      <c r="CL82" s="6" t="inlineStr">
        <is>
          <t>Transport_EV_China</t>
        </is>
      </c>
      <c r="CM82" s="6" t="inlineStr">
        <is>
          <t>China transport EV curve is shifted earlier than the global curve to reflect earlier China EV/e-bus deployment in the 2010s.</t>
        </is>
      </c>
    </row>
    <row r="83" ht="14.5" customHeight="1" s="213">
      <c r="D83">
        <f>D82</f>
        <v/>
      </c>
      <c r="E83" t="inlineStr">
        <is>
          <t>Tra_EV_Batt-NMC532_virgin_pack</t>
        </is>
      </c>
      <c r="F83" s="208">
        <f>AW83*$AS83</f>
        <v/>
      </c>
      <c r="G83" s="208">
        <f>AX83*$AS83</f>
        <v/>
      </c>
      <c r="H83" s="208">
        <f>AY83*$AS83</f>
        <v/>
      </c>
      <c r="I83" s="208">
        <f>AZ83*$AS83</f>
        <v/>
      </c>
      <c r="J83" s="208">
        <f>BA83*$AS83</f>
        <v/>
      </c>
      <c r="K83" s="208">
        <f>BB83*$AS83</f>
        <v/>
      </c>
      <c r="L83" s="208">
        <f>BC83*$AS83</f>
        <v/>
      </c>
      <c r="M83" s="208">
        <f>BD83*$CI83</f>
        <v/>
      </c>
      <c r="N83" s="208">
        <f>BE83*$AS83</f>
        <v/>
      </c>
      <c r="O83" s="208">
        <f>BF83*$AS83</f>
        <v/>
      </c>
      <c r="P83" s="208">
        <f>BG83*$AS83</f>
        <v/>
      </c>
      <c r="Q83" s="208">
        <f>BH83*$AS83</f>
        <v/>
      </c>
      <c r="R83" s="208">
        <f>BI83*$AS83</f>
        <v/>
      </c>
      <c r="S83" s="208">
        <f>BJ83*$AS83</f>
        <v/>
      </c>
      <c r="T83" s="208">
        <f>BK83*$AS83</f>
        <v/>
      </c>
      <c r="U83" s="208">
        <f>BL83*$AS83</f>
        <v/>
      </c>
      <c r="V83" s="208">
        <f>BM83*$AS83</f>
        <v/>
      </c>
      <c r="W83" s="208">
        <f>BN83*$AS83</f>
        <v/>
      </c>
      <c r="X83" s="208">
        <f>BO83*$AS83</f>
        <v/>
      </c>
      <c r="Y83" s="208">
        <f>BP83*$AS83</f>
        <v/>
      </c>
      <c r="Z83" s="208">
        <f>BQ83*$AS83</f>
        <v/>
      </c>
      <c r="AA83" s="208">
        <f>BR83*$AS83</f>
        <v/>
      </c>
      <c r="AB83" s="208">
        <f>BS83*$AS83</f>
        <v/>
      </c>
      <c r="AC83" s="208">
        <f>BT83*$AS83</f>
        <v/>
      </c>
      <c r="AD83" s="208">
        <f>BU83*$AS83</f>
        <v/>
      </c>
      <c r="AE83" s="208">
        <f>BV83*$AS83</f>
        <v/>
      </c>
      <c r="AF83" s="208">
        <f>BW83*$AS83</f>
        <v/>
      </c>
      <c r="AG83" s="208">
        <f>BX83*$AS83</f>
        <v/>
      </c>
      <c r="AH83" s="208">
        <f>BY83*$AS83</f>
        <v/>
      </c>
      <c r="AI83" s="208">
        <f>BZ83*$AS83</f>
        <v/>
      </c>
      <c r="AJ83" s="208">
        <f>CA83*$AS83</f>
        <v/>
      </c>
      <c r="AK83" s="208">
        <f>CB83*$AS83</f>
        <v/>
      </c>
      <c r="AL83" s="208">
        <f>CC83*$AS83</f>
        <v/>
      </c>
      <c r="AM83" s="208">
        <f>CD83*$AS83</f>
        <v/>
      </c>
      <c r="AN83" s="208">
        <f>CE83*$AS83</f>
        <v/>
      </c>
      <c r="AQ83" s="6" t="n">
        <v>2012</v>
      </c>
      <c r="AR83" s="6" t="inlineStr">
        <is>
          <t>Tra_EV_Batt-NMC532_virgin_pack</t>
        </is>
      </c>
      <c r="AS83" s="6" t="n">
        <v>0.008999999999999999</v>
      </c>
      <c r="AT83" s="6" t="inlineStr">
        <is>
          <t>Transport_EV_general</t>
        </is>
      </c>
      <c r="AU83" s="6" t="inlineStr">
        <is>
          <t>Back-loaded transport EV battery vintage curve based on historical EV deployment shape.</t>
        </is>
      </c>
      <c r="AV83">
        <f>AV62</f>
        <v/>
      </c>
      <c r="AW83">
        <f>AW62</f>
        <v/>
      </c>
      <c r="AX83">
        <f>AX62</f>
        <v/>
      </c>
      <c r="AY83">
        <f>AY62</f>
        <v/>
      </c>
      <c r="AZ83">
        <f>AZ62</f>
        <v/>
      </c>
      <c r="BA83">
        <f>BA62</f>
        <v/>
      </c>
      <c r="BB83">
        <f>BB62</f>
        <v/>
      </c>
      <c r="BC83">
        <f>BC62</f>
        <v/>
      </c>
      <c r="BD83">
        <f>BD62</f>
        <v/>
      </c>
      <c r="BE83">
        <f>BE62</f>
        <v/>
      </c>
      <c r="BF83">
        <f>BF62</f>
        <v/>
      </c>
      <c r="BG83">
        <f>BG62</f>
        <v/>
      </c>
      <c r="BH83">
        <f>BH62</f>
        <v/>
      </c>
      <c r="BI83">
        <f>BI62</f>
        <v/>
      </c>
      <c r="BJ83">
        <f>BJ62</f>
        <v/>
      </c>
      <c r="BK83">
        <f>BK62</f>
        <v/>
      </c>
      <c r="BL83">
        <f>BL62</f>
        <v/>
      </c>
      <c r="BM83">
        <f>BM62</f>
        <v/>
      </c>
      <c r="BN83">
        <f>BN62</f>
        <v/>
      </c>
      <c r="BO83">
        <f>BO62</f>
        <v/>
      </c>
      <c r="BP83">
        <f>BP62</f>
        <v/>
      </c>
      <c r="BQ83">
        <f>BQ62</f>
        <v/>
      </c>
      <c r="BR83">
        <f>BR62</f>
        <v/>
      </c>
      <c r="BS83">
        <f>BS62</f>
        <v/>
      </c>
      <c r="BT83">
        <f>BT62</f>
        <v/>
      </c>
      <c r="BU83">
        <f>BU62</f>
        <v/>
      </c>
      <c r="BV83">
        <f>BV62</f>
        <v/>
      </c>
      <c r="BW83">
        <f>BW62</f>
        <v/>
      </c>
      <c r="BX83">
        <f>BX62</f>
        <v/>
      </c>
      <c r="BY83">
        <f>BY62</f>
        <v/>
      </c>
      <c r="BZ83">
        <f>BZ62</f>
        <v/>
      </c>
      <c r="CA83">
        <f>CA62</f>
        <v/>
      </c>
      <c r="CB83">
        <f>CB62</f>
        <v/>
      </c>
      <c r="CC83">
        <f>CC62</f>
        <v/>
      </c>
      <c r="CD83">
        <f>CD62</f>
        <v/>
      </c>
      <c r="CE83">
        <f>CE62</f>
        <v/>
      </c>
      <c r="CG83" s="6" t="n">
        <v>2012</v>
      </c>
      <c r="CH83" s="6" t="inlineStr">
        <is>
          <t>Tra_EV_Batt-NMC532_virgin_pack</t>
        </is>
      </c>
      <c r="CI83" s="6" t="n">
        <v>0.008999999999999999</v>
      </c>
      <c r="CJ83" s="6" t="n">
        <v>0.007</v>
      </c>
      <c r="CK83" s="6" t="inlineStr">
        <is>
          <t>Transport_EV_global</t>
        </is>
      </c>
      <c r="CL83" s="6" t="inlineStr">
        <is>
          <t>Transport_EV_China</t>
        </is>
      </c>
      <c r="CM83" s="6" t="inlineStr">
        <is>
          <t>China transport EV curve is shifted earlier than the global curve to reflect earlier China EV/e-bus deployment in the 2010s.</t>
        </is>
      </c>
    </row>
    <row r="84" ht="14.5" customHeight="1" s="213">
      <c r="D84">
        <f>D83</f>
        <v/>
      </c>
      <c r="E84" t="inlineStr">
        <is>
          <t>Tra_EV_Batt-NCA_virgin_pack</t>
        </is>
      </c>
      <c r="F84" s="208">
        <f>AW84*$AS84</f>
        <v/>
      </c>
      <c r="G84" s="208">
        <f>AX84*$AS84</f>
        <v/>
      </c>
      <c r="H84" s="208">
        <f>AY84*$AS84</f>
        <v/>
      </c>
      <c r="I84" s="208">
        <f>AZ84*$AS84</f>
        <v/>
      </c>
      <c r="J84" s="208">
        <f>BA84*$AS84</f>
        <v/>
      </c>
      <c r="K84" s="208">
        <f>BB84*$AS84</f>
        <v/>
      </c>
      <c r="L84" s="208">
        <f>BC84*$AS84</f>
        <v/>
      </c>
      <c r="M84" s="208">
        <f>BD84*$CI84</f>
        <v/>
      </c>
      <c r="N84" s="208">
        <f>BE84*$AS84</f>
        <v/>
      </c>
      <c r="O84" s="208">
        <f>BF84*$AS84</f>
        <v/>
      </c>
      <c r="P84" s="208">
        <f>BG84*$AS84</f>
        <v/>
      </c>
      <c r="Q84" s="208">
        <f>BH84*$AS84</f>
        <v/>
      </c>
      <c r="R84" s="208">
        <f>BI84*$AS84</f>
        <v/>
      </c>
      <c r="S84" s="208">
        <f>BJ84*$AS84</f>
        <v/>
      </c>
      <c r="T84" s="208">
        <f>BK84*$AS84</f>
        <v/>
      </c>
      <c r="U84" s="208">
        <f>BL84*$AS84</f>
        <v/>
      </c>
      <c r="V84" s="208">
        <f>BM84*$AS84</f>
        <v/>
      </c>
      <c r="W84" s="208">
        <f>BN84*$AS84</f>
        <v/>
      </c>
      <c r="X84" s="208">
        <f>BO84*$AS84</f>
        <v/>
      </c>
      <c r="Y84" s="208">
        <f>BP84*$AS84</f>
        <v/>
      </c>
      <c r="Z84" s="208">
        <f>BQ84*$AS84</f>
        <v/>
      </c>
      <c r="AA84" s="208">
        <f>BR84*$AS84</f>
        <v/>
      </c>
      <c r="AB84" s="208">
        <f>BS84*$AS84</f>
        <v/>
      </c>
      <c r="AC84" s="208">
        <f>BT84*$AS84</f>
        <v/>
      </c>
      <c r="AD84" s="208">
        <f>BU84*$AS84</f>
        <v/>
      </c>
      <c r="AE84" s="208">
        <f>BV84*$AS84</f>
        <v/>
      </c>
      <c r="AF84" s="208">
        <f>BW84*$AS84</f>
        <v/>
      </c>
      <c r="AG84" s="208">
        <f>BX84*$AS84</f>
        <v/>
      </c>
      <c r="AH84" s="208">
        <f>BY84*$AS84</f>
        <v/>
      </c>
      <c r="AI84" s="208">
        <f>BZ84*$AS84</f>
        <v/>
      </c>
      <c r="AJ84" s="208">
        <f>CA84*$AS84</f>
        <v/>
      </c>
      <c r="AK84" s="208">
        <f>CB84*$AS84</f>
        <v/>
      </c>
      <c r="AL84" s="208">
        <f>CC84*$AS84</f>
        <v/>
      </c>
      <c r="AM84" s="208">
        <f>CD84*$AS84</f>
        <v/>
      </c>
      <c r="AN84" s="208">
        <f>CE84*$AS84</f>
        <v/>
      </c>
      <c r="AQ84" s="6" t="n">
        <v>2012</v>
      </c>
      <c r="AR84" s="6" t="inlineStr">
        <is>
          <t>Tra_EV_Batt-NCA_virgin_pack</t>
        </is>
      </c>
      <c r="AS84" s="6" t="n">
        <v>0.008999999999999999</v>
      </c>
      <c r="AT84" s="6" t="inlineStr">
        <is>
          <t>Transport_EV_general</t>
        </is>
      </c>
      <c r="AU84" s="6" t="inlineStr">
        <is>
          <t>Back-loaded transport EV battery vintage curve based on historical EV deployment shape.</t>
        </is>
      </c>
      <c r="AV84">
        <f>AV63</f>
        <v/>
      </c>
      <c r="AW84">
        <f>AW63</f>
        <v/>
      </c>
      <c r="AX84">
        <f>AX63</f>
        <v/>
      </c>
      <c r="AY84">
        <f>AY63</f>
        <v/>
      </c>
      <c r="AZ84">
        <f>AZ63</f>
        <v/>
      </c>
      <c r="BA84">
        <f>BA63</f>
        <v/>
      </c>
      <c r="BB84">
        <f>BB63</f>
        <v/>
      </c>
      <c r="BC84">
        <f>BC63</f>
        <v/>
      </c>
      <c r="BD84">
        <f>BD63</f>
        <v/>
      </c>
      <c r="BE84">
        <f>BE63</f>
        <v/>
      </c>
      <c r="BF84">
        <f>BF63</f>
        <v/>
      </c>
      <c r="BG84">
        <f>BG63</f>
        <v/>
      </c>
      <c r="BH84">
        <f>BH63</f>
        <v/>
      </c>
      <c r="BI84">
        <f>BI63</f>
        <v/>
      </c>
      <c r="BJ84">
        <f>BJ63</f>
        <v/>
      </c>
      <c r="BK84">
        <f>BK63</f>
        <v/>
      </c>
      <c r="BL84">
        <f>BL63</f>
        <v/>
      </c>
      <c r="BM84">
        <f>BM63</f>
        <v/>
      </c>
      <c r="BN84">
        <f>BN63</f>
        <v/>
      </c>
      <c r="BO84">
        <f>BO63</f>
        <v/>
      </c>
      <c r="BP84">
        <f>BP63</f>
        <v/>
      </c>
      <c r="BQ84">
        <f>BQ63</f>
        <v/>
      </c>
      <c r="BR84">
        <f>BR63</f>
        <v/>
      </c>
      <c r="BS84">
        <f>BS63</f>
        <v/>
      </c>
      <c r="BT84">
        <f>BT63</f>
        <v/>
      </c>
      <c r="BU84">
        <f>BU63</f>
        <v/>
      </c>
      <c r="BV84">
        <f>BV63</f>
        <v/>
      </c>
      <c r="BW84">
        <f>BW63</f>
        <v/>
      </c>
      <c r="BX84">
        <f>BX63</f>
        <v/>
      </c>
      <c r="BY84">
        <f>BY63</f>
        <v/>
      </c>
      <c r="BZ84">
        <f>BZ63</f>
        <v/>
      </c>
      <c r="CA84">
        <f>CA63</f>
        <v/>
      </c>
      <c r="CB84">
        <f>CB63</f>
        <v/>
      </c>
      <c r="CC84">
        <f>CC63</f>
        <v/>
      </c>
      <c r="CD84">
        <f>CD63</f>
        <v/>
      </c>
      <c r="CE84">
        <f>CE63</f>
        <v/>
      </c>
      <c r="CG84" s="6" t="n">
        <v>2012</v>
      </c>
      <c r="CH84" s="6" t="inlineStr">
        <is>
          <t>Tra_EV_Batt-NCA_virgin_pack</t>
        </is>
      </c>
      <c r="CI84" s="6" t="n">
        <v>0.008999999999999999</v>
      </c>
      <c r="CJ84" s="6" t="n">
        <v>0.007</v>
      </c>
      <c r="CK84" s="6" t="inlineStr">
        <is>
          <t>Transport_EV_global</t>
        </is>
      </c>
      <c r="CL84" s="6" t="inlineStr">
        <is>
          <t>Transport_EV_China</t>
        </is>
      </c>
      <c r="CM84" s="6" t="inlineStr">
        <is>
          <t>China transport EV curve is shifted earlier than the global curve to reflect earlier China EV/e-bus deployment in the 2010s.</t>
        </is>
      </c>
    </row>
    <row r="85" ht="14.5" customHeight="1" s="213">
      <c r="D85">
        <f>D84</f>
        <v/>
      </c>
      <c r="E85" t="inlineStr">
        <is>
          <t>Tra_EV_Batt-LMO_virgin_pack</t>
        </is>
      </c>
      <c r="F85" s="208">
        <f>AW85*$AS85</f>
        <v/>
      </c>
      <c r="G85" s="208">
        <f>AX85*$AS85</f>
        <v/>
      </c>
      <c r="H85" s="208">
        <f>AY85*$AS85</f>
        <v/>
      </c>
      <c r="I85" s="208">
        <f>AZ85*$AS85</f>
        <v/>
      </c>
      <c r="J85" s="208">
        <f>BA85*$AS85</f>
        <v/>
      </c>
      <c r="K85" s="208">
        <f>BB85*$AS85</f>
        <v/>
      </c>
      <c r="L85" s="208">
        <f>BC85*$AS85</f>
        <v/>
      </c>
      <c r="M85" s="208">
        <f>BD85*$CI85</f>
        <v/>
      </c>
      <c r="N85" s="208">
        <f>BE85*$AS85</f>
        <v/>
      </c>
      <c r="O85" s="208">
        <f>BF85*$AS85</f>
        <v/>
      </c>
      <c r="P85" s="208">
        <f>BG85*$AS85</f>
        <v/>
      </c>
      <c r="Q85" s="208">
        <f>BH85*$AS85</f>
        <v/>
      </c>
      <c r="R85" s="208">
        <f>BI85*$AS85</f>
        <v/>
      </c>
      <c r="S85" s="208">
        <f>BJ85*$AS85</f>
        <v/>
      </c>
      <c r="T85" s="208">
        <f>BK85*$AS85</f>
        <v/>
      </c>
      <c r="U85" s="208">
        <f>BL85*$AS85</f>
        <v/>
      </c>
      <c r="V85" s="208">
        <f>BM85*$AS85</f>
        <v/>
      </c>
      <c r="W85" s="208">
        <f>BN85*$AS85</f>
        <v/>
      </c>
      <c r="X85" s="208">
        <f>BO85*$AS85</f>
        <v/>
      </c>
      <c r="Y85" s="208">
        <f>BP85*$AS85</f>
        <v/>
      </c>
      <c r="Z85" s="208">
        <f>BQ85*$AS85</f>
        <v/>
      </c>
      <c r="AA85" s="208">
        <f>BR85*$AS85</f>
        <v/>
      </c>
      <c r="AB85" s="208">
        <f>BS85*$AS85</f>
        <v/>
      </c>
      <c r="AC85" s="208">
        <f>BT85*$AS85</f>
        <v/>
      </c>
      <c r="AD85" s="208">
        <f>BU85*$AS85</f>
        <v/>
      </c>
      <c r="AE85" s="208">
        <f>BV85*$AS85</f>
        <v/>
      </c>
      <c r="AF85" s="208">
        <f>BW85*$AS85</f>
        <v/>
      </c>
      <c r="AG85" s="208">
        <f>BX85*$AS85</f>
        <v/>
      </c>
      <c r="AH85" s="208">
        <f>BY85*$AS85</f>
        <v/>
      </c>
      <c r="AI85" s="208">
        <f>BZ85*$AS85</f>
        <v/>
      </c>
      <c r="AJ85" s="208">
        <f>CA85*$AS85</f>
        <v/>
      </c>
      <c r="AK85" s="208">
        <f>CB85*$AS85</f>
        <v/>
      </c>
      <c r="AL85" s="208">
        <f>CC85*$AS85</f>
        <v/>
      </c>
      <c r="AM85" s="208">
        <f>CD85*$AS85</f>
        <v/>
      </c>
      <c r="AN85" s="208">
        <f>CE85*$AS85</f>
        <v/>
      </c>
      <c r="AQ85" s="6" t="n">
        <v>2012</v>
      </c>
      <c r="AR85" s="6" t="inlineStr">
        <is>
          <t>Tra_EV_Batt-LMO_virgin_pack</t>
        </is>
      </c>
      <c r="AS85" s="6" t="n">
        <v>0.008999999999999999</v>
      </c>
      <c r="AT85" s="6" t="inlineStr">
        <is>
          <t>Transport_EV_general</t>
        </is>
      </c>
      <c r="AU85" s="6" t="inlineStr">
        <is>
          <t>Back-loaded transport EV battery vintage curve based on historical EV deployment shape.</t>
        </is>
      </c>
      <c r="AV85">
        <f>AV64</f>
        <v/>
      </c>
      <c r="AW85">
        <f>AW64</f>
        <v/>
      </c>
      <c r="AX85">
        <f>AX64</f>
        <v/>
      </c>
      <c r="AY85">
        <f>AY64</f>
        <v/>
      </c>
      <c r="AZ85">
        <f>AZ64</f>
        <v/>
      </c>
      <c r="BA85">
        <f>BA64</f>
        <v/>
      </c>
      <c r="BB85">
        <f>BB64</f>
        <v/>
      </c>
      <c r="BC85">
        <f>BC64</f>
        <v/>
      </c>
      <c r="BD85">
        <f>BD64</f>
        <v/>
      </c>
      <c r="BE85">
        <f>BE64</f>
        <v/>
      </c>
      <c r="BF85">
        <f>BF64</f>
        <v/>
      </c>
      <c r="BG85">
        <f>BG64</f>
        <v/>
      </c>
      <c r="BH85">
        <f>BH64</f>
        <v/>
      </c>
      <c r="BI85">
        <f>BI64</f>
        <v/>
      </c>
      <c r="BJ85">
        <f>BJ64</f>
        <v/>
      </c>
      <c r="BK85">
        <f>BK64</f>
        <v/>
      </c>
      <c r="BL85">
        <f>BL64</f>
        <v/>
      </c>
      <c r="BM85">
        <f>BM64</f>
        <v/>
      </c>
      <c r="BN85">
        <f>BN64</f>
        <v/>
      </c>
      <c r="BO85">
        <f>BO64</f>
        <v/>
      </c>
      <c r="BP85">
        <f>BP64</f>
        <v/>
      </c>
      <c r="BQ85">
        <f>BQ64</f>
        <v/>
      </c>
      <c r="BR85">
        <f>BR64</f>
        <v/>
      </c>
      <c r="BS85">
        <f>BS64</f>
        <v/>
      </c>
      <c r="BT85">
        <f>BT64</f>
        <v/>
      </c>
      <c r="BU85">
        <f>BU64</f>
        <v/>
      </c>
      <c r="BV85">
        <f>BV64</f>
        <v/>
      </c>
      <c r="BW85">
        <f>BW64</f>
        <v/>
      </c>
      <c r="BX85">
        <f>BX64</f>
        <v/>
      </c>
      <c r="BY85">
        <f>BY64</f>
        <v/>
      </c>
      <c r="BZ85">
        <f>BZ64</f>
        <v/>
      </c>
      <c r="CA85">
        <f>CA64</f>
        <v/>
      </c>
      <c r="CB85">
        <f>CB64</f>
        <v/>
      </c>
      <c r="CC85">
        <f>CC64</f>
        <v/>
      </c>
      <c r="CD85">
        <f>CD64</f>
        <v/>
      </c>
      <c r="CE85">
        <f>CE64</f>
        <v/>
      </c>
      <c r="CG85" s="6" t="n">
        <v>2012</v>
      </c>
      <c r="CH85" s="6" t="inlineStr">
        <is>
          <t>Tra_EV_Batt-LMO_virgin_pack</t>
        </is>
      </c>
      <c r="CI85" s="6" t="n">
        <v>0.008999999999999999</v>
      </c>
      <c r="CJ85" s="6" t="n">
        <v>0.007</v>
      </c>
      <c r="CK85" s="6" t="inlineStr">
        <is>
          <t>Transport_EV_global</t>
        </is>
      </c>
      <c r="CL85" s="6" t="inlineStr">
        <is>
          <t>Transport_EV_China</t>
        </is>
      </c>
      <c r="CM85" s="6" t="inlineStr">
        <is>
          <t>China transport EV curve is shifted earlier than the global curve to reflect earlier China EV/e-bus deployment in the 2010s.</t>
        </is>
      </c>
    </row>
    <row r="86" ht="14.5" customHeight="1" s="213">
      <c r="D86">
        <f>D85</f>
        <v/>
      </c>
      <c r="E86" t="inlineStr">
        <is>
          <t>Tra_EV_Batt-NMC111_virgin_pack</t>
        </is>
      </c>
      <c r="F86" s="208">
        <f>AW86*$AS86</f>
        <v/>
      </c>
      <c r="G86" s="208">
        <f>AX86*$AS86</f>
        <v/>
      </c>
      <c r="H86" s="208">
        <f>AY86*$AS86</f>
        <v/>
      </c>
      <c r="I86" s="208">
        <f>AZ86*$AS86</f>
        <v/>
      </c>
      <c r="J86" s="208">
        <f>BA86*$AS86</f>
        <v/>
      </c>
      <c r="K86" s="208">
        <f>BB86*$AS86</f>
        <v/>
      </c>
      <c r="L86" s="208">
        <f>BC86*$AS86</f>
        <v/>
      </c>
      <c r="M86" s="208">
        <f>BD86*$CI86</f>
        <v/>
      </c>
      <c r="N86" s="208">
        <f>BE86*$AS86</f>
        <v/>
      </c>
      <c r="O86" s="208">
        <f>BF86*$AS86</f>
        <v/>
      </c>
      <c r="P86" s="208">
        <f>BG86*$AS86</f>
        <v/>
      </c>
      <c r="Q86" s="208">
        <f>BH86*$AS86</f>
        <v/>
      </c>
      <c r="R86" s="208">
        <f>BI86*$AS86</f>
        <v/>
      </c>
      <c r="S86" s="208">
        <f>BJ86*$AS86</f>
        <v/>
      </c>
      <c r="T86" s="208">
        <f>BK86*$AS86</f>
        <v/>
      </c>
      <c r="U86" s="208">
        <f>BL86*$AS86</f>
        <v/>
      </c>
      <c r="V86" s="208">
        <f>BM86*$AS86</f>
        <v/>
      </c>
      <c r="W86" s="208">
        <f>BN86*$AS86</f>
        <v/>
      </c>
      <c r="X86" s="208">
        <f>BO86*$AS86</f>
        <v/>
      </c>
      <c r="Y86" s="208">
        <f>BP86*$AS86</f>
        <v/>
      </c>
      <c r="Z86" s="208">
        <f>BQ86*$AS86</f>
        <v/>
      </c>
      <c r="AA86" s="208">
        <f>BR86*$AS86</f>
        <v/>
      </c>
      <c r="AB86" s="208">
        <f>BS86*$AS86</f>
        <v/>
      </c>
      <c r="AC86" s="208">
        <f>BT86*$AS86</f>
        <v/>
      </c>
      <c r="AD86" s="208">
        <f>BU86*$AS86</f>
        <v/>
      </c>
      <c r="AE86" s="208">
        <f>BV86*$AS86</f>
        <v/>
      </c>
      <c r="AF86" s="208">
        <f>BW86*$AS86</f>
        <v/>
      </c>
      <c r="AG86" s="208">
        <f>BX86*$AS86</f>
        <v/>
      </c>
      <c r="AH86" s="208">
        <f>BY86*$AS86</f>
        <v/>
      </c>
      <c r="AI86" s="208">
        <f>BZ86*$AS86</f>
        <v/>
      </c>
      <c r="AJ86" s="208">
        <f>CA86*$AS86</f>
        <v/>
      </c>
      <c r="AK86" s="208">
        <f>CB86*$AS86</f>
        <v/>
      </c>
      <c r="AL86" s="208">
        <f>CC86*$AS86</f>
        <v/>
      </c>
      <c r="AM86" s="208">
        <f>CD86*$AS86</f>
        <v/>
      </c>
      <c r="AN86" s="208">
        <f>CE86*$AS86</f>
        <v/>
      </c>
      <c r="AQ86" s="6" t="n">
        <v>2012</v>
      </c>
      <c r="AR86" s="6" t="inlineStr">
        <is>
          <t>Tra_EV_Batt-NMC111_virgin_pack</t>
        </is>
      </c>
      <c r="AS86" s="6" t="n">
        <v>0.008999999999999999</v>
      </c>
      <c r="AT86" s="6" t="inlineStr">
        <is>
          <t>Transport_EV_general</t>
        </is>
      </c>
      <c r="AU86" s="6" t="inlineStr">
        <is>
          <t>Back-loaded transport EV battery vintage curve based on historical EV deployment shape.</t>
        </is>
      </c>
      <c r="AV86">
        <f>AV65</f>
        <v/>
      </c>
      <c r="AW86">
        <f>AW65</f>
        <v/>
      </c>
      <c r="AX86">
        <f>AX65</f>
        <v/>
      </c>
      <c r="AY86">
        <f>AY65</f>
        <v/>
      </c>
      <c r="AZ86">
        <f>AZ65</f>
        <v/>
      </c>
      <c r="BA86">
        <f>BA65</f>
        <v/>
      </c>
      <c r="BB86">
        <f>BB65</f>
        <v/>
      </c>
      <c r="BC86">
        <f>BC65</f>
        <v/>
      </c>
      <c r="BD86">
        <f>BD65</f>
        <v/>
      </c>
      <c r="BE86">
        <f>BE65</f>
        <v/>
      </c>
      <c r="BF86">
        <f>BF65</f>
        <v/>
      </c>
      <c r="BG86">
        <f>BG65</f>
        <v/>
      </c>
      <c r="BH86">
        <f>BH65</f>
        <v/>
      </c>
      <c r="BI86">
        <f>BI65</f>
        <v/>
      </c>
      <c r="BJ86">
        <f>BJ65</f>
        <v/>
      </c>
      <c r="BK86">
        <f>BK65</f>
        <v/>
      </c>
      <c r="BL86">
        <f>BL65</f>
        <v/>
      </c>
      <c r="BM86">
        <f>BM65</f>
        <v/>
      </c>
      <c r="BN86">
        <f>BN65</f>
        <v/>
      </c>
      <c r="BO86">
        <f>BO65</f>
        <v/>
      </c>
      <c r="BP86">
        <f>BP65</f>
        <v/>
      </c>
      <c r="BQ86">
        <f>BQ65</f>
        <v/>
      </c>
      <c r="BR86">
        <f>BR65</f>
        <v/>
      </c>
      <c r="BS86">
        <f>BS65</f>
        <v/>
      </c>
      <c r="BT86">
        <f>BT65</f>
        <v/>
      </c>
      <c r="BU86">
        <f>BU65</f>
        <v/>
      </c>
      <c r="BV86">
        <f>BV65</f>
        <v/>
      </c>
      <c r="BW86">
        <f>BW65</f>
        <v/>
      </c>
      <c r="BX86">
        <f>BX65</f>
        <v/>
      </c>
      <c r="BY86">
        <f>BY65</f>
        <v/>
      </c>
      <c r="BZ86">
        <f>BZ65</f>
        <v/>
      </c>
      <c r="CA86">
        <f>CA65</f>
        <v/>
      </c>
      <c r="CB86">
        <f>CB65</f>
        <v/>
      </c>
      <c r="CC86">
        <f>CC65</f>
        <v/>
      </c>
      <c r="CD86">
        <f>CD65</f>
        <v/>
      </c>
      <c r="CE86">
        <f>CE65</f>
        <v/>
      </c>
      <c r="CG86" s="6" t="n">
        <v>2012</v>
      </c>
      <c r="CH86" s="6" t="inlineStr">
        <is>
          <t>Tra_EV_Batt-NMC111_virgin_pack</t>
        </is>
      </c>
      <c r="CI86" s="6" t="n">
        <v>0.008999999999999999</v>
      </c>
      <c r="CJ86" s="6" t="n">
        <v>0.007</v>
      </c>
      <c r="CK86" s="6" t="inlineStr">
        <is>
          <t>Transport_EV_global</t>
        </is>
      </c>
      <c r="CL86" s="6" t="inlineStr">
        <is>
          <t>Transport_EV_China</t>
        </is>
      </c>
      <c r="CM86" s="6" t="inlineStr">
        <is>
          <t>China transport EV curve is shifted earlier than the global curve to reflect earlier China EV/e-bus deployment in the 2010s.</t>
        </is>
      </c>
    </row>
    <row r="87" ht="14.5" customHeight="1" s="213">
      <c r="D87" t="n">
        <v>2018</v>
      </c>
      <c r="E87" t="inlineStr">
        <is>
          <t>MINBatMaterials_LI</t>
        </is>
      </c>
      <c r="F87" s="208">
        <f>AW87*$AS87</f>
        <v/>
      </c>
      <c r="G87" s="208">
        <f>AX87*$AS87</f>
        <v/>
      </c>
      <c r="H87" s="208">
        <f>AY87*$AS87</f>
        <v/>
      </c>
      <c r="I87" s="208">
        <f>AZ87*$AS87</f>
        <v/>
      </c>
      <c r="J87" s="208">
        <f>BA87*$AS87</f>
        <v/>
      </c>
      <c r="K87" s="208">
        <f>BB87*$AS87</f>
        <v/>
      </c>
      <c r="L87" s="208">
        <f>BC87*$AS87</f>
        <v/>
      </c>
      <c r="M87" s="208">
        <f>BD87*$CI87</f>
        <v/>
      </c>
      <c r="N87" s="208">
        <f>BE87*$AS87</f>
        <v/>
      </c>
      <c r="O87" s="208">
        <f>BF87*$AS87</f>
        <v/>
      </c>
      <c r="P87" s="208">
        <f>BG87*$AS87</f>
        <v/>
      </c>
      <c r="Q87" s="208">
        <f>BH87*$AS87</f>
        <v/>
      </c>
      <c r="R87" s="208">
        <f>BI87*$AS87</f>
        <v/>
      </c>
      <c r="S87" s="208">
        <f>BJ87*$AS87</f>
        <v/>
      </c>
      <c r="T87" s="208">
        <f>BK87*$AS87</f>
        <v/>
      </c>
      <c r="U87" s="208">
        <f>BL87*$AS87</f>
        <v/>
      </c>
      <c r="V87" s="208">
        <f>BM87*$AS87</f>
        <v/>
      </c>
      <c r="W87" s="208">
        <f>BN87*$AS87</f>
        <v/>
      </c>
      <c r="X87" s="208">
        <f>BO87*$AS87</f>
        <v/>
      </c>
      <c r="Y87" s="208">
        <f>BP87*$AS87</f>
        <v/>
      </c>
      <c r="Z87" s="208">
        <f>BQ87*$AS87</f>
        <v/>
      </c>
      <c r="AA87" s="208">
        <f>BR87*$AS87</f>
        <v/>
      </c>
      <c r="AB87" s="208">
        <f>BS87*$AS87</f>
        <v/>
      </c>
      <c r="AC87" s="208">
        <f>BT87*$AS87</f>
        <v/>
      </c>
      <c r="AD87" s="208">
        <f>BU87*$AS87</f>
        <v/>
      </c>
      <c r="AE87" s="208">
        <f>BV87*$AS87</f>
        <v/>
      </c>
      <c r="AF87" s="208">
        <f>BW87*$AS87</f>
        <v/>
      </c>
      <c r="AG87" s="208">
        <f>BX87*$AS87</f>
        <v/>
      </c>
      <c r="AH87" s="208">
        <f>BY87*$AS87</f>
        <v/>
      </c>
      <c r="AI87" s="208">
        <f>BZ87*$AS87</f>
        <v/>
      </c>
      <c r="AJ87" s="208">
        <f>CA87*$AS87</f>
        <v/>
      </c>
      <c r="AK87" s="208">
        <f>CB87*$AS87</f>
        <v/>
      </c>
      <c r="AL87" s="208">
        <f>CC87*$AS87</f>
        <v/>
      </c>
      <c r="AM87" s="208">
        <f>CD87*$AS87</f>
        <v/>
      </c>
      <c r="AN87" s="208">
        <f>CE87*$AS87</f>
        <v/>
      </c>
      <c r="AQ87" s="6" t="n">
        <v>2013</v>
      </c>
      <c r="AR87" s="6" t="inlineStr">
        <is>
          <t>MINBatMaterials_LI</t>
        </is>
      </c>
      <c r="AS87" s="6" t="n">
        <v>0.08500000000000001</v>
      </c>
      <c r="AT87" s="6" t="inlineStr">
        <is>
          <t>Mining_facility_representative</t>
        </is>
      </c>
      <c r="AU87" s="6" t="inlineStr">
        <is>
          <t>Representative mining-capacity vintage curve; COB_direct treated as aggregate cobalt-production route including by-product routes.</t>
        </is>
      </c>
      <c r="AV87">
        <f>AV66</f>
        <v/>
      </c>
      <c r="AW87">
        <f>AW66</f>
        <v/>
      </c>
      <c r="AX87">
        <f>AX66</f>
        <v/>
      </c>
      <c r="AY87">
        <f>AY66</f>
        <v/>
      </c>
      <c r="AZ87">
        <f>AZ66</f>
        <v/>
      </c>
      <c r="BA87">
        <f>BA66</f>
        <v/>
      </c>
      <c r="BB87">
        <f>BB66</f>
        <v/>
      </c>
      <c r="BC87">
        <f>BC66</f>
        <v/>
      </c>
      <c r="BD87">
        <f>BD66</f>
        <v/>
      </c>
      <c r="BE87">
        <f>BE66</f>
        <v/>
      </c>
      <c r="BF87">
        <f>BF66</f>
        <v/>
      </c>
      <c r="BG87">
        <f>BG66</f>
        <v/>
      </c>
      <c r="BH87">
        <f>BH66</f>
        <v/>
      </c>
      <c r="BI87">
        <f>BI66</f>
        <v/>
      </c>
      <c r="BJ87">
        <f>BJ66</f>
        <v/>
      </c>
      <c r="BK87">
        <f>BK66</f>
        <v/>
      </c>
      <c r="BL87">
        <f>BL66</f>
        <v/>
      </c>
      <c r="BM87">
        <f>BM66</f>
        <v/>
      </c>
      <c r="BN87">
        <f>BN66</f>
        <v/>
      </c>
      <c r="BO87">
        <f>BO66</f>
        <v/>
      </c>
      <c r="BP87">
        <f>BP66</f>
        <v/>
      </c>
      <c r="BQ87">
        <f>BQ66</f>
        <v/>
      </c>
      <c r="BR87">
        <f>BR66</f>
        <v/>
      </c>
      <c r="BS87">
        <f>BS66</f>
        <v/>
      </c>
      <c r="BT87">
        <f>BT66</f>
        <v/>
      </c>
      <c r="BU87">
        <f>BU66</f>
        <v/>
      </c>
      <c r="BV87">
        <f>BV66</f>
        <v/>
      </c>
      <c r="BW87">
        <f>BW66</f>
        <v/>
      </c>
      <c r="BX87">
        <f>BX66</f>
        <v/>
      </c>
      <c r="BY87">
        <f>BY66</f>
        <v/>
      </c>
      <c r="BZ87">
        <f>BZ66</f>
        <v/>
      </c>
      <c r="CA87">
        <f>CA66</f>
        <v/>
      </c>
      <c r="CB87">
        <f>CB66</f>
        <v/>
      </c>
      <c r="CC87">
        <f>CC66</f>
        <v/>
      </c>
      <c r="CD87">
        <f>CD66</f>
        <v/>
      </c>
      <c r="CE87">
        <f>CE66</f>
        <v/>
      </c>
      <c r="CG87" s="6" t="n">
        <v>2013</v>
      </c>
      <c r="CH87" s="6" t="inlineStr">
        <is>
          <t>MINBatMaterials_LI</t>
        </is>
      </c>
      <c r="CI87" s="6" t="n">
        <v>0.08500000000000001</v>
      </c>
      <c r="CJ87" s="6" t="n">
        <v>0.08500000000000001</v>
      </c>
      <c r="CK87" s="6" t="inlineStr">
        <is>
          <t>Mining_facility_representative</t>
        </is>
      </c>
      <c r="CL87" s="6" t="inlineStr">
        <is>
          <t>Mining_facility_representative</t>
        </is>
      </c>
      <c r="CM87" s="6" t="inlineStr">
        <is>
          <t>Mining curve kept the same for China; COB_direct treated as aggregate cobalt-production route including by-product routes.</t>
        </is>
      </c>
    </row>
    <row r="88" ht="14.5" customHeight="1" s="213">
      <c r="D88">
        <f>D87</f>
        <v/>
      </c>
      <c r="E88" t="inlineStr">
        <is>
          <t>MINBatMaterials_NI</t>
        </is>
      </c>
      <c r="F88" s="208">
        <f>AW88*$AS88</f>
        <v/>
      </c>
      <c r="G88" s="208">
        <f>AX88*$AS88</f>
        <v/>
      </c>
      <c r="H88" s="208">
        <f>AY88*$AS88</f>
        <v/>
      </c>
      <c r="I88" s="208">
        <f>AZ88*$AS88</f>
        <v/>
      </c>
      <c r="J88" s="208">
        <f>BA88*$AS88</f>
        <v/>
      </c>
      <c r="K88" s="208">
        <f>BB88*$AS88</f>
        <v/>
      </c>
      <c r="L88" s="208">
        <f>BC88*$AS88</f>
        <v/>
      </c>
      <c r="M88" s="208">
        <f>BD88*$CI88</f>
        <v/>
      </c>
      <c r="N88" s="208">
        <f>BE88*$AS88</f>
        <v/>
      </c>
      <c r="O88" s="208">
        <f>BF88*$AS88</f>
        <v/>
      </c>
      <c r="P88" s="208">
        <f>BG88*$AS88</f>
        <v/>
      </c>
      <c r="Q88" s="208">
        <f>BH88*$AS88</f>
        <v/>
      </c>
      <c r="R88" s="208">
        <f>BI88*$AS88</f>
        <v/>
      </c>
      <c r="S88" s="208">
        <f>BJ88*$AS88</f>
        <v/>
      </c>
      <c r="T88" s="208">
        <f>BK88*$AS88</f>
        <v/>
      </c>
      <c r="U88" s="208">
        <f>BL88*$AS88</f>
        <v/>
      </c>
      <c r="V88" s="208">
        <f>BM88*$AS88</f>
        <v/>
      </c>
      <c r="W88" s="208">
        <f>BN88*$AS88</f>
        <v/>
      </c>
      <c r="X88" s="208">
        <f>BO88*$AS88</f>
        <v/>
      </c>
      <c r="Y88" s="208">
        <f>BP88*$AS88</f>
        <v/>
      </c>
      <c r="Z88" s="208">
        <f>BQ88*$AS88</f>
        <v/>
      </c>
      <c r="AA88" s="208">
        <f>BR88*$AS88</f>
        <v/>
      </c>
      <c r="AB88" s="208">
        <f>BS88*$AS88</f>
        <v/>
      </c>
      <c r="AC88" s="208">
        <f>BT88*$AS88</f>
        <v/>
      </c>
      <c r="AD88" s="208">
        <f>BU88*$AS88</f>
        <v/>
      </c>
      <c r="AE88" s="208">
        <f>BV88*$AS88</f>
        <v/>
      </c>
      <c r="AF88" s="208">
        <f>BW88*$AS88</f>
        <v/>
      </c>
      <c r="AG88" s="208">
        <f>BX88*$AS88</f>
        <v/>
      </c>
      <c r="AH88" s="208">
        <f>BY88*$AS88</f>
        <v/>
      </c>
      <c r="AI88" s="208">
        <f>BZ88*$AS88</f>
        <v/>
      </c>
      <c r="AJ88" s="208">
        <f>CA88*$AS88</f>
        <v/>
      </c>
      <c r="AK88" s="208">
        <f>CB88*$AS88</f>
        <v/>
      </c>
      <c r="AL88" s="208">
        <f>CC88*$AS88</f>
        <v/>
      </c>
      <c r="AM88" s="208">
        <f>CD88*$AS88</f>
        <v/>
      </c>
      <c r="AN88" s="208">
        <f>CE88*$AS88</f>
        <v/>
      </c>
      <c r="AQ88" s="6" t="n">
        <v>2013</v>
      </c>
      <c r="AR88" s="6" t="inlineStr">
        <is>
          <t>MINBatMaterials_NI</t>
        </is>
      </c>
      <c r="AS88" s="6" t="n">
        <v>0.08500000000000001</v>
      </c>
      <c r="AT88" s="6" t="inlineStr">
        <is>
          <t>Mining_facility_representative</t>
        </is>
      </c>
      <c r="AU88" s="6" t="inlineStr">
        <is>
          <t>Representative mining-capacity vintage curve; COB_direct treated as aggregate cobalt-production route including by-product routes.</t>
        </is>
      </c>
      <c r="AV88">
        <f>AV67</f>
        <v/>
      </c>
      <c r="AW88">
        <f>AW67</f>
        <v/>
      </c>
      <c r="AX88">
        <f>AX67</f>
        <v/>
      </c>
      <c r="AY88">
        <f>AY67</f>
        <v/>
      </c>
      <c r="AZ88">
        <f>AZ67</f>
        <v/>
      </c>
      <c r="BA88">
        <f>BA67</f>
        <v/>
      </c>
      <c r="BB88">
        <f>BB67</f>
        <v/>
      </c>
      <c r="BC88">
        <f>BC67</f>
        <v/>
      </c>
      <c r="BD88">
        <f>BD67</f>
        <v/>
      </c>
      <c r="BE88">
        <f>BE67</f>
        <v/>
      </c>
      <c r="BF88">
        <f>BF67</f>
        <v/>
      </c>
      <c r="BG88">
        <f>BG67</f>
        <v/>
      </c>
      <c r="BH88">
        <f>BH67</f>
        <v/>
      </c>
      <c r="BI88">
        <f>BI67</f>
        <v/>
      </c>
      <c r="BJ88">
        <f>BJ67</f>
        <v/>
      </c>
      <c r="BK88">
        <f>BK67</f>
        <v/>
      </c>
      <c r="BL88">
        <f>BL67</f>
        <v/>
      </c>
      <c r="BM88">
        <f>BM67</f>
        <v/>
      </c>
      <c r="BN88">
        <f>BN67</f>
        <v/>
      </c>
      <c r="BO88">
        <f>BO67</f>
        <v/>
      </c>
      <c r="BP88">
        <f>BP67</f>
        <v/>
      </c>
      <c r="BQ88">
        <f>BQ67</f>
        <v/>
      </c>
      <c r="BR88">
        <f>BR67</f>
        <v/>
      </c>
      <c r="BS88">
        <f>BS67</f>
        <v/>
      </c>
      <c r="BT88">
        <f>BT67</f>
        <v/>
      </c>
      <c r="BU88">
        <f>BU67</f>
        <v/>
      </c>
      <c r="BV88">
        <f>BV67</f>
        <v/>
      </c>
      <c r="BW88">
        <f>BW67</f>
        <v/>
      </c>
      <c r="BX88">
        <f>BX67</f>
        <v/>
      </c>
      <c r="BY88">
        <f>BY67</f>
        <v/>
      </c>
      <c r="BZ88">
        <f>BZ67</f>
        <v/>
      </c>
      <c r="CA88">
        <f>CA67</f>
        <v/>
      </c>
      <c r="CB88">
        <f>CB67</f>
        <v/>
      </c>
      <c r="CC88">
        <f>CC67</f>
        <v/>
      </c>
      <c r="CD88">
        <f>CD67</f>
        <v/>
      </c>
      <c r="CE88">
        <f>CE67</f>
        <v/>
      </c>
      <c r="CG88" s="6" t="n">
        <v>2013</v>
      </c>
      <c r="CH88" s="6" t="inlineStr">
        <is>
          <t>MINBatMaterials_NI</t>
        </is>
      </c>
      <c r="CI88" s="6" t="n">
        <v>0.08500000000000001</v>
      </c>
      <c r="CJ88" s="6" t="n">
        <v>0.08500000000000001</v>
      </c>
      <c r="CK88" s="6" t="inlineStr">
        <is>
          <t>Mining_facility_representative</t>
        </is>
      </c>
      <c r="CL88" s="6" t="inlineStr">
        <is>
          <t>Mining_facility_representative</t>
        </is>
      </c>
      <c r="CM88" s="6" t="inlineStr">
        <is>
          <t>Mining curve kept the same for China; COB_direct treated as aggregate cobalt-production route including by-product routes.</t>
        </is>
      </c>
    </row>
    <row r="89" ht="16" customHeight="1" s="213">
      <c r="D89">
        <f>D88</f>
        <v/>
      </c>
      <c r="E89" s="66" t="inlineStr">
        <is>
          <t>MINBatMaterials_COB_direct</t>
        </is>
      </c>
      <c r="F89" s="208">
        <f>AW89*$AS89</f>
        <v/>
      </c>
      <c r="G89" s="208">
        <f>AX89*$AS89</f>
        <v/>
      </c>
      <c r="H89" s="208">
        <f>AY89*$AS89</f>
        <v/>
      </c>
      <c r="I89" s="208">
        <f>AZ89*$AS89</f>
        <v/>
      </c>
      <c r="J89" s="208">
        <f>BA89*$AS89</f>
        <v/>
      </c>
      <c r="K89" s="208">
        <f>BB89*$AS89</f>
        <v/>
      </c>
      <c r="L89" s="208">
        <f>BC89*$AS89</f>
        <v/>
      </c>
      <c r="M89" s="208">
        <f>BD89*$CI89</f>
        <v/>
      </c>
      <c r="N89" s="208">
        <f>BE89*$AS89</f>
        <v/>
      </c>
      <c r="O89" s="208">
        <f>BF89*$AS89</f>
        <v/>
      </c>
      <c r="P89" s="208">
        <f>BG89*$AS89</f>
        <v/>
      </c>
      <c r="Q89" s="208">
        <f>BH89*$AS89</f>
        <v/>
      </c>
      <c r="R89" s="208">
        <f>BI89*$AS89</f>
        <v/>
      </c>
      <c r="S89" s="208">
        <f>BJ89*$AS89</f>
        <v/>
      </c>
      <c r="T89" s="208">
        <f>BK89*$AS89</f>
        <v/>
      </c>
      <c r="U89" s="208">
        <f>BL89*$AS89</f>
        <v/>
      </c>
      <c r="V89" s="208">
        <f>BM89*$AS89</f>
        <v/>
      </c>
      <c r="W89" s="208">
        <f>BN89*$AS89</f>
        <v/>
      </c>
      <c r="X89" s="208">
        <f>BO89*$AS89</f>
        <v/>
      </c>
      <c r="Y89" s="208">
        <f>BP89*$AS89</f>
        <v/>
      </c>
      <c r="Z89" s="208">
        <f>BQ89*$AS89</f>
        <v/>
      </c>
      <c r="AA89" s="208">
        <f>BR89*$AS89</f>
        <v/>
      </c>
      <c r="AB89" s="208">
        <f>BS89*$AS89</f>
        <v/>
      </c>
      <c r="AC89" s="208">
        <f>BT89*$AS89</f>
        <v/>
      </c>
      <c r="AD89" s="208">
        <f>BU89*$AS89</f>
        <v/>
      </c>
      <c r="AE89" s="208">
        <f>BV89*$AS89</f>
        <v/>
      </c>
      <c r="AF89" s="208">
        <f>BW89*$AS89</f>
        <v/>
      </c>
      <c r="AG89" s="208">
        <f>BX89*$AS89</f>
        <v/>
      </c>
      <c r="AH89" s="208">
        <f>BY89*$AS89</f>
        <v/>
      </c>
      <c r="AI89" s="208">
        <f>BZ89*$AS89</f>
        <v/>
      </c>
      <c r="AJ89" s="208">
        <f>CA89*$AS89</f>
        <v/>
      </c>
      <c r="AK89" s="208">
        <f>CB89*$AS89</f>
        <v/>
      </c>
      <c r="AL89" s="208">
        <f>CC89*$AS89</f>
        <v/>
      </c>
      <c r="AM89" s="208">
        <f>CD89*$AS89</f>
        <v/>
      </c>
      <c r="AN89" s="208">
        <f>CE89*$AS89</f>
        <v/>
      </c>
      <c r="AQ89" s="6" t="n">
        <v>2013</v>
      </c>
      <c r="AR89" s="6" t="inlineStr">
        <is>
          <t>MINBatMaterials_COB_direct</t>
        </is>
      </c>
      <c r="AS89" s="6" t="n">
        <v>0.08500000000000001</v>
      </c>
      <c r="AT89" s="6" t="inlineStr">
        <is>
          <t>Mining_facility_representative</t>
        </is>
      </c>
      <c r="AU89" s="6" t="inlineStr">
        <is>
          <t>Representative mining-capacity vintage curve; COB_direct treated as aggregate cobalt-production route including by-product routes.</t>
        </is>
      </c>
      <c r="AV89">
        <f>AV68</f>
        <v/>
      </c>
      <c r="AW89">
        <f>AW68</f>
        <v/>
      </c>
      <c r="AX89">
        <f>AX68</f>
        <v/>
      </c>
      <c r="AY89">
        <f>AY68</f>
        <v/>
      </c>
      <c r="AZ89">
        <f>AZ68</f>
        <v/>
      </c>
      <c r="BA89">
        <f>BA68</f>
        <v/>
      </c>
      <c r="BB89">
        <f>BB68</f>
        <v/>
      </c>
      <c r="BC89">
        <f>BC68</f>
        <v/>
      </c>
      <c r="BD89">
        <f>BD68</f>
        <v/>
      </c>
      <c r="BE89">
        <f>BE68</f>
        <v/>
      </c>
      <c r="BF89">
        <f>BF68</f>
        <v/>
      </c>
      <c r="BG89">
        <f>BG68</f>
        <v/>
      </c>
      <c r="BH89">
        <f>BH68</f>
        <v/>
      </c>
      <c r="BI89">
        <f>BI68</f>
        <v/>
      </c>
      <c r="BJ89">
        <f>BJ68</f>
        <v/>
      </c>
      <c r="BK89">
        <f>BK68</f>
        <v/>
      </c>
      <c r="BL89">
        <f>BL68</f>
        <v/>
      </c>
      <c r="BM89">
        <f>BM68</f>
        <v/>
      </c>
      <c r="BN89">
        <f>BN68</f>
        <v/>
      </c>
      <c r="BO89">
        <f>BO68</f>
        <v/>
      </c>
      <c r="BP89">
        <f>BP68</f>
        <v/>
      </c>
      <c r="BQ89">
        <f>BQ68</f>
        <v/>
      </c>
      <c r="BR89">
        <f>BR68</f>
        <v/>
      </c>
      <c r="BS89">
        <f>BS68</f>
        <v/>
      </c>
      <c r="BT89">
        <f>BT68</f>
        <v/>
      </c>
      <c r="BU89">
        <f>BU68</f>
        <v/>
      </c>
      <c r="BV89">
        <f>BV68</f>
        <v/>
      </c>
      <c r="BW89">
        <f>BW68</f>
        <v/>
      </c>
      <c r="BX89">
        <f>BX68</f>
        <v/>
      </c>
      <c r="BY89">
        <f>BY68</f>
        <v/>
      </c>
      <c r="BZ89">
        <f>BZ68</f>
        <v/>
      </c>
      <c r="CA89">
        <f>CA68</f>
        <v/>
      </c>
      <c r="CB89">
        <f>CB68</f>
        <v/>
      </c>
      <c r="CC89">
        <f>CC68</f>
        <v/>
      </c>
      <c r="CD89">
        <f>CD68</f>
        <v/>
      </c>
      <c r="CE89">
        <f>CE68</f>
        <v/>
      </c>
      <c r="CG89" s="6" t="n">
        <v>2013</v>
      </c>
      <c r="CH89" s="6" t="inlineStr">
        <is>
          <t>MINBatMaterials_COB_direct</t>
        </is>
      </c>
      <c r="CI89" s="6" t="n">
        <v>0.08500000000000001</v>
      </c>
      <c r="CJ89" s="6" t="n">
        <v>0.08500000000000001</v>
      </c>
      <c r="CK89" s="6" t="inlineStr">
        <is>
          <t>Mining_facility_representative</t>
        </is>
      </c>
      <c r="CL89" s="6" t="inlineStr">
        <is>
          <t>Mining_facility_representative</t>
        </is>
      </c>
      <c r="CM89" s="6" t="inlineStr">
        <is>
          <t>Mining curve kept the same for China; COB_direct treated as aggregate cobalt-production route including by-product routes.</t>
        </is>
      </c>
    </row>
    <row r="90" ht="14.5" customHeight="1" s="213">
      <c r="D90">
        <f>D89</f>
        <v/>
      </c>
      <c r="E90" t="inlineStr">
        <is>
          <t>MINBatMaterials_MN</t>
        </is>
      </c>
      <c r="F90" s="208">
        <f>AW90*$AS90</f>
        <v/>
      </c>
      <c r="G90" s="208">
        <f>AX90*$AS90</f>
        <v/>
      </c>
      <c r="H90" s="208">
        <f>AY90*$AS90</f>
        <v/>
      </c>
      <c r="I90" s="208">
        <f>AZ90*$AS90</f>
        <v/>
      </c>
      <c r="J90" s="208">
        <f>BA90*$AS90</f>
        <v/>
      </c>
      <c r="K90" s="208">
        <f>BB90*$AS90</f>
        <v/>
      </c>
      <c r="L90" s="208">
        <f>BC90*$AS90</f>
        <v/>
      </c>
      <c r="M90" s="208">
        <f>BD90*$CI90</f>
        <v/>
      </c>
      <c r="N90" s="208">
        <f>BE90*$AS90</f>
        <v/>
      </c>
      <c r="O90" s="208">
        <f>BF90*$AS90</f>
        <v/>
      </c>
      <c r="P90" s="208">
        <f>BG90*$AS90</f>
        <v/>
      </c>
      <c r="Q90" s="208">
        <f>BH90*$AS90</f>
        <v/>
      </c>
      <c r="R90" s="208">
        <f>BI90*$AS90</f>
        <v/>
      </c>
      <c r="S90" s="208">
        <f>BJ90*$AS90</f>
        <v/>
      </c>
      <c r="T90" s="208">
        <f>BK90*$AS90</f>
        <v/>
      </c>
      <c r="U90" s="208">
        <f>BL90*$AS90</f>
        <v/>
      </c>
      <c r="V90" s="208">
        <f>BM90*$AS90</f>
        <v/>
      </c>
      <c r="W90" s="208">
        <f>BN90*$AS90</f>
        <v/>
      </c>
      <c r="X90" s="208">
        <f>BO90*$AS90</f>
        <v/>
      </c>
      <c r="Y90" s="208">
        <f>BP90*$AS90</f>
        <v/>
      </c>
      <c r="Z90" s="208">
        <f>BQ90*$AS90</f>
        <v/>
      </c>
      <c r="AA90" s="208">
        <f>BR90*$AS90</f>
        <v/>
      </c>
      <c r="AB90" s="208">
        <f>BS90*$AS90</f>
        <v/>
      </c>
      <c r="AC90" s="208">
        <f>BT90*$AS90</f>
        <v/>
      </c>
      <c r="AD90" s="208">
        <f>BU90*$AS90</f>
        <v/>
      </c>
      <c r="AE90" s="208">
        <f>BV90*$AS90</f>
        <v/>
      </c>
      <c r="AF90" s="208">
        <f>BW90*$AS90</f>
        <v/>
      </c>
      <c r="AG90" s="208">
        <f>BX90*$AS90</f>
        <v/>
      </c>
      <c r="AH90" s="208">
        <f>BY90*$AS90</f>
        <v/>
      </c>
      <c r="AI90" s="208">
        <f>BZ90*$AS90</f>
        <v/>
      </c>
      <c r="AJ90" s="208">
        <f>CA90*$AS90</f>
        <v/>
      </c>
      <c r="AK90" s="208">
        <f>CB90*$AS90</f>
        <v/>
      </c>
      <c r="AL90" s="208">
        <f>CC90*$AS90</f>
        <v/>
      </c>
      <c r="AM90" s="208">
        <f>CD90*$AS90</f>
        <v/>
      </c>
      <c r="AN90" s="208">
        <f>CE90*$AS90</f>
        <v/>
      </c>
      <c r="AQ90" s="6" t="n">
        <v>2013</v>
      </c>
      <c r="AR90" s="6" t="inlineStr">
        <is>
          <t>MINBatMaterials_MN</t>
        </is>
      </c>
      <c r="AS90" s="6" t="n">
        <v>0.08500000000000001</v>
      </c>
      <c r="AT90" s="6" t="inlineStr">
        <is>
          <t>Mining_facility_representative</t>
        </is>
      </c>
      <c r="AU90" s="6" t="inlineStr">
        <is>
          <t>Representative mining-capacity vintage curve; COB_direct treated as aggregate cobalt-production route including by-product routes.</t>
        </is>
      </c>
      <c r="AV90">
        <f>AV69</f>
        <v/>
      </c>
      <c r="AW90">
        <f>AW69</f>
        <v/>
      </c>
      <c r="AX90">
        <f>AX69</f>
        <v/>
      </c>
      <c r="AY90">
        <f>AY69</f>
        <v/>
      </c>
      <c r="AZ90">
        <f>AZ69</f>
        <v/>
      </c>
      <c r="BA90">
        <f>BA69</f>
        <v/>
      </c>
      <c r="BB90">
        <f>BB69</f>
        <v/>
      </c>
      <c r="BC90">
        <f>BC69</f>
        <v/>
      </c>
      <c r="BD90">
        <f>BD69</f>
        <v/>
      </c>
      <c r="BE90">
        <f>BE69</f>
        <v/>
      </c>
      <c r="BF90">
        <f>BF69</f>
        <v/>
      </c>
      <c r="BG90">
        <f>BG69</f>
        <v/>
      </c>
      <c r="BH90">
        <f>BH69</f>
        <v/>
      </c>
      <c r="BI90">
        <f>BI69</f>
        <v/>
      </c>
      <c r="BJ90">
        <f>BJ69</f>
        <v/>
      </c>
      <c r="BK90">
        <f>BK69</f>
        <v/>
      </c>
      <c r="BL90">
        <f>BL69</f>
        <v/>
      </c>
      <c r="BM90">
        <f>BM69</f>
        <v/>
      </c>
      <c r="BN90">
        <f>BN69</f>
        <v/>
      </c>
      <c r="BO90">
        <f>BO69</f>
        <v/>
      </c>
      <c r="BP90">
        <f>BP69</f>
        <v/>
      </c>
      <c r="BQ90">
        <f>BQ69</f>
        <v/>
      </c>
      <c r="BR90">
        <f>BR69</f>
        <v/>
      </c>
      <c r="BS90">
        <f>BS69</f>
        <v/>
      </c>
      <c r="BT90">
        <f>BT69</f>
        <v/>
      </c>
      <c r="BU90">
        <f>BU69</f>
        <v/>
      </c>
      <c r="BV90">
        <f>BV69</f>
        <v/>
      </c>
      <c r="BW90">
        <f>BW69</f>
        <v/>
      </c>
      <c r="BX90">
        <f>BX69</f>
        <v/>
      </c>
      <c r="BY90">
        <f>BY69</f>
        <v/>
      </c>
      <c r="BZ90">
        <f>BZ69</f>
        <v/>
      </c>
      <c r="CA90">
        <f>CA69</f>
        <v/>
      </c>
      <c r="CB90">
        <f>CB69</f>
        <v/>
      </c>
      <c r="CC90">
        <f>CC69</f>
        <v/>
      </c>
      <c r="CD90">
        <f>CD69</f>
        <v/>
      </c>
      <c r="CE90">
        <f>CE69</f>
        <v/>
      </c>
      <c r="CG90" s="6" t="n">
        <v>2013</v>
      </c>
      <c r="CH90" s="6" t="inlineStr">
        <is>
          <t>MINBatMaterials_MN</t>
        </is>
      </c>
      <c r="CI90" s="6" t="n">
        <v>0.08500000000000001</v>
      </c>
      <c r="CJ90" s="6" t="n">
        <v>0.08500000000000001</v>
      </c>
      <c r="CK90" s="6" t="inlineStr">
        <is>
          <t>Mining_facility_representative</t>
        </is>
      </c>
      <c r="CL90" s="6" t="inlineStr">
        <is>
          <t>Mining_facility_representative</t>
        </is>
      </c>
      <c r="CM90" s="6" t="inlineStr">
        <is>
          <t>Mining curve kept the same for China; COB_direct treated as aggregate cobalt-production route including by-product routes.</t>
        </is>
      </c>
    </row>
    <row r="91" ht="14.5" customHeight="1" s="213">
      <c r="D91">
        <f>D90</f>
        <v/>
      </c>
      <c r="E91" t="inlineStr">
        <is>
          <t>MINBatMaterials_AL</t>
        </is>
      </c>
      <c r="F91" s="208">
        <f>AW91*$AS91</f>
        <v/>
      </c>
      <c r="G91" s="208">
        <f>AX91*$AS91</f>
        <v/>
      </c>
      <c r="H91" s="208">
        <f>AY91*$AS91</f>
        <v/>
      </c>
      <c r="I91" s="208">
        <f>AZ91*$AS91</f>
        <v/>
      </c>
      <c r="J91" s="208">
        <f>BA91*$AS91</f>
        <v/>
      </c>
      <c r="K91" s="208">
        <f>BB91*$AS91</f>
        <v/>
      </c>
      <c r="L91" s="208">
        <f>BC91*$AS91</f>
        <v/>
      </c>
      <c r="M91" s="208">
        <f>BD91*$CI91</f>
        <v/>
      </c>
      <c r="N91" s="208">
        <f>BE91*$AS91</f>
        <v/>
      </c>
      <c r="O91" s="208">
        <f>BF91*$AS91</f>
        <v/>
      </c>
      <c r="P91" s="208">
        <f>BG91*$AS91</f>
        <v/>
      </c>
      <c r="Q91" s="208">
        <f>BH91*$AS91</f>
        <v/>
      </c>
      <c r="R91" s="208">
        <f>BI91*$AS91</f>
        <v/>
      </c>
      <c r="S91" s="208">
        <f>BJ91*$AS91</f>
        <v/>
      </c>
      <c r="T91" s="208">
        <f>BK91*$AS91</f>
        <v/>
      </c>
      <c r="U91" s="208">
        <f>BL91*$AS91</f>
        <v/>
      </c>
      <c r="V91" s="208">
        <f>BM91*$AS91</f>
        <v/>
      </c>
      <c r="W91" s="208">
        <f>BN91*$AS91</f>
        <v/>
      </c>
      <c r="X91" s="208">
        <f>BO91*$AS91</f>
        <v/>
      </c>
      <c r="Y91" s="208">
        <f>BP91*$AS91</f>
        <v/>
      </c>
      <c r="Z91" s="208">
        <f>BQ91*$AS91</f>
        <v/>
      </c>
      <c r="AA91" s="208">
        <f>BR91*$AS91</f>
        <v/>
      </c>
      <c r="AB91" s="208">
        <f>BS91*$AS91</f>
        <v/>
      </c>
      <c r="AC91" s="208">
        <f>BT91*$AS91</f>
        <v/>
      </c>
      <c r="AD91" s="208">
        <f>BU91*$AS91</f>
        <v/>
      </c>
      <c r="AE91" s="208">
        <f>BV91*$AS91</f>
        <v/>
      </c>
      <c r="AF91" s="208">
        <f>BW91*$AS91</f>
        <v/>
      </c>
      <c r="AG91" s="208">
        <f>BX91*$AS91</f>
        <v/>
      </c>
      <c r="AH91" s="208">
        <f>BY91*$AS91</f>
        <v/>
      </c>
      <c r="AI91" s="208">
        <f>BZ91*$AS91</f>
        <v/>
      </c>
      <c r="AJ91" s="208">
        <f>CA91*$AS91</f>
        <v/>
      </c>
      <c r="AK91" s="208">
        <f>CB91*$AS91</f>
        <v/>
      </c>
      <c r="AL91" s="208">
        <f>CC91*$AS91</f>
        <v/>
      </c>
      <c r="AM91" s="208">
        <f>CD91*$AS91</f>
        <v/>
      </c>
      <c r="AN91" s="208">
        <f>CE91*$AS91</f>
        <v/>
      </c>
      <c r="AQ91" s="6" t="n">
        <v>2013</v>
      </c>
      <c r="AR91" s="6" t="inlineStr">
        <is>
          <t>MINBatMaterials_AL</t>
        </is>
      </c>
      <c r="AS91" s="6" t="n">
        <v>0.08500000000000001</v>
      </c>
      <c r="AT91" s="6" t="inlineStr">
        <is>
          <t>Mining_facility_representative</t>
        </is>
      </c>
      <c r="AU91" s="6" t="inlineStr">
        <is>
          <t>Representative mining-capacity vintage curve; COB_direct treated as aggregate cobalt-production route including by-product routes.</t>
        </is>
      </c>
      <c r="AV91">
        <f>AV70</f>
        <v/>
      </c>
      <c r="AW91">
        <f>AW70</f>
        <v/>
      </c>
      <c r="AX91">
        <f>AX70</f>
        <v/>
      </c>
      <c r="AY91">
        <f>AY70</f>
        <v/>
      </c>
      <c r="AZ91">
        <f>AZ70</f>
        <v/>
      </c>
      <c r="BA91">
        <f>BA70</f>
        <v/>
      </c>
      <c r="BB91">
        <f>BB70</f>
        <v/>
      </c>
      <c r="BC91">
        <f>BC70</f>
        <v/>
      </c>
      <c r="BD91">
        <f>BD70</f>
        <v/>
      </c>
      <c r="BE91">
        <f>BE70</f>
        <v/>
      </c>
      <c r="BF91">
        <f>BF70</f>
        <v/>
      </c>
      <c r="BG91">
        <f>BG70</f>
        <v/>
      </c>
      <c r="BH91">
        <f>BH70</f>
        <v/>
      </c>
      <c r="BI91">
        <f>BI70</f>
        <v/>
      </c>
      <c r="BJ91">
        <f>BJ70</f>
        <v/>
      </c>
      <c r="BK91">
        <f>BK70</f>
        <v/>
      </c>
      <c r="BL91">
        <f>BL70</f>
        <v/>
      </c>
      <c r="BM91">
        <f>BM70</f>
        <v/>
      </c>
      <c r="BN91">
        <f>BN70</f>
        <v/>
      </c>
      <c r="BO91">
        <f>BO70</f>
        <v/>
      </c>
      <c r="BP91">
        <f>BP70</f>
        <v/>
      </c>
      <c r="BQ91">
        <f>BQ70</f>
        <v/>
      </c>
      <c r="BR91">
        <f>BR70</f>
        <v/>
      </c>
      <c r="BS91">
        <f>BS70</f>
        <v/>
      </c>
      <c r="BT91">
        <f>BT70</f>
        <v/>
      </c>
      <c r="BU91">
        <f>BU70</f>
        <v/>
      </c>
      <c r="BV91">
        <f>BV70</f>
        <v/>
      </c>
      <c r="BW91">
        <f>BW70</f>
        <v/>
      </c>
      <c r="BX91">
        <f>BX70</f>
        <v/>
      </c>
      <c r="BY91">
        <f>BY70</f>
        <v/>
      </c>
      <c r="BZ91">
        <f>BZ70</f>
        <v/>
      </c>
      <c r="CA91">
        <f>CA70</f>
        <v/>
      </c>
      <c r="CB91">
        <f>CB70</f>
        <v/>
      </c>
      <c r="CC91">
        <f>CC70</f>
        <v/>
      </c>
      <c r="CD91">
        <f>CD70</f>
        <v/>
      </c>
      <c r="CE91">
        <f>CE70</f>
        <v/>
      </c>
      <c r="CG91" s="6" t="n">
        <v>2013</v>
      </c>
      <c r="CH91" s="6" t="inlineStr">
        <is>
          <t>MINBatMaterials_AL</t>
        </is>
      </c>
      <c r="CI91" s="6" t="n">
        <v>0.08500000000000001</v>
      </c>
      <c r="CJ91" s="6" t="n">
        <v>0.08500000000000001</v>
      </c>
      <c r="CK91" s="6" t="inlineStr">
        <is>
          <t>Mining_facility_representative</t>
        </is>
      </c>
      <c r="CL91" s="6" t="inlineStr">
        <is>
          <t>Mining_facility_representative</t>
        </is>
      </c>
      <c r="CM91" s="6" t="inlineStr">
        <is>
          <t>Mining curve kept the same for China; COB_direct treated as aggregate cobalt-production route including by-product routes.</t>
        </is>
      </c>
    </row>
    <row r="92" ht="14.5" customHeight="1" s="213">
      <c r="D92">
        <f>D91</f>
        <v/>
      </c>
      <c r="E92" t="inlineStr">
        <is>
          <t>MINBatMaterials_COP</t>
        </is>
      </c>
      <c r="F92" s="208">
        <f>AW92*$AS92</f>
        <v/>
      </c>
      <c r="G92" s="208">
        <f>AX92*$AS92</f>
        <v/>
      </c>
      <c r="H92" s="208">
        <f>AY92*$AS92</f>
        <v/>
      </c>
      <c r="I92" s="208">
        <f>AZ92*$AS92</f>
        <v/>
      </c>
      <c r="J92" s="208">
        <f>BA92*$AS92</f>
        <v/>
      </c>
      <c r="K92" s="208">
        <f>BB92*$AS92</f>
        <v/>
      </c>
      <c r="L92" s="208">
        <f>BC92*$AS92</f>
        <v/>
      </c>
      <c r="M92" s="208">
        <f>BD92*$CI92</f>
        <v/>
      </c>
      <c r="N92" s="208">
        <f>BE92*$AS92</f>
        <v/>
      </c>
      <c r="O92" s="208">
        <f>BF92*$AS92</f>
        <v/>
      </c>
      <c r="P92" s="208">
        <f>BG92*$AS92</f>
        <v/>
      </c>
      <c r="Q92" s="208">
        <f>BH92*$AS92</f>
        <v/>
      </c>
      <c r="R92" s="208">
        <f>BI92*$AS92</f>
        <v/>
      </c>
      <c r="S92" s="208">
        <f>BJ92*$AS92</f>
        <v/>
      </c>
      <c r="T92" s="208">
        <f>BK92*$AS92</f>
        <v/>
      </c>
      <c r="U92" s="208">
        <f>BL92*$AS92</f>
        <v/>
      </c>
      <c r="V92" s="208">
        <f>BM92*$AS92</f>
        <v/>
      </c>
      <c r="W92" s="208">
        <f>BN92*$AS92</f>
        <v/>
      </c>
      <c r="X92" s="208">
        <f>BO92*$AS92</f>
        <v/>
      </c>
      <c r="Y92" s="208">
        <f>BP92*$AS92</f>
        <v/>
      </c>
      <c r="Z92" s="208">
        <f>BQ92*$AS92</f>
        <v/>
      </c>
      <c r="AA92" s="208">
        <f>BR92*$AS92</f>
        <v/>
      </c>
      <c r="AB92" s="208">
        <f>BS92*$AS92</f>
        <v/>
      </c>
      <c r="AC92" s="208">
        <f>BT92*$AS92</f>
        <v/>
      </c>
      <c r="AD92" s="208">
        <f>BU92*$AS92</f>
        <v/>
      </c>
      <c r="AE92" s="208">
        <f>BV92*$AS92</f>
        <v/>
      </c>
      <c r="AF92" s="208">
        <f>BW92*$AS92</f>
        <v/>
      </c>
      <c r="AG92" s="208">
        <f>BX92*$AS92</f>
        <v/>
      </c>
      <c r="AH92" s="208">
        <f>BY92*$AS92</f>
        <v/>
      </c>
      <c r="AI92" s="208">
        <f>BZ92*$AS92</f>
        <v/>
      </c>
      <c r="AJ92" s="208">
        <f>CA92*$AS92</f>
        <v/>
      </c>
      <c r="AK92" s="208">
        <f>CB92*$AS92</f>
        <v/>
      </c>
      <c r="AL92" s="208">
        <f>CC92*$AS92</f>
        <v/>
      </c>
      <c r="AM92" s="208">
        <f>CD92*$AS92</f>
        <v/>
      </c>
      <c r="AN92" s="208">
        <f>CE92*$AS92</f>
        <v/>
      </c>
      <c r="AQ92" s="6" t="n">
        <v>2013</v>
      </c>
      <c r="AR92" s="6" t="inlineStr">
        <is>
          <t>MINBatMaterials_COP</t>
        </is>
      </c>
      <c r="AS92" s="6" t="n">
        <v>0.08500000000000001</v>
      </c>
      <c r="AT92" s="6" t="inlineStr">
        <is>
          <t>Mining_facility_representative</t>
        </is>
      </c>
      <c r="AU92" s="6" t="inlineStr">
        <is>
          <t>Representative mining-capacity vintage curve; COB_direct treated as aggregate cobalt-production route including by-product routes.</t>
        </is>
      </c>
      <c r="AV92">
        <f>AV71</f>
        <v/>
      </c>
      <c r="AW92">
        <f>AW71</f>
        <v/>
      </c>
      <c r="AX92">
        <f>AX71</f>
        <v/>
      </c>
      <c r="AY92">
        <f>AY71</f>
        <v/>
      </c>
      <c r="AZ92">
        <f>AZ71</f>
        <v/>
      </c>
      <c r="BA92">
        <f>BA71</f>
        <v/>
      </c>
      <c r="BB92">
        <f>BB71</f>
        <v/>
      </c>
      <c r="BC92">
        <f>BC71</f>
        <v/>
      </c>
      <c r="BD92">
        <f>BD71</f>
        <v/>
      </c>
      <c r="BE92">
        <f>BE71</f>
        <v/>
      </c>
      <c r="BF92">
        <f>BF71</f>
        <v/>
      </c>
      <c r="BG92">
        <f>BG71</f>
        <v/>
      </c>
      <c r="BH92">
        <f>BH71</f>
        <v/>
      </c>
      <c r="BI92">
        <f>BI71</f>
        <v/>
      </c>
      <c r="BJ92">
        <f>BJ71</f>
        <v/>
      </c>
      <c r="BK92">
        <f>BK71</f>
        <v/>
      </c>
      <c r="BL92">
        <f>BL71</f>
        <v/>
      </c>
      <c r="BM92">
        <f>BM71</f>
        <v/>
      </c>
      <c r="BN92">
        <f>BN71</f>
        <v/>
      </c>
      <c r="BO92">
        <f>BO71</f>
        <v/>
      </c>
      <c r="BP92">
        <f>BP71</f>
        <v/>
      </c>
      <c r="BQ92">
        <f>BQ71</f>
        <v/>
      </c>
      <c r="BR92">
        <f>BR71</f>
        <v/>
      </c>
      <c r="BS92">
        <f>BS71</f>
        <v/>
      </c>
      <c r="BT92">
        <f>BT71</f>
        <v/>
      </c>
      <c r="BU92">
        <f>BU71</f>
        <v/>
      </c>
      <c r="BV92">
        <f>BV71</f>
        <v/>
      </c>
      <c r="BW92">
        <f>BW71</f>
        <v/>
      </c>
      <c r="BX92">
        <f>BX71</f>
        <v/>
      </c>
      <c r="BY92">
        <f>BY71</f>
        <v/>
      </c>
      <c r="BZ92">
        <f>BZ71</f>
        <v/>
      </c>
      <c r="CA92">
        <f>CA71</f>
        <v/>
      </c>
      <c r="CB92">
        <f>CB71</f>
        <v/>
      </c>
      <c r="CC92">
        <f>CC71</f>
        <v/>
      </c>
      <c r="CD92">
        <f>CD71</f>
        <v/>
      </c>
      <c r="CE92">
        <f>CE71</f>
        <v/>
      </c>
      <c r="CG92" s="6" t="n">
        <v>2013</v>
      </c>
      <c r="CH92" s="6" t="inlineStr">
        <is>
          <t>MINBatMaterials_COP</t>
        </is>
      </c>
      <c r="CI92" s="6" t="n">
        <v>0.08500000000000001</v>
      </c>
      <c r="CJ92" s="6" t="n">
        <v>0.08500000000000001</v>
      </c>
      <c r="CK92" s="6" t="inlineStr">
        <is>
          <t>Mining_facility_representative</t>
        </is>
      </c>
      <c r="CL92" s="6" t="inlineStr">
        <is>
          <t>Mining_facility_representative</t>
        </is>
      </c>
      <c r="CM92" s="6" t="inlineStr">
        <is>
          <t>Mining curve kept the same for China; COB_direct treated as aggregate cobalt-production route including by-product routes.</t>
        </is>
      </c>
    </row>
    <row r="93" ht="14.5" customHeight="1" s="213">
      <c r="D93">
        <f>D92</f>
        <v/>
      </c>
      <c r="E93" t="inlineStr">
        <is>
          <t>MINBatMaterials_GR</t>
        </is>
      </c>
      <c r="F93" s="208">
        <f>AW93*$AS93</f>
        <v/>
      </c>
      <c r="G93" s="208">
        <f>AX93*$AS93</f>
        <v/>
      </c>
      <c r="H93" s="208">
        <f>AY93*$AS93</f>
        <v/>
      </c>
      <c r="I93" s="208">
        <f>AZ93*$AS93</f>
        <v/>
      </c>
      <c r="J93" s="208">
        <f>BA93*$AS93</f>
        <v/>
      </c>
      <c r="K93" s="208">
        <f>BB93*$AS93</f>
        <v/>
      </c>
      <c r="L93" s="208">
        <f>BC93*$AS93</f>
        <v/>
      </c>
      <c r="M93" s="208">
        <f>BD93*$CI93</f>
        <v/>
      </c>
      <c r="N93" s="208">
        <f>BE93*$AS93</f>
        <v/>
      </c>
      <c r="O93" s="208">
        <f>BF93*$AS93</f>
        <v/>
      </c>
      <c r="P93" s="208">
        <f>BG93*$AS93</f>
        <v/>
      </c>
      <c r="Q93" s="208">
        <f>BH93*$AS93</f>
        <v/>
      </c>
      <c r="R93" s="208">
        <f>BI93*$AS93</f>
        <v/>
      </c>
      <c r="S93" s="208">
        <f>BJ93*$AS93</f>
        <v/>
      </c>
      <c r="T93" s="208">
        <f>BK93*$AS93</f>
        <v/>
      </c>
      <c r="U93" s="208">
        <f>BL93*$AS93</f>
        <v/>
      </c>
      <c r="V93" s="208">
        <f>BM93*$AS93</f>
        <v/>
      </c>
      <c r="W93" s="208">
        <f>BN93*$AS93</f>
        <v/>
      </c>
      <c r="X93" s="208">
        <f>BO93*$AS93</f>
        <v/>
      </c>
      <c r="Y93" s="208">
        <f>BP93*$AS93</f>
        <v/>
      </c>
      <c r="Z93" s="208">
        <f>BQ93*$AS93</f>
        <v/>
      </c>
      <c r="AA93" s="208">
        <f>BR93*$AS93</f>
        <v/>
      </c>
      <c r="AB93" s="208">
        <f>BS93*$AS93</f>
        <v/>
      </c>
      <c r="AC93" s="208">
        <f>BT93*$AS93</f>
        <v/>
      </c>
      <c r="AD93" s="208">
        <f>BU93*$AS93</f>
        <v/>
      </c>
      <c r="AE93" s="208">
        <f>BV93*$AS93</f>
        <v/>
      </c>
      <c r="AF93" s="208">
        <f>BW93*$AS93</f>
        <v/>
      </c>
      <c r="AG93" s="208">
        <f>BX93*$AS93</f>
        <v/>
      </c>
      <c r="AH93" s="208">
        <f>BY93*$AS93</f>
        <v/>
      </c>
      <c r="AI93" s="208">
        <f>BZ93*$AS93</f>
        <v/>
      </c>
      <c r="AJ93" s="208">
        <f>CA93*$AS93</f>
        <v/>
      </c>
      <c r="AK93" s="208">
        <f>CB93*$AS93</f>
        <v/>
      </c>
      <c r="AL93" s="208">
        <f>CC93*$AS93</f>
        <v/>
      </c>
      <c r="AM93" s="208">
        <f>CD93*$AS93</f>
        <v/>
      </c>
      <c r="AN93" s="208">
        <f>CE93*$AS93</f>
        <v/>
      </c>
      <c r="AQ93" s="6" t="n">
        <v>2013</v>
      </c>
      <c r="AR93" s="6" t="inlineStr">
        <is>
          <t>MINBatMaterials_GR</t>
        </is>
      </c>
      <c r="AS93" s="6" t="n">
        <v>0.08500000000000001</v>
      </c>
      <c r="AT93" s="6" t="inlineStr">
        <is>
          <t>Mining_facility_representative</t>
        </is>
      </c>
      <c r="AU93" s="6" t="inlineStr">
        <is>
          <t>Representative mining-capacity vintage curve; COB_direct treated as aggregate cobalt-production route including by-product routes.</t>
        </is>
      </c>
      <c r="AV93">
        <f>AV72</f>
        <v/>
      </c>
      <c r="AW93">
        <f>AW72</f>
        <v/>
      </c>
      <c r="AX93">
        <f>AX72</f>
        <v/>
      </c>
      <c r="AY93">
        <f>AY72</f>
        <v/>
      </c>
      <c r="AZ93">
        <f>AZ72</f>
        <v/>
      </c>
      <c r="BA93">
        <f>BA72</f>
        <v/>
      </c>
      <c r="BB93">
        <f>BB72</f>
        <v/>
      </c>
      <c r="BC93">
        <f>BC72</f>
        <v/>
      </c>
      <c r="BD93">
        <f>BD72</f>
        <v/>
      </c>
      <c r="BE93">
        <f>BE72</f>
        <v/>
      </c>
      <c r="BF93">
        <f>BF72</f>
        <v/>
      </c>
      <c r="BG93">
        <f>BG72</f>
        <v/>
      </c>
      <c r="BH93">
        <f>BH72</f>
        <v/>
      </c>
      <c r="BI93">
        <f>BI72</f>
        <v/>
      </c>
      <c r="BJ93">
        <f>BJ72</f>
        <v/>
      </c>
      <c r="BK93">
        <f>BK72</f>
        <v/>
      </c>
      <c r="BL93">
        <f>BL72</f>
        <v/>
      </c>
      <c r="BM93">
        <f>BM72</f>
        <v/>
      </c>
      <c r="BN93">
        <f>BN72</f>
        <v/>
      </c>
      <c r="BO93">
        <f>BO72</f>
        <v/>
      </c>
      <c r="BP93">
        <f>BP72</f>
        <v/>
      </c>
      <c r="BQ93">
        <f>BQ72</f>
        <v/>
      </c>
      <c r="BR93">
        <f>BR72</f>
        <v/>
      </c>
      <c r="BS93">
        <f>BS72</f>
        <v/>
      </c>
      <c r="BT93">
        <f>BT72</f>
        <v/>
      </c>
      <c r="BU93">
        <f>BU72</f>
        <v/>
      </c>
      <c r="BV93">
        <f>BV72</f>
        <v/>
      </c>
      <c r="BW93">
        <f>BW72</f>
        <v/>
      </c>
      <c r="BX93">
        <f>BX72</f>
        <v/>
      </c>
      <c r="BY93">
        <f>BY72</f>
        <v/>
      </c>
      <c r="BZ93">
        <f>BZ72</f>
        <v/>
      </c>
      <c r="CA93">
        <f>CA72</f>
        <v/>
      </c>
      <c r="CB93">
        <f>CB72</f>
        <v/>
      </c>
      <c r="CC93">
        <f>CC72</f>
        <v/>
      </c>
      <c r="CD93">
        <f>CD72</f>
        <v/>
      </c>
      <c r="CE93">
        <f>CE72</f>
        <v/>
      </c>
      <c r="CG93" s="6" t="n">
        <v>2013</v>
      </c>
      <c r="CH93" s="6" t="inlineStr">
        <is>
          <t>MINBatMaterials_GR</t>
        </is>
      </c>
      <c r="CI93" s="6" t="n">
        <v>0.08500000000000001</v>
      </c>
      <c r="CJ93" s="6" t="n">
        <v>0.08500000000000001</v>
      </c>
      <c r="CK93" s="6" t="inlineStr">
        <is>
          <t>Mining_facility_representative</t>
        </is>
      </c>
      <c r="CL93" s="6" t="inlineStr">
        <is>
          <t>Mining_facility_representative</t>
        </is>
      </c>
      <c r="CM93" s="6" t="inlineStr">
        <is>
          <t>Mining curve kept the same for China; COB_direct treated as aggregate cobalt-production route including by-product routes.</t>
        </is>
      </c>
    </row>
    <row r="94" ht="14.5" customHeight="1" s="213">
      <c r="D94" t="n">
        <v>2013</v>
      </c>
      <c r="E94" t="inlineStr">
        <is>
          <t>Tra_EV_Batt-LFP_virgin</t>
        </is>
      </c>
      <c r="F94" s="208">
        <f>AW94*$AS94</f>
        <v/>
      </c>
      <c r="G94" s="208">
        <f>AX94*$AS94</f>
        <v/>
      </c>
      <c r="H94" s="208">
        <f>AY94*$AS94</f>
        <v/>
      </c>
      <c r="I94" s="208">
        <f>AZ94*$AS94</f>
        <v/>
      </c>
      <c r="J94" s="208">
        <f>BA94*$AS94</f>
        <v/>
      </c>
      <c r="K94" s="208">
        <f>BB94*$AS94</f>
        <v/>
      </c>
      <c r="L94" s="208">
        <f>BC94*$AS94</f>
        <v/>
      </c>
      <c r="M94" s="208">
        <f>BD94*$CI94</f>
        <v/>
      </c>
      <c r="N94" s="208">
        <f>BE94*$AS94</f>
        <v/>
      </c>
      <c r="O94" s="208">
        <f>BF94*$AS94</f>
        <v/>
      </c>
      <c r="P94" s="208">
        <f>BG94*$AS94</f>
        <v/>
      </c>
      <c r="Q94" s="208">
        <f>BH94*$AS94</f>
        <v/>
      </c>
      <c r="R94" s="208">
        <f>BI94*$AS94</f>
        <v/>
      </c>
      <c r="S94" s="208">
        <f>BJ94*$AS94</f>
        <v/>
      </c>
      <c r="T94" s="208">
        <f>BK94*$AS94</f>
        <v/>
      </c>
      <c r="U94" s="208">
        <f>BL94*$AS94</f>
        <v/>
      </c>
      <c r="V94" s="208">
        <f>BM94*$AS94</f>
        <v/>
      </c>
      <c r="W94" s="208">
        <f>BN94*$AS94</f>
        <v/>
      </c>
      <c r="X94" s="208">
        <f>BO94*$AS94</f>
        <v/>
      </c>
      <c r="Y94" s="208">
        <f>BP94*$AS94</f>
        <v/>
      </c>
      <c r="Z94" s="208">
        <f>BQ94*$AS94</f>
        <v/>
      </c>
      <c r="AA94" s="208">
        <f>BR94*$AS94</f>
        <v/>
      </c>
      <c r="AB94" s="208">
        <f>BS94*$AS94</f>
        <v/>
      </c>
      <c r="AC94" s="208">
        <f>BT94*$AS94</f>
        <v/>
      </c>
      <c r="AD94" s="208">
        <f>BU94*$AS94</f>
        <v/>
      </c>
      <c r="AE94" s="208">
        <f>BV94*$AS94</f>
        <v/>
      </c>
      <c r="AF94" s="208">
        <f>BW94*$AS94</f>
        <v/>
      </c>
      <c r="AG94" s="208">
        <f>BX94*$AS94</f>
        <v/>
      </c>
      <c r="AH94" s="208">
        <f>BY94*$AS94</f>
        <v/>
      </c>
      <c r="AI94" s="208">
        <f>BZ94*$AS94</f>
        <v/>
      </c>
      <c r="AJ94" s="208">
        <f>CA94*$AS94</f>
        <v/>
      </c>
      <c r="AK94" s="208">
        <f>CB94*$AS94</f>
        <v/>
      </c>
      <c r="AL94" s="208">
        <f>CC94*$AS94</f>
        <v/>
      </c>
      <c r="AM94" s="208">
        <f>CD94*$AS94</f>
        <v/>
      </c>
      <c r="AN94" s="208">
        <f>CE94*$AS94</f>
        <v/>
      </c>
      <c r="AQ94" s="6" t="n">
        <v>2013</v>
      </c>
      <c r="AR94" s="6" t="inlineStr">
        <is>
          <t>Tra_EV_Batt-LFP_virgin</t>
        </is>
      </c>
      <c r="AS94" s="6" t="n">
        <v>0.017</v>
      </c>
      <c r="AT94" s="6" t="inlineStr">
        <is>
          <t>Transport_EV_general</t>
        </is>
      </c>
      <c r="AU94" s="6" t="inlineStr">
        <is>
          <t>Back-loaded transport EV battery vintage curve based on historical EV deployment shape.</t>
        </is>
      </c>
      <c r="AV94">
        <f>AV73</f>
        <v/>
      </c>
      <c r="AW94">
        <f>AW73</f>
        <v/>
      </c>
      <c r="AX94">
        <f>AX73</f>
        <v/>
      </c>
      <c r="AY94">
        <f>AY73</f>
        <v/>
      </c>
      <c r="AZ94">
        <f>AZ73</f>
        <v/>
      </c>
      <c r="BA94">
        <f>BA73</f>
        <v/>
      </c>
      <c r="BB94">
        <f>BB73</f>
        <v/>
      </c>
      <c r="BC94">
        <f>BC73</f>
        <v/>
      </c>
      <c r="BD94">
        <f>BD73</f>
        <v/>
      </c>
      <c r="BE94">
        <f>BE73</f>
        <v/>
      </c>
      <c r="BF94">
        <f>BF73</f>
        <v/>
      </c>
      <c r="BG94">
        <f>BG73</f>
        <v/>
      </c>
      <c r="BH94">
        <f>BH73</f>
        <v/>
      </c>
      <c r="BI94">
        <f>BI73</f>
        <v/>
      </c>
      <c r="BJ94">
        <f>BJ73</f>
        <v/>
      </c>
      <c r="BK94">
        <f>BK73</f>
        <v/>
      </c>
      <c r="BL94">
        <f>BL73</f>
        <v/>
      </c>
      <c r="BM94">
        <f>BM73</f>
        <v/>
      </c>
      <c r="BN94">
        <f>BN73</f>
        <v/>
      </c>
      <c r="BO94">
        <f>BO73</f>
        <v/>
      </c>
      <c r="BP94">
        <f>BP73</f>
        <v/>
      </c>
      <c r="BQ94">
        <f>BQ73</f>
        <v/>
      </c>
      <c r="BR94">
        <f>BR73</f>
        <v/>
      </c>
      <c r="BS94">
        <f>BS73</f>
        <v/>
      </c>
      <c r="BT94">
        <f>BT73</f>
        <v/>
      </c>
      <c r="BU94">
        <f>BU73</f>
        <v/>
      </c>
      <c r="BV94">
        <f>BV73</f>
        <v/>
      </c>
      <c r="BW94">
        <f>BW73</f>
        <v/>
      </c>
      <c r="BX94">
        <f>BX73</f>
        <v/>
      </c>
      <c r="BY94">
        <f>BY73</f>
        <v/>
      </c>
      <c r="BZ94">
        <f>BZ73</f>
        <v/>
      </c>
      <c r="CA94">
        <f>CA73</f>
        <v/>
      </c>
      <c r="CB94">
        <f>CB73</f>
        <v/>
      </c>
      <c r="CC94">
        <f>CC73</f>
        <v/>
      </c>
      <c r="CD94">
        <f>CD73</f>
        <v/>
      </c>
      <c r="CE94">
        <f>CE73</f>
        <v/>
      </c>
      <c r="CG94" s="6" t="n">
        <v>2013</v>
      </c>
      <c r="CH94" s="6" t="inlineStr">
        <is>
          <t>Tra_EV_Batt-LFP_virgin</t>
        </is>
      </c>
      <c r="CI94" s="6" t="n">
        <v>0.017</v>
      </c>
      <c r="CJ94" s="6" t="n">
        <v>0.018</v>
      </c>
      <c r="CK94" s="6" t="inlineStr">
        <is>
          <t>Transport_EV_global</t>
        </is>
      </c>
      <c r="CL94" s="6" t="inlineStr">
        <is>
          <t>Transport_EV_China</t>
        </is>
      </c>
      <c r="CM94" s="6" t="inlineStr">
        <is>
          <t>China transport EV curve is shifted earlier than the global curve to reflect earlier China EV/e-bus deployment in the 2010s.</t>
        </is>
      </c>
    </row>
    <row r="95" ht="14.5" customHeight="1" s="213">
      <c r="D95">
        <f>D94</f>
        <v/>
      </c>
      <c r="E95" t="inlineStr">
        <is>
          <t>Tra_EV_Batt-NMC622_virgin</t>
        </is>
      </c>
      <c r="F95" s="208">
        <f>AW95*$AS95</f>
        <v/>
      </c>
      <c r="G95" s="208">
        <f>AX95*$AS95</f>
        <v/>
      </c>
      <c r="H95" s="208">
        <f>AY95*$AS95</f>
        <v/>
      </c>
      <c r="I95" s="208">
        <f>AZ95*$AS95</f>
        <v/>
      </c>
      <c r="J95" s="208">
        <f>BA95*$AS95</f>
        <v/>
      </c>
      <c r="K95" s="208">
        <f>BB95*$AS95</f>
        <v/>
      </c>
      <c r="L95" s="208">
        <f>BC95*$AS95</f>
        <v/>
      </c>
      <c r="M95" s="208">
        <f>BD95*$CI95</f>
        <v/>
      </c>
      <c r="N95" s="208">
        <f>BE95*$AS95</f>
        <v/>
      </c>
      <c r="O95" s="208">
        <f>BF95*$AS95</f>
        <v/>
      </c>
      <c r="P95" s="208">
        <f>BG95*$AS95</f>
        <v/>
      </c>
      <c r="Q95" s="208">
        <f>BH95*$AS95</f>
        <v/>
      </c>
      <c r="R95" s="208">
        <f>BI95*$AS95</f>
        <v/>
      </c>
      <c r="S95" s="208">
        <f>BJ95*$AS95</f>
        <v/>
      </c>
      <c r="T95" s="208">
        <f>BK95*$AS95</f>
        <v/>
      </c>
      <c r="U95" s="208">
        <f>BL95*$AS95</f>
        <v/>
      </c>
      <c r="V95" s="208">
        <f>BM95*$AS95</f>
        <v/>
      </c>
      <c r="W95" s="208">
        <f>BN95*$AS95</f>
        <v/>
      </c>
      <c r="X95" s="208">
        <f>BO95*$AS95</f>
        <v/>
      </c>
      <c r="Y95" s="208">
        <f>BP95*$AS95</f>
        <v/>
      </c>
      <c r="Z95" s="208">
        <f>BQ95*$AS95</f>
        <v/>
      </c>
      <c r="AA95" s="208">
        <f>BR95*$AS95</f>
        <v/>
      </c>
      <c r="AB95" s="208">
        <f>BS95*$AS95</f>
        <v/>
      </c>
      <c r="AC95" s="208">
        <f>BT95*$AS95</f>
        <v/>
      </c>
      <c r="AD95" s="208">
        <f>BU95*$AS95</f>
        <v/>
      </c>
      <c r="AE95" s="208">
        <f>BV95*$AS95</f>
        <v/>
      </c>
      <c r="AF95" s="208">
        <f>BW95*$AS95</f>
        <v/>
      </c>
      <c r="AG95" s="208">
        <f>BX95*$AS95</f>
        <v/>
      </c>
      <c r="AH95" s="208">
        <f>BY95*$AS95</f>
        <v/>
      </c>
      <c r="AI95" s="208">
        <f>BZ95*$AS95</f>
        <v/>
      </c>
      <c r="AJ95" s="208">
        <f>CA95*$AS95</f>
        <v/>
      </c>
      <c r="AK95" s="208">
        <f>CB95*$AS95</f>
        <v/>
      </c>
      <c r="AL95" s="208">
        <f>CC95*$AS95</f>
        <v/>
      </c>
      <c r="AM95" s="208">
        <f>CD95*$AS95</f>
        <v/>
      </c>
      <c r="AN95" s="208">
        <f>CE95*$AS95</f>
        <v/>
      </c>
      <c r="AQ95" s="6" t="n">
        <v>2013</v>
      </c>
      <c r="AR95" s="6" t="inlineStr">
        <is>
          <t>Tra_EV_Batt-NMC622_virgin</t>
        </is>
      </c>
      <c r="AS95" s="6" t="n">
        <v>0.017</v>
      </c>
      <c r="AT95" s="6" t="inlineStr">
        <is>
          <t>Transport_EV_general</t>
        </is>
      </c>
      <c r="AU95" s="6" t="inlineStr">
        <is>
          <t>Back-loaded transport EV battery vintage curve based on historical EV deployment shape.</t>
        </is>
      </c>
      <c r="AV95">
        <f>AV74</f>
        <v/>
      </c>
      <c r="AW95">
        <f>AW74</f>
        <v/>
      </c>
      <c r="AX95">
        <f>AX74</f>
        <v/>
      </c>
      <c r="AY95">
        <f>AY74</f>
        <v/>
      </c>
      <c r="AZ95">
        <f>AZ74</f>
        <v/>
      </c>
      <c r="BA95">
        <f>BA74</f>
        <v/>
      </c>
      <c r="BB95">
        <f>BB74</f>
        <v/>
      </c>
      <c r="BC95">
        <f>BC74</f>
        <v/>
      </c>
      <c r="BD95">
        <f>BD74</f>
        <v/>
      </c>
      <c r="BE95">
        <f>BE74</f>
        <v/>
      </c>
      <c r="BF95">
        <f>BF74</f>
        <v/>
      </c>
      <c r="BG95">
        <f>BG74</f>
        <v/>
      </c>
      <c r="BH95">
        <f>BH74</f>
        <v/>
      </c>
      <c r="BI95">
        <f>BI74</f>
        <v/>
      </c>
      <c r="BJ95">
        <f>BJ74</f>
        <v/>
      </c>
      <c r="BK95">
        <f>BK74</f>
        <v/>
      </c>
      <c r="BL95">
        <f>BL74</f>
        <v/>
      </c>
      <c r="BM95">
        <f>BM74</f>
        <v/>
      </c>
      <c r="BN95">
        <f>BN74</f>
        <v/>
      </c>
      <c r="BO95">
        <f>BO74</f>
        <v/>
      </c>
      <c r="BP95">
        <f>BP74</f>
        <v/>
      </c>
      <c r="BQ95">
        <f>BQ74</f>
        <v/>
      </c>
      <c r="BR95">
        <f>BR74</f>
        <v/>
      </c>
      <c r="BS95">
        <f>BS74</f>
        <v/>
      </c>
      <c r="BT95">
        <f>BT74</f>
        <v/>
      </c>
      <c r="BU95">
        <f>BU74</f>
        <v/>
      </c>
      <c r="BV95">
        <f>BV74</f>
        <v/>
      </c>
      <c r="BW95">
        <f>BW74</f>
        <v/>
      </c>
      <c r="BX95">
        <f>BX74</f>
        <v/>
      </c>
      <c r="BY95">
        <f>BY74</f>
        <v/>
      </c>
      <c r="BZ95">
        <f>BZ74</f>
        <v/>
      </c>
      <c r="CA95">
        <f>CA74</f>
        <v/>
      </c>
      <c r="CB95">
        <f>CB74</f>
        <v/>
      </c>
      <c r="CC95">
        <f>CC74</f>
        <v/>
      </c>
      <c r="CD95">
        <f>CD74</f>
        <v/>
      </c>
      <c r="CE95">
        <f>CE74</f>
        <v/>
      </c>
      <c r="CG95" s="6" t="n">
        <v>2013</v>
      </c>
      <c r="CH95" s="6" t="inlineStr">
        <is>
          <t>Tra_EV_Batt-NMC622_virgin</t>
        </is>
      </c>
      <c r="CI95" s="6" t="n">
        <v>0.017</v>
      </c>
      <c r="CJ95" s="6" t="n">
        <v>0.018</v>
      </c>
      <c r="CK95" s="6" t="inlineStr">
        <is>
          <t>Transport_EV_global</t>
        </is>
      </c>
      <c r="CL95" s="6" t="inlineStr">
        <is>
          <t>Transport_EV_China</t>
        </is>
      </c>
      <c r="CM95" s="6" t="inlineStr">
        <is>
          <t>China transport EV curve is shifted earlier than the global curve to reflect earlier China EV/e-bus deployment in the 2010s.</t>
        </is>
      </c>
    </row>
    <row r="96" ht="14.5" customHeight="1" s="213">
      <c r="D96">
        <f>D95</f>
        <v/>
      </c>
      <c r="E96" t="inlineStr">
        <is>
          <t>Tra_EV_Batt-NMC811_virgin</t>
        </is>
      </c>
      <c r="F96" s="208">
        <f>AW96*$AS96</f>
        <v/>
      </c>
      <c r="G96" s="208">
        <f>AX96*$AS96</f>
        <v/>
      </c>
      <c r="H96" s="208">
        <f>AY96*$AS96</f>
        <v/>
      </c>
      <c r="I96" s="208">
        <f>AZ96*$AS96</f>
        <v/>
      </c>
      <c r="J96" s="208">
        <f>BA96*$AS96</f>
        <v/>
      </c>
      <c r="K96" s="208">
        <f>BB96*$AS96</f>
        <v/>
      </c>
      <c r="L96" s="208">
        <f>BC96*$AS96</f>
        <v/>
      </c>
      <c r="M96" s="208">
        <f>BD96*$CI96</f>
        <v/>
      </c>
      <c r="N96" s="208">
        <f>BE96*$AS96</f>
        <v/>
      </c>
      <c r="O96" s="208">
        <f>BF96*$AS96</f>
        <v/>
      </c>
      <c r="P96" s="208">
        <f>BG96*$AS96</f>
        <v/>
      </c>
      <c r="Q96" s="208">
        <f>BH96*$AS96</f>
        <v/>
      </c>
      <c r="R96" s="208">
        <f>BI96*$AS96</f>
        <v/>
      </c>
      <c r="S96" s="208">
        <f>BJ96*$AS96</f>
        <v/>
      </c>
      <c r="T96" s="208">
        <f>BK96*$AS96</f>
        <v/>
      </c>
      <c r="U96" s="208">
        <f>BL96*$AS96</f>
        <v/>
      </c>
      <c r="V96" s="208">
        <f>BM96*$AS96</f>
        <v/>
      </c>
      <c r="W96" s="208">
        <f>BN96*$AS96</f>
        <v/>
      </c>
      <c r="X96" s="208">
        <f>BO96*$AS96</f>
        <v/>
      </c>
      <c r="Y96" s="208">
        <f>BP96*$AS96</f>
        <v/>
      </c>
      <c r="Z96" s="208">
        <f>BQ96*$AS96</f>
        <v/>
      </c>
      <c r="AA96" s="208">
        <f>BR96*$AS96</f>
        <v/>
      </c>
      <c r="AB96" s="208">
        <f>BS96*$AS96</f>
        <v/>
      </c>
      <c r="AC96" s="208">
        <f>BT96*$AS96</f>
        <v/>
      </c>
      <c r="AD96" s="208">
        <f>BU96*$AS96</f>
        <v/>
      </c>
      <c r="AE96" s="208">
        <f>BV96*$AS96</f>
        <v/>
      </c>
      <c r="AF96" s="208">
        <f>BW96*$AS96</f>
        <v/>
      </c>
      <c r="AG96" s="208">
        <f>BX96*$AS96</f>
        <v/>
      </c>
      <c r="AH96" s="208">
        <f>BY96*$AS96</f>
        <v/>
      </c>
      <c r="AI96" s="208">
        <f>BZ96*$AS96</f>
        <v/>
      </c>
      <c r="AJ96" s="208">
        <f>CA96*$AS96</f>
        <v/>
      </c>
      <c r="AK96" s="208">
        <f>CB96*$AS96</f>
        <v/>
      </c>
      <c r="AL96" s="208">
        <f>CC96*$AS96</f>
        <v/>
      </c>
      <c r="AM96" s="208">
        <f>CD96*$AS96</f>
        <v/>
      </c>
      <c r="AN96" s="208">
        <f>CE96*$AS96</f>
        <v/>
      </c>
      <c r="AQ96" s="6" t="n">
        <v>2013</v>
      </c>
      <c r="AR96" s="6" t="inlineStr">
        <is>
          <t>Tra_EV_Batt-NMC811_virgin</t>
        </is>
      </c>
      <c r="AS96" s="6" t="n">
        <v>0.017</v>
      </c>
      <c r="AT96" s="6" t="inlineStr">
        <is>
          <t>Transport_EV_general</t>
        </is>
      </c>
      <c r="AU96" s="6" t="inlineStr">
        <is>
          <t>Back-loaded transport EV battery vintage curve based on historical EV deployment shape.</t>
        </is>
      </c>
      <c r="AV96">
        <f>AV75</f>
        <v/>
      </c>
      <c r="AW96">
        <f>AW75</f>
        <v/>
      </c>
      <c r="AX96">
        <f>AX75</f>
        <v/>
      </c>
      <c r="AY96">
        <f>AY75</f>
        <v/>
      </c>
      <c r="AZ96">
        <f>AZ75</f>
        <v/>
      </c>
      <c r="BA96">
        <f>BA75</f>
        <v/>
      </c>
      <c r="BB96">
        <f>BB75</f>
        <v/>
      </c>
      <c r="BC96">
        <f>BC75</f>
        <v/>
      </c>
      <c r="BD96">
        <f>BD75</f>
        <v/>
      </c>
      <c r="BE96">
        <f>BE75</f>
        <v/>
      </c>
      <c r="BF96">
        <f>BF75</f>
        <v/>
      </c>
      <c r="BG96">
        <f>BG75</f>
        <v/>
      </c>
      <c r="BH96">
        <f>BH75</f>
        <v/>
      </c>
      <c r="BI96">
        <f>BI75</f>
        <v/>
      </c>
      <c r="BJ96">
        <f>BJ75</f>
        <v/>
      </c>
      <c r="BK96">
        <f>BK75</f>
        <v/>
      </c>
      <c r="BL96">
        <f>BL75</f>
        <v/>
      </c>
      <c r="BM96">
        <f>BM75</f>
        <v/>
      </c>
      <c r="BN96">
        <f>BN75</f>
        <v/>
      </c>
      <c r="BO96">
        <f>BO75</f>
        <v/>
      </c>
      <c r="BP96">
        <f>BP75</f>
        <v/>
      </c>
      <c r="BQ96">
        <f>BQ75</f>
        <v/>
      </c>
      <c r="BR96">
        <f>BR75</f>
        <v/>
      </c>
      <c r="BS96">
        <f>BS75</f>
        <v/>
      </c>
      <c r="BT96">
        <f>BT75</f>
        <v/>
      </c>
      <c r="BU96">
        <f>BU75</f>
        <v/>
      </c>
      <c r="BV96">
        <f>BV75</f>
        <v/>
      </c>
      <c r="BW96">
        <f>BW75</f>
        <v/>
      </c>
      <c r="BX96">
        <f>BX75</f>
        <v/>
      </c>
      <c r="BY96">
        <f>BY75</f>
        <v/>
      </c>
      <c r="BZ96">
        <f>BZ75</f>
        <v/>
      </c>
      <c r="CA96">
        <f>CA75</f>
        <v/>
      </c>
      <c r="CB96">
        <f>CB75</f>
        <v/>
      </c>
      <c r="CC96">
        <f>CC75</f>
        <v/>
      </c>
      <c r="CD96">
        <f>CD75</f>
        <v/>
      </c>
      <c r="CE96">
        <f>CE75</f>
        <v/>
      </c>
      <c r="CG96" s="6" t="n">
        <v>2013</v>
      </c>
      <c r="CH96" s="6" t="inlineStr">
        <is>
          <t>Tra_EV_Batt-NMC811_virgin</t>
        </is>
      </c>
      <c r="CI96" s="6" t="n">
        <v>0.017</v>
      </c>
      <c r="CJ96" s="6" t="n">
        <v>0.018</v>
      </c>
      <c r="CK96" s="6" t="inlineStr">
        <is>
          <t>Transport_EV_global</t>
        </is>
      </c>
      <c r="CL96" s="6" t="inlineStr">
        <is>
          <t>Transport_EV_China</t>
        </is>
      </c>
      <c r="CM96" s="6" t="inlineStr">
        <is>
          <t>China transport EV curve is shifted earlier than the global curve to reflect earlier China EV/e-bus deployment in the 2010s.</t>
        </is>
      </c>
    </row>
    <row r="97" ht="14.5" customHeight="1" s="213">
      <c r="D97">
        <f>D96</f>
        <v/>
      </c>
      <c r="E97" t="inlineStr">
        <is>
          <t>Tra_EV_Batt-NMC532_virgin</t>
        </is>
      </c>
      <c r="F97" s="208">
        <f>AW97*$AS97</f>
        <v/>
      </c>
      <c r="G97" s="208">
        <f>AX97*$AS97</f>
        <v/>
      </c>
      <c r="H97" s="208">
        <f>AY97*$AS97</f>
        <v/>
      </c>
      <c r="I97" s="208">
        <f>AZ97*$AS97</f>
        <v/>
      </c>
      <c r="J97" s="208">
        <f>BA97*$AS97</f>
        <v/>
      </c>
      <c r="K97" s="208">
        <f>BB97*$AS97</f>
        <v/>
      </c>
      <c r="L97" s="208">
        <f>BC97*$AS97</f>
        <v/>
      </c>
      <c r="M97" s="208">
        <f>BD97*$CI97</f>
        <v/>
      </c>
      <c r="N97" s="208">
        <f>BE97*$AS97</f>
        <v/>
      </c>
      <c r="O97" s="208">
        <f>BF97*$AS97</f>
        <v/>
      </c>
      <c r="P97" s="208">
        <f>BG97*$AS97</f>
        <v/>
      </c>
      <c r="Q97" s="208">
        <f>BH97*$AS97</f>
        <v/>
      </c>
      <c r="R97" s="208">
        <f>BI97*$AS97</f>
        <v/>
      </c>
      <c r="S97" s="208">
        <f>BJ97*$AS97</f>
        <v/>
      </c>
      <c r="T97" s="208">
        <f>BK97*$AS97</f>
        <v/>
      </c>
      <c r="U97" s="208">
        <f>BL97*$AS97</f>
        <v/>
      </c>
      <c r="V97" s="208">
        <f>BM97*$AS97</f>
        <v/>
      </c>
      <c r="W97" s="208">
        <f>BN97*$AS97</f>
        <v/>
      </c>
      <c r="X97" s="208">
        <f>BO97*$AS97</f>
        <v/>
      </c>
      <c r="Y97" s="208">
        <f>BP97*$AS97</f>
        <v/>
      </c>
      <c r="Z97" s="208">
        <f>BQ97*$AS97</f>
        <v/>
      </c>
      <c r="AA97" s="208">
        <f>BR97*$AS97</f>
        <v/>
      </c>
      <c r="AB97" s="208">
        <f>BS97*$AS97</f>
        <v/>
      </c>
      <c r="AC97" s="208">
        <f>BT97*$AS97</f>
        <v/>
      </c>
      <c r="AD97" s="208">
        <f>BU97*$AS97</f>
        <v/>
      </c>
      <c r="AE97" s="208">
        <f>BV97*$AS97</f>
        <v/>
      </c>
      <c r="AF97" s="208">
        <f>BW97*$AS97</f>
        <v/>
      </c>
      <c r="AG97" s="208">
        <f>BX97*$AS97</f>
        <v/>
      </c>
      <c r="AH97" s="208">
        <f>BY97*$AS97</f>
        <v/>
      </c>
      <c r="AI97" s="208">
        <f>BZ97*$AS97</f>
        <v/>
      </c>
      <c r="AJ97" s="208">
        <f>CA97*$AS97</f>
        <v/>
      </c>
      <c r="AK97" s="208">
        <f>CB97*$AS97</f>
        <v/>
      </c>
      <c r="AL97" s="208">
        <f>CC97*$AS97</f>
        <v/>
      </c>
      <c r="AM97" s="208">
        <f>CD97*$AS97</f>
        <v/>
      </c>
      <c r="AN97" s="208">
        <f>CE97*$AS97</f>
        <v/>
      </c>
      <c r="AQ97" s="6" t="n">
        <v>2013</v>
      </c>
      <c r="AR97" s="6" t="inlineStr">
        <is>
          <t>Tra_EV_Batt-NMC532_virgin</t>
        </is>
      </c>
      <c r="AS97" s="6" t="n">
        <v>0.017</v>
      </c>
      <c r="AT97" s="6" t="inlineStr">
        <is>
          <t>Transport_EV_general</t>
        </is>
      </c>
      <c r="AU97" s="6" t="inlineStr">
        <is>
          <t>Back-loaded transport EV battery vintage curve based on historical EV deployment shape.</t>
        </is>
      </c>
      <c r="AV97">
        <f>AV76</f>
        <v/>
      </c>
      <c r="AW97">
        <f>AW76</f>
        <v/>
      </c>
      <c r="AX97">
        <f>AX76</f>
        <v/>
      </c>
      <c r="AY97">
        <f>AY76</f>
        <v/>
      </c>
      <c r="AZ97">
        <f>AZ76</f>
        <v/>
      </c>
      <c r="BA97">
        <f>BA76</f>
        <v/>
      </c>
      <c r="BB97">
        <f>BB76</f>
        <v/>
      </c>
      <c r="BC97">
        <f>BC76</f>
        <v/>
      </c>
      <c r="BD97">
        <f>BD76</f>
        <v/>
      </c>
      <c r="BE97">
        <f>BE76</f>
        <v/>
      </c>
      <c r="BF97">
        <f>BF76</f>
        <v/>
      </c>
      <c r="BG97">
        <f>BG76</f>
        <v/>
      </c>
      <c r="BH97">
        <f>BH76</f>
        <v/>
      </c>
      <c r="BI97">
        <f>BI76</f>
        <v/>
      </c>
      <c r="BJ97">
        <f>BJ76</f>
        <v/>
      </c>
      <c r="BK97">
        <f>BK76</f>
        <v/>
      </c>
      <c r="BL97">
        <f>BL76</f>
        <v/>
      </c>
      <c r="BM97">
        <f>BM76</f>
        <v/>
      </c>
      <c r="BN97">
        <f>BN76</f>
        <v/>
      </c>
      <c r="BO97">
        <f>BO76</f>
        <v/>
      </c>
      <c r="BP97">
        <f>BP76</f>
        <v/>
      </c>
      <c r="BQ97">
        <f>BQ76</f>
        <v/>
      </c>
      <c r="BR97">
        <f>BR76</f>
        <v/>
      </c>
      <c r="BS97">
        <f>BS76</f>
        <v/>
      </c>
      <c r="BT97">
        <f>BT76</f>
        <v/>
      </c>
      <c r="BU97">
        <f>BU76</f>
        <v/>
      </c>
      <c r="BV97">
        <f>BV76</f>
        <v/>
      </c>
      <c r="BW97">
        <f>BW76</f>
        <v/>
      </c>
      <c r="BX97">
        <f>BX76</f>
        <v/>
      </c>
      <c r="BY97">
        <f>BY76</f>
        <v/>
      </c>
      <c r="BZ97">
        <f>BZ76</f>
        <v/>
      </c>
      <c r="CA97">
        <f>CA76</f>
        <v/>
      </c>
      <c r="CB97">
        <f>CB76</f>
        <v/>
      </c>
      <c r="CC97">
        <f>CC76</f>
        <v/>
      </c>
      <c r="CD97">
        <f>CD76</f>
        <v/>
      </c>
      <c r="CE97">
        <f>CE76</f>
        <v/>
      </c>
      <c r="CG97" s="6" t="n">
        <v>2013</v>
      </c>
      <c r="CH97" s="6" t="inlineStr">
        <is>
          <t>Tra_EV_Batt-NMC532_virgin</t>
        </is>
      </c>
      <c r="CI97" s="6" t="n">
        <v>0.017</v>
      </c>
      <c r="CJ97" s="6" t="n">
        <v>0.018</v>
      </c>
      <c r="CK97" s="6" t="inlineStr">
        <is>
          <t>Transport_EV_global</t>
        </is>
      </c>
      <c r="CL97" s="6" t="inlineStr">
        <is>
          <t>Transport_EV_China</t>
        </is>
      </c>
      <c r="CM97" s="6" t="inlineStr">
        <is>
          <t>China transport EV curve is shifted earlier than the global curve to reflect earlier China EV/e-bus deployment in the 2010s.</t>
        </is>
      </c>
    </row>
    <row r="98" ht="14.5" customHeight="1" s="213">
      <c r="D98">
        <f>D97</f>
        <v/>
      </c>
      <c r="E98" t="inlineStr">
        <is>
          <t>Tra_EV_Batt-NCA_virgin</t>
        </is>
      </c>
      <c r="F98" s="208">
        <f>AW98*$AS98</f>
        <v/>
      </c>
      <c r="G98" s="208">
        <f>AX98*$AS98</f>
        <v/>
      </c>
      <c r="H98" s="208">
        <f>AY98*$AS98</f>
        <v/>
      </c>
      <c r="I98" s="208">
        <f>AZ98*$AS98</f>
        <v/>
      </c>
      <c r="J98" s="208">
        <f>BA98*$AS98</f>
        <v/>
      </c>
      <c r="K98" s="208">
        <f>BB98*$AS98</f>
        <v/>
      </c>
      <c r="L98" s="208">
        <f>BC98*$AS98</f>
        <v/>
      </c>
      <c r="M98" s="208">
        <f>BD98*$CI98</f>
        <v/>
      </c>
      <c r="N98" s="208">
        <f>BE98*$AS98</f>
        <v/>
      </c>
      <c r="O98" s="208">
        <f>BF98*$AS98</f>
        <v/>
      </c>
      <c r="P98" s="208">
        <f>BG98*$AS98</f>
        <v/>
      </c>
      <c r="Q98" s="208">
        <f>BH98*$AS98</f>
        <v/>
      </c>
      <c r="R98" s="208">
        <f>BI98*$AS98</f>
        <v/>
      </c>
      <c r="S98" s="208">
        <f>BJ98*$AS98</f>
        <v/>
      </c>
      <c r="T98" s="208">
        <f>BK98*$AS98</f>
        <v/>
      </c>
      <c r="U98" s="208">
        <f>BL98*$AS98</f>
        <v/>
      </c>
      <c r="V98" s="208">
        <f>BM98*$AS98</f>
        <v/>
      </c>
      <c r="W98" s="208">
        <f>BN98*$AS98</f>
        <v/>
      </c>
      <c r="X98" s="208">
        <f>BO98*$AS98</f>
        <v/>
      </c>
      <c r="Y98" s="208">
        <f>BP98*$AS98</f>
        <v/>
      </c>
      <c r="Z98" s="208">
        <f>BQ98*$AS98</f>
        <v/>
      </c>
      <c r="AA98" s="208">
        <f>BR98*$AS98</f>
        <v/>
      </c>
      <c r="AB98" s="208">
        <f>BS98*$AS98</f>
        <v/>
      </c>
      <c r="AC98" s="208">
        <f>BT98*$AS98</f>
        <v/>
      </c>
      <c r="AD98" s="208">
        <f>BU98*$AS98</f>
        <v/>
      </c>
      <c r="AE98" s="208">
        <f>BV98*$AS98</f>
        <v/>
      </c>
      <c r="AF98" s="208">
        <f>BW98*$AS98</f>
        <v/>
      </c>
      <c r="AG98" s="208">
        <f>BX98*$AS98</f>
        <v/>
      </c>
      <c r="AH98" s="208">
        <f>BY98*$AS98</f>
        <v/>
      </c>
      <c r="AI98" s="208">
        <f>BZ98*$AS98</f>
        <v/>
      </c>
      <c r="AJ98" s="208">
        <f>CA98*$AS98</f>
        <v/>
      </c>
      <c r="AK98" s="208">
        <f>CB98*$AS98</f>
        <v/>
      </c>
      <c r="AL98" s="208">
        <f>CC98*$AS98</f>
        <v/>
      </c>
      <c r="AM98" s="208">
        <f>CD98*$AS98</f>
        <v/>
      </c>
      <c r="AN98" s="208">
        <f>CE98*$AS98</f>
        <v/>
      </c>
      <c r="AQ98" s="6" t="n">
        <v>2013</v>
      </c>
      <c r="AR98" s="6" t="inlineStr">
        <is>
          <t>Tra_EV_Batt-NCA_virgin</t>
        </is>
      </c>
      <c r="AS98" s="6" t="n">
        <v>0.017</v>
      </c>
      <c r="AT98" s="6" t="inlineStr">
        <is>
          <t>Transport_EV_general</t>
        </is>
      </c>
      <c r="AU98" s="6" t="inlineStr">
        <is>
          <t>Back-loaded transport EV battery vintage curve based on historical EV deployment shape.</t>
        </is>
      </c>
      <c r="AV98">
        <f>AV77</f>
        <v/>
      </c>
      <c r="AW98">
        <f>AW77</f>
        <v/>
      </c>
      <c r="AX98">
        <f>AX77</f>
        <v/>
      </c>
      <c r="AY98">
        <f>AY77</f>
        <v/>
      </c>
      <c r="AZ98">
        <f>AZ77</f>
        <v/>
      </c>
      <c r="BA98">
        <f>BA77</f>
        <v/>
      </c>
      <c r="BB98">
        <f>BB77</f>
        <v/>
      </c>
      <c r="BC98">
        <f>BC77</f>
        <v/>
      </c>
      <c r="BD98">
        <f>BD77</f>
        <v/>
      </c>
      <c r="BE98">
        <f>BE77</f>
        <v/>
      </c>
      <c r="BF98">
        <f>BF77</f>
        <v/>
      </c>
      <c r="BG98">
        <f>BG77</f>
        <v/>
      </c>
      <c r="BH98">
        <f>BH77</f>
        <v/>
      </c>
      <c r="BI98">
        <f>BI77</f>
        <v/>
      </c>
      <c r="BJ98">
        <f>BJ77</f>
        <v/>
      </c>
      <c r="BK98">
        <f>BK77</f>
        <v/>
      </c>
      <c r="BL98">
        <f>BL77</f>
        <v/>
      </c>
      <c r="BM98">
        <f>BM77</f>
        <v/>
      </c>
      <c r="BN98">
        <f>BN77</f>
        <v/>
      </c>
      <c r="BO98">
        <f>BO77</f>
        <v/>
      </c>
      <c r="BP98">
        <f>BP77</f>
        <v/>
      </c>
      <c r="BQ98">
        <f>BQ77</f>
        <v/>
      </c>
      <c r="BR98">
        <f>BR77</f>
        <v/>
      </c>
      <c r="BS98">
        <f>BS77</f>
        <v/>
      </c>
      <c r="BT98">
        <f>BT77</f>
        <v/>
      </c>
      <c r="BU98">
        <f>BU77</f>
        <v/>
      </c>
      <c r="BV98">
        <f>BV77</f>
        <v/>
      </c>
      <c r="BW98">
        <f>BW77</f>
        <v/>
      </c>
      <c r="BX98">
        <f>BX77</f>
        <v/>
      </c>
      <c r="BY98">
        <f>BY77</f>
        <v/>
      </c>
      <c r="BZ98">
        <f>BZ77</f>
        <v/>
      </c>
      <c r="CA98">
        <f>CA77</f>
        <v/>
      </c>
      <c r="CB98">
        <f>CB77</f>
        <v/>
      </c>
      <c r="CC98">
        <f>CC77</f>
        <v/>
      </c>
      <c r="CD98">
        <f>CD77</f>
        <v/>
      </c>
      <c r="CE98">
        <f>CE77</f>
        <v/>
      </c>
      <c r="CG98" s="6" t="n">
        <v>2013</v>
      </c>
      <c r="CH98" s="6" t="inlineStr">
        <is>
          <t>Tra_EV_Batt-NCA_virgin</t>
        </is>
      </c>
      <c r="CI98" s="6" t="n">
        <v>0.017</v>
      </c>
      <c r="CJ98" s="6" t="n">
        <v>0.018</v>
      </c>
      <c r="CK98" s="6" t="inlineStr">
        <is>
          <t>Transport_EV_global</t>
        </is>
      </c>
      <c r="CL98" s="6" t="inlineStr">
        <is>
          <t>Transport_EV_China</t>
        </is>
      </c>
      <c r="CM98" s="6" t="inlineStr">
        <is>
          <t>China transport EV curve is shifted earlier than the global curve to reflect earlier China EV/e-bus deployment in the 2010s.</t>
        </is>
      </c>
    </row>
    <row r="99" ht="14.5" customHeight="1" s="213">
      <c r="D99">
        <f>D98</f>
        <v/>
      </c>
      <c r="E99" t="inlineStr">
        <is>
          <t>Tra_EV_Batt-LMO_virgin</t>
        </is>
      </c>
      <c r="F99" s="208">
        <f>AW99*$AS99</f>
        <v/>
      </c>
      <c r="G99" s="208">
        <f>AX99*$AS99</f>
        <v/>
      </c>
      <c r="H99" s="208">
        <f>AY99*$AS99</f>
        <v/>
      </c>
      <c r="I99" s="208">
        <f>AZ99*$AS99</f>
        <v/>
      </c>
      <c r="J99" s="208">
        <f>BA99*$AS99</f>
        <v/>
      </c>
      <c r="K99" s="208">
        <f>BB99*$AS99</f>
        <v/>
      </c>
      <c r="L99" s="208">
        <f>BC99*$AS99</f>
        <v/>
      </c>
      <c r="M99" s="208">
        <f>BD99*$CI99</f>
        <v/>
      </c>
      <c r="N99" s="208">
        <f>BE99*$AS99</f>
        <v/>
      </c>
      <c r="O99" s="208">
        <f>BF99*$AS99</f>
        <v/>
      </c>
      <c r="P99" s="208">
        <f>BG99*$AS99</f>
        <v/>
      </c>
      <c r="Q99" s="208">
        <f>BH99*$AS99</f>
        <v/>
      </c>
      <c r="R99" s="208">
        <f>BI99*$AS99</f>
        <v/>
      </c>
      <c r="S99" s="208">
        <f>BJ99*$AS99</f>
        <v/>
      </c>
      <c r="T99" s="208">
        <f>BK99*$AS99</f>
        <v/>
      </c>
      <c r="U99" s="208">
        <f>BL99*$AS99</f>
        <v/>
      </c>
      <c r="V99" s="208">
        <f>BM99*$AS99</f>
        <v/>
      </c>
      <c r="W99" s="208">
        <f>BN99*$AS99</f>
        <v/>
      </c>
      <c r="X99" s="208">
        <f>BO99*$AS99</f>
        <v/>
      </c>
      <c r="Y99" s="208">
        <f>BP99*$AS99</f>
        <v/>
      </c>
      <c r="Z99" s="208">
        <f>BQ99*$AS99</f>
        <v/>
      </c>
      <c r="AA99" s="208">
        <f>BR99*$AS99</f>
        <v/>
      </c>
      <c r="AB99" s="208">
        <f>BS99*$AS99</f>
        <v/>
      </c>
      <c r="AC99" s="208">
        <f>BT99*$AS99</f>
        <v/>
      </c>
      <c r="AD99" s="208">
        <f>BU99*$AS99</f>
        <v/>
      </c>
      <c r="AE99" s="208">
        <f>BV99*$AS99</f>
        <v/>
      </c>
      <c r="AF99" s="208">
        <f>BW99*$AS99</f>
        <v/>
      </c>
      <c r="AG99" s="208">
        <f>BX99*$AS99</f>
        <v/>
      </c>
      <c r="AH99" s="208">
        <f>BY99*$AS99</f>
        <v/>
      </c>
      <c r="AI99" s="208">
        <f>BZ99*$AS99</f>
        <v/>
      </c>
      <c r="AJ99" s="208">
        <f>CA99*$AS99</f>
        <v/>
      </c>
      <c r="AK99" s="208">
        <f>CB99*$AS99</f>
        <v/>
      </c>
      <c r="AL99" s="208">
        <f>CC99*$AS99</f>
        <v/>
      </c>
      <c r="AM99" s="208">
        <f>CD99*$AS99</f>
        <v/>
      </c>
      <c r="AN99" s="208">
        <f>CE99*$AS99</f>
        <v/>
      </c>
      <c r="AQ99" s="6" t="n">
        <v>2013</v>
      </c>
      <c r="AR99" s="6" t="inlineStr">
        <is>
          <t>Tra_EV_Batt-LMO_virgin</t>
        </is>
      </c>
      <c r="AS99" s="6" t="n">
        <v>0.017</v>
      </c>
      <c r="AT99" s="6" t="inlineStr">
        <is>
          <t>Transport_EV_general</t>
        </is>
      </c>
      <c r="AU99" s="6" t="inlineStr">
        <is>
          <t>Back-loaded transport EV battery vintage curve based on historical EV deployment shape.</t>
        </is>
      </c>
      <c r="AV99">
        <f>AV78</f>
        <v/>
      </c>
      <c r="AW99">
        <f>AW78</f>
        <v/>
      </c>
      <c r="AX99">
        <f>AX78</f>
        <v/>
      </c>
      <c r="AY99">
        <f>AY78</f>
        <v/>
      </c>
      <c r="AZ99">
        <f>AZ78</f>
        <v/>
      </c>
      <c r="BA99">
        <f>BA78</f>
        <v/>
      </c>
      <c r="BB99">
        <f>BB78</f>
        <v/>
      </c>
      <c r="BC99">
        <f>BC78</f>
        <v/>
      </c>
      <c r="BD99">
        <f>BD78</f>
        <v/>
      </c>
      <c r="BE99">
        <f>BE78</f>
        <v/>
      </c>
      <c r="BF99">
        <f>BF78</f>
        <v/>
      </c>
      <c r="BG99">
        <f>BG78</f>
        <v/>
      </c>
      <c r="BH99">
        <f>BH78</f>
        <v/>
      </c>
      <c r="BI99">
        <f>BI78</f>
        <v/>
      </c>
      <c r="BJ99">
        <f>BJ78</f>
        <v/>
      </c>
      <c r="BK99">
        <f>BK78</f>
        <v/>
      </c>
      <c r="BL99">
        <f>BL78</f>
        <v/>
      </c>
      <c r="BM99">
        <f>BM78</f>
        <v/>
      </c>
      <c r="BN99">
        <f>BN78</f>
        <v/>
      </c>
      <c r="BO99">
        <f>BO78</f>
        <v/>
      </c>
      <c r="BP99">
        <f>BP78</f>
        <v/>
      </c>
      <c r="BQ99">
        <f>BQ78</f>
        <v/>
      </c>
      <c r="BR99">
        <f>BR78</f>
        <v/>
      </c>
      <c r="BS99">
        <f>BS78</f>
        <v/>
      </c>
      <c r="BT99">
        <f>BT78</f>
        <v/>
      </c>
      <c r="BU99">
        <f>BU78</f>
        <v/>
      </c>
      <c r="BV99">
        <f>BV78</f>
        <v/>
      </c>
      <c r="BW99">
        <f>BW78</f>
        <v/>
      </c>
      <c r="BX99">
        <f>BX78</f>
        <v/>
      </c>
      <c r="BY99">
        <f>BY78</f>
        <v/>
      </c>
      <c r="BZ99">
        <f>BZ78</f>
        <v/>
      </c>
      <c r="CA99">
        <f>CA78</f>
        <v/>
      </c>
      <c r="CB99">
        <f>CB78</f>
        <v/>
      </c>
      <c r="CC99">
        <f>CC78</f>
        <v/>
      </c>
      <c r="CD99">
        <f>CD78</f>
        <v/>
      </c>
      <c r="CE99">
        <f>CE78</f>
        <v/>
      </c>
      <c r="CG99" s="6" t="n">
        <v>2013</v>
      </c>
      <c r="CH99" s="6" t="inlineStr">
        <is>
          <t>Tra_EV_Batt-LMO_virgin</t>
        </is>
      </c>
      <c r="CI99" s="6" t="n">
        <v>0.017</v>
      </c>
      <c r="CJ99" s="6" t="n">
        <v>0.018</v>
      </c>
      <c r="CK99" s="6" t="inlineStr">
        <is>
          <t>Transport_EV_global</t>
        </is>
      </c>
      <c r="CL99" s="6" t="inlineStr">
        <is>
          <t>Transport_EV_China</t>
        </is>
      </c>
      <c r="CM99" s="6" t="inlineStr">
        <is>
          <t>China transport EV curve is shifted earlier than the global curve to reflect earlier China EV/e-bus deployment in the 2010s.</t>
        </is>
      </c>
    </row>
    <row r="100" ht="14.5" customHeight="1" s="213">
      <c r="D100">
        <f>D99</f>
        <v/>
      </c>
      <c r="E100" t="inlineStr">
        <is>
          <t>Tra_EV_Batt-NMC111_virgin</t>
        </is>
      </c>
      <c r="F100" s="208">
        <f>AW100*$AS100</f>
        <v/>
      </c>
      <c r="G100" s="208">
        <f>AX100*$AS100</f>
        <v/>
      </c>
      <c r="H100" s="208">
        <f>AY100*$AS100</f>
        <v/>
      </c>
      <c r="I100" s="208">
        <f>AZ100*$AS100</f>
        <v/>
      </c>
      <c r="J100" s="208">
        <f>BA100*$AS100</f>
        <v/>
      </c>
      <c r="K100" s="208">
        <f>BB100*$AS100</f>
        <v/>
      </c>
      <c r="L100" s="208">
        <f>BC100*$AS100</f>
        <v/>
      </c>
      <c r="M100" s="208">
        <f>BD100*$CI100</f>
        <v/>
      </c>
      <c r="N100" s="208">
        <f>BE100*$AS100</f>
        <v/>
      </c>
      <c r="O100" s="208">
        <f>BF100*$AS100</f>
        <v/>
      </c>
      <c r="P100" s="208">
        <f>BG100*$AS100</f>
        <v/>
      </c>
      <c r="Q100" s="208">
        <f>BH100*$AS100</f>
        <v/>
      </c>
      <c r="R100" s="208">
        <f>BI100*$AS100</f>
        <v/>
      </c>
      <c r="S100" s="208">
        <f>BJ100*$AS100</f>
        <v/>
      </c>
      <c r="T100" s="208">
        <f>BK100*$AS100</f>
        <v/>
      </c>
      <c r="U100" s="208">
        <f>BL100*$AS100</f>
        <v/>
      </c>
      <c r="V100" s="208">
        <f>BM100*$AS100</f>
        <v/>
      </c>
      <c r="W100" s="208">
        <f>BN100*$AS100</f>
        <v/>
      </c>
      <c r="X100" s="208">
        <f>BO100*$AS100</f>
        <v/>
      </c>
      <c r="Y100" s="208">
        <f>BP100*$AS100</f>
        <v/>
      </c>
      <c r="Z100" s="208">
        <f>BQ100*$AS100</f>
        <v/>
      </c>
      <c r="AA100" s="208">
        <f>BR100*$AS100</f>
        <v/>
      </c>
      <c r="AB100" s="208">
        <f>BS100*$AS100</f>
        <v/>
      </c>
      <c r="AC100" s="208">
        <f>BT100*$AS100</f>
        <v/>
      </c>
      <c r="AD100" s="208">
        <f>BU100*$AS100</f>
        <v/>
      </c>
      <c r="AE100" s="208">
        <f>BV100*$AS100</f>
        <v/>
      </c>
      <c r="AF100" s="208">
        <f>BW100*$AS100</f>
        <v/>
      </c>
      <c r="AG100" s="208">
        <f>BX100*$AS100</f>
        <v/>
      </c>
      <c r="AH100" s="208">
        <f>BY100*$AS100</f>
        <v/>
      </c>
      <c r="AI100" s="208">
        <f>BZ100*$AS100</f>
        <v/>
      </c>
      <c r="AJ100" s="208">
        <f>CA100*$AS100</f>
        <v/>
      </c>
      <c r="AK100" s="208">
        <f>CB100*$AS100</f>
        <v/>
      </c>
      <c r="AL100" s="208">
        <f>CC100*$AS100</f>
        <v/>
      </c>
      <c r="AM100" s="208">
        <f>CD100*$AS100</f>
        <v/>
      </c>
      <c r="AN100" s="208">
        <f>CE100*$AS100</f>
        <v/>
      </c>
      <c r="AQ100" s="6" t="n">
        <v>2013</v>
      </c>
      <c r="AR100" s="6" t="inlineStr">
        <is>
          <t>Tra_EV_Batt-NMC111_virgin</t>
        </is>
      </c>
      <c r="AS100" s="6" t="n">
        <v>0.017</v>
      </c>
      <c r="AT100" s="6" t="inlineStr">
        <is>
          <t>Transport_EV_general</t>
        </is>
      </c>
      <c r="AU100" s="6" t="inlineStr">
        <is>
          <t>Back-loaded transport EV battery vintage curve based on historical EV deployment shape.</t>
        </is>
      </c>
      <c r="AV100">
        <f>AV79</f>
        <v/>
      </c>
      <c r="AW100">
        <f>AW79</f>
        <v/>
      </c>
      <c r="AX100">
        <f>AX79</f>
        <v/>
      </c>
      <c r="AY100">
        <f>AY79</f>
        <v/>
      </c>
      <c r="AZ100">
        <f>AZ79</f>
        <v/>
      </c>
      <c r="BA100">
        <f>BA79</f>
        <v/>
      </c>
      <c r="BB100">
        <f>BB79</f>
        <v/>
      </c>
      <c r="BC100">
        <f>BC79</f>
        <v/>
      </c>
      <c r="BD100">
        <f>BD79</f>
        <v/>
      </c>
      <c r="BE100">
        <f>BE79</f>
        <v/>
      </c>
      <c r="BF100">
        <f>BF79</f>
        <v/>
      </c>
      <c r="BG100">
        <f>BG79</f>
        <v/>
      </c>
      <c r="BH100">
        <f>BH79</f>
        <v/>
      </c>
      <c r="BI100">
        <f>BI79</f>
        <v/>
      </c>
      <c r="BJ100">
        <f>BJ79</f>
        <v/>
      </c>
      <c r="BK100">
        <f>BK79</f>
        <v/>
      </c>
      <c r="BL100">
        <f>BL79</f>
        <v/>
      </c>
      <c r="BM100">
        <f>BM79</f>
        <v/>
      </c>
      <c r="BN100">
        <f>BN79</f>
        <v/>
      </c>
      <c r="BO100">
        <f>BO79</f>
        <v/>
      </c>
      <c r="BP100">
        <f>BP79</f>
        <v/>
      </c>
      <c r="BQ100">
        <f>BQ79</f>
        <v/>
      </c>
      <c r="BR100">
        <f>BR79</f>
        <v/>
      </c>
      <c r="BS100">
        <f>BS79</f>
        <v/>
      </c>
      <c r="BT100">
        <f>BT79</f>
        <v/>
      </c>
      <c r="BU100">
        <f>BU79</f>
        <v/>
      </c>
      <c r="BV100">
        <f>BV79</f>
        <v/>
      </c>
      <c r="BW100">
        <f>BW79</f>
        <v/>
      </c>
      <c r="BX100">
        <f>BX79</f>
        <v/>
      </c>
      <c r="BY100">
        <f>BY79</f>
        <v/>
      </c>
      <c r="BZ100">
        <f>BZ79</f>
        <v/>
      </c>
      <c r="CA100">
        <f>CA79</f>
        <v/>
      </c>
      <c r="CB100">
        <f>CB79</f>
        <v/>
      </c>
      <c r="CC100">
        <f>CC79</f>
        <v/>
      </c>
      <c r="CD100">
        <f>CD79</f>
        <v/>
      </c>
      <c r="CE100">
        <f>CE79</f>
        <v/>
      </c>
      <c r="CG100" s="6" t="n">
        <v>2013</v>
      </c>
      <c r="CH100" s="6" t="inlineStr">
        <is>
          <t>Tra_EV_Batt-NMC111_virgin</t>
        </is>
      </c>
      <c r="CI100" s="6" t="n">
        <v>0.017</v>
      </c>
      <c r="CJ100" s="6" t="n">
        <v>0.018</v>
      </c>
      <c r="CK100" s="6" t="inlineStr">
        <is>
          <t>Transport_EV_global</t>
        </is>
      </c>
      <c r="CL100" s="6" t="inlineStr">
        <is>
          <t>Transport_EV_China</t>
        </is>
      </c>
      <c r="CM100" s="6" t="inlineStr">
        <is>
          <t>China transport EV curve is shifted earlier than the global curve to reflect earlier China EV/e-bus deployment in the 2010s.</t>
        </is>
      </c>
    </row>
    <row r="101" ht="14.5" customHeight="1" s="213">
      <c r="D101">
        <f>D100</f>
        <v/>
      </c>
      <c r="E101" t="inlineStr">
        <is>
          <t>Tra_EV_Batt-LFP_virgin_pack</t>
        </is>
      </c>
      <c r="F101" s="208">
        <f>AW101*$AS101</f>
        <v/>
      </c>
      <c r="G101" s="208">
        <f>AX101*$AS101</f>
        <v/>
      </c>
      <c r="H101" s="208">
        <f>AY101*$AS101</f>
        <v/>
      </c>
      <c r="I101" s="208">
        <f>AZ101*$AS101</f>
        <v/>
      </c>
      <c r="J101" s="208">
        <f>BA101*$AS101</f>
        <v/>
      </c>
      <c r="K101" s="208">
        <f>BB101*$AS101</f>
        <v/>
      </c>
      <c r="L101" s="208">
        <f>BC101*$AS101</f>
        <v/>
      </c>
      <c r="M101" s="208">
        <f>BD101*$CI101</f>
        <v/>
      </c>
      <c r="N101" s="208">
        <f>BE101*$AS101</f>
        <v/>
      </c>
      <c r="O101" s="208">
        <f>BF101*$AS101</f>
        <v/>
      </c>
      <c r="P101" s="208">
        <f>BG101*$AS101</f>
        <v/>
      </c>
      <c r="Q101" s="208">
        <f>BH101*$AS101</f>
        <v/>
      </c>
      <c r="R101" s="208">
        <f>BI101*$AS101</f>
        <v/>
      </c>
      <c r="S101" s="208">
        <f>BJ101*$AS101</f>
        <v/>
      </c>
      <c r="T101" s="208">
        <f>BK101*$AS101</f>
        <v/>
      </c>
      <c r="U101" s="208">
        <f>BL101*$AS101</f>
        <v/>
      </c>
      <c r="V101" s="208">
        <f>BM101*$AS101</f>
        <v/>
      </c>
      <c r="W101" s="208">
        <f>BN101*$AS101</f>
        <v/>
      </c>
      <c r="X101" s="208">
        <f>BO101*$AS101</f>
        <v/>
      </c>
      <c r="Y101" s="208">
        <f>BP101*$AS101</f>
        <v/>
      </c>
      <c r="Z101" s="208">
        <f>BQ101*$AS101</f>
        <v/>
      </c>
      <c r="AA101" s="208">
        <f>BR101*$AS101</f>
        <v/>
      </c>
      <c r="AB101" s="208">
        <f>BS101*$AS101</f>
        <v/>
      </c>
      <c r="AC101" s="208">
        <f>BT101*$AS101</f>
        <v/>
      </c>
      <c r="AD101" s="208">
        <f>BU101*$AS101</f>
        <v/>
      </c>
      <c r="AE101" s="208">
        <f>BV101*$AS101</f>
        <v/>
      </c>
      <c r="AF101" s="208">
        <f>BW101*$AS101</f>
        <v/>
      </c>
      <c r="AG101" s="208">
        <f>BX101*$AS101</f>
        <v/>
      </c>
      <c r="AH101" s="208">
        <f>BY101*$AS101</f>
        <v/>
      </c>
      <c r="AI101" s="208">
        <f>BZ101*$AS101</f>
        <v/>
      </c>
      <c r="AJ101" s="208">
        <f>CA101*$AS101</f>
        <v/>
      </c>
      <c r="AK101" s="208">
        <f>CB101*$AS101</f>
        <v/>
      </c>
      <c r="AL101" s="208">
        <f>CC101*$AS101</f>
        <v/>
      </c>
      <c r="AM101" s="208">
        <f>CD101*$AS101</f>
        <v/>
      </c>
      <c r="AN101" s="208">
        <f>CE101*$AS101</f>
        <v/>
      </c>
      <c r="AQ101" s="6" t="n">
        <v>2013</v>
      </c>
      <c r="AR101" s="6" t="inlineStr">
        <is>
          <t>Tra_EV_Batt-LFP_virgin_pack</t>
        </is>
      </c>
      <c r="AS101" s="6" t="n">
        <v>0.017</v>
      </c>
      <c r="AT101" s="6" t="inlineStr">
        <is>
          <t>Transport_EV_general</t>
        </is>
      </c>
      <c r="AU101" s="6" t="inlineStr">
        <is>
          <t>Back-loaded transport EV battery vintage curve based on historical EV deployment shape.</t>
        </is>
      </c>
      <c r="AV101">
        <f>AV80</f>
        <v/>
      </c>
      <c r="AW101">
        <f>AW80</f>
        <v/>
      </c>
      <c r="AX101">
        <f>AX80</f>
        <v/>
      </c>
      <c r="AY101">
        <f>AY80</f>
        <v/>
      </c>
      <c r="AZ101">
        <f>AZ80</f>
        <v/>
      </c>
      <c r="BA101">
        <f>BA80</f>
        <v/>
      </c>
      <c r="BB101">
        <f>BB80</f>
        <v/>
      </c>
      <c r="BC101">
        <f>BC80</f>
        <v/>
      </c>
      <c r="BD101">
        <f>BD80</f>
        <v/>
      </c>
      <c r="BE101">
        <f>BE80</f>
        <v/>
      </c>
      <c r="BF101">
        <f>BF80</f>
        <v/>
      </c>
      <c r="BG101">
        <f>BG80</f>
        <v/>
      </c>
      <c r="BH101">
        <f>BH80</f>
        <v/>
      </c>
      <c r="BI101">
        <f>BI80</f>
        <v/>
      </c>
      <c r="BJ101">
        <f>BJ80</f>
        <v/>
      </c>
      <c r="BK101">
        <f>BK80</f>
        <v/>
      </c>
      <c r="BL101">
        <f>BL80</f>
        <v/>
      </c>
      <c r="BM101">
        <f>BM80</f>
        <v/>
      </c>
      <c r="BN101">
        <f>BN80</f>
        <v/>
      </c>
      <c r="BO101">
        <f>BO80</f>
        <v/>
      </c>
      <c r="BP101">
        <f>BP80</f>
        <v/>
      </c>
      <c r="BQ101">
        <f>BQ80</f>
        <v/>
      </c>
      <c r="BR101">
        <f>BR80</f>
        <v/>
      </c>
      <c r="BS101">
        <f>BS80</f>
        <v/>
      </c>
      <c r="BT101">
        <f>BT80</f>
        <v/>
      </c>
      <c r="BU101">
        <f>BU80</f>
        <v/>
      </c>
      <c r="BV101">
        <f>BV80</f>
        <v/>
      </c>
      <c r="BW101">
        <f>BW80</f>
        <v/>
      </c>
      <c r="BX101">
        <f>BX80</f>
        <v/>
      </c>
      <c r="BY101">
        <f>BY80</f>
        <v/>
      </c>
      <c r="BZ101">
        <f>BZ80</f>
        <v/>
      </c>
      <c r="CA101">
        <f>CA80</f>
        <v/>
      </c>
      <c r="CB101">
        <f>CB80</f>
        <v/>
      </c>
      <c r="CC101">
        <f>CC80</f>
        <v/>
      </c>
      <c r="CD101">
        <f>CD80</f>
        <v/>
      </c>
      <c r="CE101">
        <f>CE80</f>
        <v/>
      </c>
      <c r="CG101" s="6" t="n">
        <v>2013</v>
      </c>
      <c r="CH101" s="6" t="inlineStr">
        <is>
          <t>Tra_EV_Batt-LFP_virgin_pack</t>
        </is>
      </c>
      <c r="CI101" s="6" t="n">
        <v>0.017</v>
      </c>
      <c r="CJ101" s="6" t="n">
        <v>0.018</v>
      </c>
      <c r="CK101" s="6" t="inlineStr">
        <is>
          <t>Transport_EV_global</t>
        </is>
      </c>
      <c r="CL101" s="6" t="inlineStr">
        <is>
          <t>Transport_EV_China</t>
        </is>
      </c>
      <c r="CM101" s="6" t="inlineStr">
        <is>
          <t>China transport EV curve is shifted earlier than the global curve to reflect earlier China EV/e-bus deployment in the 2010s.</t>
        </is>
      </c>
    </row>
    <row r="102" ht="14.5" customHeight="1" s="213">
      <c r="D102">
        <f>D101</f>
        <v/>
      </c>
      <c r="E102" t="inlineStr">
        <is>
          <t>Tra_EV_Batt-NMC622_virgin_pack</t>
        </is>
      </c>
      <c r="F102" s="208">
        <f>AW102*$AS102</f>
        <v/>
      </c>
      <c r="G102" s="208">
        <f>AX102*$AS102</f>
        <v/>
      </c>
      <c r="H102" s="208">
        <f>AY102*$AS102</f>
        <v/>
      </c>
      <c r="I102" s="208">
        <f>AZ102*$AS102</f>
        <v/>
      </c>
      <c r="J102" s="208">
        <f>BA102*$AS102</f>
        <v/>
      </c>
      <c r="K102" s="208">
        <f>BB102*$AS102</f>
        <v/>
      </c>
      <c r="L102" s="208">
        <f>BC102*$AS102</f>
        <v/>
      </c>
      <c r="M102" s="208">
        <f>BD102*$CI102</f>
        <v/>
      </c>
      <c r="N102" s="208">
        <f>BE102*$AS102</f>
        <v/>
      </c>
      <c r="O102" s="208">
        <f>BF102*$AS102</f>
        <v/>
      </c>
      <c r="P102" s="208">
        <f>BG102*$AS102</f>
        <v/>
      </c>
      <c r="Q102" s="208">
        <f>BH102*$AS102</f>
        <v/>
      </c>
      <c r="R102" s="208">
        <f>BI102*$AS102</f>
        <v/>
      </c>
      <c r="S102" s="208">
        <f>BJ102*$AS102</f>
        <v/>
      </c>
      <c r="T102" s="208">
        <f>BK102*$AS102</f>
        <v/>
      </c>
      <c r="U102" s="208">
        <f>BL102*$AS102</f>
        <v/>
      </c>
      <c r="V102" s="208">
        <f>BM102*$AS102</f>
        <v/>
      </c>
      <c r="W102" s="208">
        <f>BN102*$AS102</f>
        <v/>
      </c>
      <c r="X102" s="208">
        <f>BO102*$AS102</f>
        <v/>
      </c>
      <c r="Y102" s="208">
        <f>BP102*$AS102</f>
        <v/>
      </c>
      <c r="Z102" s="208">
        <f>BQ102*$AS102</f>
        <v/>
      </c>
      <c r="AA102" s="208">
        <f>BR102*$AS102</f>
        <v/>
      </c>
      <c r="AB102" s="208">
        <f>BS102*$AS102</f>
        <v/>
      </c>
      <c r="AC102" s="208">
        <f>BT102*$AS102</f>
        <v/>
      </c>
      <c r="AD102" s="208">
        <f>BU102*$AS102</f>
        <v/>
      </c>
      <c r="AE102" s="208">
        <f>BV102*$AS102</f>
        <v/>
      </c>
      <c r="AF102" s="208">
        <f>BW102*$AS102</f>
        <v/>
      </c>
      <c r="AG102" s="208">
        <f>BX102*$AS102</f>
        <v/>
      </c>
      <c r="AH102" s="208">
        <f>BY102*$AS102</f>
        <v/>
      </c>
      <c r="AI102" s="208">
        <f>BZ102*$AS102</f>
        <v/>
      </c>
      <c r="AJ102" s="208">
        <f>CA102*$AS102</f>
        <v/>
      </c>
      <c r="AK102" s="208">
        <f>CB102*$AS102</f>
        <v/>
      </c>
      <c r="AL102" s="208">
        <f>CC102*$AS102</f>
        <v/>
      </c>
      <c r="AM102" s="208">
        <f>CD102*$AS102</f>
        <v/>
      </c>
      <c r="AN102" s="208">
        <f>CE102*$AS102</f>
        <v/>
      </c>
      <c r="AQ102" s="6" t="n">
        <v>2013</v>
      </c>
      <c r="AR102" s="6" t="inlineStr">
        <is>
          <t>Tra_EV_Batt-NMC622_virgin_pack</t>
        </is>
      </c>
      <c r="AS102" s="6" t="n">
        <v>0.017</v>
      </c>
      <c r="AT102" s="6" t="inlineStr">
        <is>
          <t>Transport_EV_general</t>
        </is>
      </c>
      <c r="AU102" s="6" t="inlineStr">
        <is>
          <t>Back-loaded transport EV battery vintage curve based on historical EV deployment shape.</t>
        </is>
      </c>
      <c r="AV102">
        <f>AV81</f>
        <v/>
      </c>
      <c r="AW102">
        <f>AW81</f>
        <v/>
      </c>
      <c r="AX102">
        <f>AX81</f>
        <v/>
      </c>
      <c r="AY102">
        <f>AY81</f>
        <v/>
      </c>
      <c r="AZ102">
        <f>AZ81</f>
        <v/>
      </c>
      <c r="BA102">
        <f>BA81</f>
        <v/>
      </c>
      <c r="BB102">
        <f>BB81</f>
        <v/>
      </c>
      <c r="BC102">
        <f>BC81</f>
        <v/>
      </c>
      <c r="BD102">
        <f>BD81</f>
        <v/>
      </c>
      <c r="BE102">
        <f>BE81</f>
        <v/>
      </c>
      <c r="BF102">
        <f>BF81</f>
        <v/>
      </c>
      <c r="BG102">
        <f>BG81</f>
        <v/>
      </c>
      <c r="BH102">
        <f>BH81</f>
        <v/>
      </c>
      <c r="BI102">
        <f>BI81</f>
        <v/>
      </c>
      <c r="BJ102">
        <f>BJ81</f>
        <v/>
      </c>
      <c r="BK102">
        <f>BK81</f>
        <v/>
      </c>
      <c r="BL102">
        <f>BL81</f>
        <v/>
      </c>
      <c r="BM102">
        <f>BM81</f>
        <v/>
      </c>
      <c r="BN102">
        <f>BN81</f>
        <v/>
      </c>
      <c r="BO102">
        <f>BO81</f>
        <v/>
      </c>
      <c r="BP102">
        <f>BP81</f>
        <v/>
      </c>
      <c r="BQ102">
        <f>BQ81</f>
        <v/>
      </c>
      <c r="BR102">
        <f>BR81</f>
        <v/>
      </c>
      <c r="BS102">
        <f>BS81</f>
        <v/>
      </c>
      <c r="BT102">
        <f>BT81</f>
        <v/>
      </c>
      <c r="BU102">
        <f>BU81</f>
        <v/>
      </c>
      <c r="BV102">
        <f>BV81</f>
        <v/>
      </c>
      <c r="BW102">
        <f>BW81</f>
        <v/>
      </c>
      <c r="BX102">
        <f>BX81</f>
        <v/>
      </c>
      <c r="BY102">
        <f>BY81</f>
        <v/>
      </c>
      <c r="BZ102">
        <f>BZ81</f>
        <v/>
      </c>
      <c r="CA102">
        <f>CA81</f>
        <v/>
      </c>
      <c r="CB102">
        <f>CB81</f>
        <v/>
      </c>
      <c r="CC102">
        <f>CC81</f>
        <v/>
      </c>
      <c r="CD102">
        <f>CD81</f>
        <v/>
      </c>
      <c r="CE102">
        <f>CE81</f>
        <v/>
      </c>
      <c r="CG102" s="6" t="n">
        <v>2013</v>
      </c>
      <c r="CH102" s="6" t="inlineStr">
        <is>
          <t>Tra_EV_Batt-NMC622_virgin_pack</t>
        </is>
      </c>
      <c r="CI102" s="6" t="n">
        <v>0.017</v>
      </c>
      <c r="CJ102" s="6" t="n">
        <v>0.018</v>
      </c>
      <c r="CK102" s="6" t="inlineStr">
        <is>
          <t>Transport_EV_global</t>
        </is>
      </c>
      <c r="CL102" s="6" t="inlineStr">
        <is>
          <t>Transport_EV_China</t>
        </is>
      </c>
      <c r="CM102" s="6" t="inlineStr">
        <is>
          <t>China transport EV curve is shifted earlier than the global curve to reflect earlier China EV/e-bus deployment in the 2010s.</t>
        </is>
      </c>
    </row>
    <row r="103" ht="14.5" customHeight="1" s="213">
      <c r="D103">
        <f>D102</f>
        <v/>
      </c>
      <c r="E103" t="inlineStr">
        <is>
          <t>Tra_EV_Batt-NMC811_virgin_pack</t>
        </is>
      </c>
      <c r="F103" s="208">
        <f>AW103*$AS103</f>
        <v/>
      </c>
      <c r="G103" s="208">
        <f>AX103*$AS103</f>
        <v/>
      </c>
      <c r="H103" s="208">
        <f>AY103*$AS103</f>
        <v/>
      </c>
      <c r="I103" s="208">
        <f>AZ103*$AS103</f>
        <v/>
      </c>
      <c r="J103" s="208">
        <f>BA103*$AS103</f>
        <v/>
      </c>
      <c r="K103" s="208">
        <f>BB103*$AS103</f>
        <v/>
      </c>
      <c r="L103" s="208">
        <f>BC103*$AS103</f>
        <v/>
      </c>
      <c r="M103" s="208">
        <f>BD103*$CI103</f>
        <v/>
      </c>
      <c r="N103" s="208">
        <f>BE103*$AS103</f>
        <v/>
      </c>
      <c r="O103" s="208">
        <f>BF103*$AS103</f>
        <v/>
      </c>
      <c r="P103" s="208">
        <f>BG103*$AS103</f>
        <v/>
      </c>
      <c r="Q103" s="208">
        <f>BH103*$AS103</f>
        <v/>
      </c>
      <c r="R103" s="208">
        <f>BI103*$AS103</f>
        <v/>
      </c>
      <c r="S103" s="208">
        <f>BJ103*$AS103</f>
        <v/>
      </c>
      <c r="T103" s="208">
        <f>BK103*$AS103</f>
        <v/>
      </c>
      <c r="U103" s="208">
        <f>BL103*$AS103</f>
        <v/>
      </c>
      <c r="V103" s="208">
        <f>BM103*$AS103</f>
        <v/>
      </c>
      <c r="W103" s="208">
        <f>BN103*$AS103</f>
        <v/>
      </c>
      <c r="X103" s="208">
        <f>BO103*$AS103</f>
        <v/>
      </c>
      <c r="Y103" s="208">
        <f>BP103*$AS103</f>
        <v/>
      </c>
      <c r="Z103" s="208">
        <f>BQ103*$AS103</f>
        <v/>
      </c>
      <c r="AA103" s="208">
        <f>BR103*$AS103</f>
        <v/>
      </c>
      <c r="AB103" s="208">
        <f>BS103*$AS103</f>
        <v/>
      </c>
      <c r="AC103" s="208">
        <f>BT103*$AS103</f>
        <v/>
      </c>
      <c r="AD103" s="208">
        <f>BU103*$AS103</f>
        <v/>
      </c>
      <c r="AE103" s="208">
        <f>BV103*$AS103</f>
        <v/>
      </c>
      <c r="AF103" s="208">
        <f>BW103*$AS103</f>
        <v/>
      </c>
      <c r="AG103" s="208">
        <f>BX103*$AS103</f>
        <v/>
      </c>
      <c r="AH103" s="208">
        <f>BY103*$AS103</f>
        <v/>
      </c>
      <c r="AI103" s="208">
        <f>BZ103*$AS103</f>
        <v/>
      </c>
      <c r="AJ103" s="208">
        <f>CA103*$AS103</f>
        <v/>
      </c>
      <c r="AK103" s="208">
        <f>CB103*$AS103</f>
        <v/>
      </c>
      <c r="AL103" s="208">
        <f>CC103*$AS103</f>
        <v/>
      </c>
      <c r="AM103" s="208">
        <f>CD103*$AS103</f>
        <v/>
      </c>
      <c r="AN103" s="208">
        <f>CE103*$AS103</f>
        <v/>
      </c>
      <c r="AQ103" s="6" t="n">
        <v>2013</v>
      </c>
      <c r="AR103" s="6" t="inlineStr">
        <is>
          <t>Tra_EV_Batt-NMC811_virgin_pack</t>
        </is>
      </c>
      <c r="AS103" s="6" t="n">
        <v>0.017</v>
      </c>
      <c r="AT103" s="6" t="inlineStr">
        <is>
          <t>Transport_EV_general</t>
        </is>
      </c>
      <c r="AU103" s="6" t="inlineStr">
        <is>
          <t>Back-loaded transport EV battery vintage curve based on historical EV deployment shape.</t>
        </is>
      </c>
      <c r="AV103">
        <f>AV82</f>
        <v/>
      </c>
      <c r="AW103">
        <f>AW82</f>
        <v/>
      </c>
      <c r="AX103">
        <f>AX82</f>
        <v/>
      </c>
      <c r="AY103">
        <f>AY82</f>
        <v/>
      </c>
      <c r="AZ103">
        <f>AZ82</f>
        <v/>
      </c>
      <c r="BA103">
        <f>BA82</f>
        <v/>
      </c>
      <c r="BB103">
        <f>BB82</f>
        <v/>
      </c>
      <c r="BC103">
        <f>BC82</f>
        <v/>
      </c>
      <c r="BD103">
        <f>BD82</f>
        <v/>
      </c>
      <c r="BE103">
        <f>BE82</f>
        <v/>
      </c>
      <c r="BF103">
        <f>BF82</f>
        <v/>
      </c>
      <c r="BG103">
        <f>BG82</f>
        <v/>
      </c>
      <c r="BH103">
        <f>BH82</f>
        <v/>
      </c>
      <c r="BI103">
        <f>BI82</f>
        <v/>
      </c>
      <c r="BJ103">
        <f>BJ82</f>
        <v/>
      </c>
      <c r="BK103">
        <f>BK82</f>
        <v/>
      </c>
      <c r="BL103">
        <f>BL82</f>
        <v/>
      </c>
      <c r="BM103">
        <f>BM82</f>
        <v/>
      </c>
      <c r="BN103">
        <f>BN82</f>
        <v/>
      </c>
      <c r="BO103">
        <f>BO82</f>
        <v/>
      </c>
      <c r="BP103">
        <f>BP82</f>
        <v/>
      </c>
      <c r="BQ103">
        <f>BQ82</f>
        <v/>
      </c>
      <c r="BR103">
        <f>BR82</f>
        <v/>
      </c>
      <c r="BS103">
        <f>BS82</f>
        <v/>
      </c>
      <c r="BT103">
        <f>BT82</f>
        <v/>
      </c>
      <c r="BU103">
        <f>BU82</f>
        <v/>
      </c>
      <c r="BV103">
        <f>BV82</f>
        <v/>
      </c>
      <c r="BW103">
        <f>BW82</f>
        <v/>
      </c>
      <c r="BX103">
        <f>BX82</f>
        <v/>
      </c>
      <c r="BY103">
        <f>BY82</f>
        <v/>
      </c>
      <c r="BZ103">
        <f>BZ82</f>
        <v/>
      </c>
      <c r="CA103">
        <f>CA82</f>
        <v/>
      </c>
      <c r="CB103">
        <f>CB82</f>
        <v/>
      </c>
      <c r="CC103">
        <f>CC82</f>
        <v/>
      </c>
      <c r="CD103">
        <f>CD82</f>
        <v/>
      </c>
      <c r="CE103">
        <f>CE82</f>
        <v/>
      </c>
      <c r="CG103" s="6" t="n">
        <v>2013</v>
      </c>
      <c r="CH103" s="6" t="inlineStr">
        <is>
          <t>Tra_EV_Batt-NMC811_virgin_pack</t>
        </is>
      </c>
      <c r="CI103" s="6" t="n">
        <v>0.017</v>
      </c>
      <c r="CJ103" s="6" t="n">
        <v>0.018</v>
      </c>
      <c r="CK103" s="6" t="inlineStr">
        <is>
          <t>Transport_EV_global</t>
        </is>
      </c>
      <c r="CL103" s="6" t="inlineStr">
        <is>
          <t>Transport_EV_China</t>
        </is>
      </c>
      <c r="CM103" s="6" t="inlineStr">
        <is>
          <t>China transport EV curve is shifted earlier than the global curve to reflect earlier China EV/e-bus deployment in the 2010s.</t>
        </is>
      </c>
    </row>
    <row r="104" ht="14.5" customHeight="1" s="213">
      <c r="D104">
        <f>D103</f>
        <v/>
      </c>
      <c r="E104" t="inlineStr">
        <is>
          <t>Tra_EV_Batt-NMC532_virgin_pack</t>
        </is>
      </c>
      <c r="F104" s="208">
        <f>AW104*$AS104</f>
        <v/>
      </c>
      <c r="G104" s="208">
        <f>AX104*$AS104</f>
        <v/>
      </c>
      <c r="H104" s="208">
        <f>AY104*$AS104</f>
        <v/>
      </c>
      <c r="I104" s="208">
        <f>AZ104*$AS104</f>
        <v/>
      </c>
      <c r="J104" s="208">
        <f>BA104*$AS104</f>
        <v/>
      </c>
      <c r="K104" s="208">
        <f>BB104*$AS104</f>
        <v/>
      </c>
      <c r="L104" s="208">
        <f>BC104*$AS104</f>
        <v/>
      </c>
      <c r="M104" s="208">
        <f>BD104*$CI104</f>
        <v/>
      </c>
      <c r="N104" s="208">
        <f>BE104*$AS104</f>
        <v/>
      </c>
      <c r="O104" s="208">
        <f>BF104*$AS104</f>
        <v/>
      </c>
      <c r="P104" s="208">
        <f>BG104*$AS104</f>
        <v/>
      </c>
      <c r="Q104" s="208">
        <f>BH104*$AS104</f>
        <v/>
      </c>
      <c r="R104" s="208">
        <f>BI104*$AS104</f>
        <v/>
      </c>
      <c r="S104" s="208">
        <f>BJ104*$AS104</f>
        <v/>
      </c>
      <c r="T104" s="208">
        <f>BK104*$AS104</f>
        <v/>
      </c>
      <c r="U104" s="208">
        <f>BL104*$AS104</f>
        <v/>
      </c>
      <c r="V104" s="208">
        <f>BM104*$AS104</f>
        <v/>
      </c>
      <c r="W104" s="208">
        <f>BN104*$AS104</f>
        <v/>
      </c>
      <c r="X104" s="208">
        <f>BO104*$AS104</f>
        <v/>
      </c>
      <c r="Y104" s="208">
        <f>BP104*$AS104</f>
        <v/>
      </c>
      <c r="Z104" s="208">
        <f>BQ104*$AS104</f>
        <v/>
      </c>
      <c r="AA104" s="208">
        <f>BR104*$AS104</f>
        <v/>
      </c>
      <c r="AB104" s="208">
        <f>BS104*$AS104</f>
        <v/>
      </c>
      <c r="AC104" s="208">
        <f>BT104*$AS104</f>
        <v/>
      </c>
      <c r="AD104" s="208">
        <f>BU104*$AS104</f>
        <v/>
      </c>
      <c r="AE104" s="208">
        <f>BV104*$AS104</f>
        <v/>
      </c>
      <c r="AF104" s="208">
        <f>BW104*$AS104</f>
        <v/>
      </c>
      <c r="AG104" s="208">
        <f>BX104*$AS104</f>
        <v/>
      </c>
      <c r="AH104" s="208">
        <f>BY104*$AS104</f>
        <v/>
      </c>
      <c r="AI104" s="208">
        <f>BZ104*$AS104</f>
        <v/>
      </c>
      <c r="AJ104" s="208">
        <f>CA104*$AS104</f>
        <v/>
      </c>
      <c r="AK104" s="208">
        <f>CB104*$AS104</f>
        <v/>
      </c>
      <c r="AL104" s="208">
        <f>CC104*$AS104</f>
        <v/>
      </c>
      <c r="AM104" s="208">
        <f>CD104*$AS104</f>
        <v/>
      </c>
      <c r="AN104" s="208">
        <f>CE104*$AS104</f>
        <v/>
      </c>
      <c r="AQ104" s="6" t="n">
        <v>2013</v>
      </c>
      <c r="AR104" s="6" t="inlineStr">
        <is>
          <t>Tra_EV_Batt-NMC532_virgin_pack</t>
        </is>
      </c>
      <c r="AS104" s="6" t="n">
        <v>0.017</v>
      </c>
      <c r="AT104" s="6" t="inlineStr">
        <is>
          <t>Transport_EV_general</t>
        </is>
      </c>
      <c r="AU104" s="6" t="inlineStr">
        <is>
          <t>Back-loaded transport EV battery vintage curve based on historical EV deployment shape.</t>
        </is>
      </c>
      <c r="AV104">
        <f>AV83</f>
        <v/>
      </c>
      <c r="AW104">
        <f>AW83</f>
        <v/>
      </c>
      <c r="AX104">
        <f>AX83</f>
        <v/>
      </c>
      <c r="AY104">
        <f>AY83</f>
        <v/>
      </c>
      <c r="AZ104">
        <f>AZ83</f>
        <v/>
      </c>
      <c r="BA104">
        <f>BA83</f>
        <v/>
      </c>
      <c r="BB104">
        <f>BB83</f>
        <v/>
      </c>
      <c r="BC104">
        <f>BC83</f>
        <v/>
      </c>
      <c r="BD104">
        <f>BD83</f>
        <v/>
      </c>
      <c r="BE104">
        <f>BE83</f>
        <v/>
      </c>
      <c r="BF104">
        <f>BF83</f>
        <v/>
      </c>
      <c r="BG104">
        <f>BG83</f>
        <v/>
      </c>
      <c r="BH104">
        <f>BH83</f>
        <v/>
      </c>
      <c r="BI104">
        <f>BI83</f>
        <v/>
      </c>
      <c r="BJ104">
        <f>BJ83</f>
        <v/>
      </c>
      <c r="BK104">
        <f>BK83</f>
        <v/>
      </c>
      <c r="BL104">
        <f>BL83</f>
        <v/>
      </c>
      <c r="BM104">
        <f>BM83</f>
        <v/>
      </c>
      <c r="BN104">
        <f>BN83</f>
        <v/>
      </c>
      <c r="BO104">
        <f>BO83</f>
        <v/>
      </c>
      <c r="BP104">
        <f>BP83</f>
        <v/>
      </c>
      <c r="BQ104">
        <f>BQ83</f>
        <v/>
      </c>
      <c r="BR104">
        <f>BR83</f>
        <v/>
      </c>
      <c r="BS104">
        <f>BS83</f>
        <v/>
      </c>
      <c r="BT104">
        <f>BT83</f>
        <v/>
      </c>
      <c r="BU104">
        <f>BU83</f>
        <v/>
      </c>
      <c r="BV104">
        <f>BV83</f>
        <v/>
      </c>
      <c r="BW104">
        <f>BW83</f>
        <v/>
      </c>
      <c r="BX104">
        <f>BX83</f>
        <v/>
      </c>
      <c r="BY104">
        <f>BY83</f>
        <v/>
      </c>
      <c r="BZ104">
        <f>BZ83</f>
        <v/>
      </c>
      <c r="CA104">
        <f>CA83</f>
        <v/>
      </c>
      <c r="CB104">
        <f>CB83</f>
        <v/>
      </c>
      <c r="CC104">
        <f>CC83</f>
        <v/>
      </c>
      <c r="CD104">
        <f>CD83</f>
        <v/>
      </c>
      <c r="CE104">
        <f>CE83</f>
        <v/>
      </c>
      <c r="CG104" s="6" t="n">
        <v>2013</v>
      </c>
      <c r="CH104" s="6" t="inlineStr">
        <is>
          <t>Tra_EV_Batt-NMC532_virgin_pack</t>
        </is>
      </c>
      <c r="CI104" s="6" t="n">
        <v>0.017</v>
      </c>
      <c r="CJ104" s="6" t="n">
        <v>0.018</v>
      </c>
      <c r="CK104" s="6" t="inlineStr">
        <is>
          <t>Transport_EV_global</t>
        </is>
      </c>
      <c r="CL104" s="6" t="inlineStr">
        <is>
          <t>Transport_EV_China</t>
        </is>
      </c>
      <c r="CM104" s="6" t="inlineStr">
        <is>
          <t>China transport EV curve is shifted earlier than the global curve to reflect earlier China EV/e-bus deployment in the 2010s.</t>
        </is>
      </c>
    </row>
    <row r="105" ht="14.5" customHeight="1" s="213">
      <c r="D105">
        <f>D104</f>
        <v/>
      </c>
      <c r="E105" t="inlineStr">
        <is>
          <t>Tra_EV_Batt-NCA_virgin_pack</t>
        </is>
      </c>
      <c r="F105" s="208">
        <f>AW105*$AS105</f>
        <v/>
      </c>
      <c r="G105" s="208">
        <f>AX105*$AS105</f>
        <v/>
      </c>
      <c r="H105" s="208">
        <f>AY105*$AS105</f>
        <v/>
      </c>
      <c r="I105" s="208">
        <f>AZ105*$AS105</f>
        <v/>
      </c>
      <c r="J105" s="208">
        <f>BA105*$AS105</f>
        <v/>
      </c>
      <c r="K105" s="208">
        <f>BB105*$AS105</f>
        <v/>
      </c>
      <c r="L105" s="208">
        <f>BC105*$AS105</f>
        <v/>
      </c>
      <c r="M105" s="208">
        <f>BD105*$CI105</f>
        <v/>
      </c>
      <c r="N105" s="208">
        <f>BE105*$AS105</f>
        <v/>
      </c>
      <c r="O105" s="208">
        <f>BF105*$AS105</f>
        <v/>
      </c>
      <c r="P105" s="208">
        <f>BG105*$AS105</f>
        <v/>
      </c>
      <c r="Q105" s="208">
        <f>BH105*$AS105</f>
        <v/>
      </c>
      <c r="R105" s="208">
        <f>BI105*$AS105</f>
        <v/>
      </c>
      <c r="S105" s="208">
        <f>BJ105*$AS105</f>
        <v/>
      </c>
      <c r="T105" s="208">
        <f>BK105*$AS105</f>
        <v/>
      </c>
      <c r="U105" s="208">
        <f>BL105*$AS105</f>
        <v/>
      </c>
      <c r="V105" s="208">
        <f>BM105*$AS105</f>
        <v/>
      </c>
      <c r="W105" s="208">
        <f>BN105*$AS105</f>
        <v/>
      </c>
      <c r="X105" s="208">
        <f>BO105*$AS105</f>
        <v/>
      </c>
      <c r="Y105" s="208">
        <f>BP105*$AS105</f>
        <v/>
      </c>
      <c r="Z105" s="208">
        <f>BQ105*$AS105</f>
        <v/>
      </c>
      <c r="AA105" s="208">
        <f>BR105*$AS105</f>
        <v/>
      </c>
      <c r="AB105" s="208">
        <f>BS105*$AS105</f>
        <v/>
      </c>
      <c r="AC105" s="208">
        <f>BT105*$AS105</f>
        <v/>
      </c>
      <c r="AD105" s="208">
        <f>BU105*$AS105</f>
        <v/>
      </c>
      <c r="AE105" s="208">
        <f>BV105*$AS105</f>
        <v/>
      </c>
      <c r="AF105" s="208">
        <f>BW105*$AS105</f>
        <v/>
      </c>
      <c r="AG105" s="208">
        <f>BX105*$AS105</f>
        <v/>
      </c>
      <c r="AH105" s="208">
        <f>BY105*$AS105</f>
        <v/>
      </c>
      <c r="AI105" s="208">
        <f>BZ105*$AS105</f>
        <v/>
      </c>
      <c r="AJ105" s="208">
        <f>CA105*$AS105</f>
        <v/>
      </c>
      <c r="AK105" s="208">
        <f>CB105*$AS105</f>
        <v/>
      </c>
      <c r="AL105" s="208">
        <f>CC105*$AS105</f>
        <v/>
      </c>
      <c r="AM105" s="208">
        <f>CD105*$AS105</f>
        <v/>
      </c>
      <c r="AN105" s="208">
        <f>CE105*$AS105</f>
        <v/>
      </c>
      <c r="AQ105" s="6" t="n">
        <v>2013</v>
      </c>
      <c r="AR105" s="6" t="inlineStr">
        <is>
          <t>Tra_EV_Batt-NCA_virgin_pack</t>
        </is>
      </c>
      <c r="AS105" s="6" t="n">
        <v>0.017</v>
      </c>
      <c r="AT105" s="6" t="inlineStr">
        <is>
          <t>Transport_EV_general</t>
        </is>
      </c>
      <c r="AU105" s="6" t="inlineStr">
        <is>
          <t>Back-loaded transport EV battery vintage curve based on historical EV deployment shape.</t>
        </is>
      </c>
      <c r="AV105">
        <f>AV84</f>
        <v/>
      </c>
      <c r="AW105">
        <f>AW84</f>
        <v/>
      </c>
      <c r="AX105">
        <f>AX84</f>
        <v/>
      </c>
      <c r="AY105">
        <f>AY84</f>
        <v/>
      </c>
      <c r="AZ105">
        <f>AZ84</f>
        <v/>
      </c>
      <c r="BA105">
        <f>BA84</f>
        <v/>
      </c>
      <c r="BB105">
        <f>BB84</f>
        <v/>
      </c>
      <c r="BC105">
        <f>BC84</f>
        <v/>
      </c>
      <c r="BD105">
        <f>BD84</f>
        <v/>
      </c>
      <c r="BE105">
        <f>BE84</f>
        <v/>
      </c>
      <c r="BF105">
        <f>BF84</f>
        <v/>
      </c>
      <c r="BG105">
        <f>BG84</f>
        <v/>
      </c>
      <c r="BH105">
        <f>BH84</f>
        <v/>
      </c>
      <c r="BI105">
        <f>BI84</f>
        <v/>
      </c>
      <c r="BJ105">
        <f>BJ84</f>
        <v/>
      </c>
      <c r="BK105">
        <f>BK84</f>
        <v/>
      </c>
      <c r="BL105">
        <f>BL84</f>
        <v/>
      </c>
      <c r="BM105">
        <f>BM84</f>
        <v/>
      </c>
      <c r="BN105">
        <f>BN84</f>
        <v/>
      </c>
      <c r="BO105">
        <f>BO84</f>
        <v/>
      </c>
      <c r="BP105">
        <f>BP84</f>
        <v/>
      </c>
      <c r="BQ105">
        <f>BQ84</f>
        <v/>
      </c>
      <c r="BR105">
        <f>BR84</f>
        <v/>
      </c>
      <c r="BS105">
        <f>BS84</f>
        <v/>
      </c>
      <c r="BT105">
        <f>BT84</f>
        <v/>
      </c>
      <c r="BU105">
        <f>BU84</f>
        <v/>
      </c>
      <c r="BV105">
        <f>BV84</f>
        <v/>
      </c>
      <c r="BW105">
        <f>BW84</f>
        <v/>
      </c>
      <c r="BX105">
        <f>BX84</f>
        <v/>
      </c>
      <c r="BY105">
        <f>BY84</f>
        <v/>
      </c>
      <c r="BZ105">
        <f>BZ84</f>
        <v/>
      </c>
      <c r="CA105">
        <f>CA84</f>
        <v/>
      </c>
      <c r="CB105">
        <f>CB84</f>
        <v/>
      </c>
      <c r="CC105">
        <f>CC84</f>
        <v/>
      </c>
      <c r="CD105">
        <f>CD84</f>
        <v/>
      </c>
      <c r="CE105">
        <f>CE84</f>
        <v/>
      </c>
      <c r="CG105" s="6" t="n">
        <v>2013</v>
      </c>
      <c r="CH105" s="6" t="inlineStr">
        <is>
          <t>Tra_EV_Batt-NCA_virgin_pack</t>
        </is>
      </c>
      <c r="CI105" s="6" t="n">
        <v>0.017</v>
      </c>
      <c r="CJ105" s="6" t="n">
        <v>0.018</v>
      </c>
      <c r="CK105" s="6" t="inlineStr">
        <is>
          <t>Transport_EV_global</t>
        </is>
      </c>
      <c r="CL105" s="6" t="inlineStr">
        <is>
          <t>Transport_EV_China</t>
        </is>
      </c>
      <c r="CM105" s="6" t="inlineStr">
        <is>
          <t>China transport EV curve is shifted earlier than the global curve to reflect earlier China EV/e-bus deployment in the 2010s.</t>
        </is>
      </c>
    </row>
    <row r="106" ht="14.5" customHeight="1" s="213">
      <c r="D106">
        <f>D105</f>
        <v/>
      </c>
      <c r="E106" t="inlineStr">
        <is>
          <t>Tra_EV_Batt-LMO_virgin_pack</t>
        </is>
      </c>
      <c r="F106" s="208">
        <f>AW106*$AS106</f>
        <v/>
      </c>
      <c r="G106" s="208">
        <f>AX106*$AS106</f>
        <v/>
      </c>
      <c r="H106" s="208">
        <f>AY106*$AS106</f>
        <v/>
      </c>
      <c r="I106" s="208">
        <f>AZ106*$AS106</f>
        <v/>
      </c>
      <c r="J106" s="208">
        <f>BA106*$AS106</f>
        <v/>
      </c>
      <c r="K106" s="208">
        <f>BB106*$AS106</f>
        <v/>
      </c>
      <c r="L106" s="208">
        <f>BC106*$AS106</f>
        <v/>
      </c>
      <c r="M106" s="208">
        <f>BD106*$CI106</f>
        <v/>
      </c>
      <c r="N106" s="208">
        <f>BE106*$AS106</f>
        <v/>
      </c>
      <c r="O106" s="208">
        <f>BF106*$AS106</f>
        <v/>
      </c>
      <c r="P106" s="208">
        <f>BG106*$AS106</f>
        <v/>
      </c>
      <c r="Q106" s="208">
        <f>BH106*$AS106</f>
        <v/>
      </c>
      <c r="R106" s="208">
        <f>BI106*$AS106</f>
        <v/>
      </c>
      <c r="S106" s="208">
        <f>BJ106*$AS106</f>
        <v/>
      </c>
      <c r="T106" s="208">
        <f>BK106*$AS106</f>
        <v/>
      </c>
      <c r="U106" s="208">
        <f>BL106*$AS106</f>
        <v/>
      </c>
      <c r="V106" s="208">
        <f>BM106*$AS106</f>
        <v/>
      </c>
      <c r="W106" s="208">
        <f>BN106*$AS106</f>
        <v/>
      </c>
      <c r="X106" s="208">
        <f>BO106*$AS106</f>
        <v/>
      </c>
      <c r="Y106" s="208">
        <f>BP106*$AS106</f>
        <v/>
      </c>
      <c r="Z106" s="208">
        <f>BQ106*$AS106</f>
        <v/>
      </c>
      <c r="AA106" s="208">
        <f>BR106*$AS106</f>
        <v/>
      </c>
      <c r="AB106" s="208">
        <f>BS106*$AS106</f>
        <v/>
      </c>
      <c r="AC106" s="208">
        <f>BT106*$AS106</f>
        <v/>
      </c>
      <c r="AD106" s="208">
        <f>BU106*$AS106</f>
        <v/>
      </c>
      <c r="AE106" s="208">
        <f>BV106*$AS106</f>
        <v/>
      </c>
      <c r="AF106" s="208">
        <f>BW106*$AS106</f>
        <v/>
      </c>
      <c r="AG106" s="208">
        <f>BX106*$AS106</f>
        <v/>
      </c>
      <c r="AH106" s="208">
        <f>BY106*$AS106</f>
        <v/>
      </c>
      <c r="AI106" s="208">
        <f>BZ106*$AS106</f>
        <v/>
      </c>
      <c r="AJ106" s="208">
        <f>CA106*$AS106</f>
        <v/>
      </c>
      <c r="AK106" s="208">
        <f>CB106*$AS106</f>
        <v/>
      </c>
      <c r="AL106" s="208">
        <f>CC106*$AS106</f>
        <v/>
      </c>
      <c r="AM106" s="208">
        <f>CD106*$AS106</f>
        <v/>
      </c>
      <c r="AN106" s="208">
        <f>CE106*$AS106</f>
        <v/>
      </c>
      <c r="AQ106" s="6" t="n">
        <v>2013</v>
      </c>
      <c r="AR106" s="6" t="inlineStr">
        <is>
          <t>Tra_EV_Batt-LMO_virgin_pack</t>
        </is>
      </c>
      <c r="AS106" s="6" t="n">
        <v>0.017</v>
      </c>
      <c r="AT106" s="6" t="inlineStr">
        <is>
          <t>Transport_EV_general</t>
        </is>
      </c>
      <c r="AU106" s="6" t="inlineStr">
        <is>
          <t>Back-loaded transport EV battery vintage curve based on historical EV deployment shape.</t>
        </is>
      </c>
      <c r="AV106">
        <f>AV85</f>
        <v/>
      </c>
      <c r="AW106">
        <f>AW85</f>
        <v/>
      </c>
      <c r="AX106">
        <f>AX85</f>
        <v/>
      </c>
      <c r="AY106">
        <f>AY85</f>
        <v/>
      </c>
      <c r="AZ106">
        <f>AZ85</f>
        <v/>
      </c>
      <c r="BA106">
        <f>BA85</f>
        <v/>
      </c>
      <c r="BB106">
        <f>BB85</f>
        <v/>
      </c>
      <c r="BC106">
        <f>BC85</f>
        <v/>
      </c>
      <c r="BD106">
        <f>BD85</f>
        <v/>
      </c>
      <c r="BE106">
        <f>BE85</f>
        <v/>
      </c>
      <c r="BF106">
        <f>BF85</f>
        <v/>
      </c>
      <c r="BG106">
        <f>BG85</f>
        <v/>
      </c>
      <c r="BH106">
        <f>BH85</f>
        <v/>
      </c>
      <c r="BI106">
        <f>BI85</f>
        <v/>
      </c>
      <c r="BJ106">
        <f>BJ85</f>
        <v/>
      </c>
      <c r="BK106">
        <f>BK85</f>
        <v/>
      </c>
      <c r="BL106">
        <f>BL85</f>
        <v/>
      </c>
      <c r="BM106">
        <f>BM85</f>
        <v/>
      </c>
      <c r="BN106">
        <f>BN85</f>
        <v/>
      </c>
      <c r="BO106">
        <f>BO85</f>
        <v/>
      </c>
      <c r="BP106">
        <f>BP85</f>
        <v/>
      </c>
      <c r="BQ106">
        <f>BQ85</f>
        <v/>
      </c>
      <c r="BR106">
        <f>BR85</f>
        <v/>
      </c>
      <c r="BS106">
        <f>BS85</f>
        <v/>
      </c>
      <c r="BT106">
        <f>BT85</f>
        <v/>
      </c>
      <c r="BU106">
        <f>BU85</f>
        <v/>
      </c>
      <c r="BV106">
        <f>BV85</f>
        <v/>
      </c>
      <c r="BW106">
        <f>BW85</f>
        <v/>
      </c>
      <c r="BX106">
        <f>BX85</f>
        <v/>
      </c>
      <c r="BY106">
        <f>BY85</f>
        <v/>
      </c>
      <c r="BZ106">
        <f>BZ85</f>
        <v/>
      </c>
      <c r="CA106">
        <f>CA85</f>
        <v/>
      </c>
      <c r="CB106">
        <f>CB85</f>
        <v/>
      </c>
      <c r="CC106">
        <f>CC85</f>
        <v/>
      </c>
      <c r="CD106">
        <f>CD85</f>
        <v/>
      </c>
      <c r="CE106">
        <f>CE85</f>
        <v/>
      </c>
      <c r="CG106" s="6" t="n">
        <v>2013</v>
      </c>
      <c r="CH106" s="6" t="inlineStr">
        <is>
          <t>Tra_EV_Batt-LMO_virgin_pack</t>
        </is>
      </c>
      <c r="CI106" s="6" t="n">
        <v>0.017</v>
      </c>
      <c r="CJ106" s="6" t="n">
        <v>0.018</v>
      </c>
      <c r="CK106" s="6" t="inlineStr">
        <is>
          <t>Transport_EV_global</t>
        </is>
      </c>
      <c r="CL106" s="6" t="inlineStr">
        <is>
          <t>Transport_EV_China</t>
        </is>
      </c>
      <c r="CM106" s="6" t="inlineStr">
        <is>
          <t>China transport EV curve is shifted earlier than the global curve to reflect earlier China EV/e-bus deployment in the 2010s.</t>
        </is>
      </c>
    </row>
    <row r="107" ht="14.5" customHeight="1" s="213">
      <c r="D107">
        <f>D106</f>
        <v/>
      </c>
      <c r="E107" t="inlineStr">
        <is>
          <t>Tra_EV_Batt-NMC111_virgin_pack</t>
        </is>
      </c>
      <c r="F107" s="208">
        <f>AW107*$AS107</f>
        <v/>
      </c>
      <c r="G107" s="208">
        <f>AX107*$AS107</f>
        <v/>
      </c>
      <c r="H107" s="208">
        <f>AY107*$AS107</f>
        <v/>
      </c>
      <c r="I107" s="208">
        <f>AZ107*$AS107</f>
        <v/>
      </c>
      <c r="J107" s="208">
        <f>BA107*$AS107</f>
        <v/>
      </c>
      <c r="K107" s="208">
        <f>BB107*$AS107</f>
        <v/>
      </c>
      <c r="L107" s="208">
        <f>BC107*$AS107</f>
        <v/>
      </c>
      <c r="M107" s="208">
        <f>BD107*$CI107</f>
        <v/>
      </c>
      <c r="N107" s="208">
        <f>BE107*$AS107</f>
        <v/>
      </c>
      <c r="O107" s="208">
        <f>BF107*$AS107</f>
        <v/>
      </c>
      <c r="P107" s="208">
        <f>BG107*$AS107</f>
        <v/>
      </c>
      <c r="Q107" s="208">
        <f>BH107*$AS107</f>
        <v/>
      </c>
      <c r="R107" s="208">
        <f>BI107*$AS107</f>
        <v/>
      </c>
      <c r="S107" s="208">
        <f>BJ107*$AS107</f>
        <v/>
      </c>
      <c r="T107" s="208">
        <f>BK107*$AS107</f>
        <v/>
      </c>
      <c r="U107" s="208">
        <f>BL107*$AS107</f>
        <v/>
      </c>
      <c r="V107" s="208">
        <f>BM107*$AS107</f>
        <v/>
      </c>
      <c r="W107" s="208">
        <f>BN107*$AS107</f>
        <v/>
      </c>
      <c r="X107" s="208">
        <f>BO107*$AS107</f>
        <v/>
      </c>
      <c r="Y107" s="208">
        <f>BP107*$AS107</f>
        <v/>
      </c>
      <c r="Z107" s="208">
        <f>BQ107*$AS107</f>
        <v/>
      </c>
      <c r="AA107" s="208">
        <f>BR107*$AS107</f>
        <v/>
      </c>
      <c r="AB107" s="208">
        <f>BS107*$AS107</f>
        <v/>
      </c>
      <c r="AC107" s="208">
        <f>BT107*$AS107</f>
        <v/>
      </c>
      <c r="AD107" s="208">
        <f>BU107*$AS107</f>
        <v/>
      </c>
      <c r="AE107" s="208">
        <f>BV107*$AS107</f>
        <v/>
      </c>
      <c r="AF107" s="208">
        <f>BW107*$AS107</f>
        <v/>
      </c>
      <c r="AG107" s="208">
        <f>BX107*$AS107</f>
        <v/>
      </c>
      <c r="AH107" s="208">
        <f>BY107*$AS107</f>
        <v/>
      </c>
      <c r="AI107" s="208">
        <f>BZ107*$AS107</f>
        <v/>
      </c>
      <c r="AJ107" s="208">
        <f>CA107*$AS107</f>
        <v/>
      </c>
      <c r="AK107" s="208">
        <f>CB107*$AS107</f>
        <v/>
      </c>
      <c r="AL107" s="208">
        <f>CC107*$AS107</f>
        <v/>
      </c>
      <c r="AM107" s="208">
        <f>CD107*$AS107</f>
        <v/>
      </c>
      <c r="AN107" s="208">
        <f>CE107*$AS107</f>
        <v/>
      </c>
      <c r="AQ107" s="6" t="n">
        <v>2013</v>
      </c>
      <c r="AR107" s="6" t="inlineStr">
        <is>
          <t>Tra_EV_Batt-NMC111_virgin_pack</t>
        </is>
      </c>
      <c r="AS107" s="6" t="n">
        <v>0.017</v>
      </c>
      <c r="AT107" s="6" t="inlineStr">
        <is>
          <t>Transport_EV_general</t>
        </is>
      </c>
      <c r="AU107" s="6" t="inlineStr">
        <is>
          <t>Back-loaded transport EV battery vintage curve based on historical EV deployment shape.</t>
        </is>
      </c>
      <c r="AV107">
        <f>AV86</f>
        <v/>
      </c>
      <c r="AW107">
        <f>AW86</f>
        <v/>
      </c>
      <c r="AX107">
        <f>AX86</f>
        <v/>
      </c>
      <c r="AY107">
        <f>AY86</f>
        <v/>
      </c>
      <c r="AZ107">
        <f>AZ86</f>
        <v/>
      </c>
      <c r="BA107">
        <f>BA86</f>
        <v/>
      </c>
      <c r="BB107">
        <f>BB86</f>
        <v/>
      </c>
      <c r="BC107">
        <f>BC86</f>
        <v/>
      </c>
      <c r="BD107">
        <f>BD86</f>
        <v/>
      </c>
      <c r="BE107">
        <f>BE86</f>
        <v/>
      </c>
      <c r="BF107">
        <f>BF86</f>
        <v/>
      </c>
      <c r="BG107">
        <f>BG86</f>
        <v/>
      </c>
      <c r="BH107">
        <f>BH86</f>
        <v/>
      </c>
      <c r="BI107">
        <f>BI86</f>
        <v/>
      </c>
      <c r="BJ107">
        <f>BJ86</f>
        <v/>
      </c>
      <c r="BK107">
        <f>BK86</f>
        <v/>
      </c>
      <c r="BL107">
        <f>BL86</f>
        <v/>
      </c>
      <c r="BM107">
        <f>BM86</f>
        <v/>
      </c>
      <c r="BN107">
        <f>BN86</f>
        <v/>
      </c>
      <c r="BO107">
        <f>BO86</f>
        <v/>
      </c>
      <c r="BP107">
        <f>BP86</f>
        <v/>
      </c>
      <c r="BQ107">
        <f>BQ86</f>
        <v/>
      </c>
      <c r="BR107">
        <f>BR86</f>
        <v/>
      </c>
      <c r="BS107">
        <f>BS86</f>
        <v/>
      </c>
      <c r="BT107">
        <f>BT86</f>
        <v/>
      </c>
      <c r="BU107">
        <f>BU86</f>
        <v/>
      </c>
      <c r="BV107">
        <f>BV86</f>
        <v/>
      </c>
      <c r="BW107">
        <f>BW86</f>
        <v/>
      </c>
      <c r="BX107">
        <f>BX86</f>
        <v/>
      </c>
      <c r="BY107">
        <f>BY86</f>
        <v/>
      </c>
      <c r="BZ107">
        <f>BZ86</f>
        <v/>
      </c>
      <c r="CA107">
        <f>CA86</f>
        <v/>
      </c>
      <c r="CB107">
        <f>CB86</f>
        <v/>
      </c>
      <c r="CC107">
        <f>CC86</f>
        <v/>
      </c>
      <c r="CD107">
        <f>CD86</f>
        <v/>
      </c>
      <c r="CE107">
        <f>CE86</f>
        <v/>
      </c>
      <c r="CG107" s="6" t="n">
        <v>2013</v>
      </c>
      <c r="CH107" s="6" t="inlineStr">
        <is>
          <t>Tra_EV_Batt-NMC111_virgin_pack</t>
        </is>
      </c>
      <c r="CI107" s="6" t="n">
        <v>0.017</v>
      </c>
      <c r="CJ107" s="6" t="n">
        <v>0.018</v>
      </c>
      <c r="CK107" s="6" t="inlineStr">
        <is>
          <t>Transport_EV_global</t>
        </is>
      </c>
      <c r="CL107" s="6" t="inlineStr">
        <is>
          <t>Transport_EV_China</t>
        </is>
      </c>
      <c r="CM107" s="6" t="inlineStr">
        <is>
          <t>China transport EV curve is shifted earlier than the global curve to reflect earlier China EV/e-bus deployment in the 2010s.</t>
        </is>
      </c>
    </row>
    <row r="108" ht="14.5" customHeight="1" s="213">
      <c r="D108" t="n">
        <v>2019</v>
      </c>
      <c r="E108" t="inlineStr">
        <is>
          <t>MINBatMaterials_LI</t>
        </is>
      </c>
      <c r="F108" s="208">
        <f>AW108*$AS108</f>
        <v/>
      </c>
      <c r="G108" s="208">
        <f>AX108*$AS108</f>
        <v/>
      </c>
      <c r="H108" s="208">
        <f>AY108*$AS108</f>
        <v/>
      </c>
      <c r="I108" s="208">
        <f>AZ108*$AS108</f>
        <v/>
      </c>
      <c r="J108" s="208">
        <f>BA108*$AS108</f>
        <v/>
      </c>
      <c r="K108" s="208">
        <f>BB108*$AS108</f>
        <v/>
      </c>
      <c r="L108" s="208">
        <f>BC108*$AS108</f>
        <v/>
      </c>
      <c r="M108" s="208">
        <f>BD108*$CI108</f>
        <v/>
      </c>
      <c r="N108" s="208">
        <f>BE108*$AS108</f>
        <v/>
      </c>
      <c r="O108" s="208">
        <f>BF108*$AS108</f>
        <v/>
      </c>
      <c r="P108" s="208">
        <f>BG108*$AS108</f>
        <v/>
      </c>
      <c r="Q108" s="208">
        <f>BH108*$AS108</f>
        <v/>
      </c>
      <c r="R108" s="208">
        <f>BI108*$AS108</f>
        <v/>
      </c>
      <c r="S108" s="208">
        <f>BJ108*$AS108</f>
        <v/>
      </c>
      <c r="T108" s="208">
        <f>BK108*$AS108</f>
        <v/>
      </c>
      <c r="U108" s="208">
        <f>BL108*$AS108</f>
        <v/>
      </c>
      <c r="V108" s="208">
        <f>BM108*$AS108</f>
        <v/>
      </c>
      <c r="W108" s="208">
        <f>BN108*$AS108</f>
        <v/>
      </c>
      <c r="X108" s="208">
        <f>BO108*$AS108</f>
        <v/>
      </c>
      <c r="Y108" s="208">
        <f>BP108*$AS108</f>
        <v/>
      </c>
      <c r="Z108" s="208">
        <f>BQ108*$AS108</f>
        <v/>
      </c>
      <c r="AA108" s="208">
        <f>BR108*$AS108</f>
        <v/>
      </c>
      <c r="AB108" s="208">
        <f>BS108*$AS108</f>
        <v/>
      </c>
      <c r="AC108" s="208">
        <f>BT108*$AS108</f>
        <v/>
      </c>
      <c r="AD108" s="208">
        <f>BU108*$AS108</f>
        <v/>
      </c>
      <c r="AE108" s="208">
        <f>BV108*$AS108</f>
        <v/>
      </c>
      <c r="AF108" s="208">
        <f>BW108*$AS108</f>
        <v/>
      </c>
      <c r="AG108" s="208">
        <f>BX108*$AS108</f>
        <v/>
      </c>
      <c r="AH108" s="208">
        <f>BY108*$AS108</f>
        <v/>
      </c>
      <c r="AI108" s="208">
        <f>BZ108*$AS108</f>
        <v/>
      </c>
      <c r="AJ108" s="208">
        <f>CA108*$AS108</f>
        <v/>
      </c>
      <c r="AK108" s="208">
        <f>CB108*$AS108</f>
        <v/>
      </c>
      <c r="AL108" s="208">
        <f>CC108*$AS108</f>
        <v/>
      </c>
      <c r="AM108" s="208">
        <f>CD108*$AS108</f>
        <v/>
      </c>
      <c r="AN108" s="208">
        <f>CE108*$AS108</f>
        <v/>
      </c>
      <c r="AQ108" s="6" t="n">
        <v>2014</v>
      </c>
      <c r="AR108" s="6" t="inlineStr">
        <is>
          <t>MINBatMaterials_LI</t>
        </is>
      </c>
      <c r="AS108" s="6" t="n">
        <v>0.09</v>
      </c>
      <c r="AT108" s="6" t="inlineStr">
        <is>
          <t>Mining_facility_representative</t>
        </is>
      </c>
      <c r="AU108" s="6" t="inlineStr">
        <is>
          <t>Representative mining-capacity vintage curve; COB_direct treated as aggregate cobalt-production route including by-product routes.</t>
        </is>
      </c>
      <c r="AV108">
        <f>AV87</f>
        <v/>
      </c>
      <c r="AW108">
        <f>AW87</f>
        <v/>
      </c>
      <c r="AX108">
        <f>AX87</f>
        <v/>
      </c>
      <c r="AY108">
        <f>AY87</f>
        <v/>
      </c>
      <c r="AZ108">
        <f>AZ87</f>
        <v/>
      </c>
      <c r="BA108">
        <f>BA87</f>
        <v/>
      </c>
      <c r="BB108">
        <f>BB87</f>
        <v/>
      </c>
      <c r="BC108">
        <f>BC87</f>
        <v/>
      </c>
      <c r="BD108">
        <f>BD87</f>
        <v/>
      </c>
      <c r="BE108">
        <f>BE87</f>
        <v/>
      </c>
      <c r="BF108">
        <f>BF87</f>
        <v/>
      </c>
      <c r="BG108">
        <f>BG87</f>
        <v/>
      </c>
      <c r="BH108">
        <f>BH87</f>
        <v/>
      </c>
      <c r="BI108">
        <f>BI87</f>
        <v/>
      </c>
      <c r="BJ108">
        <f>BJ87</f>
        <v/>
      </c>
      <c r="BK108">
        <f>BK87</f>
        <v/>
      </c>
      <c r="BL108">
        <f>BL87</f>
        <v/>
      </c>
      <c r="BM108">
        <f>BM87</f>
        <v/>
      </c>
      <c r="BN108">
        <f>BN87</f>
        <v/>
      </c>
      <c r="BO108">
        <f>BO87</f>
        <v/>
      </c>
      <c r="BP108">
        <f>BP87</f>
        <v/>
      </c>
      <c r="BQ108">
        <f>BQ87</f>
        <v/>
      </c>
      <c r="BR108">
        <f>BR87</f>
        <v/>
      </c>
      <c r="BS108">
        <f>BS87</f>
        <v/>
      </c>
      <c r="BT108">
        <f>BT87</f>
        <v/>
      </c>
      <c r="BU108">
        <f>BU87</f>
        <v/>
      </c>
      <c r="BV108">
        <f>BV87</f>
        <v/>
      </c>
      <c r="BW108">
        <f>BW87</f>
        <v/>
      </c>
      <c r="BX108">
        <f>BX87</f>
        <v/>
      </c>
      <c r="BY108">
        <f>BY87</f>
        <v/>
      </c>
      <c r="BZ108">
        <f>BZ87</f>
        <v/>
      </c>
      <c r="CA108">
        <f>CA87</f>
        <v/>
      </c>
      <c r="CB108">
        <f>CB87</f>
        <v/>
      </c>
      <c r="CC108">
        <f>CC87</f>
        <v/>
      </c>
      <c r="CD108">
        <f>CD87</f>
        <v/>
      </c>
      <c r="CE108">
        <f>CE87</f>
        <v/>
      </c>
      <c r="CG108" s="6" t="n">
        <v>2014</v>
      </c>
      <c r="CH108" s="6" t="inlineStr">
        <is>
          <t>MINBatMaterials_LI</t>
        </is>
      </c>
      <c r="CI108" s="6" t="n">
        <v>0.09</v>
      </c>
      <c r="CJ108" s="6" t="n">
        <v>0.09</v>
      </c>
      <c r="CK108" s="6" t="inlineStr">
        <is>
          <t>Mining_facility_representative</t>
        </is>
      </c>
      <c r="CL108" s="6" t="inlineStr">
        <is>
          <t>Mining_facility_representative</t>
        </is>
      </c>
      <c r="CM108" s="6" t="inlineStr">
        <is>
          <t>Mining curve kept the same for China; COB_direct treated as aggregate cobalt-production route including by-product routes.</t>
        </is>
      </c>
    </row>
    <row r="109" ht="14.5" customHeight="1" s="213">
      <c r="D109">
        <f>D108</f>
        <v/>
      </c>
      <c r="E109" t="inlineStr">
        <is>
          <t>MINBatMaterials_NI</t>
        </is>
      </c>
      <c r="F109" s="208">
        <f>AW109*$AS109</f>
        <v/>
      </c>
      <c r="G109" s="208">
        <f>AX109*$AS109</f>
        <v/>
      </c>
      <c r="H109" s="208">
        <f>AY109*$AS109</f>
        <v/>
      </c>
      <c r="I109" s="208">
        <f>AZ109*$AS109</f>
        <v/>
      </c>
      <c r="J109" s="208">
        <f>BA109*$AS109</f>
        <v/>
      </c>
      <c r="K109" s="208">
        <f>BB109*$AS109</f>
        <v/>
      </c>
      <c r="L109" s="208">
        <f>BC109*$AS109</f>
        <v/>
      </c>
      <c r="M109" s="208">
        <f>BD109*$CI109</f>
        <v/>
      </c>
      <c r="N109" s="208">
        <f>BE109*$AS109</f>
        <v/>
      </c>
      <c r="O109" s="208">
        <f>BF109*$AS109</f>
        <v/>
      </c>
      <c r="P109" s="208">
        <f>BG109*$AS109</f>
        <v/>
      </c>
      <c r="Q109" s="208">
        <f>BH109*$AS109</f>
        <v/>
      </c>
      <c r="R109" s="208">
        <f>BI109*$AS109</f>
        <v/>
      </c>
      <c r="S109" s="208">
        <f>BJ109*$AS109</f>
        <v/>
      </c>
      <c r="T109" s="208">
        <f>BK109*$AS109</f>
        <v/>
      </c>
      <c r="U109" s="208">
        <f>BL109*$AS109</f>
        <v/>
      </c>
      <c r="V109" s="208">
        <f>BM109*$AS109</f>
        <v/>
      </c>
      <c r="W109" s="208">
        <f>BN109*$AS109</f>
        <v/>
      </c>
      <c r="X109" s="208">
        <f>BO109*$AS109</f>
        <v/>
      </c>
      <c r="Y109" s="208">
        <f>BP109*$AS109</f>
        <v/>
      </c>
      <c r="Z109" s="208">
        <f>BQ109*$AS109</f>
        <v/>
      </c>
      <c r="AA109" s="208">
        <f>BR109*$AS109</f>
        <v/>
      </c>
      <c r="AB109" s="208">
        <f>BS109*$AS109</f>
        <v/>
      </c>
      <c r="AC109" s="208">
        <f>BT109*$AS109</f>
        <v/>
      </c>
      <c r="AD109" s="208">
        <f>BU109*$AS109</f>
        <v/>
      </c>
      <c r="AE109" s="208">
        <f>BV109*$AS109</f>
        <v/>
      </c>
      <c r="AF109" s="208">
        <f>BW109*$AS109</f>
        <v/>
      </c>
      <c r="AG109" s="208">
        <f>BX109*$AS109</f>
        <v/>
      </c>
      <c r="AH109" s="208">
        <f>BY109*$AS109</f>
        <v/>
      </c>
      <c r="AI109" s="208">
        <f>BZ109*$AS109</f>
        <v/>
      </c>
      <c r="AJ109" s="208">
        <f>CA109*$AS109</f>
        <v/>
      </c>
      <c r="AK109" s="208">
        <f>CB109*$AS109</f>
        <v/>
      </c>
      <c r="AL109" s="208">
        <f>CC109*$AS109</f>
        <v/>
      </c>
      <c r="AM109" s="208">
        <f>CD109*$AS109</f>
        <v/>
      </c>
      <c r="AN109" s="208">
        <f>CE109*$AS109</f>
        <v/>
      </c>
      <c r="AQ109" s="6" t="n">
        <v>2014</v>
      </c>
      <c r="AR109" s="6" t="inlineStr">
        <is>
          <t>MINBatMaterials_NI</t>
        </is>
      </c>
      <c r="AS109" s="6" t="n">
        <v>0.09</v>
      </c>
      <c r="AT109" s="6" t="inlineStr">
        <is>
          <t>Mining_facility_representative</t>
        </is>
      </c>
      <c r="AU109" s="6" t="inlineStr">
        <is>
          <t>Representative mining-capacity vintage curve; COB_direct treated as aggregate cobalt-production route including by-product routes.</t>
        </is>
      </c>
      <c r="AV109">
        <f>AV88</f>
        <v/>
      </c>
      <c r="AW109">
        <f>AW88</f>
        <v/>
      </c>
      <c r="AX109">
        <f>AX88</f>
        <v/>
      </c>
      <c r="AY109">
        <f>AY88</f>
        <v/>
      </c>
      <c r="AZ109">
        <f>AZ88</f>
        <v/>
      </c>
      <c r="BA109">
        <f>BA88</f>
        <v/>
      </c>
      <c r="BB109">
        <f>BB88</f>
        <v/>
      </c>
      <c r="BC109">
        <f>BC88</f>
        <v/>
      </c>
      <c r="BD109">
        <f>BD88</f>
        <v/>
      </c>
      <c r="BE109">
        <f>BE88</f>
        <v/>
      </c>
      <c r="BF109">
        <f>BF88</f>
        <v/>
      </c>
      <c r="BG109">
        <f>BG88</f>
        <v/>
      </c>
      <c r="BH109">
        <f>BH88</f>
        <v/>
      </c>
      <c r="BI109">
        <f>BI88</f>
        <v/>
      </c>
      <c r="BJ109">
        <f>BJ88</f>
        <v/>
      </c>
      <c r="BK109">
        <f>BK88</f>
        <v/>
      </c>
      <c r="BL109">
        <f>BL88</f>
        <v/>
      </c>
      <c r="BM109">
        <f>BM88</f>
        <v/>
      </c>
      <c r="BN109">
        <f>BN88</f>
        <v/>
      </c>
      <c r="BO109">
        <f>BO88</f>
        <v/>
      </c>
      <c r="BP109">
        <f>BP88</f>
        <v/>
      </c>
      <c r="BQ109">
        <f>BQ88</f>
        <v/>
      </c>
      <c r="BR109">
        <f>BR88</f>
        <v/>
      </c>
      <c r="BS109">
        <f>BS88</f>
        <v/>
      </c>
      <c r="BT109">
        <f>BT88</f>
        <v/>
      </c>
      <c r="BU109">
        <f>BU88</f>
        <v/>
      </c>
      <c r="BV109">
        <f>BV88</f>
        <v/>
      </c>
      <c r="BW109">
        <f>BW88</f>
        <v/>
      </c>
      <c r="BX109">
        <f>BX88</f>
        <v/>
      </c>
      <c r="BY109">
        <f>BY88</f>
        <v/>
      </c>
      <c r="BZ109">
        <f>BZ88</f>
        <v/>
      </c>
      <c r="CA109">
        <f>CA88</f>
        <v/>
      </c>
      <c r="CB109">
        <f>CB88</f>
        <v/>
      </c>
      <c r="CC109">
        <f>CC88</f>
        <v/>
      </c>
      <c r="CD109">
        <f>CD88</f>
        <v/>
      </c>
      <c r="CE109">
        <f>CE88</f>
        <v/>
      </c>
      <c r="CG109" s="6" t="n">
        <v>2014</v>
      </c>
      <c r="CH109" s="6" t="inlineStr">
        <is>
          <t>MINBatMaterials_NI</t>
        </is>
      </c>
      <c r="CI109" s="6" t="n">
        <v>0.09</v>
      </c>
      <c r="CJ109" s="6" t="n">
        <v>0.09</v>
      </c>
      <c r="CK109" s="6" t="inlineStr">
        <is>
          <t>Mining_facility_representative</t>
        </is>
      </c>
      <c r="CL109" s="6" t="inlineStr">
        <is>
          <t>Mining_facility_representative</t>
        </is>
      </c>
      <c r="CM109" s="6" t="inlineStr">
        <is>
          <t>Mining curve kept the same for China; COB_direct treated as aggregate cobalt-production route including by-product routes.</t>
        </is>
      </c>
    </row>
    <row r="110" ht="16" customHeight="1" s="213">
      <c r="D110">
        <f>D109</f>
        <v/>
      </c>
      <c r="E110" s="66" t="inlineStr">
        <is>
          <t>MINBatMaterials_COB_direct</t>
        </is>
      </c>
      <c r="F110" s="208">
        <f>AW110*$AS110</f>
        <v/>
      </c>
      <c r="G110" s="208">
        <f>AX110*$AS110</f>
        <v/>
      </c>
      <c r="H110" s="208">
        <f>AY110*$AS110</f>
        <v/>
      </c>
      <c r="I110" s="208">
        <f>AZ110*$AS110</f>
        <v/>
      </c>
      <c r="J110" s="208">
        <f>BA110*$AS110</f>
        <v/>
      </c>
      <c r="K110" s="208">
        <f>BB110*$AS110</f>
        <v/>
      </c>
      <c r="L110" s="208">
        <f>BC110*$AS110</f>
        <v/>
      </c>
      <c r="M110" s="208">
        <f>BD110*$CI110</f>
        <v/>
      </c>
      <c r="N110" s="208">
        <f>BE110*$AS110</f>
        <v/>
      </c>
      <c r="O110" s="208">
        <f>BF110*$AS110</f>
        <v/>
      </c>
      <c r="P110" s="208">
        <f>BG110*$AS110</f>
        <v/>
      </c>
      <c r="Q110" s="208">
        <f>BH110*$AS110</f>
        <v/>
      </c>
      <c r="R110" s="208">
        <f>BI110*$AS110</f>
        <v/>
      </c>
      <c r="S110" s="208">
        <f>BJ110*$AS110</f>
        <v/>
      </c>
      <c r="T110" s="208">
        <f>BK110*$AS110</f>
        <v/>
      </c>
      <c r="U110" s="208">
        <f>BL110*$AS110</f>
        <v/>
      </c>
      <c r="V110" s="208">
        <f>BM110*$AS110</f>
        <v/>
      </c>
      <c r="W110" s="208">
        <f>BN110*$AS110</f>
        <v/>
      </c>
      <c r="X110" s="208">
        <f>BO110*$AS110</f>
        <v/>
      </c>
      <c r="Y110" s="208">
        <f>BP110*$AS110</f>
        <v/>
      </c>
      <c r="Z110" s="208">
        <f>BQ110*$AS110</f>
        <v/>
      </c>
      <c r="AA110" s="208">
        <f>BR110*$AS110</f>
        <v/>
      </c>
      <c r="AB110" s="208">
        <f>BS110*$AS110</f>
        <v/>
      </c>
      <c r="AC110" s="208">
        <f>BT110*$AS110</f>
        <v/>
      </c>
      <c r="AD110" s="208">
        <f>BU110*$AS110</f>
        <v/>
      </c>
      <c r="AE110" s="208">
        <f>BV110*$AS110</f>
        <v/>
      </c>
      <c r="AF110" s="208">
        <f>BW110*$AS110</f>
        <v/>
      </c>
      <c r="AG110" s="208">
        <f>BX110*$AS110</f>
        <v/>
      </c>
      <c r="AH110" s="208">
        <f>BY110*$AS110</f>
        <v/>
      </c>
      <c r="AI110" s="208">
        <f>BZ110*$AS110</f>
        <v/>
      </c>
      <c r="AJ110" s="208">
        <f>CA110*$AS110</f>
        <v/>
      </c>
      <c r="AK110" s="208">
        <f>CB110*$AS110</f>
        <v/>
      </c>
      <c r="AL110" s="208">
        <f>CC110*$AS110</f>
        <v/>
      </c>
      <c r="AM110" s="208">
        <f>CD110*$AS110</f>
        <v/>
      </c>
      <c r="AN110" s="208">
        <f>CE110*$AS110</f>
        <v/>
      </c>
      <c r="AQ110" s="6" t="n">
        <v>2014</v>
      </c>
      <c r="AR110" s="6" t="inlineStr">
        <is>
          <t>MINBatMaterials_COB_direct</t>
        </is>
      </c>
      <c r="AS110" s="6" t="n">
        <v>0.09</v>
      </c>
      <c r="AT110" s="6" t="inlineStr">
        <is>
          <t>Mining_facility_representative</t>
        </is>
      </c>
      <c r="AU110" s="6" t="inlineStr">
        <is>
          <t>Representative mining-capacity vintage curve; COB_direct treated as aggregate cobalt-production route including by-product routes.</t>
        </is>
      </c>
      <c r="AV110">
        <f>AV89</f>
        <v/>
      </c>
      <c r="AW110">
        <f>AW89</f>
        <v/>
      </c>
      <c r="AX110">
        <f>AX89</f>
        <v/>
      </c>
      <c r="AY110">
        <f>AY89</f>
        <v/>
      </c>
      <c r="AZ110">
        <f>AZ89</f>
        <v/>
      </c>
      <c r="BA110">
        <f>BA89</f>
        <v/>
      </c>
      <c r="BB110">
        <f>BB89</f>
        <v/>
      </c>
      <c r="BC110">
        <f>BC89</f>
        <v/>
      </c>
      <c r="BD110">
        <f>BD89</f>
        <v/>
      </c>
      <c r="BE110">
        <f>BE89</f>
        <v/>
      </c>
      <c r="BF110">
        <f>BF89</f>
        <v/>
      </c>
      <c r="BG110">
        <f>BG89</f>
        <v/>
      </c>
      <c r="BH110">
        <f>BH89</f>
        <v/>
      </c>
      <c r="BI110">
        <f>BI89</f>
        <v/>
      </c>
      <c r="BJ110">
        <f>BJ89</f>
        <v/>
      </c>
      <c r="BK110">
        <f>BK89</f>
        <v/>
      </c>
      <c r="BL110">
        <f>BL89</f>
        <v/>
      </c>
      <c r="BM110">
        <f>BM89</f>
        <v/>
      </c>
      <c r="BN110">
        <f>BN89</f>
        <v/>
      </c>
      <c r="BO110">
        <f>BO89</f>
        <v/>
      </c>
      <c r="BP110">
        <f>BP89</f>
        <v/>
      </c>
      <c r="BQ110">
        <f>BQ89</f>
        <v/>
      </c>
      <c r="BR110">
        <f>BR89</f>
        <v/>
      </c>
      <c r="BS110">
        <f>BS89</f>
        <v/>
      </c>
      <c r="BT110">
        <f>BT89</f>
        <v/>
      </c>
      <c r="BU110">
        <f>BU89</f>
        <v/>
      </c>
      <c r="BV110">
        <f>BV89</f>
        <v/>
      </c>
      <c r="BW110">
        <f>BW89</f>
        <v/>
      </c>
      <c r="BX110">
        <f>BX89</f>
        <v/>
      </c>
      <c r="BY110">
        <f>BY89</f>
        <v/>
      </c>
      <c r="BZ110">
        <f>BZ89</f>
        <v/>
      </c>
      <c r="CA110">
        <f>CA89</f>
        <v/>
      </c>
      <c r="CB110">
        <f>CB89</f>
        <v/>
      </c>
      <c r="CC110">
        <f>CC89</f>
        <v/>
      </c>
      <c r="CD110">
        <f>CD89</f>
        <v/>
      </c>
      <c r="CE110">
        <f>CE89</f>
        <v/>
      </c>
      <c r="CG110" s="6" t="n">
        <v>2014</v>
      </c>
      <c r="CH110" s="6" t="inlineStr">
        <is>
          <t>MINBatMaterials_COB_direct</t>
        </is>
      </c>
      <c r="CI110" s="6" t="n">
        <v>0.09</v>
      </c>
      <c r="CJ110" s="6" t="n">
        <v>0.09</v>
      </c>
      <c r="CK110" s="6" t="inlineStr">
        <is>
          <t>Mining_facility_representative</t>
        </is>
      </c>
      <c r="CL110" s="6" t="inlineStr">
        <is>
          <t>Mining_facility_representative</t>
        </is>
      </c>
      <c r="CM110" s="6" t="inlineStr">
        <is>
          <t>Mining curve kept the same for China; COB_direct treated as aggregate cobalt-production route including by-product routes.</t>
        </is>
      </c>
    </row>
    <row r="111" ht="14.5" customHeight="1" s="213">
      <c r="D111">
        <f>D110</f>
        <v/>
      </c>
      <c r="E111" t="inlineStr">
        <is>
          <t>MINBatMaterials_MN</t>
        </is>
      </c>
      <c r="F111" s="208">
        <f>AW111*$AS111</f>
        <v/>
      </c>
      <c r="G111" s="208">
        <f>AX111*$AS111</f>
        <v/>
      </c>
      <c r="H111" s="208">
        <f>AY111*$AS111</f>
        <v/>
      </c>
      <c r="I111" s="208">
        <f>AZ111*$AS111</f>
        <v/>
      </c>
      <c r="J111" s="208">
        <f>BA111*$AS111</f>
        <v/>
      </c>
      <c r="K111" s="208">
        <f>BB111*$AS111</f>
        <v/>
      </c>
      <c r="L111" s="208">
        <f>BC111*$AS111</f>
        <v/>
      </c>
      <c r="M111" s="208">
        <f>BD111*$CI111</f>
        <v/>
      </c>
      <c r="N111" s="208">
        <f>BE111*$AS111</f>
        <v/>
      </c>
      <c r="O111" s="208">
        <f>BF111*$AS111</f>
        <v/>
      </c>
      <c r="P111" s="208">
        <f>BG111*$AS111</f>
        <v/>
      </c>
      <c r="Q111" s="208">
        <f>BH111*$AS111</f>
        <v/>
      </c>
      <c r="R111" s="208">
        <f>BI111*$AS111</f>
        <v/>
      </c>
      <c r="S111" s="208">
        <f>BJ111*$AS111</f>
        <v/>
      </c>
      <c r="T111" s="208">
        <f>BK111*$AS111</f>
        <v/>
      </c>
      <c r="U111" s="208">
        <f>BL111*$AS111</f>
        <v/>
      </c>
      <c r="V111" s="208">
        <f>BM111*$AS111</f>
        <v/>
      </c>
      <c r="W111" s="208">
        <f>BN111*$AS111</f>
        <v/>
      </c>
      <c r="X111" s="208">
        <f>BO111*$AS111</f>
        <v/>
      </c>
      <c r="Y111" s="208">
        <f>BP111*$AS111</f>
        <v/>
      </c>
      <c r="Z111" s="208">
        <f>BQ111*$AS111</f>
        <v/>
      </c>
      <c r="AA111" s="208">
        <f>BR111*$AS111</f>
        <v/>
      </c>
      <c r="AB111" s="208">
        <f>BS111*$AS111</f>
        <v/>
      </c>
      <c r="AC111" s="208">
        <f>BT111*$AS111</f>
        <v/>
      </c>
      <c r="AD111" s="208">
        <f>BU111*$AS111</f>
        <v/>
      </c>
      <c r="AE111" s="208">
        <f>BV111*$AS111</f>
        <v/>
      </c>
      <c r="AF111" s="208">
        <f>BW111*$AS111</f>
        <v/>
      </c>
      <c r="AG111" s="208">
        <f>BX111*$AS111</f>
        <v/>
      </c>
      <c r="AH111" s="208">
        <f>BY111*$AS111</f>
        <v/>
      </c>
      <c r="AI111" s="208">
        <f>BZ111*$AS111</f>
        <v/>
      </c>
      <c r="AJ111" s="208">
        <f>CA111*$AS111</f>
        <v/>
      </c>
      <c r="AK111" s="208">
        <f>CB111*$AS111</f>
        <v/>
      </c>
      <c r="AL111" s="208">
        <f>CC111*$AS111</f>
        <v/>
      </c>
      <c r="AM111" s="208">
        <f>CD111*$AS111</f>
        <v/>
      </c>
      <c r="AN111" s="208">
        <f>CE111*$AS111</f>
        <v/>
      </c>
      <c r="AQ111" s="6" t="n">
        <v>2014</v>
      </c>
      <c r="AR111" s="6" t="inlineStr">
        <is>
          <t>MINBatMaterials_MN</t>
        </is>
      </c>
      <c r="AS111" s="6" t="n">
        <v>0.09</v>
      </c>
      <c r="AT111" s="6" t="inlineStr">
        <is>
          <t>Mining_facility_representative</t>
        </is>
      </c>
      <c r="AU111" s="6" t="inlineStr">
        <is>
          <t>Representative mining-capacity vintage curve; COB_direct treated as aggregate cobalt-production route including by-product routes.</t>
        </is>
      </c>
      <c r="AV111">
        <f>AV90</f>
        <v/>
      </c>
      <c r="AW111">
        <f>AW90</f>
        <v/>
      </c>
      <c r="AX111">
        <f>AX90</f>
        <v/>
      </c>
      <c r="AY111">
        <f>AY90</f>
        <v/>
      </c>
      <c r="AZ111">
        <f>AZ90</f>
        <v/>
      </c>
      <c r="BA111">
        <f>BA90</f>
        <v/>
      </c>
      <c r="BB111">
        <f>BB90</f>
        <v/>
      </c>
      <c r="BC111">
        <f>BC90</f>
        <v/>
      </c>
      <c r="BD111">
        <f>BD90</f>
        <v/>
      </c>
      <c r="BE111">
        <f>BE90</f>
        <v/>
      </c>
      <c r="BF111">
        <f>BF90</f>
        <v/>
      </c>
      <c r="BG111">
        <f>BG90</f>
        <v/>
      </c>
      <c r="BH111">
        <f>BH90</f>
        <v/>
      </c>
      <c r="BI111">
        <f>BI90</f>
        <v/>
      </c>
      <c r="BJ111">
        <f>BJ90</f>
        <v/>
      </c>
      <c r="BK111">
        <f>BK90</f>
        <v/>
      </c>
      <c r="BL111">
        <f>BL90</f>
        <v/>
      </c>
      <c r="BM111">
        <f>BM90</f>
        <v/>
      </c>
      <c r="BN111">
        <f>BN90</f>
        <v/>
      </c>
      <c r="BO111">
        <f>BO90</f>
        <v/>
      </c>
      <c r="BP111">
        <f>BP90</f>
        <v/>
      </c>
      <c r="BQ111">
        <f>BQ90</f>
        <v/>
      </c>
      <c r="BR111">
        <f>BR90</f>
        <v/>
      </c>
      <c r="BS111">
        <f>BS90</f>
        <v/>
      </c>
      <c r="BT111">
        <f>BT90</f>
        <v/>
      </c>
      <c r="BU111">
        <f>BU90</f>
        <v/>
      </c>
      <c r="BV111">
        <f>BV90</f>
        <v/>
      </c>
      <c r="BW111">
        <f>BW90</f>
        <v/>
      </c>
      <c r="BX111">
        <f>BX90</f>
        <v/>
      </c>
      <c r="BY111">
        <f>BY90</f>
        <v/>
      </c>
      <c r="BZ111">
        <f>BZ90</f>
        <v/>
      </c>
      <c r="CA111">
        <f>CA90</f>
        <v/>
      </c>
      <c r="CB111">
        <f>CB90</f>
        <v/>
      </c>
      <c r="CC111">
        <f>CC90</f>
        <v/>
      </c>
      <c r="CD111">
        <f>CD90</f>
        <v/>
      </c>
      <c r="CE111">
        <f>CE90</f>
        <v/>
      </c>
      <c r="CG111" s="6" t="n">
        <v>2014</v>
      </c>
      <c r="CH111" s="6" t="inlineStr">
        <is>
          <t>MINBatMaterials_MN</t>
        </is>
      </c>
      <c r="CI111" s="6" t="n">
        <v>0.09</v>
      </c>
      <c r="CJ111" s="6" t="n">
        <v>0.09</v>
      </c>
      <c r="CK111" s="6" t="inlineStr">
        <is>
          <t>Mining_facility_representative</t>
        </is>
      </c>
      <c r="CL111" s="6" t="inlineStr">
        <is>
          <t>Mining_facility_representative</t>
        </is>
      </c>
      <c r="CM111" s="6" t="inlineStr">
        <is>
          <t>Mining curve kept the same for China; COB_direct treated as aggregate cobalt-production route including by-product routes.</t>
        </is>
      </c>
    </row>
    <row r="112" ht="14.5" customHeight="1" s="213">
      <c r="D112">
        <f>D111</f>
        <v/>
      </c>
      <c r="E112" t="inlineStr">
        <is>
          <t>MINBatMaterials_AL</t>
        </is>
      </c>
      <c r="F112" s="208">
        <f>AW112*$AS112</f>
        <v/>
      </c>
      <c r="G112" s="208">
        <f>AX112*$AS112</f>
        <v/>
      </c>
      <c r="H112" s="208">
        <f>AY112*$AS112</f>
        <v/>
      </c>
      <c r="I112" s="208">
        <f>AZ112*$AS112</f>
        <v/>
      </c>
      <c r="J112" s="208">
        <f>BA112*$AS112</f>
        <v/>
      </c>
      <c r="K112" s="208">
        <f>BB112*$AS112</f>
        <v/>
      </c>
      <c r="L112" s="208">
        <f>BC112*$AS112</f>
        <v/>
      </c>
      <c r="M112" s="208">
        <f>BD112*$CI112</f>
        <v/>
      </c>
      <c r="N112" s="208">
        <f>BE112*$AS112</f>
        <v/>
      </c>
      <c r="O112" s="208">
        <f>BF112*$AS112</f>
        <v/>
      </c>
      <c r="P112" s="208">
        <f>BG112*$AS112</f>
        <v/>
      </c>
      <c r="Q112" s="208">
        <f>BH112*$AS112</f>
        <v/>
      </c>
      <c r="R112" s="208">
        <f>BI112*$AS112</f>
        <v/>
      </c>
      <c r="S112" s="208">
        <f>BJ112*$AS112</f>
        <v/>
      </c>
      <c r="T112" s="208">
        <f>BK112*$AS112</f>
        <v/>
      </c>
      <c r="U112" s="208">
        <f>BL112*$AS112</f>
        <v/>
      </c>
      <c r="V112" s="208">
        <f>BM112*$AS112</f>
        <v/>
      </c>
      <c r="W112" s="208">
        <f>BN112*$AS112</f>
        <v/>
      </c>
      <c r="X112" s="208">
        <f>BO112*$AS112</f>
        <v/>
      </c>
      <c r="Y112" s="208">
        <f>BP112*$AS112</f>
        <v/>
      </c>
      <c r="Z112" s="208">
        <f>BQ112*$AS112</f>
        <v/>
      </c>
      <c r="AA112" s="208">
        <f>BR112*$AS112</f>
        <v/>
      </c>
      <c r="AB112" s="208">
        <f>BS112*$AS112</f>
        <v/>
      </c>
      <c r="AC112" s="208">
        <f>BT112*$AS112</f>
        <v/>
      </c>
      <c r="AD112" s="208">
        <f>BU112*$AS112</f>
        <v/>
      </c>
      <c r="AE112" s="208">
        <f>BV112*$AS112</f>
        <v/>
      </c>
      <c r="AF112" s="208">
        <f>BW112*$AS112</f>
        <v/>
      </c>
      <c r="AG112" s="208">
        <f>BX112*$AS112</f>
        <v/>
      </c>
      <c r="AH112" s="208">
        <f>BY112*$AS112</f>
        <v/>
      </c>
      <c r="AI112" s="208">
        <f>BZ112*$AS112</f>
        <v/>
      </c>
      <c r="AJ112" s="208">
        <f>CA112*$AS112</f>
        <v/>
      </c>
      <c r="AK112" s="208">
        <f>CB112*$AS112</f>
        <v/>
      </c>
      <c r="AL112" s="208">
        <f>CC112*$AS112</f>
        <v/>
      </c>
      <c r="AM112" s="208">
        <f>CD112*$AS112</f>
        <v/>
      </c>
      <c r="AN112" s="208">
        <f>CE112*$AS112</f>
        <v/>
      </c>
      <c r="AQ112" s="6" t="n">
        <v>2014</v>
      </c>
      <c r="AR112" s="6" t="inlineStr">
        <is>
          <t>MINBatMaterials_AL</t>
        </is>
      </c>
      <c r="AS112" s="6" t="n">
        <v>0.09</v>
      </c>
      <c r="AT112" s="6" t="inlineStr">
        <is>
          <t>Mining_facility_representative</t>
        </is>
      </c>
      <c r="AU112" s="6" t="inlineStr">
        <is>
          <t>Representative mining-capacity vintage curve; COB_direct treated as aggregate cobalt-production route including by-product routes.</t>
        </is>
      </c>
      <c r="AV112">
        <f>AV91</f>
        <v/>
      </c>
      <c r="AW112">
        <f>AW91</f>
        <v/>
      </c>
      <c r="AX112">
        <f>AX91</f>
        <v/>
      </c>
      <c r="AY112">
        <f>AY91</f>
        <v/>
      </c>
      <c r="AZ112">
        <f>AZ91</f>
        <v/>
      </c>
      <c r="BA112">
        <f>BA91</f>
        <v/>
      </c>
      <c r="BB112">
        <f>BB91</f>
        <v/>
      </c>
      <c r="BC112">
        <f>BC91</f>
        <v/>
      </c>
      <c r="BD112">
        <f>BD91</f>
        <v/>
      </c>
      <c r="BE112">
        <f>BE91</f>
        <v/>
      </c>
      <c r="BF112">
        <f>BF91</f>
        <v/>
      </c>
      <c r="BG112">
        <f>BG91</f>
        <v/>
      </c>
      <c r="BH112">
        <f>BH91</f>
        <v/>
      </c>
      <c r="BI112">
        <f>BI91</f>
        <v/>
      </c>
      <c r="BJ112">
        <f>BJ91</f>
        <v/>
      </c>
      <c r="BK112">
        <f>BK91</f>
        <v/>
      </c>
      <c r="BL112">
        <f>BL91</f>
        <v/>
      </c>
      <c r="BM112">
        <f>BM91</f>
        <v/>
      </c>
      <c r="BN112">
        <f>BN91</f>
        <v/>
      </c>
      <c r="BO112">
        <f>BO91</f>
        <v/>
      </c>
      <c r="BP112">
        <f>BP91</f>
        <v/>
      </c>
      <c r="BQ112">
        <f>BQ91</f>
        <v/>
      </c>
      <c r="BR112">
        <f>BR91</f>
        <v/>
      </c>
      <c r="BS112">
        <f>BS91</f>
        <v/>
      </c>
      <c r="BT112">
        <f>BT91</f>
        <v/>
      </c>
      <c r="BU112">
        <f>BU91</f>
        <v/>
      </c>
      <c r="BV112">
        <f>BV91</f>
        <v/>
      </c>
      <c r="BW112">
        <f>BW91</f>
        <v/>
      </c>
      <c r="BX112">
        <f>BX91</f>
        <v/>
      </c>
      <c r="BY112">
        <f>BY91</f>
        <v/>
      </c>
      <c r="BZ112">
        <f>BZ91</f>
        <v/>
      </c>
      <c r="CA112">
        <f>CA91</f>
        <v/>
      </c>
      <c r="CB112">
        <f>CB91</f>
        <v/>
      </c>
      <c r="CC112">
        <f>CC91</f>
        <v/>
      </c>
      <c r="CD112">
        <f>CD91</f>
        <v/>
      </c>
      <c r="CE112">
        <f>CE91</f>
        <v/>
      </c>
      <c r="CG112" s="6" t="n">
        <v>2014</v>
      </c>
      <c r="CH112" s="6" t="inlineStr">
        <is>
          <t>MINBatMaterials_AL</t>
        </is>
      </c>
      <c r="CI112" s="6" t="n">
        <v>0.09</v>
      </c>
      <c r="CJ112" s="6" t="n">
        <v>0.09</v>
      </c>
      <c r="CK112" s="6" t="inlineStr">
        <is>
          <t>Mining_facility_representative</t>
        </is>
      </c>
      <c r="CL112" s="6" t="inlineStr">
        <is>
          <t>Mining_facility_representative</t>
        </is>
      </c>
      <c r="CM112" s="6" t="inlineStr">
        <is>
          <t>Mining curve kept the same for China; COB_direct treated as aggregate cobalt-production route including by-product routes.</t>
        </is>
      </c>
    </row>
    <row r="113" ht="14.5" customHeight="1" s="213">
      <c r="D113">
        <f>D112</f>
        <v/>
      </c>
      <c r="E113" t="inlineStr">
        <is>
          <t>MINBatMaterials_COP</t>
        </is>
      </c>
      <c r="F113" s="208">
        <f>AW113*$AS113</f>
        <v/>
      </c>
      <c r="G113" s="208">
        <f>AX113*$AS113</f>
        <v/>
      </c>
      <c r="H113" s="208">
        <f>AY113*$AS113</f>
        <v/>
      </c>
      <c r="I113" s="208">
        <f>AZ113*$AS113</f>
        <v/>
      </c>
      <c r="J113" s="208">
        <f>BA113*$AS113</f>
        <v/>
      </c>
      <c r="K113" s="208">
        <f>BB113*$AS113</f>
        <v/>
      </c>
      <c r="L113" s="208">
        <f>BC113*$AS113</f>
        <v/>
      </c>
      <c r="M113" s="208">
        <f>BD113*$CI113</f>
        <v/>
      </c>
      <c r="N113" s="208">
        <f>BE113*$AS113</f>
        <v/>
      </c>
      <c r="O113" s="208">
        <f>BF113*$AS113</f>
        <v/>
      </c>
      <c r="P113" s="208">
        <f>BG113*$AS113</f>
        <v/>
      </c>
      <c r="Q113" s="208">
        <f>BH113*$AS113</f>
        <v/>
      </c>
      <c r="R113" s="208">
        <f>BI113*$AS113</f>
        <v/>
      </c>
      <c r="S113" s="208">
        <f>BJ113*$AS113</f>
        <v/>
      </c>
      <c r="T113" s="208">
        <f>BK113*$AS113</f>
        <v/>
      </c>
      <c r="U113" s="208">
        <f>BL113*$AS113</f>
        <v/>
      </c>
      <c r="V113" s="208">
        <f>BM113*$AS113</f>
        <v/>
      </c>
      <c r="W113" s="208">
        <f>BN113*$AS113</f>
        <v/>
      </c>
      <c r="X113" s="208">
        <f>BO113*$AS113</f>
        <v/>
      </c>
      <c r="Y113" s="208">
        <f>BP113*$AS113</f>
        <v/>
      </c>
      <c r="Z113" s="208">
        <f>BQ113*$AS113</f>
        <v/>
      </c>
      <c r="AA113" s="208">
        <f>BR113*$AS113</f>
        <v/>
      </c>
      <c r="AB113" s="208">
        <f>BS113*$AS113</f>
        <v/>
      </c>
      <c r="AC113" s="208">
        <f>BT113*$AS113</f>
        <v/>
      </c>
      <c r="AD113" s="208">
        <f>BU113*$AS113</f>
        <v/>
      </c>
      <c r="AE113" s="208">
        <f>BV113*$AS113</f>
        <v/>
      </c>
      <c r="AF113" s="208">
        <f>BW113*$AS113</f>
        <v/>
      </c>
      <c r="AG113" s="208">
        <f>BX113*$AS113</f>
        <v/>
      </c>
      <c r="AH113" s="208">
        <f>BY113*$AS113</f>
        <v/>
      </c>
      <c r="AI113" s="208">
        <f>BZ113*$AS113</f>
        <v/>
      </c>
      <c r="AJ113" s="208">
        <f>CA113*$AS113</f>
        <v/>
      </c>
      <c r="AK113" s="208">
        <f>CB113*$AS113</f>
        <v/>
      </c>
      <c r="AL113" s="208">
        <f>CC113*$AS113</f>
        <v/>
      </c>
      <c r="AM113" s="208">
        <f>CD113*$AS113</f>
        <v/>
      </c>
      <c r="AN113" s="208">
        <f>CE113*$AS113</f>
        <v/>
      </c>
      <c r="AQ113" s="6" t="n">
        <v>2014</v>
      </c>
      <c r="AR113" s="6" t="inlineStr">
        <is>
          <t>MINBatMaterials_COP</t>
        </is>
      </c>
      <c r="AS113" s="6" t="n">
        <v>0.09</v>
      </c>
      <c r="AT113" s="6" t="inlineStr">
        <is>
          <t>Mining_facility_representative</t>
        </is>
      </c>
      <c r="AU113" s="6" t="inlineStr">
        <is>
          <t>Representative mining-capacity vintage curve; COB_direct treated as aggregate cobalt-production route including by-product routes.</t>
        </is>
      </c>
      <c r="AV113">
        <f>AV92</f>
        <v/>
      </c>
      <c r="AW113">
        <f>AW92</f>
        <v/>
      </c>
      <c r="AX113">
        <f>AX92</f>
        <v/>
      </c>
      <c r="AY113">
        <f>AY92</f>
        <v/>
      </c>
      <c r="AZ113">
        <f>AZ92</f>
        <v/>
      </c>
      <c r="BA113">
        <f>BA92</f>
        <v/>
      </c>
      <c r="BB113">
        <f>BB92</f>
        <v/>
      </c>
      <c r="BC113">
        <f>BC92</f>
        <v/>
      </c>
      <c r="BD113">
        <f>BD92</f>
        <v/>
      </c>
      <c r="BE113">
        <f>BE92</f>
        <v/>
      </c>
      <c r="BF113">
        <f>BF92</f>
        <v/>
      </c>
      <c r="BG113">
        <f>BG92</f>
        <v/>
      </c>
      <c r="BH113">
        <f>BH92</f>
        <v/>
      </c>
      <c r="BI113">
        <f>BI92</f>
        <v/>
      </c>
      <c r="BJ113">
        <f>BJ92</f>
        <v/>
      </c>
      <c r="BK113">
        <f>BK92</f>
        <v/>
      </c>
      <c r="BL113">
        <f>BL92</f>
        <v/>
      </c>
      <c r="BM113">
        <f>BM92</f>
        <v/>
      </c>
      <c r="BN113">
        <f>BN92</f>
        <v/>
      </c>
      <c r="BO113">
        <f>BO92</f>
        <v/>
      </c>
      <c r="BP113">
        <f>BP92</f>
        <v/>
      </c>
      <c r="BQ113">
        <f>BQ92</f>
        <v/>
      </c>
      <c r="BR113">
        <f>BR92</f>
        <v/>
      </c>
      <c r="BS113">
        <f>BS92</f>
        <v/>
      </c>
      <c r="BT113">
        <f>BT92</f>
        <v/>
      </c>
      <c r="BU113">
        <f>BU92</f>
        <v/>
      </c>
      <c r="BV113">
        <f>BV92</f>
        <v/>
      </c>
      <c r="BW113">
        <f>BW92</f>
        <v/>
      </c>
      <c r="BX113">
        <f>BX92</f>
        <v/>
      </c>
      <c r="BY113">
        <f>BY92</f>
        <v/>
      </c>
      <c r="BZ113">
        <f>BZ92</f>
        <v/>
      </c>
      <c r="CA113">
        <f>CA92</f>
        <v/>
      </c>
      <c r="CB113">
        <f>CB92</f>
        <v/>
      </c>
      <c r="CC113">
        <f>CC92</f>
        <v/>
      </c>
      <c r="CD113">
        <f>CD92</f>
        <v/>
      </c>
      <c r="CE113">
        <f>CE92</f>
        <v/>
      </c>
      <c r="CG113" s="6" t="n">
        <v>2014</v>
      </c>
      <c r="CH113" s="6" t="inlineStr">
        <is>
          <t>MINBatMaterials_COP</t>
        </is>
      </c>
      <c r="CI113" s="6" t="n">
        <v>0.09</v>
      </c>
      <c r="CJ113" s="6" t="n">
        <v>0.09</v>
      </c>
      <c r="CK113" s="6" t="inlineStr">
        <is>
          <t>Mining_facility_representative</t>
        </is>
      </c>
      <c r="CL113" s="6" t="inlineStr">
        <is>
          <t>Mining_facility_representative</t>
        </is>
      </c>
      <c r="CM113" s="6" t="inlineStr">
        <is>
          <t>Mining curve kept the same for China; COB_direct treated as aggregate cobalt-production route including by-product routes.</t>
        </is>
      </c>
    </row>
    <row r="114" ht="14.5" customHeight="1" s="213">
      <c r="D114">
        <f>D113</f>
        <v/>
      </c>
      <c r="E114" t="inlineStr">
        <is>
          <t>MINBatMaterials_GR</t>
        </is>
      </c>
      <c r="F114" s="208">
        <f>AW114*$AS114</f>
        <v/>
      </c>
      <c r="G114" s="208">
        <f>AX114*$AS114</f>
        <v/>
      </c>
      <c r="H114" s="208">
        <f>AY114*$AS114</f>
        <v/>
      </c>
      <c r="I114" s="208">
        <f>AZ114*$AS114</f>
        <v/>
      </c>
      <c r="J114" s="208">
        <f>BA114*$AS114</f>
        <v/>
      </c>
      <c r="K114" s="208">
        <f>BB114*$AS114</f>
        <v/>
      </c>
      <c r="L114" s="208">
        <f>BC114*$AS114</f>
        <v/>
      </c>
      <c r="M114" s="208">
        <f>BD114*$CI114</f>
        <v/>
      </c>
      <c r="N114" s="208">
        <f>BE114*$AS114</f>
        <v/>
      </c>
      <c r="O114" s="208">
        <f>BF114*$AS114</f>
        <v/>
      </c>
      <c r="P114" s="208">
        <f>BG114*$AS114</f>
        <v/>
      </c>
      <c r="Q114" s="208">
        <f>BH114*$AS114</f>
        <v/>
      </c>
      <c r="R114" s="208">
        <f>BI114*$AS114</f>
        <v/>
      </c>
      <c r="S114" s="208">
        <f>BJ114*$AS114</f>
        <v/>
      </c>
      <c r="T114" s="208">
        <f>BK114*$AS114</f>
        <v/>
      </c>
      <c r="U114" s="208">
        <f>BL114*$AS114</f>
        <v/>
      </c>
      <c r="V114" s="208">
        <f>BM114*$AS114</f>
        <v/>
      </c>
      <c r="W114" s="208">
        <f>BN114*$AS114</f>
        <v/>
      </c>
      <c r="X114" s="208">
        <f>BO114*$AS114</f>
        <v/>
      </c>
      <c r="Y114" s="208">
        <f>BP114*$AS114</f>
        <v/>
      </c>
      <c r="Z114" s="208">
        <f>BQ114*$AS114</f>
        <v/>
      </c>
      <c r="AA114" s="208">
        <f>BR114*$AS114</f>
        <v/>
      </c>
      <c r="AB114" s="208">
        <f>BS114*$AS114</f>
        <v/>
      </c>
      <c r="AC114" s="208">
        <f>BT114*$AS114</f>
        <v/>
      </c>
      <c r="AD114" s="208">
        <f>BU114*$AS114</f>
        <v/>
      </c>
      <c r="AE114" s="208">
        <f>BV114*$AS114</f>
        <v/>
      </c>
      <c r="AF114" s="208">
        <f>BW114*$AS114</f>
        <v/>
      </c>
      <c r="AG114" s="208">
        <f>BX114*$AS114</f>
        <v/>
      </c>
      <c r="AH114" s="208">
        <f>BY114*$AS114</f>
        <v/>
      </c>
      <c r="AI114" s="208">
        <f>BZ114*$AS114</f>
        <v/>
      </c>
      <c r="AJ114" s="208">
        <f>CA114*$AS114</f>
        <v/>
      </c>
      <c r="AK114" s="208">
        <f>CB114*$AS114</f>
        <v/>
      </c>
      <c r="AL114" s="208">
        <f>CC114*$AS114</f>
        <v/>
      </c>
      <c r="AM114" s="208">
        <f>CD114*$AS114</f>
        <v/>
      </c>
      <c r="AN114" s="208">
        <f>CE114*$AS114</f>
        <v/>
      </c>
      <c r="AQ114" s="6" t="n">
        <v>2014</v>
      </c>
      <c r="AR114" s="6" t="inlineStr">
        <is>
          <t>MINBatMaterials_GR</t>
        </is>
      </c>
      <c r="AS114" s="6" t="n">
        <v>0.09</v>
      </c>
      <c r="AT114" s="6" t="inlineStr">
        <is>
          <t>Mining_facility_representative</t>
        </is>
      </c>
      <c r="AU114" s="6" t="inlineStr">
        <is>
          <t>Representative mining-capacity vintage curve; COB_direct treated as aggregate cobalt-production route including by-product routes.</t>
        </is>
      </c>
      <c r="AV114">
        <f>AV93</f>
        <v/>
      </c>
      <c r="AW114">
        <f>AW93</f>
        <v/>
      </c>
      <c r="AX114">
        <f>AX93</f>
        <v/>
      </c>
      <c r="AY114">
        <f>AY93</f>
        <v/>
      </c>
      <c r="AZ114">
        <f>AZ93</f>
        <v/>
      </c>
      <c r="BA114">
        <f>BA93</f>
        <v/>
      </c>
      <c r="BB114">
        <f>BB93</f>
        <v/>
      </c>
      <c r="BC114">
        <f>BC93</f>
        <v/>
      </c>
      <c r="BD114">
        <f>BD93</f>
        <v/>
      </c>
      <c r="BE114">
        <f>BE93</f>
        <v/>
      </c>
      <c r="BF114">
        <f>BF93</f>
        <v/>
      </c>
      <c r="BG114">
        <f>BG93</f>
        <v/>
      </c>
      <c r="BH114">
        <f>BH93</f>
        <v/>
      </c>
      <c r="BI114">
        <f>BI93</f>
        <v/>
      </c>
      <c r="BJ114">
        <f>BJ93</f>
        <v/>
      </c>
      <c r="BK114">
        <f>BK93</f>
        <v/>
      </c>
      <c r="BL114">
        <f>BL93</f>
        <v/>
      </c>
      <c r="BM114">
        <f>BM93</f>
        <v/>
      </c>
      <c r="BN114">
        <f>BN93</f>
        <v/>
      </c>
      <c r="BO114">
        <f>BO93</f>
        <v/>
      </c>
      <c r="BP114">
        <f>BP93</f>
        <v/>
      </c>
      <c r="BQ114">
        <f>BQ93</f>
        <v/>
      </c>
      <c r="BR114">
        <f>BR93</f>
        <v/>
      </c>
      <c r="BS114">
        <f>BS93</f>
        <v/>
      </c>
      <c r="BT114">
        <f>BT93</f>
        <v/>
      </c>
      <c r="BU114">
        <f>BU93</f>
        <v/>
      </c>
      <c r="BV114">
        <f>BV93</f>
        <v/>
      </c>
      <c r="BW114">
        <f>BW93</f>
        <v/>
      </c>
      <c r="BX114">
        <f>BX93</f>
        <v/>
      </c>
      <c r="BY114">
        <f>BY93</f>
        <v/>
      </c>
      <c r="BZ114">
        <f>BZ93</f>
        <v/>
      </c>
      <c r="CA114">
        <f>CA93</f>
        <v/>
      </c>
      <c r="CB114">
        <f>CB93</f>
        <v/>
      </c>
      <c r="CC114">
        <f>CC93</f>
        <v/>
      </c>
      <c r="CD114">
        <f>CD93</f>
        <v/>
      </c>
      <c r="CE114">
        <f>CE93</f>
        <v/>
      </c>
      <c r="CG114" s="6" t="n">
        <v>2014</v>
      </c>
      <c r="CH114" s="6" t="inlineStr">
        <is>
          <t>MINBatMaterials_GR</t>
        </is>
      </c>
      <c r="CI114" s="6" t="n">
        <v>0.09</v>
      </c>
      <c r="CJ114" s="6" t="n">
        <v>0.09</v>
      </c>
      <c r="CK114" s="6" t="inlineStr">
        <is>
          <t>Mining_facility_representative</t>
        </is>
      </c>
      <c r="CL114" s="6" t="inlineStr">
        <is>
          <t>Mining_facility_representative</t>
        </is>
      </c>
      <c r="CM114" s="6" t="inlineStr">
        <is>
          <t>Mining curve kept the same for China; COB_direct treated as aggregate cobalt-production route including by-product routes.</t>
        </is>
      </c>
    </row>
    <row r="115" ht="14.5" customHeight="1" s="213">
      <c r="D115" t="n">
        <v>2014</v>
      </c>
      <c r="E115" t="inlineStr">
        <is>
          <t>Tra_EV_Batt-LFP_virgin</t>
        </is>
      </c>
      <c r="F115" s="208">
        <f>AW115*$AS115</f>
        <v/>
      </c>
      <c r="G115" s="208">
        <f>AX115*$AS115</f>
        <v/>
      </c>
      <c r="H115" s="208">
        <f>AY115*$AS115</f>
        <v/>
      </c>
      <c r="I115" s="208">
        <f>AZ115*$AS115</f>
        <v/>
      </c>
      <c r="J115" s="208">
        <f>BA115*$AS115</f>
        <v/>
      </c>
      <c r="K115" s="208">
        <f>BB115*$AS115</f>
        <v/>
      </c>
      <c r="L115" s="208">
        <f>BC115*$AS115</f>
        <v/>
      </c>
      <c r="M115" s="208">
        <f>BD115*$CI115</f>
        <v/>
      </c>
      <c r="N115" s="208">
        <f>BE115*$AS115</f>
        <v/>
      </c>
      <c r="O115" s="208">
        <f>BF115*$AS115</f>
        <v/>
      </c>
      <c r="P115" s="208">
        <f>BG115*$AS115</f>
        <v/>
      </c>
      <c r="Q115" s="208">
        <f>BH115*$AS115</f>
        <v/>
      </c>
      <c r="R115" s="208">
        <f>BI115*$AS115</f>
        <v/>
      </c>
      <c r="S115" s="208">
        <f>BJ115*$AS115</f>
        <v/>
      </c>
      <c r="T115" s="208">
        <f>BK115*$AS115</f>
        <v/>
      </c>
      <c r="U115" s="208">
        <f>BL115*$AS115</f>
        <v/>
      </c>
      <c r="V115" s="208">
        <f>BM115*$AS115</f>
        <v/>
      </c>
      <c r="W115" s="208">
        <f>BN115*$AS115</f>
        <v/>
      </c>
      <c r="X115" s="208">
        <f>BO115*$AS115</f>
        <v/>
      </c>
      <c r="Y115" s="208">
        <f>BP115*$AS115</f>
        <v/>
      </c>
      <c r="Z115" s="208">
        <f>BQ115*$AS115</f>
        <v/>
      </c>
      <c r="AA115" s="208">
        <f>BR115*$AS115</f>
        <v/>
      </c>
      <c r="AB115" s="208">
        <f>BS115*$AS115</f>
        <v/>
      </c>
      <c r="AC115" s="208">
        <f>BT115*$AS115</f>
        <v/>
      </c>
      <c r="AD115" s="208">
        <f>BU115*$AS115</f>
        <v/>
      </c>
      <c r="AE115" s="208">
        <f>BV115*$AS115</f>
        <v/>
      </c>
      <c r="AF115" s="208">
        <f>BW115*$AS115</f>
        <v/>
      </c>
      <c r="AG115" s="208">
        <f>BX115*$AS115</f>
        <v/>
      </c>
      <c r="AH115" s="208">
        <f>BY115*$AS115</f>
        <v/>
      </c>
      <c r="AI115" s="208">
        <f>BZ115*$AS115</f>
        <v/>
      </c>
      <c r="AJ115" s="208">
        <f>CA115*$AS115</f>
        <v/>
      </c>
      <c r="AK115" s="208">
        <f>CB115*$AS115</f>
        <v/>
      </c>
      <c r="AL115" s="208">
        <f>CC115*$AS115</f>
        <v/>
      </c>
      <c r="AM115" s="208">
        <f>CD115*$AS115</f>
        <v/>
      </c>
      <c r="AN115" s="208">
        <f>CE115*$AS115</f>
        <v/>
      </c>
      <c r="AQ115" s="6" t="n">
        <v>2014</v>
      </c>
      <c r="AR115" s="6" t="inlineStr">
        <is>
          <t>Tra_EV_Batt-LFP_virgin</t>
        </is>
      </c>
      <c r="AS115" s="6" t="n">
        <v>0.029</v>
      </c>
      <c r="AT115" s="6" t="inlineStr">
        <is>
          <t>Transport_EV_general</t>
        </is>
      </c>
      <c r="AU115" s="6" t="inlineStr">
        <is>
          <t>Back-loaded transport EV battery vintage curve based on historical EV deployment shape.</t>
        </is>
      </c>
      <c r="AV115">
        <f>AV94</f>
        <v/>
      </c>
      <c r="AW115">
        <f>AW94</f>
        <v/>
      </c>
      <c r="AX115">
        <f>AX94</f>
        <v/>
      </c>
      <c r="AY115">
        <f>AY94</f>
        <v/>
      </c>
      <c r="AZ115">
        <f>AZ94</f>
        <v/>
      </c>
      <c r="BA115">
        <f>BA94</f>
        <v/>
      </c>
      <c r="BB115">
        <f>BB94</f>
        <v/>
      </c>
      <c r="BC115">
        <f>BC94</f>
        <v/>
      </c>
      <c r="BD115">
        <f>BD94</f>
        <v/>
      </c>
      <c r="BE115">
        <f>BE94</f>
        <v/>
      </c>
      <c r="BF115">
        <f>BF94</f>
        <v/>
      </c>
      <c r="BG115">
        <f>BG94</f>
        <v/>
      </c>
      <c r="BH115">
        <f>BH94</f>
        <v/>
      </c>
      <c r="BI115">
        <f>BI94</f>
        <v/>
      </c>
      <c r="BJ115">
        <f>BJ94</f>
        <v/>
      </c>
      <c r="BK115">
        <f>BK94</f>
        <v/>
      </c>
      <c r="BL115">
        <f>BL94</f>
        <v/>
      </c>
      <c r="BM115">
        <f>BM94</f>
        <v/>
      </c>
      <c r="BN115">
        <f>BN94</f>
        <v/>
      </c>
      <c r="BO115">
        <f>BO94</f>
        <v/>
      </c>
      <c r="BP115">
        <f>BP94</f>
        <v/>
      </c>
      <c r="BQ115">
        <f>BQ94</f>
        <v/>
      </c>
      <c r="BR115">
        <f>BR94</f>
        <v/>
      </c>
      <c r="BS115">
        <f>BS94</f>
        <v/>
      </c>
      <c r="BT115">
        <f>BT94</f>
        <v/>
      </c>
      <c r="BU115">
        <f>BU94</f>
        <v/>
      </c>
      <c r="BV115">
        <f>BV94</f>
        <v/>
      </c>
      <c r="BW115">
        <f>BW94</f>
        <v/>
      </c>
      <c r="BX115">
        <f>BX94</f>
        <v/>
      </c>
      <c r="BY115">
        <f>BY94</f>
        <v/>
      </c>
      <c r="BZ115">
        <f>BZ94</f>
        <v/>
      </c>
      <c r="CA115">
        <f>CA94</f>
        <v/>
      </c>
      <c r="CB115">
        <f>CB94</f>
        <v/>
      </c>
      <c r="CC115">
        <f>CC94</f>
        <v/>
      </c>
      <c r="CD115">
        <f>CD94</f>
        <v/>
      </c>
      <c r="CE115">
        <f>CE94</f>
        <v/>
      </c>
      <c r="CG115" s="6" t="n">
        <v>2014</v>
      </c>
      <c r="CH115" s="6" t="inlineStr">
        <is>
          <t>Tra_EV_Batt-LFP_virgin</t>
        </is>
      </c>
      <c r="CI115" s="6" t="n">
        <v>0.029</v>
      </c>
      <c r="CJ115" s="6" t="n">
        <v>0.042</v>
      </c>
      <c r="CK115" s="6" t="inlineStr">
        <is>
          <t>Transport_EV_global</t>
        </is>
      </c>
      <c r="CL115" s="6" t="inlineStr">
        <is>
          <t>Transport_EV_China</t>
        </is>
      </c>
      <c r="CM115" s="6" t="inlineStr">
        <is>
          <t>China transport EV curve is shifted earlier than the global curve to reflect earlier China EV/e-bus deployment in the 2010s.</t>
        </is>
      </c>
    </row>
    <row r="116" ht="14.5" customHeight="1" s="213">
      <c r="D116">
        <f>D115</f>
        <v/>
      </c>
      <c r="E116" t="inlineStr">
        <is>
          <t>Tra_EV_Batt-NMC622_virgin</t>
        </is>
      </c>
      <c r="F116" s="208">
        <f>AW116*$AS116</f>
        <v/>
      </c>
      <c r="G116" s="208">
        <f>AX116*$AS116</f>
        <v/>
      </c>
      <c r="H116" s="208">
        <f>AY116*$AS116</f>
        <v/>
      </c>
      <c r="I116" s="208">
        <f>AZ116*$AS116</f>
        <v/>
      </c>
      <c r="J116" s="208">
        <f>BA116*$AS116</f>
        <v/>
      </c>
      <c r="K116" s="208">
        <f>BB116*$AS116</f>
        <v/>
      </c>
      <c r="L116" s="208">
        <f>BC116*$AS116</f>
        <v/>
      </c>
      <c r="M116" s="208">
        <f>BD116*$CI116</f>
        <v/>
      </c>
      <c r="N116" s="208">
        <f>BE116*$AS116</f>
        <v/>
      </c>
      <c r="O116" s="208">
        <f>BF116*$AS116</f>
        <v/>
      </c>
      <c r="P116" s="208">
        <f>BG116*$AS116</f>
        <v/>
      </c>
      <c r="Q116" s="208">
        <f>BH116*$AS116</f>
        <v/>
      </c>
      <c r="R116" s="208">
        <f>BI116*$AS116</f>
        <v/>
      </c>
      <c r="S116" s="208">
        <f>BJ116*$AS116</f>
        <v/>
      </c>
      <c r="T116" s="208">
        <f>BK116*$AS116</f>
        <v/>
      </c>
      <c r="U116" s="208">
        <f>BL116*$AS116</f>
        <v/>
      </c>
      <c r="V116" s="208">
        <f>BM116*$AS116</f>
        <v/>
      </c>
      <c r="W116" s="208">
        <f>BN116*$AS116</f>
        <v/>
      </c>
      <c r="X116" s="208">
        <f>BO116*$AS116</f>
        <v/>
      </c>
      <c r="Y116" s="208">
        <f>BP116*$AS116</f>
        <v/>
      </c>
      <c r="Z116" s="208">
        <f>BQ116*$AS116</f>
        <v/>
      </c>
      <c r="AA116" s="208">
        <f>BR116*$AS116</f>
        <v/>
      </c>
      <c r="AB116" s="208">
        <f>BS116*$AS116</f>
        <v/>
      </c>
      <c r="AC116" s="208">
        <f>BT116*$AS116</f>
        <v/>
      </c>
      <c r="AD116" s="208">
        <f>BU116*$AS116</f>
        <v/>
      </c>
      <c r="AE116" s="208">
        <f>BV116*$AS116</f>
        <v/>
      </c>
      <c r="AF116" s="208">
        <f>BW116*$AS116</f>
        <v/>
      </c>
      <c r="AG116" s="208">
        <f>BX116*$AS116</f>
        <v/>
      </c>
      <c r="AH116" s="208">
        <f>BY116*$AS116</f>
        <v/>
      </c>
      <c r="AI116" s="208">
        <f>BZ116*$AS116</f>
        <v/>
      </c>
      <c r="AJ116" s="208">
        <f>CA116*$AS116</f>
        <v/>
      </c>
      <c r="AK116" s="208">
        <f>CB116*$AS116</f>
        <v/>
      </c>
      <c r="AL116" s="208">
        <f>CC116*$AS116</f>
        <v/>
      </c>
      <c r="AM116" s="208">
        <f>CD116*$AS116</f>
        <v/>
      </c>
      <c r="AN116" s="208">
        <f>CE116*$AS116</f>
        <v/>
      </c>
      <c r="AQ116" s="6" t="n">
        <v>2014</v>
      </c>
      <c r="AR116" s="6" t="inlineStr">
        <is>
          <t>Tra_EV_Batt-NMC622_virgin</t>
        </is>
      </c>
      <c r="AS116" s="6" t="n">
        <v>0.029</v>
      </c>
      <c r="AT116" s="6" t="inlineStr">
        <is>
          <t>Transport_EV_general</t>
        </is>
      </c>
      <c r="AU116" s="6" t="inlineStr">
        <is>
          <t>Back-loaded transport EV battery vintage curve based on historical EV deployment shape.</t>
        </is>
      </c>
      <c r="AV116">
        <f>AV95</f>
        <v/>
      </c>
      <c r="AW116">
        <f>AW95</f>
        <v/>
      </c>
      <c r="AX116">
        <f>AX95</f>
        <v/>
      </c>
      <c r="AY116">
        <f>AY95</f>
        <v/>
      </c>
      <c r="AZ116">
        <f>AZ95</f>
        <v/>
      </c>
      <c r="BA116">
        <f>BA95</f>
        <v/>
      </c>
      <c r="BB116">
        <f>BB95</f>
        <v/>
      </c>
      <c r="BC116">
        <f>BC95</f>
        <v/>
      </c>
      <c r="BD116">
        <f>BD95</f>
        <v/>
      </c>
      <c r="BE116">
        <f>BE95</f>
        <v/>
      </c>
      <c r="BF116">
        <f>BF95</f>
        <v/>
      </c>
      <c r="BG116">
        <f>BG95</f>
        <v/>
      </c>
      <c r="BH116">
        <f>BH95</f>
        <v/>
      </c>
      <c r="BI116">
        <f>BI95</f>
        <v/>
      </c>
      <c r="BJ116">
        <f>BJ95</f>
        <v/>
      </c>
      <c r="BK116">
        <f>BK95</f>
        <v/>
      </c>
      <c r="BL116">
        <f>BL95</f>
        <v/>
      </c>
      <c r="BM116">
        <f>BM95</f>
        <v/>
      </c>
      <c r="BN116">
        <f>BN95</f>
        <v/>
      </c>
      <c r="BO116">
        <f>BO95</f>
        <v/>
      </c>
      <c r="BP116">
        <f>BP95</f>
        <v/>
      </c>
      <c r="BQ116">
        <f>BQ95</f>
        <v/>
      </c>
      <c r="BR116">
        <f>BR95</f>
        <v/>
      </c>
      <c r="BS116">
        <f>BS95</f>
        <v/>
      </c>
      <c r="BT116">
        <f>BT95</f>
        <v/>
      </c>
      <c r="BU116">
        <f>BU95</f>
        <v/>
      </c>
      <c r="BV116">
        <f>BV95</f>
        <v/>
      </c>
      <c r="BW116">
        <f>BW95</f>
        <v/>
      </c>
      <c r="BX116">
        <f>BX95</f>
        <v/>
      </c>
      <c r="BY116">
        <f>BY95</f>
        <v/>
      </c>
      <c r="BZ116">
        <f>BZ95</f>
        <v/>
      </c>
      <c r="CA116">
        <f>CA95</f>
        <v/>
      </c>
      <c r="CB116">
        <f>CB95</f>
        <v/>
      </c>
      <c r="CC116">
        <f>CC95</f>
        <v/>
      </c>
      <c r="CD116">
        <f>CD95</f>
        <v/>
      </c>
      <c r="CE116">
        <f>CE95</f>
        <v/>
      </c>
      <c r="CG116" s="6" t="n">
        <v>2014</v>
      </c>
      <c r="CH116" s="6" t="inlineStr">
        <is>
          <t>Tra_EV_Batt-NMC622_virgin</t>
        </is>
      </c>
      <c r="CI116" s="6" t="n">
        <v>0.029</v>
      </c>
      <c r="CJ116" s="6" t="n">
        <v>0.042</v>
      </c>
      <c r="CK116" s="6" t="inlineStr">
        <is>
          <t>Transport_EV_global</t>
        </is>
      </c>
      <c r="CL116" s="6" t="inlineStr">
        <is>
          <t>Transport_EV_China</t>
        </is>
      </c>
      <c r="CM116" s="6" t="inlineStr">
        <is>
          <t>China transport EV curve is shifted earlier than the global curve to reflect earlier China EV/e-bus deployment in the 2010s.</t>
        </is>
      </c>
    </row>
    <row r="117" ht="14.5" customHeight="1" s="213">
      <c r="D117">
        <f>D116</f>
        <v/>
      </c>
      <c r="E117" t="inlineStr">
        <is>
          <t>Tra_EV_Batt-NMC811_virgin</t>
        </is>
      </c>
      <c r="F117" s="208">
        <f>AW117*$AS117</f>
        <v/>
      </c>
      <c r="G117" s="208">
        <f>AX117*$AS117</f>
        <v/>
      </c>
      <c r="H117" s="208">
        <f>AY117*$AS117</f>
        <v/>
      </c>
      <c r="I117" s="208">
        <f>AZ117*$AS117</f>
        <v/>
      </c>
      <c r="J117" s="208">
        <f>BA117*$AS117</f>
        <v/>
      </c>
      <c r="K117" s="208">
        <f>BB117*$AS117</f>
        <v/>
      </c>
      <c r="L117" s="208">
        <f>BC117*$AS117</f>
        <v/>
      </c>
      <c r="M117" s="208">
        <f>BD117*$CI117</f>
        <v/>
      </c>
      <c r="N117" s="208">
        <f>BE117*$AS117</f>
        <v/>
      </c>
      <c r="O117" s="208">
        <f>BF117*$AS117</f>
        <v/>
      </c>
      <c r="P117" s="208">
        <f>BG117*$AS117</f>
        <v/>
      </c>
      <c r="Q117" s="208">
        <f>BH117*$AS117</f>
        <v/>
      </c>
      <c r="R117" s="208">
        <f>BI117*$AS117</f>
        <v/>
      </c>
      <c r="S117" s="208">
        <f>BJ117*$AS117</f>
        <v/>
      </c>
      <c r="T117" s="208">
        <f>BK117*$AS117</f>
        <v/>
      </c>
      <c r="U117" s="208">
        <f>BL117*$AS117</f>
        <v/>
      </c>
      <c r="V117" s="208">
        <f>BM117*$AS117</f>
        <v/>
      </c>
      <c r="W117" s="208">
        <f>BN117*$AS117</f>
        <v/>
      </c>
      <c r="X117" s="208">
        <f>BO117*$AS117</f>
        <v/>
      </c>
      <c r="Y117" s="208">
        <f>BP117*$AS117</f>
        <v/>
      </c>
      <c r="Z117" s="208">
        <f>BQ117*$AS117</f>
        <v/>
      </c>
      <c r="AA117" s="208">
        <f>BR117*$AS117</f>
        <v/>
      </c>
      <c r="AB117" s="208">
        <f>BS117*$AS117</f>
        <v/>
      </c>
      <c r="AC117" s="208">
        <f>BT117*$AS117</f>
        <v/>
      </c>
      <c r="AD117" s="208">
        <f>BU117*$AS117</f>
        <v/>
      </c>
      <c r="AE117" s="208">
        <f>BV117*$AS117</f>
        <v/>
      </c>
      <c r="AF117" s="208">
        <f>BW117*$AS117</f>
        <v/>
      </c>
      <c r="AG117" s="208">
        <f>BX117*$AS117</f>
        <v/>
      </c>
      <c r="AH117" s="208">
        <f>BY117*$AS117</f>
        <v/>
      </c>
      <c r="AI117" s="208">
        <f>BZ117*$AS117</f>
        <v/>
      </c>
      <c r="AJ117" s="208">
        <f>CA117*$AS117</f>
        <v/>
      </c>
      <c r="AK117" s="208">
        <f>CB117*$AS117</f>
        <v/>
      </c>
      <c r="AL117" s="208">
        <f>CC117*$AS117</f>
        <v/>
      </c>
      <c r="AM117" s="208">
        <f>CD117*$AS117</f>
        <v/>
      </c>
      <c r="AN117" s="208">
        <f>CE117*$AS117</f>
        <v/>
      </c>
      <c r="AQ117" s="6" t="n">
        <v>2014</v>
      </c>
      <c r="AR117" s="6" t="inlineStr">
        <is>
          <t>Tra_EV_Batt-NMC811_virgin</t>
        </is>
      </c>
      <c r="AS117" s="6" t="n">
        <v>0.029</v>
      </c>
      <c r="AT117" s="6" t="inlineStr">
        <is>
          <t>Transport_EV_general</t>
        </is>
      </c>
      <c r="AU117" s="6" t="inlineStr">
        <is>
          <t>Back-loaded transport EV battery vintage curve based on historical EV deployment shape.</t>
        </is>
      </c>
      <c r="AV117">
        <f>AV96</f>
        <v/>
      </c>
      <c r="AW117">
        <f>AW96</f>
        <v/>
      </c>
      <c r="AX117">
        <f>AX96</f>
        <v/>
      </c>
      <c r="AY117">
        <f>AY96</f>
        <v/>
      </c>
      <c r="AZ117">
        <f>AZ96</f>
        <v/>
      </c>
      <c r="BA117">
        <f>BA96</f>
        <v/>
      </c>
      <c r="BB117">
        <f>BB96</f>
        <v/>
      </c>
      <c r="BC117">
        <f>BC96</f>
        <v/>
      </c>
      <c r="BD117">
        <f>BD96</f>
        <v/>
      </c>
      <c r="BE117">
        <f>BE96</f>
        <v/>
      </c>
      <c r="BF117">
        <f>BF96</f>
        <v/>
      </c>
      <c r="BG117">
        <f>BG96</f>
        <v/>
      </c>
      <c r="BH117">
        <f>BH96</f>
        <v/>
      </c>
      <c r="BI117">
        <f>BI96</f>
        <v/>
      </c>
      <c r="BJ117">
        <f>BJ96</f>
        <v/>
      </c>
      <c r="BK117">
        <f>BK96</f>
        <v/>
      </c>
      <c r="BL117">
        <f>BL96</f>
        <v/>
      </c>
      <c r="BM117">
        <f>BM96</f>
        <v/>
      </c>
      <c r="BN117">
        <f>BN96</f>
        <v/>
      </c>
      <c r="BO117">
        <f>BO96</f>
        <v/>
      </c>
      <c r="BP117">
        <f>BP96</f>
        <v/>
      </c>
      <c r="BQ117">
        <f>BQ96</f>
        <v/>
      </c>
      <c r="BR117">
        <f>BR96</f>
        <v/>
      </c>
      <c r="BS117">
        <f>BS96</f>
        <v/>
      </c>
      <c r="BT117">
        <f>BT96</f>
        <v/>
      </c>
      <c r="BU117">
        <f>BU96</f>
        <v/>
      </c>
      <c r="BV117">
        <f>BV96</f>
        <v/>
      </c>
      <c r="BW117">
        <f>BW96</f>
        <v/>
      </c>
      <c r="BX117">
        <f>BX96</f>
        <v/>
      </c>
      <c r="BY117">
        <f>BY96</f>
        <v/>
      </c>
      <c r="BZ117">
        <f>BZ96</f>
        <v/>
      </c>
      <c r="CA117">
        <f>CA96</f>
        <v/>
      </c>
      <c r="CB117">
        <f>CB96</f>
        <v/>
      </c>
      <c r="CC117">
        <f>CC96</f>
        <v/>
      </c>
      <c r="CD117">
        <f>CD96</f>
        <v/>
      </c>
      <c r="CE117">
        <f>CE96</f>
        <v/>
      </c>
      <c r="CG117" s="6" t="n">
        <v>2014</v>
      </c>
      <c r="CH117" s="6" t="inlineStr">
        <is>
          <t>Tra_EV_Batt-NMC811_virgin</t>
        </is>
      </c>
      <c r="CI117" s="6" t="n">
        <v>0.029</v>
      </c>
      <c r="CJ117" s="6" t="n">
        <v>0.042</v>
      </c>
      <c r="CK117" s="6" t="inlineStr">
        <is>
          <t>Transport_EV_global</t>
        </is>
      </c>
      <c r="CL117" s="6" t="inlineStr">
        <is>
          <t>Transport_EV_China</t>
        </is>
      </c>
      <c r="CM117" s="6" t="inlineStr">
        <is>
          <t>China transport EV curve is shifted earlier than the global curve to reflect earlier China EV/e-bus deployment in the 2010s.</t>
        </is>
      </c>
    </row>
    <row r="118" ht="14.5" customHeight="1" s="213">
      <c r="D118">
        <f>D117</f>
        <v/>
      </c>
      <c r="E118" t="inlineStr">
        <is>
          <t>Tra_EV_Batt-NMC532_virgin</t>
        </is>
      </c>
      <c r="F118" s="208">
        <f>AW118*$AS118</f>
        <v/>
      </c>
      <c r="G118" s="208">
        <f>AX118*$AS118</f>
        <v/>
      </c>
      <c r="H118" s="208">
        <f>AY118*$AS118</f>
        <v/>
      </c>
      <c r="I118" s="208">
        <f>AZ118*$AS118</f>
        <v/>
      </c>
      <c r="J118" s="208">
        <f>BA118*$AS118</f>
        <v/>
      </c>
      <c r="K118" s="208">
        <f>BB118*$AS118</f>
        <v/>
      </c>
      <c r="L118" s="208">
        <f>BC118*$AS118</f>
        <v/>
      </c>
      <c r="M118" s="208">
        <f>BD118*$CI118</f>
        <v/>
      </c>
      <c r="N118" s="208">
        <f>BE118*$AS118</f>
        <v/>
      </c>
      <c r="O118" s="208">
        <f>BF118*$AS118</f>
        <v/>
      </c>
      <c r="P118" s="208">
        <f>BG118*$AS118</f>
        <v/>
      </c>
      <c r="Q118" s="208">
        <f>BH118*$AS118</f>
        <v/>
      </c>
      <c r="R118" s="208">
        <f>BI118*$AS118</f>
        <v/>
      </c>
      <c r="S118" s="208">
        <f>BJ118*$AS118</f>
        <v/>
      </c>
      <c r="T118" s="208">
        <f>BK118*$AS118</f>
        <v/>
      </c>
      <c r="U118" s="208">
        <f>BL118*$AS118</f>
        <v/>
      </c>
      <c r="V118" s="208">
        <f>BM118*$AS118</f>
        <v/>
      </c>
      <c r="W118" s="208">
        <f>BN118*$AS118</f>
        <v/>
      </c>
      <c r="X118" s="208">
        <f>BO118*$AS118</f>
        <v/>
      </c>
      <c r="Y118" s="208">
        <f>BP118*$AS118</f>
        <v/>
      </c>
      <c r="Z118" s="208">
        <f>BQ118*$AS118</f>
        <v/>
      </c>
      <c r="AA118" s="208">
        <f>BR118*$AS118</f>
        <v/>
      </c>
      <c r="AB118" s="208">
        <f>BS118*$AS118</f>
        <v/>
      </c>
      <c r="AC118" s="208">
        <f>BT118*$AS118</f>
        <v/>
      </c>
      <c r="AD118" s="208">
        <f>BU118*$AS118</f>
        <v/>
      </c>
      <c r="AE118" s="208">
        <f>BV118*$AS118</f>
        <v/>
      </c>
      <c r="AF118" s="208">
        <f>BW118*$AS118</f>
        <v/>
      </c>
      <c r="AG118" s="208">
        <f>BX118*$AS118</f>
        <v/>
      </c>
      <c r="AH118" s="208">
        <f>BY118*$AS118</f>
        <v/>
      </c>
      <c r="AI118" s="208">
        <f>BZ118*$AS118</f>
        <v/>
      </c>
      <c r="AJ118" s="208">
        <f>CA118*$AS118</f>
        <v/>
      </c>
      <c r="AK118" s="208">
        <f>CB118*$AS118</f>
        <v/>
      </c>
      <c r="AL118" s="208">
        <f>CC118*$AS118</f>
        <v/>
      </c>
      <c r="AM118" s="208">
        <f>CD118*$AS118</f>
        <v/>
      </c>
      <c r="AN118" s="208">
        <f>CE118*$AS118</f>
        <v/>
      </c>
      <c r="AQ118" s="6" t="n">
        <v>2014</v>
      </c>
      <c r="AR118" s="6" t="inlineStr">
        <is>
          <t>Tra_EV_Batt-NMC532_virgin</t>
        </is>
      </c>
      <c r="AS118" s="6" t="n">
        <v>0.029</v>
      </c>
      <c r="AT118" s="6" t="inlineStr">
        <is>
          <t>Transport_EV_general</t>
        </is>
      </c>
      <c r="AU118" s="6" t="inlineStr">
        <is>
          <t>Back-loaded transport EV battery vintage curve based on historical EV deployment shape.</t>
        </is>
      </c>
      <c r="AV118">
        <f>AV97</f>
        <v/>
      </c>
      <c r="AW118">
        <f>AW97</f>
        <v/>
      </c>
      <c r="AX118">
        <f>AX97</f>
        <v/>
      </c>
      <c r="AY118">
        <f>AY97</f>
        <v/>
      </c>
      <c r="AZ118">
        <f>AZ97</f>
        <v/>
      </c>
      <c r="BA118">
        <f>BA97</f>
        <v/>
      </c>
      <c r="BB118">
        <f>BB97</f>
        <v/>
      </c>
      <c r="BC118">
        <f>BC97</f>
        <v/>
      </c>
      <c r="BD118">
        <f>BD97</f>
        <v/>
      </c>
      <c r="BE118">
        <f>BE97</f>
        <v/>
      </c>
      <c r="BF118">
        <f>BF97</f>
        <v/>
      </c>
      <c r="BG118">
        <f>BG97</f>
        <v/>
      </c>
      <c r="BH118">
        <f>BH97</f>
        <v/>
      </c>
      <c r="BI118">
        <f>BI97</f>
        <v/>
      </c>
      <c r="BJ118">
        <f>BJ97</f>
        <v/>
      </c>
      <c r="BK118">
        <f>BK97</f>
        <v/>
      </c>
      <c r="BL118">
        <f>BL97</f>
        <v/>
      </c>
      <c r="BM118">
        <f>BM97</f>
        <v/>
      </c>
      <c r="BN118">
        <f>BN97</f>
        <v/>
      </c>
      <c r="BO118">
        <f>BO97</f>
        <v/>
      </c>
      <c r="BP118">
        <f>BP97</f>
        <v/>
      </c>
      <c r="BQ118">
        <f>BQ97</f>
        <v/>
      </c>
      <c r="BR118">
        <f>BR97</f>
        <v/>
      </c>
      <c r="BS118">
        <f>BS97</f>
        <v/>
      </c>
      <c r="BT118">
        <f>BT97</f>
        <v/>
      </c>
      <c r="BU118">
        <f>BU97</f>
        <v/>
      </c>
      <c r="BV118">
        <f>BV97</f>
        <v/>
      </c>
      <c r="BW118">
        <f>BW97</f>
        <v/>
      </c>
      <c r="BX118">
        <f>BX97</f>
        <v/>
      </c>
      <c r="BY118">
        <f>BY97</f>
        <v/>
      </c>
      <c r="BZ118">
        <f>BZ97</f>
        <v/>
      </c>
      <c r="CA118">
        <f>CA97</f>
        <v/>
      </c>
      <c r="CB118">
        <f>CB97</f>
        <v/>
      </c>
      <c r="CC118">
        <f>CC97</f>
        <v/>
      </c>
      <c r="CD118">
        <f>CD97</f>
        <v/>
      </c>
      <c r="CE118">
        <f>CE97</f>
        <v/>
      </c>
      <c r="CG118" s="6" t="n">
        <v>2014</v>
      </c>
      <c r="CH118" s="6" t="inlineStr">
        <is>
          <t>Tra_EV_Batt-NMC532_virgin</t>
        </is>
      </c>
      <c r="CI118" s="6" t="n">
        <v>0.029</v>
      </c>
      <c r="CJ118" s="6" t="n">
        <v>0.042</v>
      </c>
      <c r="CK118" s="6" t="inlineStr">
        <is>
          <t>Transport_EV_global</t>
        </is>
      </c>
      <c r="CL118" s="6" t="inlineStr">
        <is>
          <t>Transport_EV_China</t>
        </is>
      </c>
      <c r="CM118" s="6" t="inlineStr">
        <is>
          <t>China transport EV curve is shifted earlier than the global curve to reflect earlier China EV/e-bus deployment in the 2010s.</t>
        </is>
      </c>
    </row>
    <row r="119" ht="14.5" customHeight="1" s="213">
      <c r="D119">
        <f>D118</f>
        <v/>
      </c>
      <c r="E119" t="inlineStr">
        <is>
          <t>Tra_EV_Batt-NCA_virgin</t>
        </is>
      </c>
      <c r="F119" s="208">
        <f>AW119*$AS119</f>
        <v/>
      </c>
      <c r="G119" s="208">
        <f>AX119*$AS119</f>
        <v/>
      </c>
      <c r="H119" s="208">
        <f>AY119*$AS119</f>
        <v/>
      </c>
      <c r="I119" s="208">
        <f>AZ119*$AS119</f>
        <v/>
      </c>
      <c r="J119" s="208">
        <f>BA119*$AS119</f>
        <v/>
      </c>
      <c r="K119" s="208">
        <f>BB119*$AS119</f>
        <v/>
      </c>
      <c r="L119" s="208">
        <f>BC119*$AS119</f>
        <v/>
      </c>
      <c r="M119" s="208">
        <f>BD119*$CI119</f>
        <v/>
      </c>
      <c r="N119" s="208">
        <f>BE119*$AS119</f>
        <v/>
      </c>
      <c r="O119" s="208">
        <f>BF119*$AS119</f>
        <v/>
      </c>
      <c r="P119" s="208">
        <f>BG119*$AS119</f>
        <v/>
      </c>
      <c r="Q119" s="208">
        <f>BH119*$AS119</f>
        <v/>
      </c>
      <c r="R119" s="208">
        <f>BI119*$AS119</f>
        <v/>
      </c>
      <c r="S119" s="208">
        <f>BJ119*$AS119</f>
        <v/>
      </c>
      <c r="T119" s="208">
        <f>BK119*$AS119</f>
        <v/>
      </c>
      <c r="U119" s="208">
        <f>BL119*$AS119</f>
        <v/>
      </c>
      <c r="V119" s="208">
        <f>BM119*$AS119</f>
        <v/>
      </c>
      <c r="W119" s="208">
        <f>BN119*$AS119</f>
        <v/>
      </c>
      <c r="X119" s="208">
        <f>BO119*$AS119</f>
        <v/>
      </c>
      <c r="Y119" s="208">
        <f>BP119*$AS119</f>
        <v/>
      </c>
      <c r="Z119" s="208">
        <f>BQ119*$AS119</f>
        <v/>
      </c>
      <c r="AA119" s="208">
        <f>BR119*$AS119</f>
        <v/>
      </c>
      <c r="AB119" s="208">
        <f>BS119*$AS119</f>
        <v/>
      </c>
      <c r="AC119" s="208">
        <f>BT119*$AS119</f>
        <v/>
      </c>
      <c r="AD119" s="208">
        <f>BU119*$AS119</f>
        <v/>
      </c>
      <c r="AE119" s="208">
        <f>BV119*$AS119</f>
        <v/>
      </c>
      <c r="AF119" s="208">
        <f>BW119*$AS119</f>
        <v/>
      </c>
      <c r="AG119" s="208">
        <f>BX119*$AS119</f>
        <v/>
      </c>
      <c r="AH119" s="208">
        <f>BY119*$AS119</f>
        <v/>
      </c>
      <c r="AI119" s="208">
        <f>BZ119*$AS119</f>
        <v/>
      </c>
      <c r="AJ119" s="208">
        <f>CA119*$AS119</f>
        <v/>
      </c>
      <c r="AK119" s="208">
        <f>CB119*$AS119</f>
        <v/>
      </c>
      <c r="AL119" s="208">
        <f>CC119*$AS119</f>
        <v/>
      </c>
      <c r="AM119" s="208">
        <f>CD119*$AS119</f>
        <v/>
      </c>
      <c r="AN119" s="208">
        <f>CE119*$AS119</f>
        <v/>
      </c>
      <c r="AQ119" s="6" t="n">
        <v>2014</v>
      </c>
      <c r="AR119" s="6" t="inlineStr">
        <is>
          <t>Tra_EV_Batt-NCA_virgin</t>
        </is>
      </c>
      <c r="AS119" s="6" t="n">
        <v>0.029</v>
      </c>
      <c r="AT119" s="6" t="inlineStr">
        <is>
          <t>Transport_EV_general</t>
        </is>
      </c>
      <c r="AU119" s="6" t="inlineStr">
        <is>
          <t>Back-loaded transport EV battery vintage curve based on historical EV deployment shape.</t>
        </is>
      </c>
      <c r="AV119">
        <f>AV98</f>
        <v/>
      </c>
      <c r="AW119">
        <f>AW98</f>
        <v/>
      </c>
      <c r="AX119">
        <f>AX98</f>
        <v/>
      </c>
      <c r="AY119">
        <f>AY98</f>
        <v/>
      </c>
      <c r="AZ119">
        <f>AZ98</f>
        <v/>
      </c>
      <c r="BA119">
        <f>BA98</f>
        <v/>
      </c>
      <c r="BB119">
        <f>BB98</f>
        <v/>
      </c>
      <c r="BC119">
        <f>BC98</f>
        <v/>
      </c>
      <c r="BD119">
        <f>BD98</f>
        <v/>
      </c>
      <c r="BE119">
        <f>BE98</f>
        <v/>
      </c>
      <c r="BF119">
        <f>BF98</f>
        <v/>
      </c>
      <c r="BG119">
        <f>BG98</f>
        <v/>
      </c>
      <c r="BH119">
        <f>BH98</f>
        <v/>
      </c>
      <c r="BI119">
        <f>BI98</f>
        <v/>
      </c>
      <c r="BJ119">
        <f>BJ98</f>
        <v/>
      </c>
      <c r="BK119">
        <f>BK98</f>
        <v/>
      </c>
      <c r="BL119">
        <f>BL98</f>
        <v/>
      </c>
      <c r="BM119">
        <f>BM98</f>
        <v/>
      </c>
      <c r="BN119">
        <f>BN98</f>
        <v/>
      </c>
      <c r="BO119">
        <f>BO98</f>
        <v/>
      </c>
      <c r="BP119">
        <f>BP98</f>
        <v/>
      </c>
      <c r="BQ119">
        <f>BQ98</f>
        <v/>
      </c>
      <c r="BR119">
        <f>BR98</f>
        <v/>
      </c>
      <c r="BS119">
        <f>BS98</f>
        <v/>
      </c>
      <c r="BT119">
        <f>BT98</f>
        <v/>
      </c>
      <c r="BU119">
        <f>BU98</f>
        <v/>
      </c>
      <c r="BV119">
        <f>BV98</f>
        <v/>
      </c>
      <c r="BW119">
        <f>BW98</f>
        <v/>
      </c>
      <c r="BX119">
        <f>BX98</f>
        <v/>
      </c>
      <c r="BY119">
        <f>BY98</f>
        <v/>
      </c>
      <c r="BZ119">
        <f>BZ98</f>
        <v/>
      </c>
      <c r="CA119">
        <f>CA98</f>
        <v/>
      </c>
      <c r="CB119">
        <f>CB98</f>
        <v/>
      </c>
      <c r="CC119">
        <f>CC98</f>
        <v/>
      </c>
      <c r="CD119">
        <f>CD98</f>
        <v/>
      </c>
      <c r="CE119">
        <f>CE98</f>
        <v/>
      </c>
      <c r="CG119" s="6" t="n">
        <v>2014</v>
      </c>
      <c r="CH119" s="6" t="inlineStr">
        <is>
          <t>Tra_EV_Batt-NCA_virgin</t>
        </is>
      </c>
      <c r="CI119" s="6" t="n">
        <v>0.029</v>
      </c>
      <c r="CJ119" s="6" t="n">
        <v>0.042</v>
      </c>
      <c r="CK119" s="6" t="inlineStr">
        <is>
          <t>Transport_EV_global</t>
        </is>
      </c>
      <c r="CL119" s="6" t="inlineStr">
        <is>
          <t>Transport_EV_China</t>
        </is>
      </c>
      <c r="CM119" s="6" t="inlineStr">
        <is>
          <t>China transport EV curve is shifted earlier than the global curve to reflect earlier China EV/e-bus deployment in the 2010s.</t>
        </is>
      </c>
    </row>
    <row r="120" ht="14.5" customHeight="1" s="213">
      <c r="D120">
        <f>D119</f>
        <v/>
      </c>
      <c r="E120" t="inlineStr">
        <is>
          <t>Tra_EV_Batt-LMO_virgin</t>
        </is>
      </c>
      <c r="F120" s="208">
        <f>AW120*$AS120</f>
        <v/>
      </c>
      <c r="G120" s="208">
        <f>AX120*$AS120</f>
        <v/>
      </c>
      <c r="H120" s="208">
        <f>AY120*$AS120</f>
        <v/>
      </c>
      <c r="I120" s="208">
        <f>AZ120*$AS120</f>
        <v/>
      </c>
      <c r="J120" s="208">
        <f>BA120*$AS120</f>
        <v/>
      </c>
      <c r="K120" s="208">
        <f>BB120*$AS120</f>
        <v/>
      </c>
      <c r="L120" s="208">
        <f>BC120*$AS120</f>
        <v/>
      </c>
      <c r="M120" s="208">
        <f>BD120*$CI120</f>
        <v/>
      </c>
      <c r="N120" s="208">
        <f>BE120*$AS120</f>
        <v/>
      </c>
      <c r="O120" s="208">
        <f>BF120*$AS120</f>
        <v/>
      </c>
      <c r="P120" s="208">
        <f>BG120*$AS120</f>
        <v/>
      </c>
      <c r="Q120" s="208">
        <f>BH120*$AS120</f>
        <v/>
      </c>
      <c r="R120" s="208">
        <f>BI120*$AS120</f>
        <v/>
      </c>
      <c r="S120" s="208">
        <f>BJ120*$AS120</f>
        <v/>
      </c>
      <c r="T120" s="208">
        <f>BK120*$AS120</f>
        <v/>
      </c>
      <c r="U120" s="208">
        <f>BL120*$AS120</f>
        <v/>
      </c>
      <c r="V120" s="208">
        <f>BM120*$AS120</f>
        <v/>
      </c>
      <c r="W120" s="208">
        <f>BN120*$AS120</f>
        <v/>
      </c>
      <c r="X120" s="208">
        <f>BO120*$AS120</f>
        <v/>
      </c>
      <c r="Y120" s="208">
        <f>BP120*$AS120</f>
        <v/>
      </c>
      <c r="Z120" s="208">
        <f>BQ120*$AS120</f>
        <v/>
      </c>
      <c r="AA120" s="208">
        <f>BR120*$AS120</f>
        <v/>
      </c>
      <c r="AB120" s="208">
        <f>BS120*$AS120</f>
        <v/>
      </c>
      <c r="AC120" s="208">
        <f>BT120*$AS120</f>
        <v/>
      </c>
      <c r="AD120" s="208">
        <f>BU120*$AS120</f>
        <v/>
      </c>
      <c r="AE120" s="208">
        <f>BV120*$AS120</f>
        <v/>
      </c>
      <c r="AF120" s="208">
        <f>BW120*$AS120</f>
        <v/>
      </c>
      <c r="AG120" s="208">
        <f>BX120*$AS120</f>
        <v/>
      </c>
      <c r="AH120" s="208">
        <f>BY120*$AS120</f>
        <v/>
      </c>
      <c r="AI120" s="208">
        <f>BZ120*$AS120</f>
        <v/>
      </c>
      <c r="AJ120" s="208">
        <f>CA120*$AS120</f>
        <v/>
      </c>
      <c r="AK120" s="208">
        <f>CB120*$AS120</f>
        <v/>
      </c>
      <c r="AL120" s="208">
        <f>CC120*$AS120</f>
        <v/>
      </c>
      <c r="AM120" s="208">
        <f>CD120*$AS120</f>
        <v/>
      </c>
      <c r="AN120" s="208">
        <f>CE120*$AS120</f>
        <v/>
      </c>
      <c r="AQ120" s="6" t="n">
        <v>2014</v>
      </c>
      <c r="AR120" s="6" t="inlineStr">
        <is>
          <t>Tra_EV_Batt-LMO_virgin</t>
        </is>
      </c>
      <c r="AS120" s="6" t="n">
        <v>0.029</v>
      </c>
      <c r="AT120" s="6" t="inlineStr">
        <is>
          <t>Transport_EV_general</t>
        </is>
      </c>
      <c r="AU120" s="6" t="inlineStr">
        <is>
          <t>Back-loaded transport EV battery vintage curve based on historical EV deployment shape.</t>
        </is>
      </c>
      <c r="AV120">
        <f>AV99</f>
        <v/>
      </c>
      <c r="AW120">
        <f>AW99</f>
        <v/>
      </c>
      <c r="AX120">
        <f>AX99</f>
        <v/>
      </c>
      <c r="AY120">
        <f>AY99</f>
        <v/>
      </c>
      <c r="AZ120">
        <f>AZ99</f>
        <v/>
      </c>
      <c r="BA120">
        <f>BA99</f>
        <v/>
      </c>
      <c r="BB120">
        <f>BB99</f>
        <v/>
      </c>
      <c r="BC120">
        <f>BC99</f>
        <v/>
      </c>
      <c r="BD120">
        <f>BD99</f>
        <v/>
      </c>
      <c r="BE120">
        <f>BE99</f>
        <v/>
      </c>
      <c r="BF120">
        <f>BF99</f>
        <v/>
      </c>
      <c r="BG120">
        <f>BG99</f>
        <v/>
      </c>
      <c r="BH120">
        <f>BH99</f>
        <v/>
      </c>
      <c r="BI120">
        <f>BI99</f>
        <v/>
      </c>
      <c r="BJ120">
        <f>BJ99</f>
        <v/>
      </c>
      <c r="BK120">
        <f>BK99</f>
        <v/>
      </c>
      <c r="BL120">
        <f>BL99</f>
        <v/>
      </c>
      <c r="BM120">
        <f>BM99</f>
        <v/>
      </c>
      <c r="BN120">
        <f>BN99</f>
        <v/>
      </c>
      <c r="BO120">
        <f>BO99</f>
        <v/>
      </c>
      <c r="BP120">
        <f>BP99</f>
        <v/>
      </c>
      <c r="BQ120">
        <f>BQ99</f>
        <v/>
      </c>
      <c r="BR120">
        <f>BR99</f>
        <v/>
      </c>
      <c r="BS120">
        <f>BS99</f>
        <v/>
      </c>
      <c r="BT120">
        <f>BT99</f>
        <v/>
      </c>
      <c r="BU120">
        <f>BU99</f>
        <v/>
      </c>
      <c r="BV120">
        <f>BV99</f>
        <v/>
      </c>
      <c r="BW120">
        <f>BW99</f>
        <v/>
      </c>
      <c r="BX120">
        <f>BX99</f>
        <v/>
      </c>
      <c r="BY120">
        <f>BY99</f>
        <v/>
      </c>
      <c r="BZ120">
        <f>BZ99</f>
        <v/>
      </c>
      <c r="CA120">
        <f>CA99</f>
        <v/>
      </c>
      <c r="CB120">
        <f>CB99</f>
        <v/>
      </c>
      <c r="CC120">
        <f>CC99</f>
        <v/>
      </c>
      <c r="CD120">
        <f>CD99</f>
        <v/>
      </c>
      <c r="CE120">
        <f>CE99</f>
        <v/>
      </c>
      <c r="CG120" s="6" t="n">
        <v>2014</v>
      </c>
      <c r="CH120" s="6" t="inlineStr">
        <is>
          <t>Tra_EV_Batt-LMO_virgin</t>
        </is>
      </c>
      <c r="CI120" s="6" t="n">
        <v>0.029</v>
      </c>
      <c r="CJ120" s="6" t="n">
        <v>0.042</v>
      </c>
      <c r="CK120" s="6" t="inlineStr">
        <is>
          <t>Transport_EV_global</t>
        </is>
      </c>
      <c r="CL120" s="6" t="inlineStr">
        <is>
          <t>Transport_EV_China</t>
        </is>
      </c>
      <c r="CM120" s="6" t="inlineStr">
        <is>
          <t>China transport EV curve is shifted earlier than the global curve to reflect earlier China EV/e-bus deployment in the 2010s.</t>
        </is>
      </c>
    </row>
    <row r="121" ht="14.5" customHeight="1" s="213">
      <c r="D121">
        <f>D120</f>
        <v/>
      </c>
      <c r="E121" t="inlineStr">
        <is>
          <t>Tra_EV_Batt-NMC111_virgin</t>
        </is>
      </c>
      <c r="F121" s="208">
        <f>AW121*$AS121</f>
        <v/>
      </c>
      <c r="G121" s="208">
        <f>AX121*$AS121</f>
        <v/>
      </c>
      <c r="H121" s="208">
        <f>AY121*$AS121</f>
        <v/>
      </c>
      <c r="I121" s="208">
        <f>AZ121*$AS121</f>
        <v/>
      </c>
      <c r="J121" s="208">
        <f>BA121*$AS121</f>
        <v/>
      </c>
      <c r="K121" s="208">
        <f>BB121*$AS121</f>
        <v/>
      </c>
      <c r="L121" s="208">
        <f>BC121*$AS121</f>
        <v/>
      </c>
      <c r="M121" s="208">
        <f>BD121*$CI121</f>
        <v/>
      </c>
      <c r="N121" s="208">
        <f>BE121*$AS121</f>
        <v/>
      </c>
      <c r="O121" s="208">
        <f>BF121*$AS121</f>
        <v/>
      </c>
      <c r="P121" s="208">
        <f>BG121*$AS121</f>
        <v/>
      </c>
      <c r="Q121" s="208">
        <f>BH121*$AS121</f>
        <v/>
      </c>
      <c r="R121" s="208">
        <f>BI121*$AS121</f>
        <v/>
      </c>
      <c r="S121" s="208">
        <f>BJ121*$AS121</f>
        <v/>
      </c>
      <c r="T121" s="208">
        <f>BK121*$AS121</f>
        <v/>
      </c>
      <c r="U121" s="208">
        <f>BL121*$AS121</f>
        <v/>
      </c>
      <c r="V121" s="208">
        <f>BM121*$AS121</f>
        <v/>
      </c>
      <c r="W121" s="208">
        <f>BN121*$AS121</f>
        <v/>
      </c>
      <c r="X121" s="208">
        <f>BO121*$AS121</f>
        <v/>
      </c>
      <c r="Y121" s="208">
        <f>BP121*$AS121</f>
        <v/>
      </c>
      <c r="Z121" s="208">
        <f>BQ121*$AS121</f>
        <v/>
      </c>
      <c r="AA121" s="208">
        <f>BR121*$AS121</f>
        <v/>
      </c>
      <c r="AB121" s="208">
        <f>BS121*$AS121</f>
        <v/>
      </c>
      <c r="AC121" s="208">
        <f>BT121*$AS121</f>
        <v/>
      </c>
      <c r="AD121" s="208">
        <f>BU121*$AS121</f>
        <v/>
      </c>
      <c r="AE121" s="208">
        <f>BV121*$AS121</f>
        <v/>
      </c>
      <c r="AF121" s="208">
        <f>BW121*$AS121</f>
        <v/>
      </c>
      <c r="AG121" s="208">
        <f>BX121*$AS121</f>
        <v/>
      </c>
      <c r="AH121" s="208">
        <f>BY121*$AS121</f>
        <v/>
      </c>
      <c r="AI121" s="208">
        <f>BZ121*$AS121</f>
        <v/>
      </c>
      <c r="AJ121" s="208">
        <f>CA121*$AS121</f>
        <v/>
      </c>
      <c r="AK121" s="208">
        <f>CB121*$AS121</f>
        <v/>
      </c>
      <c r="AL121" s="208">
        <f>CC121*$AS121</f>
        <v/>
      </c>
      <c r="AM121" s="208">
        <f>CD121*$AS121</f>
        <v/>
      </c>
      <c r="AN121" s="208">
        <f>CE121*$AS121</f>
        <v/>
      </c>
      <c r="AQ121" s="6" t="n">
        <v>2014</v>
      </c>
      <c r="AR121" s="6" t="inlineStr">
        <is>
          <t>Tra_EV_Batt-NMC111_virgin</t>
        </is>
      </c>
      <c r="AS121" s="6" t="n">
        <v>0.029</v>
      </c>
      <c r="AT121" s="6" t="inlineStr">
        <is>
          <t>Transport_EV_general</t>
        </is>
      </c>
      <c r="AU121" s="6" t="inlineStr">
        <is>
          <t>Back-loaded transport EV battery vintage curve based on historical EV deployment shape.</t>
        </is>
      </c>
      <c r="AV121">
        <f>AV100</f>
        <v/>
      </c>
      <c r="AW121">
        <f>AW100</f>
        <v/>
      </c>
      <c r="AX121">
        <f>AX100</f>
        <v/>
      </c>
      <c r="AY121">
        <f>AY100</f>
        <v/>
      </c>
      <c r="AZ121">
        <f>AZ100</f>
        <v/>
      </c>
      <c r="BA121">
        <f>BA100</f>
        <v/>
      </c>
      <c r="BB121">
        <f>BB100</f>
        <v/>
      </c>
      <c r="BC121">
        <f>BC100</f>
        <v/>
      </c>
      <c r="BD121">
        <f>BD100</f>
        <v/>
      </c>
      <c r="BE121">
        <f>BE100</f>
        <v/>
      </c>
      <c r="BF121">
        <f>BF100</f>
        <v/>
      </c>
      <c r="BG121">
        <f>BG100</f>
        <v/>
      </c>
      <c r="BH121">
        <f>BH100</f>
        <v/>
      </c>
      <c r="BI121">
        <f>BI100</f>
        <v/>
      </c>
      <c r="BJ121">
        <f>BJ100</f>
        <v/>
      </c>
      <c r="BK121">
        <f>BK100</f>
        <v/>
      </c>
      <c r="BL121">
        <f>BL100</f>
        <v/>
      </c>
      <c r="BM121">
        <f>BM100</f>
        <v/>
      </c>
      <c r="BN121">
        <f>BN100</f>
        <v/>
      </c>
      <c r="BO121">
        <f>BO100</f>
        <v/>
      </c>
      <c r="BP121">
        <f>BP100</f>
        <v/>
      </c>
      <c r="BQ121">
        <f>BQ100</f>
        <v/>
      </c>
      <c r="BR121">
        <f>BR100</f>
        <v/>
      </c>
      <c r="BS121">
        <f>BS100</f>
        <v/>
      </c>
      <c r="BT121">
        <f>BT100</f>
        <v/>
      </c>
      <c r="BU121">
        <f>BU100</f>
        <v/>
      </c>
      <c r="BV121">
        <f>BV100</f>
        <v/>
      </c>
      <c r="BW121">
        <f>BW100</f>
        <v/>
      </c>
      <c r="BX121">
        <f>BX100</f>
        <v/>
      </c>
      <c r="BY121">
        <f>BY100</f>
        <v/>
      </c>
      <c r="BZ121">
        <f>BZ100</f>
        <v/>
      </c>
      <c r="CA121">
        <f>CA100</f>
        <v/>
      </c>
      <c r="CB121">
        <f>CB100</f>
        <v/>
      </c>
      <c r="CC121">
        <f>CC100</f>
        <v/>
      </c>
      <c r="CD121">
        <f>CD100</f>
        <v/>
      </c>
      <c r="CE121">
        <f>CE100</f>
        <v/>
      </c>
      <c r="CG121" s="6" t="n">
        <v>2014</v>
      </c>
      <c r="CH121" s="6" t="inlineStr">
        <is>
          <t>Tra_EV_Batt-NMC111_virgin</t>
        </is>
      </c>
      <c r="CI121" s="6" t="n">
        <v>0.029</v>
      </c>
      <c r="CJ121" s="6" t="n">
        <v>0.042</v>
      </c>
      <c r="CK121" s="6" t="inlineStr">
        <is>
          <t>Transport_EV_global</t>
        </is>
      </c>
      <c r="CL121" s="6" t="inlineStr">
        <is>
          <t>Transport_EV_China</t>
        </is>
      </c>
      <c r="CM121" s="6" t="inlineStr">
        <is>
          <t>China transport EV curve is shifted earlier than the global curve to reflect earlier China EV/e-bus deployment in the 2010s.</t>
        </is>
      </c>
    </row>
    <row r="122" ht="14.5" customHeight="1" s="213">
      <c r="D122">
        <f>D121</f>
        <v/>
      </c>
      <c r="E122" t="inlineStr">
        <is>
          <t>Tra_EV_Batt-LFP_virgin_pack</t>
        </is>
      </c>
      <c r="F122" s="208">
        <f>AW122*$AS122</f>
        <v/>
      </c>
      <c r="G122" s="208">
        <f>AX122*$AS122</f>
        <v/>
      </c>
      <c r="H122" s="208">
        <f>AY122*$AS122</f>
        <v/>
      </c>
      <c r="I122" s="208">
        <f>AZ122*$AS122</f>
        <v/>
      </c>
      <c r="J122" s="208">
        <f>BA122*$AS122</f>
        <v/>
      </c>
      <c r="K122" s="208">
        <f>BB122*$AS122</f>
        <v/>
      </c>
      <c r="L122" s="208">
        <f>BC122*$AS122</f>
        <v/>
      </c>
      <c r="M122" s="208">
        <f>BD122*$CI122</f>
        <v/>
      </c>
      <c r="N122" s="208">
        <f>BE122*$AS122</f>
        <v/>
      </c>
      <c r="O122" s="208">
        <f>BF122*$AS122</f>
        <v/>
      </c>
      <c r="P122" s="208">
        <f>BG122*$AS122</f>
        <v/>
      </c>
      <c r="Q122" s="208">
        <f>BH122*$AS122</f>
        <v/>
      </c>
      <c r="R122" s="208">
        <f>BI122*$AS122</f>
        <v/>
      </c>
      <c r="S122" s="208">
        <f>BJ122*$AS122</f>
        <v/>
      </c>
      <c r="T122" s="208">
        <f>BK122*$AS122</f>
        <v/>
      </c>
      <c r="U122" s="208">
        <f>BL122*$AS122</f>
        <v/>
      </c>
      <c r="V122" s="208">
        <f>BM122*$AS122</f>
        <v/>
      </c>
      <c r="W122" s="208">
        <f>BN122*$AS122</f>
        <v/>
      </c>
      <c r="X122" s="208">
        <f>BO122*$AS122</f>
        <v/>
      </c>
      <c r="Y122" s="208">
        <f>BP122*$AS122</f>
        <v/>
      </c>
      <c r="Z122" s="208">
        <f>BQ122*$AS122</f>
        <v/>
      </c>
      <c r="AA122" s="208">
        <f>BR122*$AS122</f>
        <v/>
      </c>
      <c r="AB122" s="208">
        <f>BS122*$AS122</f>
        <v/>
      </c>
      <c r="AC122" s="208">
        <f>BT122*$AS122</f>
        <v/>
      </c>
      <c r="AD122" s="208">
        <f>BU122*$AS122</f>
        <v/>
      </c>
      <c r="AE122" s="208">
        <f>BV122*$AS122</f>
        <v/>
      </c>
      <c r="AF122" s="208">
        <f>BW122*$AS122</f>
        <v/>
      </c>
      <c r="AG122" s="208">
        <f>BX122*$AS122</f>
        <v/>
      </c>
      <c r="AH122" s="208">
        <f>BY122*$AS122</f>
        <v/>
      </c>
      <c r="AI122" s="208">
        <f>BZ122*$AS122</f>
        <v/>
      </c>
      <c r="AJ122" s="208">
        <f>CA122*$AS122</f>
        <v/>
      </c>
      <c r="AK122" s="208">
        <f>CB122*$AS122</f>
        <v/>
      </c>
      <c r="AL122" s="208">
        <f>CC122*$AS122</f>
        <v/>
      </c>
      <c r="AM122" s="208">
        <f>CD122*$AS122</f>
        <v/>
      </c>
      <c r="AN122" s="208">
        <f>CE122*$AS122</f>
        <v/>
      </c>
      <c r="AQ122" s="6" t="n">
        <v>2014</v>
      </c>
      <c r="AR122" s="6" t="inlineStr">
        <is>
          <t>Tra_EV_Batt-LFP_virgin_pack</t>
        </is>
      </c>
      <c r="AS122" s="6" t="n">
        <v>0.029</v>
      </c>
      <c r="AT122" s="6" t="inlineStr">
        <is>
          <t>Transport_EV_general</t>
        </is>
      </c>
      <c r="AU122" s="6" t="inlineStr">
        <is>
          <t>Back-loaded transport EV battery vintage curve based on historical EV deployment shape.</t>
        </is>
      </c>
      <c r="AV122">
        <f>AV101</f>
        <v/>
      </c>
      <c r="AW122">
        <f>AW101</f>
        <v/>
      </c>
      <c r="AX122">
        <f>AX101</f>
        <v/>
      </c>
      <c r="AY122">
        <f>AY101</f>
        <v/>
      </c>
      <c r="AZ122">
        <f>AZ101</f>
        <v/>
      </c>
      <c r="BA122">
        <f>BA101</f>
        <v/>
      </c>
      <c r="BB122">
        <f>BB101</f>
        <v/>
      </c>
      <c r="BC122">
        <f>BC101</f>
        <v/>
      </c>
      <c r="BD122">
        <f>BD101</f>
        <v/>
      </c>
      <c r="BE122">
        <f>BE101</f>
        <v/>
      </c>
      <c r="BF122">
        <f>BF101</f>
        <v/>
      </c>
      <c r="BG122">
        <f>BG101</f>
        <v/>
      </c>
      <c r="BH122">
        <f>BH101</f>
        <v/>
      </c>
      <c r="BI122">
        <f>BI101</f>
        <v/>
      </c>
      <c r="BJ122">
        <f>BJ101</f>
        <v/>
      </c>
      <c r="BK122">
        <f>BK101</f>
        <v/>
      </c>
      <c r="BL122">
        <f>BL101</f>
        <v/>
      </c>
      <c r="BM122">
        <f>BM101</f>
        <v/>
      </c>
      <c r="BN122">
        <f>BN101</f>
        <v/>
      </c>
      <c r="BO122">
        <f>BO101</f>
        <v/>
      </c>
      <c r="BP122">
        <f>BP101</f>
        <v/>
      </c>
      <c r="BQ122">
        <f>BQ101</f>
        <v/>
      </c>
      <c r="BR122">
        <f>BR101</f>
        <v/>
      </c>
      <c r="BS122">
        <f>BS101</f>
        <v/>
      </c>
      <c r="BT122">
        <f>BT101</f>
        <v/>
      </c>
      <c r="BU122">
        <f>BU101</f>
        <v/>
      </c>
      <c r="BV122">
        <f>BV101</f>
        <v/>
      </c>
      <c r="BW122">
        <f>BW101</f>
        <v/>
      </c>
      <c r="BX122">
        <f>BX101</f>
        <v/>
      </c>
      <c r="BY122">
        <f>BY101</f>
        <v/>
      </c>
      <c r="BZ122">
        <f>BZ101</f>
        <v/>
      </c>
      <c r="CA122">
        <f>CA101</f>
        <v/>
      </c>
      <c r="CB122">
        <f>CB101</f>
        <v/>
      </c>
      <c r="CC122">
        <f>CC101</f>
        <v/>
      </c>
      <c r="CD122">
        <f>CD101</f>
        <v/>
      </c>
      <c r="CE122">
        <f>CE101</f>
        <v/>
      </c>
      <c r="CG122" s="6" t="n">
        <v>2014</v>
      </c>
      <c r="CH122" s="6" t="inlineStr">
        <is>
          <t>Tra_EV_Batt-LFP_virgin_pack</t>
        </is>
      </c>
      <c r="CI122" s="6" t="n">
        <v>0.029</v>
      </c>
      <c r="CJ122" s="6" t="n">
        <v>0.042</v>
      </c>
      <c r="CK122" s="6" t="inlineStr">
        <is>
          <t>Transport_EV_global</t>
        </is>
      </c>
      <c r="CL122" s="6" t="inlineStr">
        <is>
          <t>Transport_EV_China</t>
        </is>
      </c>
      <c r="CM122" s="6" t="inlineStr">
        <is>
          <t>China transport EV curve is shifted earlier than the global curve to reflect earlier China EV/e-bus deployment in the 2010s.</t>
        </is>
      </c>
    </row>
    <row r="123" ht="14.5" customHeight="1" s="213">
      <c r="D123">
        <f>D122</f>
        <v/>
      </c>
      <c r="E123" t="inlineStr">
        <is>
          <t>Tra_EV_Batt-NMC622_virgin_pack</t>
        </is>
      </c>
      <c r="F123" s="208">
        <f>AW123*$AS123</f>
        <v/>
      </c>
      <c r="G123" s="208">
        <f>AX123*$AS123</f>
        <v/>
      </c>
      <c r="H123" s="208">
        <f>AY123*$AS123</f>
        <v/>
      </c>
      <c r="I123" s="208">
        <f>AZ123*$AS123</f>
        <v/>
      </c>
      <c r="J123" s="208">
        <f>BA123*$AS123</f>
        <v/>
      </c>
      <c r="K123" s="208">
        <f>BB123*$AS123</f>
        <v/>
      </c>
      <c r="L123" s="208">
        <f>BC123*$AS123</f>
        <v/>
      </c>
      <c r="M123" s="208">
        <f>BD123*$CI123</f>
        <v/>
      </c>
      <c r="N123" s="208">
        <f>BE123*$AS123</f>
        <v/>
      </c>
      <c r="O123" s="208">
        <f>BF123*$AS123</f>
        <v/>
      </c>
      <c r="P123" s="208">
        <f>BG123*$AS123</f>
        <v/>
      </c>
      <c r="Q123" s="208">
        <f>BH123*$AS123</f>
        <v/>
      </c>
      <c r="R123" s="208">
        <f>BI123*$AS123</f>
        <v/>
      </c>
      <c r="S123" s="208">
        <f>BJ123*$AS123</f>
        <v/>
      </c>
      <c r="T123" s="208">
        <f>BK123*$AS123</f>
        <v/>
      </c>
      <c r="U123" s="208">
        <f>BL123*$AS123</f>
        <v/>
      </c>
      <c r="V123" s="208">
        <f>BM123*$AS123</f>
        <v/>
      </c>
      <c r="W123" s="208">
        <f>BN123*$AS123</f>
        <v/>
      </c>
      <c r="X123" s="208">
        <f>BO123*$AS123</f>
        <v/>
      </c>
      <c r="Y123" s="208">
        <f>BP123*$AS123</f>
        <v/>
      </c>
      <c r="Z123" s="208">
        <f>BQ123*$AS123</f>
        <v/>
      </c>
      <c r="AA123" s="208">
        <f>BR123*$AS123</f>
        <v/>
      </c>
      <c r="AB123" s="208">
        <f>BS123*$AS123</f>
        <v/>
      </c>
      <c r="AC123" s="208">
        <f>BT123*$AS123</f>
        <v/>
      </c>
      <c r="AD123" s="208">
        <f>BU123*$AS123</f>
        <v/>
      </c>
      <c r="AE123" s="208">
        <f>BV123*$AS123</f>
        <v/>
      </c>
      <c r="AF123" s="208">
        <f>BW123*$AS123</f>
        <v/>
      </c>
      <c r="AG123" s="208">
        <f>BX123*$AS123</f>
        <v/>
      </c>
      <c r="AH123" s="208">
        <f>BY123*$AS123</f>
        <v/>
      </c>
      <c r="AI123" s="208">
        <f>BZ123*$AS123</f>
        <v/>
      </c>
      <c r="AJ123" s="208">
        <f>CA123*$AS123</f>
        <v/>
      </c>
      <c r="AK123" s="208">
        <f>CB123*$AS123</f>
        <v/>
      </c>
      <c r="AL123" s="208">
        <f>CC123*$AS123</f>
        <v/>
      </c>
      <c r="AM123" s="208">
        <f>CD123*$AS123</f>
        <v/>
      </c>
      <c r="AN123" s="208">
        <f>CE123*$AS123</f>
        <v/>
      </c>
      <c r="AQ123" s="6" t="n">
        <v>2014</v>
      </c>
      <c r="AR123" s="6" t="inlineStr">
        <is>
          <t>Tra_EV_Batt-NMC622_virgin_pack</t>
        </is>
      </c>
      <c r="AS123" s="6" t="n">
        <v>0.029</v>
      </c>
      <c r="AT123" s="6" t="inlineStr">
        <is>
          <t>Transport_EV_general</t>
        </is>
      </c>
      <c r="AU123" s="6" t="inlineStr">
        <is>
          <t>Back-loaded transport EV battery vintage curve based on historical EV deployment shape.</t>
        </is>
      </c>
      <c r="AV123">
        <f>AV102</f>
        <v/>
      </c>
      <c r="AW123">
        <f>AW102</f>
        <v/>
      </c>
      <c r="AX123">
        <f>AX102</f>
        <v/>
      </c>
      <c r="AY123">
        <f>AY102</f>
        <v/>
      </c>
      <c r="AZ123">
        <f>AZ102</f>
        <v/>
      </c>
      <c r="BA123">
        <f>BA102</f>
        <v/>
      </c>
      <c r="BB123">
        <f>BB102</f>
        <v/>
      </c>
      <c r="BC123">
        <f>BC102</f>
        <v/>
      </c>
      <c r="BD123">
        <f>BD102</f>
        <v/>
      </c>
      <c r="BE123">
        <f>BE102</f>
        <v/>
      </c>
      <c r="BF123">
        <f>BF102</f>
        <v/>
      </c>
      <c r="BG123">
        <f>BG102</f>
        <v/>
      </c>
      <c r="BH123">
        <f>BH102</f>
        <v/>
      </c>
      <c r="BI123">
        <f>BI102</f>
        <v/>
      </c>
      <c r="BJ123">
        <f>BJ102</f>
        <v/>
      </c>
      <c r="BK123">
        <f>BK102</f>
        <v/>
      </c>
      <c r="BL123">
        <f>BL102</f>
        <v/>
      </c>
      <c r="BM123">
        <f>BM102</f>
        <v/>
      </c>
      <c r="BN123">
        <f>BN102</f>
        <v/>
      </c>
      <c r="BO123">
        <f>BO102</f>
        <v/>
      </c>
      <c r="BP123">
        <f>BP102</f>
        <v/>
      </c>
      <c r="BQ123">
        <f>BQ102</f>
        <v/>
      </c>
      <c r="BR123">
        <f>BR102</f>
        <v/>
      </c>
      <c r="BS123">
        <f>BS102</f>
        <v/>
      </c>
      <c r="BT123">
        <f>BT102</f>
        <v/>
      </c>
      <c r="BU123">
        <f>BU102</f>
        <v/>
      </c>
      <c r="BV123">
        <f>BV102</f>
        <v/>
      </c>
      <c r="BW123">
        <f>BW102</f>
        <v/>
      </c>
      <c r="BX123">
        <f>BX102</f>
        <v/>
      </c>
      <c r="BY123">
        <f>BY102</f>
        <v/>
      </c>
      <c r="BZ123">
        <f>BZ102</f>
        <v/>
      </c>
      <c r="CA123">
        <f>CA102</f>
        <v/>
      </c>
      <c r="CB123">
        <f>CB102</f>
        <v/>
      </c>
      <c r="CC123">
        <f>CC102</f>
        <v/>
      </c>
      <c r="CD123">
        <f>CD102</f>
        <v/>
      </c>
      <c r="CE123">
        <f>CE102</f>
        <v/>
      </c>
      <c r="CG123" s="6" t="n">
        <v>2014</v>
      </c>
      <c r="CH123" s="6" t="inlineStr">
        <is>
          <t>Tra_EV_Batt-NMC622_virgin_pack</t>
        </is>
      </c>
      <c r="CI123" s="6" t="n">
        <v>0.029</v>
      </c>
      <c r="CJ123" s="6" t="n">
        <v>0.042</v>
      </c>
      <c r="CK123" s="6" t="inlineStr">
        <is>
          <t>Transport_EV_global</t>
        </is>
      </c>
      <c r="CL123" s="6" t="inlineStr">
        <is>
          <t>Transport_EV_China</t>
        </is>
      </c>
      <c r="CM123" s="6" t="inlineStr">
        <is>
          <t>China transport EV curve is shifted earlier than the global curve to reflect earlier China EV/e-bus deployment in the 2010s.</t>
        </is>
      </c>
    </row>
    <row r="124" ht="14.5" customHeight="1" s="213">
      <c r="D124">
        <f>D123</f>
        <v/>
      </c>
      <c r="E124" t="inlineStr">
        <is>
          <t>Tra_EV_Batt-NMC811_virgin_pack</t>
        </is>
      </c>
      <c r="F124" s="208">
        <f>AW124*$AS124</f>
        <v/>
      </c>
      <c r="G124" s="208">
        <f>AX124*$AS124</f>
        <v/>
      </c>
      <c r="H124" s="208">
        <f>AY124*$AS124</f>
        <v/>
      </c>
      <c r="I124" s="208">
        <f>AZ124*$AS124</f>
        <v/>
      </c>
      <c r="J124" s="208">
        <f>BA124*$AS124</f>
        <v/>
      </c>
      <c r="K124" s="208">
        <f>BB124*$AS124</f>
        <v/>
      </c>
      <c r="L124" s="208">
        <f>BC124*$AS124</f>
        <v/>
      </c>
      <c r="M124" s="208">
        <f>BD124*$CI124</f>
        <v/>
      </c>
      <c r="N124" s="208">
        <f>BE124*$AS124</f>
        <v/>
      </c>
      <c r="O124" s="208">
        <f>BF124*$AS124</f>
        <v/>
      </c>
      <c r="P124" s="208">
        <f>BG124*$AS124</f>
        <v/>
      </c>
      <c r="Q124" s="208">
        <f>BH124*$AS124</f>
        <v/>
      </c>
      <c r="R124" s="208">
        <f>BI124*$AS124</f>
        <v/>
      </c>
      <c r="S124" s="208">
        <f>BJ124*$AS124</f>
        <v/>
      </c>
      <c r="T124" s="208">
        <f>BK124*$AS124</f>
        <v/>
      </c>
      <c r="U124" s="208">
        <f>BL124*$AS124</f>
        <v/>
      </c>
      <c r="V124" s="208">
        <f>BM124*$AS124</f>
        <v/>
      </c>
      <c r="W124" s="208">
        <f>BN124*$AS124</f>
        <v/>
      </c>
      <c r="X124" s="208">
        <f>BO124*$AS124</f>
        <v/>
      </c>
      <c r="Y124" s="208">
        <f>BP124*$AS124</f>
        <v/>
      </c>
      <c r="Z124" s="208">
        <f>BQ124*$AS124</f>
        <v/>
      </c>
      <c r="AA124" s="208">
        <f>BR124*$AS124</f>
        <v/>
      </c>
      <c r="AB124" s="208">
        <f>BS124*$AS124</f>
        <v/>
      </c>
      <c r="AC124" s="208">
        <f>BT124*$AS124</f>
        <v/>
      </c>
      <c r="AD124" s="208">
        <f>BU124*$AS124</f>
        <v/>
      </c>
      <c r="AE124" s="208">
        <f>BV124*$AS124</f>
        <v/>
      </c>
      <c r="AF124" s="208">
        <f>BW124*$AS124</f>
        <v/>
      </c>
      <c r="AG124" s="208">
        <f>BX124*$AS124</f>
        <v/>
      </c>
      <c r="AH124" s="208">
        <f>BY124*$AS124</f>
        <v/>
      </c>
      <c r="AI124" s="208">
        <f>BZ124*$AS124</f>
        <v/>
      </c>
      <c r="AJ124" s="208">
        <f>CA124*$AS124</f>
        <v/>
      </c>
      <c r="AK124" s="208">
        <f>CB124*$AS124</f>
        <v/>
      </c>
      <c r="AL124" s="208">
        <f>CC124*$AS124</f>
        <v/>
      </c>
      <c r="AM124" s="208">
        <f>CD124*$AS124</f>
        <v/>
      </c>
      <c r="AN124" s="208">
        <f>CE124*$AS124</f>
        <v/>
      </c>
      <c r="AQ124" s="6" t="n">
        <v>2014</v>
      </c>
      <c r="AR124" s="6" t="inlineStr">
        <is>
          <t>Tra_EV_Batt-NMC811_virgin_pack</t>
        </is>
      </c>
      <c r="AS124" s="6" t="n">
        <v>0.029</v>
      </c>
      <c r="AT124" s="6" t="inlineStr">
        <is>
          <t>Transport_EV_general</t>
        </is>
      </c>
      <c r="AU124" s="6" t="inlineStr">
        <is>
          <t>Back-loaded transport EV battery vintage curve based on historical EV deployment shape.</t>
        </is>
      </c>
      <c r="AV124">
        <f>AV103</f>
        <v/>
      </c>
      <c r="AW124">
        <f>AW103</f>
        <v/>
      </c>
      <c r="AX124">
        <f>AX103</f>
        <v/>
      </c>
      <c r="AY124">
        <f>AY103</f>
        <v/>
      </c>
      <c r="AZ124">
        <f>AZ103</f>
        <v/>
      </c>
      <c r="BA124">
        <f>BA103</f>
        <v/>
      </c>
      <c r="BB124">
        <f>BB103</f>
        <v/>
      </c>
      <c r="BC124">
        <f>BC103</f>
        <v/>
      </c>
      <c r="BD124">
        <f>BD103</f>
        <v/>
      </c>
      <c r="BE124">
        <f>BE103</f>
        <v/>
      </c>
      <c r="BF124">
        <f>BF103</f>
        <v/>
      </c>
      <c r="BG124">
        <f>BG103</f>
        <v/>
      </c>
      <c r="BH124">
        <f>BH103</f>
        <v/>
      </c>
      <c r="BI124">
        <f>BI103</f>
        <v/>
      </c>
      <c r="BJ124">
        <f>BJ103</f>
        <v/>
      </c>
      <c r="BK124">
        <f>BK103</f>
        <v/>
      </c>
      <c r="BL124">
        <f>BL103</f>
        <v/>
      </c>
      <c r="BM124">
        <f>BM103</f>
        <v/>
      </c>
      <c r="BN124">
        <f>BN103</f>
        <v/>
      </c>
      <c r="BO124">
        <f>BO103</f>
        <v/>
      </c>
      <c r="BP124">
        <f>BP103</f>
        <v/>
      </c>
      <c r="BQ124">
        <f>BQ103</f>
        <v/>
      </c>
      <c r="BR124">
        <f>BR103</f>
        <v/>
      </c>
      <c r="BS124">
        <f>BS103</f>
        <v/>
      </c>
      <c r="BT124">
        <f>BT103</f>
        <v/>
      </c>
      <c r="BU124">
        <f>BU103</f>
        <v/>
      </c>
      <c r="BV124">
        <f>BV103</f>
        <v/>
      </c>
      <c r="BW124">
        <f>BW103</f>
        <v/>
      </c>
      <c r="BX124">
        <f>BX103</f>
        <v/>
      </c>
      <c r="BY124">
        <f>BY103</f>
        <v/>
      </c>
      <c r="BZ124">
        <f>BZ103</f>
        <v/>
      </c>
      <c r="CA124">
        <f>CA103</f>
        <v/>
      </c>
      <c r="CB124">
        <f>CB103</f>
        <v/>
      </c>
      <c r="CC124">
        <f>CC103</f>
        <v/>
      </c>
      <c r="CD124">
        <f>CD103</f>
        <v/>
      </c>
      <c r="CE124">
        <f>CE103</f>
        <v/>
      </c>
      <c r="CG124" s="6" t="n">
        <v>2014</v>
      </c>
      <c r="CH124" s="6" t="inlineStr">
        <is>
          <t>Tra_EV_Batt-NMC811_virgin_pack</t>
        </is>
      </c>
      <c r="CI124" s="6" t="n">
        <v>0.029</v>
      </c>
      <c r="CJ124" s="6" t="n">
        <v>0.042</v>
      </c>
      <c r="CK124" s="6" t="inlineStr">
        <is>
          <t>Transport_EV_global</t>
        </is>
      </c>
      <c r="CL124" s="6" t="inlineStr">
        <is>
          <t>Transport_EV_China</t>
        </is>
      </c>
      <c r="CM124" s="6" t="inlineStr">
        <is>
          <t>China transport EV curve is shifted earlier than the global curve to reflect earlier China EV/e-bus deployment in the 2010s.</t>
        </is>
      </c>
    </row>
    <row r="125" ht="14.5" customHeight="1" s="213">
      <c r="D125">
        <f>D124</f>
        <v/>
      </c>
      <c r="E125" t="inlineStr">
        <is>
          <t>Tra_EV_Batt-NMC532_virgin_pack</t>
        </is>
      </c>
      <c r="F125" s="208">
        <f>AW125*$AS125</f>
        <v/>
      </c>
      <c r="G125" s="208">
        <f>AX125*$AS125</f>
        <v/>
      </c>
      <c r="H125" s="208">
        <f>AY125*$AS125</f>
        <v/>
      </c>
      <c r="I125" s="208">
        <f>AZ125*$AS125</f>
        <v/>
      </c>
      <c r="J125" s="208">
        <f>BA125*$AS125</f>
        <v/>
      </c>
      <c r="K125" s="208">
        <f>BB125*$AS125</f>
        <v/>
      </c>
      <c r="L125" s="208">
        <f>BC125*$AS125</f>
        <v/>
      </c>
      <c r="M125" s="208">
        <f>BD125*$CI125</f>
        <v/>
      </c>
      <c r="N125" s="208">
        <f>BE125*$AS125</f>
        <v/>
      </c>
      <c r="O125" s="208">
        <f>BF125*$AS125</f>
        <v/>
      </c>
      <c r="P125" s="208">
        <f>BG125*$AS125</f>
        <v/>
      </c>
      <c r="Q125" s="208">
        <f>BH125*$AS125</f>
        <v/>
      </c>
      <c r="R125" s="208">
        <f>BI125*$AS125</f>
        <v/>
      </c>
      <c r="S125" s="208">
        <f>BJ125*$AS125</f>
        <v/>
      </c>
      <c r="T125" s="208">
        <f>BK125*$AS125</f>
        <v/>
      </c>
      <c r="U125" s="208">
        <f>BL125*$AS125</f>
        <v/>
      </c>
      <c r="V125" s="208">
        <f>BM125*$AS125</f>
        <v/>
      </c>
      <c r="W125" s="208">
        <f>BN125*$AS125</f>
        <v/>
      </c>
      <c r="X125" s="208">
        <f>BO125*$AS125</f>
        <v/>
      </c>
      <c r="Y125" s="208">
        <f>BP125*$AS125</f>
        <v/>
      </c>
      <c r="Z125" s="208">
        <f>BQ125*$AS125</f>
        <v/>
      </c>
      <c r="AA125" s="208">
        <f>BR125*$AS125</f>
        <v/>
      </c>
      <c r="AB125" s="208">
        <f>BS125*$AS125</f>
        <v/>
      </c>
      <c r="AC125" s="208">
        <f>BT125*$AS125</f>
        <v/>
      </c>
      <c r="AD125" s="208">
        <f>BU125*$AS125</f>
        <v/>
      </c>
      <c r="AE125" s="208">
        <f>BV125*$AS125</f>
        <v/>
      </c>
      <c r="AF125" s="208">
        <f>BW125*$AS125</f>
        <v/>
      </c>
      <c r="AG125" s="208">
        <f>BX125*$AS125</f>
        <v/>
      </c>
      <c r="AH125" s="208">
        <f>BY125*$AS125</f>
        <v/>
      </c>
      <c r="AI125" s="208">
        <f>BZ125*$AS125</f>
        <v/>
      </c>
      <c r="AJ125" s="208">
        <f>CA125*$AS125</f>
        <v/>
      </c>
      <c r="AK125" s="208">
        <f>CB125*$AS125</f>
        <v/>
      </c>
      <c r="AL125" s="208">
        <f>CC125*$AS125</f>
        <v/>
      </c>
      <c r="AM125" s="208">
        <f>CD125*$AS125</f>
        <v/>
      </c>
      <c r="AN125" s="208">
        <f>CE125*$AS125</f>
        <v/>
      </c>
      <c r="AQ125" s="6" t="n">
        <v>2014</v>
      </c>
      <c r="AR125" s="6" t="inlineStr">
        <is>
          <t>Tra_EV_Batt-NMC532_virgin_pack</t>
        </is>
      </c>
      <c r="AS125" s="6" t="n">
        <v>0.029</v>
      </c>
      <c r="AT125" s="6" t="inlineStr">
        <is>
          <t>Transport_EV_general</t>
        </is>
      </c>
      <c r="AU125" s="6" t="inlineStr">
        <is>
          <t>Back-loaded transport EV battery vintage curve based on historical EV deployment shape.</t>
        </is>
      </c>
      <c r="AV125">
        <f>AV104</f>
        <v/>
      </c>
      <c r="AW125">
        <f>AW104</f>
        <v/>
      </c>
      <c r="AX125">
        <f>AX104</f>
        <v/>
      </c>
      <c r="AY125">
        <f>AY104</f>
        <v/>
      </c>
      <c r="AZ125">
        <f>AZ104</f>
        <v/>
      </c>
      <c r="BA125">
        <f>BA104</f>
        <v/>
      </c>
      <c r="BB125">
        <f>BB104</f>
        <v/>
      </c>
      <c r="BC125">
        <f>BC104</f>
        <v/>
      </c>
      <c r="BD125">
        <f>BD104</f>
        <v/>
      </c>
      <c r="BE125">
        <f>BE104</f>
        <v/>
      </c>
      <c r="BF125">
        <f>BF104</f>
        <v/>
      </c>
      <c r="BG125">
        <f>BG104</f>
        <v/>
      </c>
      <c r="BH125">
        <f>BH104</f>
        <v/>
      </c>
      <c r="BI125">
        <f>BI104</f>
        <v/>
      </c>
      <c r="BJ125">
        <f>BJ104</f>
        <v/>
      </c>
      <c r="BK125">
        <f>BK104</f>
        <v/>
      </c>
      <c r="BL125">
        <f>BL104</f>
        <v/>
      </c>
      <c r="BM125">
        <f>BM104</f>
        <v/>
      </c>
      <c r="BN125">
        <f>BN104</f>
        <v/>
      </c>
      <c r="BO125">
        <f>BO104</f>
        <v/>
      </c>
      <c r="BP125">
        <f>BP104</f>
        <v/>
      </c>
      <c r="BQ125">
        <f>BQ104</f>
        <v/>
      </c>
      <c r="BR125">
        <f>BR104</f>
        <v/>
      </c>
      <c r="BS125">
        <f>BS104</f>
        <v/>
      </c>
      <c r="BT125">
        <f>BT104</f>
        <v/>
      </c>
      <c r="BU125">
        <f>BU104</f>
        <v/>
      </c>
      <c r="BV125">
        <f>BV104</f>
        <v/>
      </c>
      <c r="BW125">
        <f>BW104</f>
        <v/>
      </c>
      <c r="BX125">
        <f>BX104</f>
        <v/>
      </c>
      <c r="BY125">
        <f>BY104</f>
        <v/>
      </c>
      <c r="BZ125">
        <f>BZ104</f>
        <v/>
      </c>
      <c r="CA125">
        <f>CA104</f>
        <v/>
      </c>
      <c r="CB125">
        <f>CB104</f>
        <v/>
      </c>
      <c r="CC125">
        <f>CC104</f>
        <v/>
      </c>
      <c r="CD125">
        <f>CD104</f>
        <v/>
      </c>
      <c r="CE125">
        <f>CE104</f>
        <v/>
      </c>
      <c r="CG125" s="6" t="n">
        <v>2014</v>
      </c>
      <c r="CH125" s="6" t="inlineStr">
        <is>
          <t>Tra_EV_Batt-NMC532_virgin_pack</t>
        </is>
      </c>
      <c r="CI125" s="6" t="n">
        <v>0.029</v>
      </c>
      <c r="CJ125" s="6" t="n">
        <v>0.042</v>
      </c>
      <c r="CK125" s="6" t="inlineStr">
        <is>
          <t>Transport_EV_global</t>
        </is>
      </c>
      <c r="CL125" s="6" t="inlineStr">
        <is>
          <t>Transport_EV_China</t>
        </is>
      </c>
      <c r="CM125" s="6" t="inlineStr">
        <is>
          <t>China transport EV curve is shifted earlier than the global curve to reflect earlier China EV/e-bus deployment in the 2010s.</t>
        </is>
      </c>
    </row>
    <row r="126" ht="14.5" customHeight="1" s="213">
      <c r="D126">
        <f>D125</f>
        <v/>
      </c>
      <c r="E126" t="inlineStr">
        <is>
          <t>Tra_EV_Batt-NCA_virgin_pack</t>
        </is>
      </c>
      <c r="F126" s="208">
        <f>AW126*$AS126</f>
        <v/>
      </c>
      <c r="G126" s="208">
        <f>AX126*$AS126</f>
        <v/>
      </c>
      <c r="H126" s="208">
        <f>AY126*$AS126</f>
        <v/>
      </c>
      <c r="I126" s="208">
        <f>AZ126*$AS126</f>
        <v/>
      </c>
      <c r="J126" s="208">
        <f>BA126*$AS126</f>
        <v/>
      </c>
      <c r="K126" s="208">
        <f>BB126*$AS126</f>
        <v/>
      </c>
      <c r="L126" s="208">
        <f>BC126*$AS126</f>
        <v/>
      </c>
      <c r="M126" s="208">
        <f>BD126*$CI126</f>
        <v/>
      </c>
      <c r="N126" s="208">
        <f>BE126*$AS126</f>
        <v/>
      </c>
      <c r="O126" s="208">
        <f>BF126*$AS126</f>
        <v/>
      </c>
      <c r="P126" s="208">
        <f>BG126*$AS126</f>
        <v/>
      </c>
      <c r="Q126" s="208">
        <f>BH126*$AS126</f>
        <v/>
      </c>
      <c r="R126" s="208">
        <f>BI126*$AS126</f>
        <v/>
      </c>
      <c r="S126" s="208">
        <f>BJ126*$AS126</f>
        <v/>
      </c>
      <c r="T126" s="208">
        <f>BK126*$AS126</f>
        <v/>
      </c>
      <c r="U126" s="208">
        <f>BL126*$AS126</f>
        <v/>
      </c>
      <c r="V126" s="208">
        <f>BM126*$AS126</f>
        <v/>
      </c>
      <c r="W126" s="208">
        <f>BN126*$AS126</f>
        <v/>
      </c>
      <c r="X126" s="208">
        <f>BO126*$AS126</f>
        <v/>
      </c>
      <c r="Y126" s="208">
        <f>BP126*$AS126</f>
        <v/>
      </c>
      <c r="Z126" s="208">
        <f>BQ126*$AS126</f>
        <v/>
      </c>
      <c r="AA126" s="208">
        <f>BR126*$AS126</f>
        <v/>
      </c>
      <c r="AB126" s="208">
        <f>BS126*$AS126</f>
        <v/>
      </c>
      <c r="AC126" s="208">
        <f>BT126*$AS126</f>
        <v/>
      </c>
      <c r="AD126" s="208">
        <f>BU126*$AS126</f>
        <v/>
      </c>
      <c r="AE126" s="208">
        <f>BV126*$AS126</f>
        <v/>
      </c>
      <c r="AF126" s="208">
        <f>BW126*$AS126</f>
        <v/>
      </c>
      <c r="AG126" s="208">
        <f>BX126*$AS126</f>
        <v/>
      </c>
      <c r="AH126" s="208">
        <f>BY126*$AS126</f>
        <v/>
      </c>
      <c r="AI126" s="208">
        <f>BZ126*$AS126</f>
        <v/>
      </c>
      <c r="AJ126" s="208">
        <f>CA126*$AS126</f>
        <v/>
      </c>
      <c r="AK126" s="208">
        <f>CB126*$AS126</f>
        <v/>
      </c>
      <c r="AL126" s="208">
        <f>CC126*$AS126</f>
        <v/>
      </c>
      <c r="AM126" s="208">
        <f>CD126*$AS126</f>
        <v/>
      </c>
      <c r="AN126" s="208">
        <f>CE126*$AS126</f>
        <v/>
      </c>
      <c r="AQ126" s="6" t="n">
        <v>2014</v>
      </c>
      <c r="AR126" s="6" t="inlineStr">
        <is>
          <t>Tra_EV_Batt-NCA_virgin_pack</t>
        </is>
      </c>
      <c r="AS126" s="6" t="n">
        <v>0.029</v>
      </c>
      <c r="AT126" s="6" t="inlineStr">
        <is>
          <t>Transport_EV_general</t>
        </is>
      </c>
      <c r="AU126" s="6" t="inlineStr">
        <is>
          <t>Back-loaded transport EV battery vintage curve based on historical EV deployment shape.</t>
        </is>
      </c>
      <c r="AV126">
        <f>AV105</f>
        <v/>
      </c>
      <c r="AW126">
        <f>AW105</f>
        <v/>
      </c>
      <c r="AX126">
        <f>AX105</f>
        <v/>
      </c>
      <c r="AY126">
        <f>AY105</f>
        <v/>
      </c>
      <c r="AZ126">
        <f>AZ105</f>
        <v/>
      </c>
      <c r="BA126">
        <f>BA105</f>
        <v/>
      </c>
      <c r="BB126">
        <f>BB105</f>
        <v/>
      </c>
      <c r="BC126">
        <f>BC105</f>
        <v/>
      </c>
      <c r="BD126">
        <f>BD105</f>
        <v/>
      </c>
      <c r="BE126">
        <f>BE105</f>
        <v/>
      </c>
      <c r="BF126">
        <f>BF105</f>
        <v/>
      </c>
      <c r="BG126">
        <f>BG105</f>
        <v/>
      </c>
      <c r="BH126">
        <f>BH105</f>
        <v/>
      </c>
      <c r="BI126">
        <f>BI105</f>
        <v/>
      </c>
      <c r="BJ126">
        <f>BJ105</f>
        <v/>
      </c>
      <c r="BK126">
        <f>BK105</f>
        <v/>
      </c>
      <c r="BL126">
        <f>BL105</f>
        <v/>
      </c>
      <c r="BM126">
        <f>BM105</f>
        <v/>
      </c>
      <c r="BN126">
        <f>BN105</f>
        <v/>
      </c>
      <c r="BO126">
        <f>BO105</f>
        <v/>
      </c>
      <c r="BP126">
        <f>BP105</f>
        <v/>
      </c>
      <c r="BQ126">
        <f>BQ105</f>
        <v/>
      </c>
      <c r="BR126">
        <f>BR105</f>
        <v/>
      </c>
      <c r="BS126">
        <f>BS105</f>
        <v/>
      </c>
      <c r="BT126">
        <f>BT105</f>
        <v/>
      </c>
      <c r="BU126">
        <f>BU105</f>
        <v/>
      </c>
      <c r="BV126">
        <f>BV105</f>
        <v/>
      </c>
      <c r="BW126">
        <f>BW105</f>
        <v/>
      </c>
      <c r="BX126">
        <f>BX105</f>
        <v/>
      </c>
      <c r="BY126">
        <f>BY105</f>
        <v/>
      </c>
      <c r="BZ126">
        <f>BZ105</f>
        <v/>
      </c>
      <c r="CA126">
        <f>CA105</f>
        <v/>
      </c>
      <c r="CB126">
        <f>CB105</f>
        <v/>
      </c>
      <c r="CC126">
        <f>CC105</f>
        <v/>
      </c>
      <c r="CD126">
        <f>CD105</f>
        <v/>
      </c>
      <c r="CE126">
        <f>CE105</f>
        <v/>
      </c>
      <c r="CG126" s="6" t="n">
        <v>2014</v>
      </c>
      <c r="CH126" s="6" t="inlineStr">
        <is>
          <t>Tra_EV_Batt-NCA_virgin_pack</t>
        </is>
      </c>
      <c r="CI126" s="6" t="n">
        <v>0.029</v>
      </c>
      <c r="CJ126" s="6" t="n">
        <v>0.042</v>
      </c>
      <c r="CK126" s="6" t="inlineStr">
        <is>
          <t>Transport_EV_global</t>
        </is>
      </c>
      <c r="CL126" s="6" t="inlineStr">
        <is>
          <t>Transport_EV_China</t>
        </is>
      </c>
      <c r="CM126" s="6" t="inlineStr">
        <is>
          <t>China transport EV curve is shifted earlier than the global curve to reflect earlier China EV/e-bus deployment in the 2010s.</t>
        </is>
      </c>
    </row>
    <row r="127" ht="14.5" customHeight="1" s="213">
      <c r="D127">
        <f>D126</f>
        <v/>
      </c>
      <c r="E127" t="inlineStr">
        <is>
          <t>Tra_EV_Batt-LMO_virgin_pack</t>
        </is>
      </c>
      <c r="F127" s="208">
        <f>AW127*$AS127</f>
        <v/>
      </c>
      <c r="G127" s="208">
        <f>AX127*$AS127</f>
        <v/>
      </c>
      <c r="H127" s="208">
        <f>AY127*$AS127</f>
        <v/>
      </c>
      <c r="I127" s="208">
        <f>AZ127*$AS127</f>
        <v/>
      </c>
      <c r="J127" s="208">
        <f>BA127*$AS127</f>
        <v/>
      </c>
      <c r="K127" s="208">
        <f>BB127*$AS127</f>
        <v/>
      </c>
      <c r="L127" s="208">
        <f>BC127*$AS127</f>
        <v/>
      </c>
      <c r="M127" s="208">
        <f>BD127*$CI127</f>
        <v/>
      </c>
      <c r="N127" s="208">
        <f>BE127*$AS127</f>
        <v/>
      </c>
      <c r="O127" s="208">
        <f>BF127*$AS127</f>
        <v/>
      </c>
      <c r="P127" s="208">
        <f>BG127*$AS127</f>
        <v/>
      </c>
      <c r="Q127" s="208">
        <f>BH127*$AS127</f>
        <v/>
      </c>
      <c r="R127" s="208">
        <f>BI127*$AS127</f>
        <v/>
      </c>
      <c r="S127" s="208">
        <f>BJ127*$AS127</f>
        <v/>
      </c>
      <c r="T127" s="208">
        <f>BK127*$AS127</f>
        <v/>
      </c>
      <c r="U127" s="208">
        <f>BL127*$AS127</f>
        <v/>
      </c>
      <c r="V127" s="208">
        <f>BM127*$AS127</f>
        <v/>
      </c>
      <c r="W127" s="208">
        <f>BN127*$AS127</f>
        <v/>
      </c>
      <c r="X127" s="208">
        <f>BO127*$AS127</f>
        <v/>
      </c>
      <c r="Y127" s="208">
        <f>BP127*$AS127</f>
        <v/>
      </c>
      <c r="Z127" s="208">
        <f>BQ127*$AS127</f>
        <v/>
      </c>
      <c r="AA127" s="208">
        <f>BR127*$AS127</f>
        <v/>
      </c>
      <c r="AB127" s="208">
        <f>BS127*$AS127</f>
        <v/>
      </c>
      <c r="AC127" s="208">
        <f>BT127*$AS127</f>
        <v/>
      </c>
      <c r="AD127" s="208">
        <f>BU127*$AS127</f>
        <v/>
      </c>
      <c r="AE127" s="208">
        <f>BV127*$AS127</f>
        <v/>
      </c>
      <c r="AF127" s="208">
        <f>BW127*$AS127</f>
        <v/>
      </c>
      <c r="AG127" s="208">
        <f>BX127*$AS127</f>
        <v/>
      </c>
      <c r="AH127" s="208">
        <f>BY127*$AS127</f>
        <v/>
      </c>
      <c r="AI127" s="208">
        <f>BZ127*$AS127</f>
        <v/>
      </c>
      <c r="AJ127" s="208">
        <f>CA127*$AS127</f>
        <v/>
      </c>
      <c r="AK127" s="208">
        <f>CB127*$AS127</f>
        <v/>
      </c>
      <c r="AL127" s="208">
        <f>CC127*$AS127</f>
        <v/>
      </c>
      <c r="AM127" s="208">
        <f>CD127*$AS127</f>
        <v/>
      </c>
      <c r="AN127" s="208">
        <f>CE127*$AS127</f>
        <v/>
      </c>
      <c r="AQ127" s="6" t="n">
        <v>2014</v>
      </c>
      <c r="AR127" s="6" t="inlineStr">
        <is>
          <t>Tra_EV_Batt-LMO_virgin_pack</t>
        </is>
      </c>
      <c r="AS127" s="6" t="n">
        <v>0.029</v>
      </c>
      <c r="AT127" s="6" t="inlineStr">
        <is>
          <t>Transport_EV_general</t>
        </is>
      </c>
      <c r="AU127" s="6" t="inlineStr">
        <is>
          <t>Back-loaded transport EV battery vintage curve based on historical EV deployment shape.</t>
        </is>
      </c>
      <c r="AV127">
        <f>AV106</f>
        <v/>
      </c>
      <c r="AW127">
        <f>AW106</f>
        <v/>
      </c>
      <c r="AX127">
        <f>AX106</f>
        <v/>
      </c>
      <c r="AY127">
        <f>AY106</f>
        <v/>
      </c>
      <c r="AZ127">
        <f>AZ106</f>
        <v/>
      </c>
      <c r="BA127">
        <f>BA106</f>
        <v/>
      </c>
      <c r="BB127">
        <f>BB106</f>
        <v/>
      </c>
      <c r="BC127">
        <f>BC106</f>
        <v/>
      </c>
      <c r="BD127">
        <f>BD106</f>
        <v/>
      </c>
      <c r="BE127">
        <f>BE106</f>
        <v/>
      </c>
      <c r="BF127">
        <f>BF106</f>
        <v/>
      </c>
      <c r="BG127">
        <f>BG106</f>
        <v/>
      </c>
      <c r="BH127">
        <f>BH106</f>
        <v/>
      </c>
      <c r="BI127">
        <f>BI106</f>
        <v/>
      </c>
      <c r="BJ127">
        <f>BJ106</f>
        <v/>
      </c>
      <c r="BK127">
        <f>BK106</f>
        <v/>
      </c>
      <c r="BL127">
        <f>BL106</f>
        <v/>
      </c>
      <c r="BM127">
        <f>BM106</f>
        <v/>
      </c>
      <c r="BN127">
        <f>BN106</f>
        <v/>
      </c>
      <c r="BO127">
        <f>BO106</f>
        <v/>
      </c>
      <c r="BP127">
        <f>BP106</f>
        <v/>
      </c>
      <c r="BQ127">
        <f>BQ106</f>
        <v/>
      </c>
      <c r="BR127">
        <f>BR106</f>
        <v/>
      </c>
      <c r="BS127">
        <f>BS106</f>
        <v/>
      </c>
      <c r="BT127">
        <f>BT106</f>
        <v/>
      </c>
      <c r="BU127">
        <f>BU106</f>
        <v/>
      </c>
      <c r="BV127">
        <f>BV106</f>
        <v/>
      </c>
      <c r="BW127">
        <f>BW106</f>
        <v/>
      </c>
      <c r="BX127">
        <f>BX106</f>
        <v/>
      </c>
      <c r="BY127">
        <f>BY106</f>
        <v/>
      </c>
      <c r="BZ127">
        <f>BZ106</f>
        <v/>
      </c>
      <c r="CA127">
        <f>CA106</f>
        <v/>
      </c>
      <c r="CB127">
        <f>CB106</f>
        <v/>
      </c>
      <c r="CC127">
        <f>CC106</f>
        <v/>
      </c>
      <c r="CD127">
        <f>CD106</f>
        <v/>
      </c>
      <c r="CE127">
        <f>CE106</f>
        <v/>
      </c>
      <c r="CG127" s="6" t="n">
        <v>2014</v>
      </c>
      <c r="CH127" s="6" t="inlineStr">
        <is>
          <t>Tra_EV_Batt-LMO_virgin_pack</t>
        </is>
      </c>
      <c r="CI127" s="6" t="n">
        <v>0.029</v>
      </c>
      <c r="CJ127" s="6" t="n">
        <v>0.042</v>
      </c>
      <c r="CK127" s="6" t="inlineStr">
        <is>
          <t>Transport_EV_global</t>
        </is>
      </c>
      <c r="CL127" s="6" t="inlineStr">
        <is>
          <t>Transport_EV_China</t>
        </is>
      </c>
      <c r="CM127" s="6" t="inlineStr">
        <is>
          <t>China transport EV curve is shifted earlier than the global curve to reflect earlier China EV/e-bus deployment in the 2010s.</t>
        </is>
      </c>
    </row>
    <row r="128" ht="14.5" customHeight="1" s="213">
      <c r="D128">
        <f>D127</f>
        <v/>
      </c>
      <c r="E128" t="inlineStr">
        <is>
          <t>Tra_EV_Batt-NMC111_virgin_pack</t>
        </is>
      </c>
      <c r="F128" s="208">
        <f>AW128*$AS128</f>
        <v/>
      </c>
      <c r="G128" s="208">
        <f>AX128*$AS128</f>
        <v/>
      </c>
      <c r="H128" s="208">
        <f>AY128*$AS128</f>
        <v/>
      </c>
      <c r="I128" s="208">
        <f>AZ128*$AS128</f>
        <v/>
      </c>
      <c r="J128" s="208">
        <f>BA128*$AS128</f>
        <v/>
      </c>
      <c r="K128" s="208">
        <f>BB128*$AS128</f>
        <v/>
      </c>
      <c r="L128" s="208">
        <f>BC128*$AS128</f>
        <v/>
      </c>
      <c r="M128" s="208">
        <f>BD128*$CI128</f>
        <v/>
      </c>
      <c r="N128" s="208">
        <f>BE128*$AS128</f>
        <v/>
      </c>
      <c r="O128" s="208">
        <f>BF128*$AS128</f>
        <v/>
      </c>
      <c r="P128" s="208">
        <f>BG128*$AS128</f>
        <v/>
      </c>
      <c r="Q128" s="208">
        <f>BH128*$AS128</f>
        <v/>
      </c>
      <c r="R128" s="208">
        <f>BI128*$AS128</f>
        <v/>
      </c>
      <c r="S128" s="208">
        <f>BJ128*$AS128</f>
        <v/>
      </c>
      <c r="T128" s="208">
        <f>BK128*$AS128</f>
        <v/>
      </c>
      <c r="U128" s="208">
        <f>BL128*$AS128</f>
        <v/>
      </c>
      <c r="V128" s="208">
        <f>BM128*$AS128</f>
        <v/>
      </c>
      <c r="W128" s="208">
        <f>BN128*$AS128</f>
        <v/>
      </c>
      <c r="X128" s="208">
        <f>BO128*$AS128</f>
        <v/>
      </c>
      <c r="Y128" s="208">
        <f>BP128*$AS128</f>
        <v/>
      </c>
      <c r="Z128" s="208">
        <f>BQ128*$AS128</f>
        <v/>
      </c>
      <c r="AA128" s="208">
        <f>BR128*$AS128</f>
        <v/>
      </c>
      <c r="AB128" s="208">
        <f>BS128*$AS128</f>
        <v/>
      </c>
      <c r="AC128" s="208">
        <f>BT128*$AS128</f>
        <v/>
      </c>
      <c r="AD128" s="208">
        <f>BU128*$AS128</f>
        <v/>
      </c>
      <c r="AE128" s="208">
        <f>BV128*$AS128</f>
        <v/>
      </c>
      <c r="AF128" s="208">
        <f>BW128*$AS128</f>
        <v/>
      </c>
      <c r="AG128" s="208">
        <f>BX128*$AS128</f>
        <v/>
      </c>
      <c r="AH128" s="208">
        <f>BY128*$AS128</f>
        <v/>
      </c>
      <c r="AI128" s="208">
        <f>BZ128*$AS128</f>
        <v/>
      </c>
      <c r="AJ128" s="208">
        <f>CA128*$AS128</f>
        <v/>
      </c>
      <c r="AK128" s="208">
        <f>CB128*$AS128</f>
        <v/>
      </c>
      <c r="AL128" s="208">
        <f>CC128*$AS128</f>
        <v/>
      </c>
      <c r="AM128" s="208">
        <f>CD128*$AS128</f>
        <v/>
      </c>
      <c r="AN128" s="208">
        <f>CE128*$AS128</f>
        <v/>
      </c>
      <c r="AQ128" s="6" t="n">
        <v>2014</v>
      </c>
      <c r="AR128" s="6" t="inlineStr">
        <is>
          <t>Tra_EV_Batt-NMC111_virgin_pack</t>
        </is>
      </c>
      <c r="AS128" s="6" t="n">
        <v>0.029</v>
      </c>
      <c r="AT128" s="6" t="inlineStr">
        <is>
          <t>Transport_EV_general</t>
        </is>
      </c>
      <c r="AU128" s="6" t="inlineStr">
        <is>
          <t>Back-loaded transport EV battery vintage curve based on historical EV deployment shape.</t>
        </is>
      </c>
      <c r="AV128">
        <f>AV107</f>
        <v/>
      </c>
      <c r="AW128">
        <f>AW107</f>
        <v/>
      </c>
      <c r="AX128">
        <f>AX107</f>
        <v/>
      </c>
      <c r="AY128">
        <f>AY107</f>
        <v/>
      </c>
      <c r="AZ128">
        <f>AZ107</f>
        <v/>
      </c>
      <c r="BA128">
        <f>BA107</f>
        <v/>
      </c>
      <c r="BB128">
        <f>BB107</f>
        <v/>
      </c>
      <c r="BC128">
        <f>BC107</f>
        <v/>
      </c>
      <c r="BD128">
        <f>BD107</f>
        <v/>
      </c>
      <c r="BE128">
        <f>BE107</f>
        <v/>
      </c>
      <c r="BF128">
        <f>BF107</f>
        <v/>
      </c>
      <c r="BG128">
        <f>BG107</f>
        <v/>
      </c>
      <c r="BH128">
        <f>BH107</f>
        <v/>
      </c>
      <c r="BI128">
        <f>BI107</f>
        <v/>
      </c>
      <c r="BJ128">
        <f>BJ107</f>
        <v/>
      </c>
      <c r="BK128">
        <f>BK107</f>
        <v/>
      </c>
      <c r="BL128">
        <f>BL107</f>
        <v/>
      </c>
      <c r="BM128">
        <f>BM107</f>
        <v/>
      </c>
      <c r="BN128">
        <f>BN107</f>
        <v/>
      </c>
      <c r="BO128">
        <f>BO107</f>
        <v/>
      </c>
      <c r="BP128">
        <f>BP107</f>
        <v/>
      </c>
      <c r="BQ128">
        <f>BQ107</f>
        <v/>
      </c>
      <c r="BR128">
        <f>BR107</f>
        <v/>
      </c>
      <c r="BS128">
        <f>BS107</f>
        <v/>
      </c>
      <c r="BT128">
        <f>BT107</f>
        <v/>
      </c>
      <c r="BU128">
        <f>BU107</f>
        <v/>
      </c>
      <c r="BV128">
        <f>BV107</f>
        <v/>
      </c>
      <c r="BW128">
        <f>BW107</f>
        <v/>
      </c>
      <c r="BX128">
        <f>BX107</f>
        <v/>
      </c>
      <c r="BY128">
        <f>BY107</f>
        <v/>
      </c>
      <c r="BZ128">
        <f>BZ107</f>
        <v/>
      </c>
      <c r="CA128">
        <f>CA107</f>
        <v/>
      </c>
      <c r="CB128">
        <f>CB107</f>
        <v/>
      </c>
      <c r="CC128">
        <f>CC107</f>
        <v/>
      </c>
      <c r="CD128">
        <f>CD107</f>
        <v/>
      </c>
      <c r="CE128">
        <f>CE107</f>
        <v/>
      </c>
      <c r="CG128" s="6" t="n">
        <v>2014</v>
      </c>
      <c r="CH128" s="6" t="inlineStr">
        <is>
          <t>Tra_EV_Batt-NMC111_virgin_pack</t>
        </is>
      </c>
      <c r="CI128" s="6" t="n">
        <v>0.029</v>
      </c>
      <c r="CJ128" s="6" t="n">
        <v>0.042</v>
      </c>
      <c r="CK128" s="6" t="inlineStr">
        <is>
          <t>Transport_EV_global</t>
        </is>
      </c>
      <c r="CL128" s="6" t="inlineStr">
        <is>
          <t>Transport_EV_China</t>
        </is>
      </c>
      <c r="CM128" s="6" t="inlineStr">
        <is>
          <t>China transport EV curve is shifted earlier than the global curve to reflect earlier China EV/e-bus deployment in the 2010s.</t>
        </is>
      </c>
    </row>
    <row r="129" ht="14.5" customHeight="1" s="213">
      <c r="D129" t="n">
        <v>2020</v>
      </c>
      <c r="E129" t="inlineStr">
        <is>
          <t>MINBatMaterials_LI</t>
        </is>
      </c>
      <c r="F129" s="208">
        <f>AW129*$AS129</f>
        <v/>
      </c>
      <c r="G129" s="208">
        <f>AX129*$AS129</f>
        <v/>
      </c>
      <c r="H129" s="208">
        <f>AY129*$AS129</f>
        <v/>
      </c>
      <c r="I129" s="208">
        <f>AZ129*$AS129</f>
        <v/>
      </c>
      <c r="J129" s="208">
        <f>BA129*$AS129</f>
        <v/>
      </c>
      <c r="K129" s="208">
        <f>BB129*$AS129</f>
        <v/>
      </c>
      <c r="L129" s="208">
        <f>BC129*$AS129</f>
        <v/>
      </c>
      <c r="M129" s="208">
        <f>BD129*$CI129</f>
        <v/>
      </c>
      <c r="N129" s="208">
        <f>BE129*$AS129</f>
        <v/>
      </c>
      <c r="O129" s="208">
        <f>BF129*$AS129</f>
        <v/>
      </c>
      <c r="P129" s="208">
        <f>BG129*$AS129</f>
        <v/>
      </c>
      <c r="Q129" s="208">
        <f>BH129*$AS129</f>
        <v/>
      </c>
      <c r="R129" s="208">
        <f>BI129*$AS129</f>
        <v/>
      </c>
      <c r="S129" s="208">
        <f>BJ129*$AS129</f>
        <v/>
      </c>
      <c r="T129" s="208">
        <f>BK129*$AS129</f>
        <v/>
      </c>
      <c r="U129" s="208">
        <f>BL129*$AS129</f>
        <v/>
      </c>
      <c r="V129" s="208">
        <f>BM129*$AS129</f>
        <v/>
      </c>
      <c r="W129" s="208">
        <f>BN129*$AS129</f>
        <v/>
      </c>
      <c r="X129" s="208">
        <f>BO129*$AS129</f>
        <v/>
      </c>
      <c r="Y129" s="208">
        <f>BP129*$AS129</f>
        <v/>
      </c>
      <c r="Z129" s="208">
        <f>BQ129*$AS129</f>
        <v/>
      </c>
      <c r="AA129" s="208">
        <f>BR129*$AS129</f>
        <v/>
      </c>
      <c r="AB129" s="208">
        <f>BS129*$AS129</f>
        <v/>
      </c>
      <c r="AC129" s="208">
        <f>BT129*$AS129</f>
        <v/>
      </c>
      <c r="AD129" s="208">
        <f>BU129*$AS129</f>
        <v/>
      </c>
      <c r="AE129" s="208">
        <f>BV129*$AS129</f>
        <v/>
      </c>
      <c r="AF129" s="208">
        <f>BW129*$AS129</f>
        <v/>
      </c>
      <c r="AG129" s="208">
        <f>BX129*$AS129</f>
        <v/>
      </c>
      <c r="AH129" s="208">
        <f>BY129*$AS129</f>
        <v/>
      </c>
      <c r="AI129" s="208">
        <f>BZ129*$AS129</f>
        <v/>
      </c>
      <c r="AJ129" s="208">
        <f>CA129*$AS129</f>
        <v/>
      </c>
      <c r="AK129" s="208">
        <f>CB129*$AS129</f>
        <v/>
      </c>
      <c r="AL129" s="208">
        <f>CC129*$AS129</f>
        <v/>
      </c>
      <c r="AM129" s="208">
        <f>CD129*$AS129</f>
        <v/>
      </c>
      <c r="AN129" s="208">
        <f>CE129*$AS129</f>
        <v/>
      </c>
      <c r="AQ129" s="6" t="n">
        <v>2015</v>
      </c>
      <c r="AR129" s="6" t="inlineStr">
        <is>
          <t>MINBatMaterials_LI</t>
        </is>
      </c>
      <c r="AS129" s="6" t="n">
        <v>0.095</v>
      </c>
      <c r="AT129" s="6" t="inlineStr">
        <is>
          <t>Mining_facility_representative</t>
        </is>
      </c>
      <c r="AU129" s="6" t="inlineStr">
        <is>
          <t>Representative mining-capacity vintage curve; COB_direct treated as aggregate cobalt-production route including by-product routes.</t>
        </is>
      </c>
      <c r="AV129">
        <f>AV108</f>
        <v/>
      </c>
      <c r="AW129">
        <f>AW108</f>
        <v/>
      </c>
      <c r="AX129">
        <f>AX108</f>
        <v/>
      </c>
      <c r="AY129">
        <f>AY108</f>
        <v/>
      </c>
      <c r="AZ129">
        <f>AZ108</f>
        <v/>
      </c>
      <c r="BA129">
        <f>BA108</f>
        <v/>
      </c>
      <c r="BB129">
        <f>BB108</f>
        <v/>
      </c>
      <c r="BC129">
        <f>BC108</f>
        <v/>
      </c>
      <c r="BD129">
        <f>BD108</f>
        <v/>
      </c>
      <c r="BE129">
        <f>BE108</f>
        <v/>
      </c>
      <c r="BF129">
        <f>BF108</f>
        <v/>
      </c>
      <c r="BG129">
        <f>BG108</f>
        <v/>
      </c>
      <c r="BH129">
        <f>BH108</f>
        <v/>
      </c>
      <c r="BI129">
        <f>BI108</f>
        <v/>
      </c>
      <c r="BJ129">
        <f>BJ108</f>
        <v/>
      </c>
      <c r="BK129">
        <f>BK108</f>
        <v/>
      </c>
      <c r="BL129">
        <f>BL108</f>
        <v/>
      </c>
      <c r="BM129">
        <f>BM108</f>
        <v/>
      </c>
      <c r="BN129">
        <f>BN108</f>
        <v/>
      </c>
      <c r="BO129">
        <f>BO108</f>
        <v/>
      </c>
      <c r="BP129">
        <f>BP108</f>
        <v/>
      </c>
      <c r="BQ129">
        <f>BQ108</f>
        <v/>
      </c>
      <c r="BR129">
        <f>BR108</f>
        <v/>
      </c>
      <c r="BS129">
        <f>BS108</f>
        <v/>
      </c>
      <c r="BT129">
        <f>BT108</f>
        <v/>
      </c>
      <c r="BU129">
        <f>BU108</f>
        <v/>
      </c>
      <c r="BV129">
        <f>BV108</f>
        <v/>
      </c>
      <c r="BW129">
        <f>BW108</f>
        <v/>
      </c>
      <c r="BX129">
        <f>BX108</f>
        <v/>
      </c>
      <c r="BY129">
        <f>BY108</f>
        <v/>
      </c>
      <c r="BZ129">
        <f>BZ108</f>
        <v/>
      </c>
      <c r="CA129">
        <f>CA108</f>
        <v/>
      </c>
      <c r="CB129">
        <f>CB108</f>
        <v/>
      </c>
      <c r="CC129">
        <f>CC108</f>
        <v/>
      </c>
      <c r="CD129">
        <f>CD108</f>
        <v/>
      </c>
      <c r="CE129">
        <f>CE108</f>
        <v/>
      </c>
      <c r="CG129" s="6" t="n">
        <v>2015</v>
      </c>
      <c r="CH129" s="6" t="inlineStr">
        <is>
          <t>MINBatMaterials_LI</t>
        </is>
      </c>
      <c r="CI129" s="6" t="n">
        <v>0.095</v>
      </c>
      <c r="CJ129" s="6" t="n">
        <v>0.095</v>
      </c>
      <c r="CK129" s="6" t="inlineStr">
        <is>
          <t>Mining_facility_representative</t>
        </is>
      </c>
      <c r="CL129" s="6" t="inlineStr">
        <is>
          <t>Mining_facility_representative</t>
        </is>
      </c>
      <c r="CM129" s="6" t="inlineStr">
        <is>
          <t>Mining curve kept the same for China; COB_direct treated as aggregate cobalt-production route including by-product routes.</t>
        </is>
      </c>
    </row>
    <row r="130" ht="14.5" customHeight="1" s="213">
      <c r="D130">
        <f>D129</f>
        <v/>
      </c>
      <c r="E130" t="inlineStr">
        <is>
          <t>MINBatMaterials_NI</t>
        </is>
      </c>
      <c r="F130" s="208">
        <f>AW130*$AS130</f>
        <v/>
      </c>
      <c r="G130" s="208">
        <f>AX130*$AS130</f>
        <v/>
      </c>
      <c r="H130" s="208">
        <f>AY130*$AS130</f>
        <v/>
      </c>
      <c r="I130" s="208">
        <f>AZ130*$AS130</f>
        <v/>
      </c>
      <c r="J130" s="208">
        <f>BA130*$AS130</f>
        <v/>
      </c>
      <c r="K130" s="208">
        <f>BB130*$AS130</f>
        <v/>
      </c>
      <c r="L130" s="208">
        <f>BC130*$AS130</f>
        <v/>
      </c>
      <c r="M130" s="208">
        <f>BD130*$CI130</f>
        <v/>
      </c>
      <c r="N130" s="208">
        <f>BE130*$AS130</f>
        <v/>
      </c>
      <c r="O130" s="208">
        <f>BF130*$AS130</f>
        <v/>
      </c>
      <c r="P130" s="208">
        <f>BG130*$AS130</f>
        <v/>
      </c>
      <c r="Q130" s="208">
        <f>BH130*$AS130</f>
        <v/>
      </c>
      <c r="R130" s="208">
        <f>BI130*$AS130</f>
        <v/>
      </c>
      <c r="S130" s="208">
        <f>BJ130*$AS130</f>
        <v/>
      </c>
      <c r="T130" s="208">
        <f>BK130*$AS130</f>
        <v/>
      </c>
      <c r="U130" s="208">
        <f>BL130*$AS130</f>
        <v/>
      </c>
      <c r="V130" s="208">
        <f>BM130*$AS130</f>
        <v/>
      </c>
      <c r="W130" s="208">
        <f>BN130*$AS130</f>
        <v/>
      </c>
      <c r="X130" s="208">
        <f>BO130*$AS130</f>
        <v/>
      </c>
      <c r="Y130" s="208">
        <f>BP130*$AS130</f>
        <v/>
      </c>
      <c r="Z130" s="208">
        <f>BQ130*$AS130</f>
        <v/>
      </c>
      <c r="AA130" s="208">
        <f>BR130*$AS130</f>
        <v/>
      </c>
      <c r="AB130" s="208">
        <f>BS130*$AS130</f>
        <v/>
      </c>
      <c r="AC130" s="208">
        <f>BT130*$AS130</f>
        <v/>
      </c>
      <c r="AD130" s="208">
        <f>BU130*$AS130</f>
        <v/>
      </c>
      <c r="AE130" s="208">
        <f>BV130*$AS130</f>
        <v/>
      </c>
      <c r="AF130" s="208">
        <f>BW130*$AS130</f>
        <v/>
      </c>
      <c r="AG130" s="208">
        <f>BX130*$AS130</f>
        <v/>
      </c>
      <c r="AH130" s="208">
        <f>BY130*$AS130</f>
        <v/>
      </c>
      <c r="AI130" s="208">
        <f>BZ130*$AS130</f>
        <v/>
      </c>
      <c r="AJ130" s="208">
        <f>CA130*$AS130</f>
        <v/>
      </c>
      <c r="AK130" s="208">
        <f>CB130*$AS130</f>
        <v/>
      </c>
      <c r="AL130" s="208">
        <f>CC130*$AS130</f>
        <v/>
      </c>
      <c r="AM130" s="208">
        <f>CD130*$AS130</f>
        <v/>
      </c>
      <c r="AN130" s="208">
        <f>CE130*$AS130</f>
        <v/>
      </c>
      <c r="AQ130" s="6" t="n">
        <v>2015</v>
      </c>
      <c r="AR130" s="6" t="inlineStr">
        <is>
          <t>MINBatMaterials_NI</t>
        </is>
      </c>
      <c r="AS130" s="6" t="n">
        <v>0.095</v>
      </c>
      <c r="AT130" s="6" t="inlineStr">
        <is>
          <t>Mining_facility_representative</t>
        </is>
      </c>
      <c r="AU130" s="6" t="inlineStr">
        <is>
          <t>Representative mining-capacity vintage curve; COB_direct treated as aggregate cobalt-production route including by-product routes.</t>
        </is>
      </c>
      <c r="AV130">
        <f>AV109</f>
        <v/>
      </c>
      <c r="AW130">
        <f>AW109</f>
        <v/>
      </c>
      <c r="AX130">
        <f>AX109</f>
        <v/>
      </c>
      <c r="AY130">
        <f>AY109</f>
        <v/>
      </c>
      <c r="AZ130">
        <f>AZ109</f>
        <v/>
      </c>
      <c r="BA130">
        <f>BA109</f>
        <v/>
      </c>
      <c r="BB130">
        <f>BB109</f>
        <v/>
      </c>
      <c r="BC130">
        <f>BC109</f>
        <v/>
      </c>
      <c r="BD130">
        <f>BD109</f>
        <v/>
      </c>
      <c r="BE130">
        <f>BE109</f>
        <v/>
      </c>
      <c r="BF130">
        <f>BF109</f>
        <v/>
      </c>
      <c r="BG130">
        <f>BG109</f>
        <v/>
      </c>
      <c r="BH130">
        <f>BH109</f>
        <v/>
      </c>
      <c r="BI130">
        <f>BI109</f>
        <v/>
      </c>
      <c r="BJ130">
        <f>BJ109</f>
        <v/>
      </c>
      <c r="BK130">
        <f>BK109</f>
        <v/>
      </c>
      <c r="BL130">
        <f>BL109</f>
        <v/>
      </c>
      <c r="BM130">
        <f>BM109</f>
        <v/>
      </c>
      <c r="BN130">
        <f>BN109</f>
        <v/>
      </c>
      <c r="BO130">
        <f>BO109</f>
        <v/>
      </c>
      <c r="BP130">
        <f>BP109</f>
        <v/>
      </c>
      <c r="BQ130">
        <f>BQ109</f>
        <v/>
      </c>
      <c r="BR130">
        <f>BR109</f>
        <v/>
      </c>
      <c r="BS130">
        <f>BS109</f>
        <v/>
      </c>
      <c r="BT130">
        <f>BT109</f>
        <v/>
      </c>
      <c r="BU130">
        <f>BU109</f>
        <v/>
      </c>
      <c r="BV130">
        <f>BV109</f>
        <v/>
      </c>
      <c r="BW130">
        <f>BW109</f>
        <v/>
      </c>
      <c r="BX130">
        <f>BX109</f>
        <v/>
      </c>
      <c r="BY130">
        <f>BY109</f>
        <v/>
      </c>
      <c r="BZ130">
        <f>BZ109</f>
        <v/>
      </c>
      <c r="CA130">
        <f>CA109</f>
        <v/>
      </c>
      <c r="CB130">
        <f>CB109</f>
        <v/>
      </c>
      <c r="CC130">
        <f>CC109</f>
        <v/>
      </c>
      <c r="CD130">
        <f>CD109</f>
        <v/>
      </c>
      <c r="CE130">
        <f>CE109</f>
        <v/>
      </c>
      <c r="CG130" s="6" t="n">
        <v>2015</v>
      </c>
      <c r="CH130" s="6" t="inlineStr">
        <is>
          <t>MINBatMaterials_NI</t>
        </is>
      </c>
      <c r="CI130" s="6" t="n">
        <v>0.095</v>
      </c>
      <c r="CJ130" s="6" t="n">
        <v>0.095</v>
      </c>
      <c r="CK130" s="6" t="inlineStr">
        <is>
          <t>Mining_facility_representative</t>
        </is>
      </c>
      <c r="CL130" s="6" t="inlineStr">
        <is>
          <t>Mining_facility_representative</t>
        </is>
      </c>
      <c r="CM130" s="6" t="inlineStr">
        <is>
          <t>Mining curve kept the same for China; COB_direct treated as aggregate cobalt-production route including by-product routes.</t>
        </is>
      </c>
    </row>
    <row r="131" ht="16" customHeight="1" s="213">
      <c r="D131">
        <f>D130</f>
        <v/>
      </c>
      <c r="E131" s="66" t="inlineStr">
        <is>
          <t>MINBatMaterials_COB_direct</t>
        </is>
      </c>
      <c r="F131" s="208">
        <f>AW131*$AS131</f>
        <v/>
      </c>
      <c r="G131" s="208">
        <f>AX131*$AS131</f>
        <v/>
      </c>
      <c r="H131" s="208">
        <f>AY131*$AS131</f>
        <v/>
      </c>
      <c r="I131" s="208">
        <f>AZ131*$AS131</f>
        <v/>
      </c>
      <c r="J131" s="208">
        <f>BA131*$AS131</f>
        <v/>
      </c>
      <c r="K131" s="208">
        <f>BB131*$AS131</f>
        <v/>
      </c>
      <c r="L131" s="208">
        <f>BC131*$AS131</f>
        <v/>
      </c>
      <c r="M131" s="208">
        <f>BD131*$CI131</f>
        <v/>
      </c>
      <c r="N131" s="208">
        <f>BE131*$AS131</f>
        <v/>
      </c>
      <c r="O131" s="208">
        <f>BF131*$AS131</f>
        <v/>
      </c>
      <c r="P131" s="208">
        <f>BG131*$AS131</f>
        <v/>
      </c>
      <c r="Q131" s="208">
        <f>BH131*$AS131</f>
        <v/>
      </c>
      <c r="R131" s="208">
        <f>BI131*$AS131</f>
        <v/>
      </c>
      <c r="S131" s="208">
        <f>BJ131*$AS131</f>
        <v/>
      </c>
      <c r="T131" s="208">
        <f>BK131*$AS131</f>
        <v/>
      </c>
      <c r="U131" s="208">
        <f>BL131*$AS131</f>
        <v/>
      </c>
      <c r="V131" s="208">
        <f>BM131*$AS131</f>
        <v/>
      </c>
      <c r="W131" s="208">
        <f>BN131*$AS131</f>
        <v/>
      </c>
      <c r="X131" s="208">
        <f>BO131*$AS131</f>
        <v/>
      </c>
      <c r="Y131" s="208">
        <f>BP131*$AS131</f>
        <v/>
      </c>
      <c r="Z131" s="208">
        <f>BQ131*$AS131</f>
        <v/>
      </c>
      <c r="AA131" s="208">
        <f>BR131*$AS131</f>
        <v/>
      </c>
      <c r="AB131" s="208">
        <f>BS131*$AS131</f>
        <v/>
      </c>
      <c r="AC131" s="208">
        <f>BT131*$AS131</f>
        <v/>
      </c>
      <c r="AD131" s="208">
        <f>BU131*$AS131</f>
        <v/>
      </c>
      <c r="AE131" s="208">
        <f>BV131*$AS131</f>
        <v/>
      </c>
      <c r="AF131" s="208">
        <f>BW131*$AS131</f>
        <v/>
      </c>
      <c r="AG131" s="208">
        <f>BX131*$AS131</f>
        <v/>
      </c>
      <c r="AH131" s="208">
        <f>BY131*$AS131</f>
        <v/>
      </c>
      <c r="AI131" s="208">
        <f>BZ131*$AS131</f>
        <v/>
      </c>
      <c r="AJ131" s="208">
        <f>CA131*$AS131</f>
        <v/>
      </c>
      <c r="AK131" s="208">
        <f>CB131*$AS131</f>
        <v/>
      </c>
      <c r="AL131" s="208">
        <f>CC131*$AS131</f>
        <v/>
      </c>
      <c r="AM131" s="208">
        <f>CD131*$AS131</f>
        <v/>
      </c>
      <c r="AN131" s="208">
        <f>CE131*$AS131</f>
        <v/>
      </c>
      <c r="AQ131" s="6" t="n">
        <v>2015</v>
      </c>
      <c r="AR131" s="6" t="inlineStr">
        <is>
          <t>MINBatMaterials_COB_direct</t>
        </is>
      </c>
      <c r="AS131" s="6" t="n">
        <v>0.095</v>
      </c>
      <c r="AT131" s="6" t="inlineStr">
        <is>
          <t>Mining_facility_representative</t>
        </is>
      </c>
      <c r="AU131" s="6" t="inlineStr">
        <is>
          <t>Representative mining-capacity vintage curve; COB_direct treated as aggregate cobalt-production route including by-product routes.</t>
        </is>
      </c>
      <c r="AV131">
        <f>AV110</f>
        <v/>
      </c>
      <c r="AW131">
        <f>AW110</f>
        <v/>
      </c>
      <c r="AX131">
        <f>AX110</f>
        <v/>
      </c>
      <c r="AY131">
        <f>AY110</f>
        <v/>
      </c>
      <c r="AZ131">
        <f>AZ110</f>
        <v/>
      </c>
      <c r="BA131">
        <f>BA110</f>
        <v/>
      </c>
      <c r="BB131">
        <f>BB110</f>
        <v/>
      </c>
      <c r="BC131">
        <f>BC110</f>
        <v/>
      </c>
      <c r="BD131">
        <f>BD110</f>
        <v/>
      </c>
      <c r="BE131">
        <f>BE110</f>
        <v/>
      </c>
      <c r="BF131">
        <f>BF110</f>
        <v/>
      </c>
      <c r="BG131">
        <f>BG110</f>
        <v/>
      </c>
      <c r="BH131">
        <f>BH110</f>
        <v/>
      </c>
      <c r="BI131">
        <f>BI110</f>
        <v/>
      </c>
      <c r="BJ131">
        <f>BJ110</f>
        <v/>
      </c>
      <c r="BK131">
        <f>BK110</f>
        <v/>
      </c>
      <c r="BL131">
        <f>BL110</f>
        <v/>
      </c>
      <c r="BM131">
        <f>BM110</f>
        <v/>
      </c>
      <c r="BN131">
        <f>BN110</f>
        <v/>
      </c>
      <c r="BO131">
        <f>BO110</f>
        <v/>
      </c>
      <c r="BP131">
        <f>BP110</f>
        <v/>
      </c>
      <c r="BQ131">
        <f>BQ110</f>
        <v/>
      </c>
      <c r="BR131">
        <f>BR110</f>
        <v/>
      </c>
      <c r="BS131">
        <f>BS110</f>
        <v/>
      </c>
      <c r="BT131">
        <f>BT110</f>
        <v/>
      </c>
      <c r="BU131">
        <f>BU110</f>
        <v/>
      </c>
      <c r="BV131">
        <f>BV110</f>
        <v/>
      </c>
      <c r="BW131">
        <f>BW110</f>
        <v/>
      </c>
      <c r="BX131">
        <f>BX110</f>
        <v/>
      </c>
      <c r="BY131">
        <f>BY110</f>
        <v/>
      </c>
      <c r="BZ131">
        <f>BZ110</f>
        <v/>
      </c>
      <c r="CA131">
        <f>CA110</f>
        <v/>
      </c>
      <c r="CB131">
        <f>CB110</f>
        <v/>
      </c>
      <c r="CC131">
        <f>CC110</f>
        <v/>
      </c>
      <c r="CD131">
        <f>CD110</f>
        <v/>
      </c>
      <c r="CE131">
        <f>CE110</f>
        <v/>
      </c>
      <c r="CG131" s="6" t="n">
        <v>2015</v>
      </c>
      <c r="CH131" s="6" t="inlineStr">
        <is>
          <t>MINBatMaterials_COB_direct</t>
        </is>
      </c>
      <c r="CI131" s="6" t="n">
        <v>0.095</v>
      </c>
      <c r="CJ131" s="6" t="n">
        <v>0.095</v>
      </c>
      <c r="CK131" s="6" t="inlineStr">
        <is>
          <t>Mining_facility_representative</t>
        </is>
      </c>
      <c r="CL131" s="6" t="inlineStr">
        <is>
          <t>Mining_facility_representative</t>
        </is>
      </c>
      <c r="CM131" s="6" t="inlineStr">
        <is>
          <t>Mining curve kept the same for China; COB_direct treated as aggregate cobalt-production route including by-product routes.</t>
        </is>
      </c>
    </row>
    <row r="132" ht="14.5" customHeight="1" s="213">
      <c r="D132">
        <f>D131</f>
        <v/>
      </c>
      <c r="E132" t="inlineStr">
        <is>
          <t>MINBatMaterials_MN</t>
        </is>
      </c>
      <c r="F132" s="208">
        <f>AW132*$AS132</f>
        <v/>
      </c>
      <c r="G132" s="208">
        <f>AX132*$AS132</f>
        <v/>
      </c>
      <c r="H132" s="208">
        <f>AY132*$AS132</f>
        <v/>
      </c>
      <c r="I132" s="208">
        <f>AZ132*$AS132</f>
        <v/>
      </c>
      <c r="J132" s="208">
        <f>BA132*$AS132</f>
        <v/>
      </c>
      <c r="K132" s="208">
        <f>BB132*$AS132</f>
        <v/>
      </c>
      <c r="L132" s="208">
        <f>BC132*$AS132</f>
        <v/>
      </c>
      <c r="M132" s="208">
        <f>BD132*$CI132</f>
        <v/>
      </c>
      <c r="N132" s="208">
        <f>BE132*$AS132</f>
        <v/>
      </c>
      <c r="O132" s="208">
        <f>BF132*$AS132</f>
        <v/>
      </c>
      <c r="P132" s="208">
        <f>BG132*$AS132</f>
        <v/>
      </c>
      <c r="Q132" s="208">
        <f>BH132*$AS132</f>
        <v/>
      </c>
      <c r="R132" s="208">
        <f>BI132*$AS132</f>
        <v/>
      </c>
      <c r="S132" s="208">
        <f>BJ132*$AS132</f>
        <v/>
      </c>
      <c r="T132" s="208">
        <f>BK132*$AS132</f>
        <v/>
      </c>
      <c r="U132" s="208">
        <f>BL132*$AS132</f>
        <v/>
      </c>
      <c r="V132" s="208">
        <f>BM132*$AS132</f>
        <v/>
      </c>
      <c r="W132" s="208">
        <f>BN132*$AS132</f>
        <v/>
      </c>
      <c r="X132" s="208">
        <f>BO132*$AS132</f>
        <v/>
      </c>
      <c r="Y132" s="208">
        <f>BP132*$AS132</f>
        <v/>
      </c>
      <c r="Z132" s="208">
        <f>BQ132*$AS132</f>
        <v/>
      </c>
      <c r="AA132" s="208">
        <f>BR132*$AS132</f>
        <v/>
      </c>
      <c r="AB132" s="208">
        <f>BS132*$AS132</f>
        <v/>
      </c>
      <c r="AC132" s="208">
        <f>BT132*$AS132</f>
        <v/>
      </c>
      <c r="AD132" s="208">
        <f>BU132*$AS132</f>
        <v/>
      </c>
      <c r="AE132" s="208">
        <f>BV132*$AS132</f>
        <v/>
      </c>
      <c r="AF132" s="208">
        <f>BW132*$AS132</f>
        <v/>
      </c>
      <c r="AG132" s="208">
        <f>BX132*$AS132</f>
        <v/>
      </c>
      <c r="AH132" s="208">
        <f>BY132*$AS132</f>
        <v/>
      </c>
      <c r="AI132" s="208">
        <f>BZ132*$AS132</f>
        <v/>
      </c>
      <c r="AJ132" s="208">
        <f>CA132*$AS132</f>
        <v/>
      </c>
      <c r="AK132" s="208">
        <f>CB132*$AS132</f>
        <v/>
      </c>
      <c r="AL132" s="208">
        <f>CC132*$AS132</f>
        <v/>
      </c>
      <c r="AM132" s="208">
        <f>CD132*$AS132</f>
        <v/>
      </c>
      <c r="AN132" s="208">
        <f>CE132*$AS132</f>
        <v/>
      </c>
      <c r="AQ132" s="6" t="n">
        <v>2015</v>
      </c>
      <c r="AR132" s="6" t="inlineStr">
        <is>
          <t>MINBatMaterials_MN</t>
        </is>
      </c>
      <c r="AS132" s="6" t="n">
        <v>0.095</v>
      </c>
      <c r="AT132" s="6" t="inlineStr">
        <is>
          <t>Mining_facility_representative</t>
        </is>
      </c>
      <c r="AU132" s="6" t="inlineStr">
        <is>
          <t>Representative mining-capacity vintage curve; COB_direct treated as aggregate cobalt-production route including by-product routes.</t>
        </is>
      </c>
      <c r="AV132">
        <f>AV111</f>
        <v/>
      </c>
      <c r="AW132">
        <f>AW111</f>
        <v/>
      </c>
      <c r="AX132">
        <f>AX111</f>
        <v/>
      </c>
      <c r="AY132">
        <f>AY111</f>
        <v/>
      </c>
      <c r="AZ132">
        <f>AZ111</f>
        <v/>
      </c>
      <c r="BA132">
        <f>BA111</f>
        <v/>
      </c>
      <c r="BB132">
        <f>BB111</f>
        <v/>
      </c>
      <c r="BC132">
        <f>BC111</f>
        <v/>
      </c>
      <c r="BD132">
        <f>BD111</f>
        <v/>
      </c>
      <c r="BE132">
        <f>BE111</f>
        <v/>
      </c>
      <c r="BF132">
        <f>BF111</f>
        <v/>
      </c>
      <c r="BG132">
        <f>BG111</f>
        <v/>
      </c>
      <c r="BH132">
        <f>BH111</f>
        <v/>
      </c>
      <c r="BI132">
        <f>BI111</f>
        <v/>
      </c>
      <c r="BJ132">
        <f>BJ111</f>
        <v/>
      </c>
      <c r="BK132">
        <f>BK111</f>
        <v/>
      </c>
      <c r="BL132">
        <f>BL111</f>
        <v/>
      </c>
      <c r="BM132">
        <f>BM111</f>
        <v/>
      </c>
      <c r="BN132">
        <f>BN111</f>
        <v/>
      </c>
      <c r="BO132">
        <f>BO111</f>
        <v/>
      </c>
      <c r="BP132">
        <f>BP111</f>
        <v/>
      </c>
      <c r="BQ132">
        <f>BQ111</f>
        <v/>
      </c>
      <c r="BR132">
        <f>BR111</f>
        <v/>
      </c>
      <c r="BS132">
        <f>BS111</f>
        <v/>
      </c>
      <c r="BT132">
        <f>BT111</f>
        <v/>
      </c>
      <c r="BU132">
        <f>BU111</f>
        <v/>
      </c>
      <c r="BV132">
        <f>BV111</f>
        <v/>
      </c>
      <c r="BW132">
        <f>BW111</f>
        <v/>
      </c>
      <c r="BX132">
        <f>BX111</f>
        <v/>
      </c>
      <c r="BY132">
        <f>BY111</f>
        <v/>
      </c>
      <c r="BZ132">
        <f>BZ111</f>
        <v/>
      </c>
      <c r="CA132">
        <f>CA111</f>
        <v/>
      </c>
      <c r="CB132">
        <f>CB111</f>
        <v/>
      </c>
      <c r="CC132">
        <f>CC111</f>
        <v/>
      </c>
      <c r="CD132">
        <f>CD111</f>
        <v/>
      </c>
      <c r="CE132">
        <f>CE111</f>
        <v/>
      </c>
      <c r="CG132" s="6" t="n">
        <v>2015</v>
      </c>
      <c r="CH132" s="6" t="inlineStr">
        <is>
          <t>MINBatMaterials_MN</t>
        </is>
      </c>
      <c r="CI132" s="6" t="n">
        <v>0.095</v>
      </c>
      <c r="CJ132" s="6" t="n">
        <v>0.095</v>
      </c>
      <c r="CK132" s="6" t="inlineStr">
        <is>
          <t>Mining_facility_representative</t>
        </is>
      </c>
      <c r="CL132" s="6" t="inlineStr">
        <is>
          <t>Mining_facility_representative</t>
        </is>
      </c>
      <c r="CM132" s="6" t="inlineStr">
        <is>
          <t>Mining curve kept the same for China; COB_direct treated as aggregate cobalt-production route including by-product routes.</t>
        </is>
      </c>
    </row>
    <row r="133" ht="14.5" customHeight="1" s="213">
      <c r="D133">
        <f>D132</f>
        <v/>
      </c>
      <c r="E133" t="inlineStr">
        <is>
          <t>MINBatMaterials_AL</t>
        </is>
      </c>
      <c r="F133" s="208">
        <f>AW133*$AS133</f>
        <v/>
      </c>
      <c r="G133" s="208">
        <f>AX133*$AS133</f>
        <v/>
      </c>
      <c r="H133" s="208">
        <f>AY133*$AS133</f>
        <v/>
      </c>
      <c r="I133" s="208">
        <f>AZ133*$AS133</f>
        <v/>
      </c>
      <c r="J133" s="208">
        <f>BA133*$AS133</f>
        <v/>
      </c>
      <c r="K133" s="208">
        <f>BB133*$AS133</f>
        <v/>
      </c>
      <c r="L133" s="208">
        <f>BC133*$AS133</f>
        <v/>
      </c>
      <c r="M133" s="208">
        <f>BD133*$CI133</f>
        <v/>
      </c>
      <c r="N133" s="208">
        <f>BE133*$AS133</f>
        <v/>
      </c>
      <c r="O133" s="208">
        <f>BF133*$AS133</f>
        <v/>
      </c>
      <c r="P133" s="208">
        <f>BG133*$AS133</f>
        <v/>
      </c>
      <c r="Q133" s="208">
        <f>BH133*$AS133</f>
        <v/>
      </c>
      <c r="R133" s="208">
        <f>BI133*$AS133</f>
        <v/>
      </c>
      <c r="S133" s="208">
        <f>BJ133*$AS133</f>
        <v/>
      </c>
      <c r="T133" s="208">
        <f>BK133*$AS133</f>
        <v/>
      </c>
      <c r="U133" s="208">
        <f>BL133*$AS133</f>
        <v/>
      </c>
      <c r="V133" s="208">
        <f>BM133*$AS133</f>
        <v/>
      </c>
      <c r="W133" s="208">
        <f>BN133*$AS133</f>
        <v/>
      </c>
      <c r="X133" s="208">
        <f>BO133*$AS133</f>
        <v/>
      </c>
      <c r="Y133" s="208">
        <f>BP133*$AS133</f>
        <v/>
      </c>
      <c r="Z133" s="208">
        <f>BQ133*$AS133</f>
        <v/>
      </c>
      <c r="AA133" s="208">
        <f>BR133*$AS133</f>
        <v/>
      </c>
      <c r="AB133" s="208">
        <f>BS133*$AS133</f>
        <v/>
      </c>
      <c r="AC133" s="208">
        <f>BT133*$AS133</f>
        <v/>
      </c>
      <c r="AD133" s="208">
        <f>BU133*$AS133</f>
        <v/>
      </c>
      <c r="AE133" s="208">
        <f>BV133*$AS133</f>
        <v/>
      </c>
      <c r="AF133" s="208">
        <f>BW133*$AS133</f>
        <v/>
      </c>
      <c r="AG133" s="208">
        <f>BX133*$AS133</f>
        <v/>
      </c>
      <c r="AH133" s="208">
        <f>BY133*$AS133</f>
        <v/>
      </c>
      <c r="AI133" s="208">
        <f>BZ133*$AS133</f>
        <v/>
      </c>
      <c r="AJ133" s="208">
        <f>CA133*$AS133</f>
        <v/>
      </c>
      <c r="AK133" s="208">
        <f>CB133*$AS133</f>
        <v/>
      </c>
      <c r="AL133" s="208">
        <f>CC133*$AS133</f>
        <v/>
      </c>
      <c r="AM133" s="208">
        <f>CD133*$AS133</f>
        <v/>
      </c>
      <c r="AN133" s="208">
        <f>CE133*$AS133</f>
        <v/>
      </c>
      <c r="AQ133" s="6" t="n">
        <v>2015</v>
      </c>
      <c r="AR133" s="6" t="inlineStr">
        <is>
          <t>MINBatMaterials_AL</t>
        </is>
      </c>
      <c r="AS133" s="6" t="n">
        <v>0.095</v>
      </c>
      <c r="AT133" s="6" t="inlineStr">
        <is>
          <t>Mining_facility_representative</t>
        </is>
      </c>
      <c r="AU133" s="6" t="inlineStr">
        <is>
          <t>Representative mining-capacity vintage curve; COB_direct treated as aggregate cobalt-production route including by-product routes.</t>
        </is>
      </c>
      <c r="AV133">
        <f>AV112</f>
        <v/>
      </c>
      <c r="AW133">
        <f>AW112</f>
        <v/>
      </c>
      <c r="AX133">
        <f>AX112</f>
        <v/>
      </c>
      <c r="AY133">
        <f>AY112</f>
        <v/>
      </c>
      <c r="AZ133">
        <f>AZ112</f>
        <v/>
      </c>
      <c r="BA133">
        <f>BA112</f>
        <v/>
      </c>
      <c r="BB133">
        <f>BB112</f>
        <v/>
      </c>
      <c r="BC133">
        <f>BC112</f>
        <v/>
      </c>
      <c r="BD133">
        <f>BD112</f>
        <v/>
      </c>
      <c r="BE133">
        <f>BE112</f>
        <v/>
      </c>
      <c r="BF133">
        <f>BF112</f>
        <v/>
      </c>
      <c r="BG133">
        <f>BG112</f>
        <v/>
      </c>
      <c r="BH133">
        <f>BH112</f>
        <v/>
      </c>
      <c r="BI133">
        <f>BI112</f>
        <v/>
      </c>
      <c r="BJ133">
        <f>BJ112</f>
        <v/>
      </c>
      <c r="BK133">
        <f>BK112</f>
        <v/>
      </c>
      <c r="BL133">
        <f>BL112</f>
        <v/>
      </c>
      <c r="BM133">
        <f>BM112</f>
        <v/>
      </c>
      <c r="BN133">
        <f>BN112</f>
        <v/>
      </c>
      <c r="BO133">
        <f>BO112</f>
        <v/>
      </c>
      <c r="BP133">
        <f>BP112</f>
        <v/>
      </c>
      <c r="BQ133">
        <f>BQ112</f>
        <v/>
      </c>
      <c r="BR133">
        <f>BR112</f>
        <v/>
      </c>
      <c r="BS133">
        <f>BS112</f>
        <v/>
      </c>
      <c r="BT133">
        <f>BT112</f>
        <v/>
      </c>
      <c r="BU133">
        <f>BU112</f>
        <v/>
      </c>
      <c r="BV133">
        <f>BV112</f>
        <v/>
      </c>
      <c r="BW133">
        <f>BW112</f>
        <v/>
      </c>
      <c r="BX133">
        <f>BX112</f>
        <v/>
      </c>
      <c r="BY133">
        <f>BY112</f>
        <v/>
      </c>
      <c r="BZ133">
        <f>BZ112</f>
        <v/>
      </c>
      <c r="CA133">
        <f>CA112</f>
        <v/>
      </c>
      <c r="CB133">
        <f>CB112</f>
        <v/>
      </c>
      <c r="CC133">
        <f>CC112</f>
        <v/>
      </c>
      <c r="CD133">
        <f>CD112</f>
        <v/>
      </c>
      <c r="CE133">
        <f>CE112</f>
        <v/>
      </c>
      <c r="CG133" s="6" t="n">
        <v>2015</v>
      </c>
      <c r="CH133" s="6" t="inlineStr">
        <is>
          <t>MINBatMaterials_AL</t>
        </is>
      </c>
      <c r="CI133" s="6" t="n">
        <v>0.095</v>
      </c>
      <c r="CJ133" s="6" t="n">
        <v>0.095</v>
      </c>
      <c r="CK133" s="6" t="inlineStr">
        <is>
          <t>Mining_facility_representative</t>
        </is>
      </c>
      <c r="CL133" s="6" t="inlineStr">
        <is>
          <t>Mining_facility_representative</t>
        </is>
      </c>
      <c r="CM133" s="6" t="inlineStr">
        <is>
          <t>Mining curve kept the same for China; COB_direct treated as aggregate cobalt-production route including by-product routes.</t>
        </is>
      </c>
    </row>
    <row r="134" ht="14.5" customHeight="1" s="213">
      <c r="D134">
        <f>D133</f>
        <v/>
      </c>
      <c r="E134" t="inlineStr">
        <is>
          <t>MINBatMaterials_COP</t>
        </is>
      </c>
      <c r="F134" s="208">
        <f>AW134*$AS134</f>
        <v/>
      </c>
      <c r="G134" s="208">
        <f>AX134*$AS134</f>
        <v/>
      </c>
      <c r="H134" s="208">
        <f>AY134*$AS134</f>
        <v/>
      </c>
      <c r="I134" s="208">
        <f>AZ134*$AS134</f>
        <v/>
      </c>
      <c r="J134" s="208">
        <f>BA134*$AS134</f>
        <v/>
      </c>
      <c r="K134" s="208">
        <f>BB134*$AS134</f>
        <v/>
      </c>
      <c r="L134" s="208">
        <f>BC134*$AS134</f>
        <v/>
      </c>
      <c r="M134" s="208">
        <f>BD134*$CI134</f>
        <v/>
      </c>
      <c r="N134" s="208">
        <f>BE134*$AS134</f>
        <v/>
      </c>
      <c r="O134" s="208">
        <f>BF134*$AS134</f>
        <v/>
      </c>
      <c r="P134" s="208">
        <f>BG134*$AS134</f>
        <v/>
      </c>
      <c r="Q134" s="208">
        <f>BH134*$AS134</f>
        <v/>
      </c>
      <c r="R134" s="208">
        <f>BI134*$AS134</f>
        <v/>
      </c>
      <c r="S134" s="208">
        <f>BJ134*$AS134</f>
        <v/>
      </c>
      <c r="T134" s="208">
        <f>BK134*$AS134</f>
        <v/>
      </c>
      <c r="U134" s="208">
        <f>BL134*$AS134</f>
        <v/>
      </c>
      <c r="V134" s="208">
        <f>BM134*$AS134</f>
        <v/>
      </c>
      <c r="W134" s="208">
        <f>BN134*$AS134</f>
        <v/>
      </c>
      <c r="X134" s="208">
        <f>BO134*$AS134</f>
        <v/>
      </c>
      <c r="Y134" s="208">
        <f>BP134*$AS134</f>
        <v/>
      </c>
      <c r="Z134" s="208">
        <f>BQ134*$AS134</f>
        <v/>
      </c>
      <c r="AA134" s="208">
        <f>BR134*$AS134</f>
        <v/>
      </c>
      <c r="AB134" s="208">
        <f>BS134*$AS134</f>
        <v/>
      </c>
      <c r="AC134" s="208">
        <f>BT134*$AS134</f>
        <v/>
      </c>
      <c r="AD134" s="208">
        <f>BU134*$AS134</f>
        <v/>
      </c>
      <c r="AE134" s="208">
        <f>BV134*$AS134</f>
        <v/>
      </c>
      <c r="AF134" s="208">
        <f>BW134*$AS134</f>
        <v/>
      </c>
      <c r="AG134" s="208">
        <f>BX134*$AS134</f>
        <v/>
      </c>
      <c r="AH134" s="208">
        <f>BY134*$AS134</f>
        <v/>
      </c>
      <c r="AI134" s="208">
        <f>BZ134*$AS134</f>
        <v/>
      </c>
      <c r="AJ134" s="208">
        <f>CA134*$AS134</f>
        <v/>
      </c>
      <c r="AK134" s="208">
        <f>CB134*$AS134</f>
        <v/>
      </c>
      <c r="AL134" s="208">
        <f>CC134*$AS134</f>
        <v/>
      </c>
      <c r="AM134" s="208">
        <f>CD134*$AS134</f>
        <v/>
      </c>
      <c r="AN134" s="208">
        <f>CE134*$AS134</f>
        <v/>
      </c>
      <c r="AQ134" s="6" t="n">
        <v>2015</v>
      </c>
      <c r="AR134" s="6" t="inlineStr">
        <is>
          <t>MINBatMaterials_COP</t>
        </is>
      </c>
      <c r="AS134" s="6" t="n">
        <v>0.095</v>
      </c>
      <c r="AT134" s="6" t="inlineStr">
        <is>
          <t>Mining_facility_representative</t>
        </is>
      </c>
      <c r="AU134" s="6" t="inlineStr">
        <is>
          <t>Representative mining-capacity vintage curve; COB_direct treated as aggregate cobalt-production route including by-product routes.</t>
        </is>
      </c>
      <c r="AV134">
        <f>AV113</f>
        <v/>
      </c>
      <c r="AW134">
        <f>AW113</f>
        <v/>
      </c>
      <c r="AX134">
        <f>AX113</f>
        <v/>
      </c>
      <c r="AY134">
        <f>AY113</f>
        <v/>
      </c>
      <c r="AZ134">
        <f>AZ113</f>
        <v/>
      </c>
      <c r="BA134">
        <f>BA113</f>
        <v/>
      </c>
      <c r="BB134">
        <f>BB113</f>
        <v/>
      </c>
      <c r="BC134">
        <f>BC113</f>
        <v/>
      </c>
      <c r="BD134">
        <f>BD113</f>
        <v/>
      </c>
      <c r="BE134">
        <f>BE113</f>
        <v/>
      </c>
      <c r="BF134">
        <f>BF113</f>
        <v/>
      </c>
      <c r="BG134">
        <f>BG113</f>
        <v/>
      </c>
      <c r="BH134">
        <f>BH113</f>
        <v/>
      </c>
      <c r="BI134">
        <f>BI113</f>
        <v/>
      </c>
      <c r="BJ134">
        <f>BJ113</f>
        <v/>
      </c>
      <c r="BK134">
        <f>BK113</f>
        <v/>
      </c>
      <c r="BL134">
        <f>BL113</f>
        <v/>
      </c>
      <c r="BM134">
        <f>BM113</f>
        <v/>
      </c>
      <c r="BN134">
        <f>BN113</f>
        <v/>
      </c>
      <c r="BO134">
        <f>BO113</f>
        <v/>
      </c>
      <c r="BP134">
        <f>BP113</f>
        <v/>
      </c>
      <c r="BQ134">
        <f>BQ113</f>
        <v/>
      </c>
      <c r="BR134">
        <f>BR113</f>
        <v/>
      </c>
      <c r="BS134">
        <f>BS113</f>
        <v/>
      </c>
      <c r="BT134">
        <f>BT113</f>
        <v/>
      </c>
      <c r="BU134">
        <f>BU113</f>
        <v/>
      </c>
      <c r="BV134">
        <f>BV113</f>
        <v/>
      </c>
      <c r="BW134">
        <f>BW113</f>
        <v/>
      </c>
      <c r="BX134">
        <f>BX113</f>
        <v/>
      </c>
      <c r="BY134">
        <f>BY113</f>
        <v/>
      </c>
      <c r="BZ134">
        <f>BZ113</f>
        <v/>
      </c>
      <c r="CA134">
        <f>CA113</f>
        <v/>
      </c>
      <c r="CB134">
        <f>CB113</f>
        <v/>
      </c>
      <c r="CC134">
        <f>CC113</f>
        <v/>
      </c>
      <c r="CD134">
        <f>CD113</f>
        <v/>
      </c>
      <c r="CE134">
        <f>CE113</f>
        <v/>
      </c>
      <c r="CG134" s="6" t="n">
        <v>2015</v>
      </c>
      <c r="CH134" s="6" t="inlineStr">
        <is>
          <t>MINBatMaterials_COP</t>
        </is>
      </c>
      <c r="CI134" s="6" t="n">
        <v>0.095</v>
      </c>
      <c r="CJ134" s="6" t="n">
        <v>0.095</v>
      </c>
      <c r="CK134" s="6" t="inlineStr">
        <is>
          <t>Mining_facility_representative</t>
        </is>
      </c>
      <c r="CL134" s="6" t="inlineStr">
        <is>
          <t>Mining_facility_representative</t>
        </is>
      </c>
      <c r="CM134" s="6" t="inlineStr">
        <is>
          <t>Mining curve kept the same for China; COB_direct treated as aggregate cobalt-production route including by-product routes.</t>
        </is>
      </c>
    </row>
    <row r="135" ht="14.5" customHeight="1" s="213">
      <c r="D135">
        <f>D134</f>
        <v/>
      </c>
      <c r="E135" t="inlineStr">
        <is>
          <t>MINBatMaterials_GR</t>
        </is>
      </c>
      <c r="F135" s="208">
        <f>AW135*$AS135</f>
        <v/>
      </c>
      <c r="G135" s="208">
        <f>AX135*$AS135</f>
        <v/>
      </c>
      <c r="H135" s="208">
        <f>AY135*$AS135</f>
        <v/>
      </c>
      <c r="I135" s="208">
        <f>AZ135*$AS135</f>
        <v/>
      </c>
      <c r="J135" s="208">
        <f>BA135*$AS135</f>
        <v/>
      </c>
      <c r="K135" s="208">
        <f>BB135*$AS135</f>
        <v/>
      </c>
      <c r="L135" s="208">
        <f>BC135*$AS135</f>
        <v/>
      </c>
      <c r="M135" s="208">
        <f>BD135*$CI135</f>
        <v/>
      </c>
      <c r="N135" s="208">
        <f>BE135*$AS135</f>
        <v/>
      </c>
      <c r="O135" s="208">
        <f>BF135*$AS135</f>
        <v/>
      </c>
      <c r="P135" s="208">
        <f>BG135*$AS135</f>
        <v/>
      </c>
      <c r="Q135" s="208">
        <f>BH135*$AS135</f>
        <v/>
      </c>
      <c r="R135" s="208">
        <f>BI135*$AS135</f>
        <v/>
      </c>
      <c r="S135" s="208">
        <f>BJ135*$AS135</f>
        <v/>
      </c>
      <c r="T135" s="208">
        <f>BK135*$AS135</f>
        <v/>
      </c>
      <c r="U135" s="208">
        <f>BL135*$AS135</f>
        <v/>
      </c>
      <c r="V135" s="208">
        <f>BM135*$AS135</f>
        <v/>
      </c>
      <c r="W135" s="208">
        <f>BN135*$AS135</f>
        <v/>
      </c>
      <c r="X135" s="208">
        <f>BO135*$AS135</f>
        <v/>
      </c>
      <c r="Y135" s="208">
        <f>BP135*$AS135</f>
        <v/>
      </c>
      <c r="Z135" s="208">
        <f>BQ135*$AS135</f>
        <v/>
      </c>
      <c r="AA135" s="208">
        <f>BR135*$AS135</f>
        <v/>
      </c>
      <c r="AB135" s="208">
        <f>BS135*$AS135</f>
        <v/>
      </c>
      <c r="AC135" s="208">
        <f>BT135*$AS135</f>
        <v/>
      </c>
      <c r="AD135" s="208">
        <f>BU135*$AS135</f>
        <v/>
      </c>
      <c r="AE135" s="208">
        <f>BV135*$AS135</f>
        <v/>
      </c>
      <c r="AF135" s="208">
        <f>BW135*$AS135</f>
        <v/>
      </c>
      <c r="AG135" s="208">
        <f>BX135*$AS135</f>
        <v/>
      </c>
      <c r="AH135" s="208">
        <f>BY135*$AS135</f>
        <v/>
      </c>
      <c r="AI135" s="208">
        <f>BZ135*$AS135</f>
        <v/>
      </c>
      <c r="AJ135" s="208">
        <f>CA135*$AS135</f>
        <v/>
      </c>
      <c r="AK135" s="208">
        <f>CB135*$AS135</f>
        <v/>
      </c>
      <c r="AL135" s="208">
        <f>CC135*$AS135</f>
        <v/>
      </c>
      <c r="AM135" s="208">
        <f>CD135*$AS135</f>
        <v/>
      </c>
      <c r="AN135" s="208">
        <f>CE135*$AS135</f>
        <v/>
      </c>
      <c r="AQ135" s="6" t="n">
        <v>2015</v>
      </c>
      <c r="AR135" s="6" t="inlineStr">
        <is>
          <t>MINBatMaterials_GR</t>
        </is>
      </c>
      <c r="AS135" s="6" t="n">
        <v>0.095</v>
      </c>
      <c r="AT135" s="6" t="inlineStr">
        <is>
          <t>Mining_facility_representative</t>
        </is>
      </c>
      <c r="AU135" s="6" t="inlineStr">
        <is>
          <t>Representative mining-capacity vintage curve; COB_direct treated as aggregate cobalt-production route including by-product routes.</t>
        </is>
      </c>
      <c r="AV135">
        <f>AV114</f>
        <v/>
      </c>
      <c r="AW135">
        <f>AW114</f>
        <v/>
      </c>
      <c r="AX135">
        <f>AX114</f>
        <v/>
      </c>
      <c r="AY135">
        <f>AY114</f>
        <v/>
      </c>
      <c r="AZ135">
        <f>AZ114</f>
        <v/>
      </c>
      <c r="BA135">
        <f>BA114</f>
        <v/>
      </c>
      <c r="BB135">
        <f>BB114</f>
        <v/>
      </c>
      <c r="BC135">
        <f>BC114</f>
        <v/>
      </c>
      <c r="BD135">
        <f>BD114</f>
        <v/>
      </c>
      <c r="BE135">
        <f>BE114</f>
        <v/>
      </c>
      <c r="BF135">
        <f>BF114</f>
        <v/>
      </c>
      <c r="BG135">
        <f>BG114</f>
        <v/>
      </c>
      <c r="BH135">
        <f>BH114</f>
        <v/>
      </c>
      <c r="BI135">
        <f>BI114</f>
        <v/>
      </c>
      <c r="BJ135">
        <f>BJ114</f>
        <v/>
      </c>
      <c r="BK135">
        <f>BK114</f>
        <v/>
      </c>
      <c r="BL135">
        <f>BL114</f>
        <v/>
      </c>
      <c r="BM135">
        <f>BM114</f>
        <v/>
      </c>
      <c r="BN135">
        <f>BN114</f>
        <v/>
      </c>
      <c r="BO135">
        <f>BO114</f>
        <v/>
      </c>
      <c r="BP135">
        <f>BP114</f>
        <v/>
      </c>
      <c r="BQ135">
        <f>BQ114</f>
        <v/>
      </c>
      <c r="BR135">
        <f>BR114</f>
        <v/>
      </c>
      <c r="BS135">
        <f>BS114</f>
        <v/>
      </c>
      <c r="BT135">
        <f>BT114</f>
        <v/>
      </c>
      <c r="BU135">
        <f>BU114</f>
        <v/>
      </c>
      <c r="BV135">
        <f>BV114</f>
        <v/>
      </c>
      <c r="BW135">
        <f>BW114</f>
        <v/>
      </c>
      <c r="BX135">
        <f>BX114</f>
        <v/>
      </c>
      <c r="BY135">
        <f>BY114</f>
        <v/>
      </c>
      <c r="BZ135">
        <f>BZ114</f>
        <v/>
      </c>
      <c r="CA135">
        <f>CA114</f>
        <v/>
      </c>
      <c r="CB135">
        <f>CB114</f>
        <v/>
      </c>
      <c r="CC135">
        <f>CC114</f>
        <v/>
      </c>
      <c r="CD135">
        <f>CD114</f>
        <v/>
      </c>
      <c r="CE135">
        <f>CE114</f>
        <v/>
      </c>
      <c r="CG135" s="6" t="n">
        <v>2015</v>
      </c>
      <c r="CH135" s="6" t="inlineStr">
        <is>
          <t>MINBatMaterials_GR</t>
        </is>
      </c>
      <c r="CI135" s="6" t="n">
        <v>0.095</v>
      </c>
      <c r="CJ135" s="6" t="n">
        <v>0.095</v>
      </c>
      <c r="CK135" s="6" t="inlineStr">
        <is>
          <t>Mining_facility_representative</t>
        </is>
      </c>
      <c r="CL135" s="6" t="inlineStr">
        <is>
          <t>Mining_facility_representative</t>
        </is>
      </c>
      <c r="CM135" s="6" t="inlineStr">
        <is>
          <t>Mining curve kept the same for China; COB_direct treated as aggregate cobalt-production route including by-product routes.</t>
        </is>
      </c>
    </row>
    <row r="136" ht="14.5" customHeight="1" s="213">
      <c r="D136" t="n">
        <v>2015</v>
      </c>
      <c r="E136" t="inlineStr">
        <is>
          <t>Tra_EV_Batt-LFP_virgin</t>
        </is>
      </c>
      <c r="F136" s="208">
        <f>AW136*$AS136</f>
        <v/>
      </c>
      <c r="G136" s="208">
        <f>AX136*$AS136</f>
        <v/>
      </c>
      <c r="H136" s="208">
        <f>AY136*$AS136</f>
        <v/>
      </c>
      <c r="I136" s="208">
        <f>AZ136*$AS136</f>
        <v/>
      </c>
      <c r="J136" s="208">
        <f>BA136*$AS136</f>
        <v/>
      </c>
      <c r="K136" s="208">
        <f>BB136*$AS136</f>
        <v/>
      </c>
      <c r="L136" s="208">
        <f>BC136*$AS136</f>
        <v/>
      </c>
      <c r="M136" s="208">
        <f>BD136*$CI136</f>
        <v/>
      </c>
      <c r="N136" s="208">
        <f>BE136*$AS136</f>
        <v/>
      </c>
      <c r="O136" s="208">
        <f>BF136*$AS136</f>
        <v/>
      </c>
      <c r="P136" s="208">
        <f>BG136*$AS136</f>
        <v/>
      </c>
      <c r="Q136" s="208">
        <f>BH136*$AS136</f>
        <v/>
      </c>
      <c r="R136" s="208">
        <f>BI136*$AS136</f>
        <v/>
      </c>
      <c r="S136" s="208">
        <f>BJ136*$AS136</f>
        <v/>
      </c>
      <c r="T136" s="208">
        <f>BK136*$AS136</f>
        <v/>
      </c>
      <c r="U136" s="208">
        <f>BL136*$AS136</f>
        <v/>
      </c>
      <c r="V136" s="208">
        <f>BM136*$AS136</f>
        <v/>
      </c>
      <c r="W136" s="208">
        <f>BN136*$AS136</f>
        <v/>
      </c>
      <c r="X136" s="208">
        <f>BO136*$AS136</f>
        <v/>
      </c>
      <c r="Y136" s="208">
        <f>BP136*$AS136</f>
        <v/>
      </c>
      <c r="Z136" s="208">
        <f>BQ136*$AS136</f>
        <v/>
      </c>
      <c r="AA136" s="208">
        <f>BR136*$AS136</f>
        <v/>
      </c>
      <c r="AB136" s="208">
        <f>BS136*$AS136</f>
        <v/>
      </c>
      <c r="AC136" s="208">
        <f>BT136*$AS136</f>
        <v/>
      </c>
      <c r="AD136" s="208">
        <f>BU136*$AS136</f>
        <v/>
      </c>
      <c r="AE136" s="208">
        <f>BV136*$AS136</f>
        <v/>
      </c>
      <c r="AF136" s="208">
        <f>BW136*$AS136</f>
        <v/>
      </c>
      <c r="AG136" s="208">
        <f>BX136*$AS136</f>
        <v/>
      </c>
      <c r="AH136" s="208">
        <f>BY136*$AS136</f>
        <v/>
      </c>
      <c r="AI136" s="208">
        <f>BZ136*$AS136</f>
        <v/>
      </c>
      <c r="AJ136" s="208">
        <f>CA136*$AS136</f>
        <v/>
      </c>
      <c r="AK136" s="208">
        <f>CB136*$AS136</f>
        <v/>
      </c>
      <c r="AL136" s="208">
        <f>CC136*$AS136</f>
        <v/>
      </c>
      <c r="AM136" s="208">
        <f>CD136*$AS136</f>
        <v/>
      </c>
      <c r="AN136" s="208">
        <f>CE136*$AS136</f>
        <v/>
      </c>
      <c r="AQ136" s="6" t="n">
        <v>2015</v>
      </c>
      <c r="AR136" s="6" t="inlineStr">
        <is>
          <t>Tra_EV_Batt-LFP_virgin</t>
        </is>
      </c>
      <c r="AS136" s="6" t="n">
        <v>0.058</v>
      </c>
      <c r="AT136" s="6" t="inlineStr">
        <is>
          <t>Transport_EV_general</t>
        </is>
      </c>
      <c r="AU136" s="6" t="inlineStr">
        <is>
          <t>Back-loaded transport EV battery vintage curve based on historical EV deployment shape.</t>
        </is>
      </c>
      <c r="AV136">
        <f>AV115</f>
        <v/>
      </c>
      <c r="AW136">
        <f>AW115</f>
        <v/>
      </c>
      <c r="AX136">
        <f>AX115</f>
        <v/>
      </c>
      <c r="AY136">
        <f>AY115</f>
        <v/>
      </c>
      <c r="AZ136">
        <f>AZ115</f>
        <v/>
      </c>
      <c r="BA136">
        <f>BA115</f>
        <v/>
      </c>
      <c r="BB136">
        <f>BB115</f>
        <v/>
      </c>
      <c r="BC136">
        <f>BC115</f>
        <v/>
      </c>
      <c r="BD136">
        <f>BD115</f>
        <v/>
      </c>
      <c r="BE136">
        <f>BE115</f>
        <v/>
      </c>
      <c r="BF136">
        <f>BF115</f>
        <v/>
      </c>
      <c r="BG136">
        <f>BG115</f>
        <v/>
      </c>
      <c r="BH136">
        <f>BH115</f>
        <v/>
      </c>
      <c r="BI136">
        <f>BI115</f>
        <v/>
      </c>
      <c r="BJ136">
        <f>BJ115</f>
        <v/>
      </c>
      <c r="BK136">
        <f>BK115</f>
        <v/>
      </c>
      <c r="BL136">
        <f>BL115</f>
        <v/>
      </c>
      <c r="BM136">
        <f>BM115</f>
        <v/>
      </c>
      <c r="BN136">
        <f>BN115</f>
        <v/>
      </c>
      <c r="BO136">
        <f>BO115</f>
        <v/>
      </c>
      <c r="BP136">
        <f>BP115</f>
        <v/>
      </c>
      <c r="BQ136">
        <f>BQ115</f>
        <v/>
      </c>
      <c r="BR136">
        <f>BR115</f>
        <v/>
      </c>
      <c r="BS136">
        <f>BS115</f>
        <v/>
      </c>
      <c r="BT136">
        <f>BT115</f>
        <v/>
      </c>
      <c r="BU136">
        <f>BU115</f>
        <v/>
      </c>
      <c r="BV136">
        <f>BV115</f>
        <v/>
      </c>
      <c r="BW136">
        <f>BW115</f>
        <v/>
      </c>
      <c r="BX136">
        <f>BX115</f>
        <v/>
      </c>
      <c r="BY136">
        <f>BY115</f>
        <v/>
      </c>
      <c r="BZ136">
        <f>BZ115</f>
        <v/>
      </c>
      <c r="CA136">
        <f>CA115</f>
        <v/>
      </c>
      <c r="CB136">
        <f>CB115</f>
        <v/>
      </c>
      <c r="CC136">
        <f>CC115</f>
        <v/>
      </c>
      <c r="CD136">
        <f>CD115</f>
        <v/>
      </c>
      <c r="CE136">
        <f>CE115</f>
        <v/>
      </c>
      <c r="CG136" s="6" t="n">
        <v>2015</v>
      </c>
      <c r="CH136" s="6" t="inlineStr">
        <is>
          <t>Tra_EV_Batt-LFP_virgin</t>
        </is>
      </c>
      <c r="CI136" s="6" t="n">
        <v>0.058</v>
      </c>
      <c r="CJ136" s="6" t="n">
        <v>0.09</v>
      </c>
      <c r="CK136" s="6" t="inlineStr">
        <is>
          <t>Transport_EV_global</t>
        </is>
      </c>
      <c r="CL136" s="6" t="inlineStr">
        <is>
          <t>Transport_EV_China</t>
        </is>
      </c>
      <c r="CM136" s="6" t="inlineStr">
        <is>
          <t>China transport EV curve is shifted earlier than the global curve to reflect earlier China EV/e-bus deployment in the 2010s.</t>
        </is>
      </c>
    </row>
    <row r="137" ht="14.5" customHeight="1" s="213">
      <c r="D137">
        <f>D136</f>
        <v/>
      </c>
      <c r="E137" t="inlineStr">
        <is>
          <t>Tra_EV_Batt-NMC622_virgin</t>
        </is>
      </c>
      <c r="F137" s="208">
        <f>AW137*$AS137</f>
        <v/>
      </c>
      <c r="G137" s="208">
        <f>AX137*$AS137</f>
        <v/>
      </c>
      <c r="H137" s="208">
        <f>AY137*$AS137</f>
        <v/>
      </c>
      <c r="I137" s="208">
        <f>AZ137*$AS137</f>
        <v/>
      </c>
      <c r="J137" s="208">
        <f>BA137*$AS137</f>
        <v/>
      </c>
      <c r="K137" s="208">
        <f>BB137*$AS137</f>
        <v/>
      </c>
      <c r="L137" s="208">
        <f>BC137*$AS137</f>
        <v/>
      </c>
      <c r="M137" s="208">
        <f>BD137*$CI137</f>
        <v/>
      </c>
      <c r="N137" s="208">
        <f>BE137*$AS137</f>
        <v/>
      </c>
      <c r="O137" s="208">
        <f>BF137*$AS137</f>
        <v/>
      </c>
      <c r="P137" s="208">
        <f>BG137*$AS137</f>
        <v/>
      </c>
      <c r="Q137" s="208">
        <f>BH137*$AS137</f>
        <v/>
      </c>
      <c r="R137" s="208">
        <f>BI137*$AS137</f>
        <v/>
      </c>
      <c r="S137" s="208">
        <f>BJ137*$AS137</f>
        <v/>
      </c>
      <c r="T137" s="208">
        <f>BK137*$AS137</f>
        <v/>
      </c>
      <c r="U137" s="208">
        <f>BL137*$AS137</f>
        <v/>
      </c>
      <c r="V137" s="208">
        <f>BM137*$AS137</f>
        <v/>
      </c>
      <c r="W137" s="208">
        <f>BN137*$AS137</f>
        <v/>
      </c>
      <c r="X137" s="208">
        <f>BO137*$AS137</f>
        <v/>
      </c>
      <c r="Y137" s="208">
        <f>BP137*$AS137</f>
        <v/>
      </c>
      <c r="Z137" s="208">
        <f>BQ137*$AS137</f>
        <v/>
      </c>
      <c r="AA137" s="208">
        <f>BR137*$AS137</f>
        <v/>
      </c>
      <c r="AB137" s="208">
        <f>BS137*$AS137</f>
        <v/>
      </c>
      <c r="AC137" s="208">
        <f>BT137*$AS137</f>
        <v/>
      </c>
      <c r="AD137" s="208">
        <f>BU137*$AS137</f>
        <v/>
      </c>
      <c r="AE137" s="208">
        <f>BV137*$AS137</f>
        <v/>
      </c>
      <c r="AF137" s="208">
        <f>BW137*$AS137</f>
        <v/>
      </c>
      <c r="AG137" s="208">
        <f>BX137*$AS137</f>
        <v/>
      </c>
      <c r="AH137" s="208">
        <f>BY137*$AS137</f>
        <v/>
      </c>
      <c r="AI137" s="208">
        <f>BZ137*$AS137</f>
        <v/>
      </c>
      <c r="AJ137" s="208">
        <f>CA137*$AS137</f>
        <v/>
      </c>
      <c r="AK137" s="208">
        <f>CB137*$AS137</f>
        <v/>
      </c>
      <c r="AL137" s="208">
        <f>CC137*$AS137</f>
        <v/>
      </c>
      <c r="AM137" s="208">
        <f>CD137*$AS137</f>
        <v/>
      </c>
      <c r="AN137" s="208">
        <f>CE137*$AS137</f>
        <v/>
      </c>
      <c r="AQ137" s="6" t="n">
        <v>2015</v>
      </c>
      <c r="AR137" s="6" t="inlineStr">
        <is>
          <t>Tra_EV_Batt-NMC622_virgin</t>
        </is>
      </c>
      <c r="AS137" s="6" t="n">
        <v>0.058</v>
      </c>
      <c r="AT137" s="6" t="inlineStr">
        <is>
          <t>Transport_EV_general</t>
        </is>
      </c>
      <c r="AU137" s="6" t="inlineStr">
        <is>
          <t>Back-loaded transport EV battery vintage curve based on historical EV deployment shape.</t>
        </is>
      </c>
      <c r="AV137">
        <f>AV116</f>
        <v/>
      </c>
      <c r="AW137">
        <f>AW116</f>
        <v/>
      </c>
      <c r="AX137">
        <f>AX116</f>
        <v/>
      </c>
      <c r="AY137">
        <f>AY116</f>
        <v/>
      </c>
      <c r="AZ137">
        <f>AZ116</f>
        <v/>
      </c>
      <c r="BA137">
        <f>BA116</f>
        <v/>
      </c>
      <c r="BB137">
        <f>BB116</f>
        <v/>
      </c>
      <c r="BC137">
        <f>BC116</f>
        <v/>
      </c>
      <c r="BD137">
        <f>BD116</f>
        <v/>
      </c>
      <c r="BE137">
        <f>BE116</f>
        <v/>
      </c>
      <c r="BF137">
        <f>BF116</f>
        <v/>
      </c>
      <c r="BG137">
        <f>BG116</f>
        <v/>
      </c>
      <c r="BH137">
        <f>BH116</f>
        <v/>
      </c>
      <c r="BI137">
        <f>BI116</f>
        <v/>
      </c>
      <c r="BJ137">
        <f>BJ116</f>
        <v/>
      </c>
      <c r="BK137">
        <f>BK116</f>
        <v/>
      </c>
      <c r="BL137">
        <f>BL116</f>
        <v/>
      </c>
      <c r="BM137">
        <f>BM116</f>
        <v/>
      </c>
      <c r="BN137">
        <f>BN116</f>
        <v/>
      </c>
      <c r="BO137">
        <f>BO116</f>
        <v/>
      </c>
      <c r="BP137">
        <f>BP116</f>
        <v/>
      </c>
      <c r="BQ137">
        <f>BQ116</f>
        <v/>
      </c>
      <c r="BR137">
        <f>BR116</f>
        <v/>
      </c>
      <c r="BS137">
        <f>BS116</f>
        <v/>
      </c>
      <c r="BT137">
        <f>BT116</f>
        <v/>
      </c>
      <c r="BU137">
        <f>BU116</f>
        <v/>
      </c>
      <c r="BV137">
        <f>BV116</f>
        <v/>
      </c>
      <c r="BW137">
        <f>BW116</f>
        <v/>
      </c>
      <c r="BX137">
        <f>BX116</f>
        <v/>
      </c>
      <c r="BY137">
        <f>BY116</f>
        <v/>
      </c>
      <c r="BZ137">
        <f>BZ116</f>
        <v/>
      </c>
      <c r="CA137">
        <f>CA116</f>
        <v/>
      </c>
      <c r="CB137">
        <f>CB116</f>
        <v/>
      </c>
      <c r="CC137">
        <f>CC116</f>
        <v/>
      </c>
      <c r="CD137">
        <f>CD116</f>
        <v/>
      </c>
      <c r="CE137">
        <f>CE116</f>
        <v/>
      </c>
      <c r="CG137" s="6" t="n">
        <v>2015</v>
      </c>
      <c r="CH137" s="6" t="inlineStr">
        <is>
          <t>Tra_EV_Batt-NMC622_virgin</t>
        </is>
      </c>
      <c r="CI137" s="6" t="n">
        <v>0.058</v>
      </c>
      <c r="CJ137" s="6" t="n">
        <v>0.09</v>
      </c>
      <c r="CK137" s="6" t="inlineStr">
        <is>
          <t>Transport_EV_global</t>
        </is>
      </c>
      <c r="CL137" s="6" t="inlineStr">
        <is>
          <t>Transport_EV_China</t>
        </is>
      </c>
      <c r="CM137" s="6" t="inlineStr">
        <is>
          <t>China transport EV curve is shifted earlier than the global curve to reflect earlier China EV/e-bus deployment in the 2010s.</t>
        </is>
      </c>
    </row>
    <row r="138" ht="14.5" customHeight="1" s="213">
      <c r="D138">
        <f>D137</f>
        <v/>
      </c>
      <c r="E138" t="inlineStr">
        <is>
          <t>Tra_EV_Batt-NMC811_virgin</t>
        </is>
      </c>
      <c r="F138" s="208">
        <f>AW138*$AS138</f>
        <v/>
      </c>
      <c r="G138" s="208">
        <f>AX138*$AS138</f>
        <v/>
      </c>
      <c r="H138" s="208">
        <f>AY138*$AS138</f>
        <v/>
      </c>
      <c r="I138" s="208">
        <f>AZ138*$AS138</f>
        <v/>
      </c>
      <c r="J138" s="208">
        <f>BA138*$AS138</f>
        <v/>
      </c>
      <c r="K138" s="208">
        <f>BB138*$AS138</f>
        <v/>
      </c>
      <c r="L138" s="208">
        <f>BC138*$AS138</f>
        <v/>
      </c>
      <c r="M138" s="208">
        <f>BD138*$CI138</f>
        <v/>
      </c>
      <c r="N138" s="208">
        <f>BE138*$AS138</f>
        <v/>
      </c>
      <c r="O138" s="208">
        <f>BF138*$AS138</f>
        <v/>
      </c>
      <c r="P138" s="208">
        <f>BG138*$AS138</f>
        <v/>
      </c>
      <c r="Q138" s="208">
        <f>BH138*$AS138</f>
        <v/>
      </c>
      <c r="R138" s="208">
        <f>BI138*$AS138</f>
        <v/>
      </c>
      <c r="S138" s="208">
        <f>BJ138*$AS138</f>
        <v/>
      </c>
      <c r="T138" s="208">
        <f>BK138*$AS138</f>
        <v/>
      </c>
      <c r="U138" s="208">
        <f>BL138*$AS138</f>
        <v/>
      </c>
      <c r="V138" s="208">
        <f>BM138*$AS138</f>
        <v/>
      </c>
      <c r="W138" s="208">
        <f>BN138*$AS138</f>
        <v/>
      </c>
      <c r="X138" s="208">
        <f>BO138*$AS138</f>
        <v/>
      </c>
      <c r="Y138" s="208">
        <f>BP138*$AS138</f>
        <v/>
      </c>
      <c r="Z138" s="208">
        <f>BQ138*$AS138</f>
        <v/>
      </c>
      <c r="AA138" s="208">
        <f>BR138*$AS138</f>
        <v/>
      </c>
      <c r="AB138" s="208">
        <f>BS138*$AS138</f>
        <v/>
      </c>
      <c r="AC138" s="208">
        <f>BT138*$AS138</f>
        <v/>
      </c>
      <c r="AD138" s="208">
        <f>BU138*$AS138</f>
        <v/>
      </c>
      <c r="AE138" s="208">
        <f>BV138*$AS138</f>
        <v/>
      </c>
      <c r="AF138" s="208">
        <f>BW138*$AS138</f>
        <v/>
      </c>
      <c r="AG138" s="208">
        <f>BX138*$AS138</f>
        <v/>
      </c>
      <c r="AH138" s="208">
        <f>BY138*$AS138</f>
        <v/>
      </c>
      <c r="AI138" s="208">
        <f>BZ138*$AS138</f>
        <v/>
      </c>
      <c r="AJ138" s="208">
        <f>CA138*$AS138</f>
        <v/>
      </c>
      <c r="AK138" s="208">
        <f>CB138*$AS138</f>
        <v/>
      </c>
      <c r="AL138" s="208">
        <f>CC138*$AS138</f>
        <v/>
      </c>
      <c r="AM138" s="208">
        <f>CD138*$AS138</f>
        <v/>
      </c>
      <c r="AN138" s="208">
        <f>CE138*$AS138</f>
        <v/>
      </c>
      <c r="AQ138" s="6" t="n">
        <v>2015</v>
      </c>
      <c r="AR138" s="6" t="inlineStr">
        <is>
          <t>Tra_EV_Batt-NMC811_virgin</t>
        </is>
      </c>
      <c r="AS138" s="6" t="n">
        <v>0.058</v>
      </c>
      <c r="AT138" s="6" t="inlineStr">
        <is>
          <t>Transport_EV_general</t>
        </is>
      </c>
      <c r="AU138" s="6" t="inlineStr">
        <is>
          <t>Back-loaded transport EV battery vintage curve based on historical EV deployment shape.</t>
        </is>
      </c>
      <c r="AV138">
        <f>AV117</f>
        <v/>
      </c>
      <c r="AW138">
        <f>AW117</f>
        <v/>
      </c>
      <c r="AX138">
        <f>AX117</f>
        <v/>
      </c>
      <c r="AY138">
        <f>AY117</f>
        <v/>
      </c>
      <c r="AZ138">
        <f>AZ117</f>
        <v/>
      </c>
      <c r="BA138">
        <f>BA117</f>
        <v/>
      </c>
      <c r="BB138">
        <f>BB117</f>
        <v/>
      </c>
      <c r="BC138">
        <f>BC117</f>
        <v/>
      </c>
      <c r="BD138">
        <f>BD117</f>
        <v/>
      </c>
      <c r="BE138">
        <f>BE117</f>
        <v/>
      </c>
      <c r="BF138">
        <f>BF117</f>
        <v/>
      </c>
      <c r="BG138">
        <f>BG117</f>
        <v/>
      </c>
      <c r="BH138">
        <f>BH117</f>
        <v/>
      </c>
      <c r="BI138">
        <f>BI117</f>
        <v/>
      </c>
      <c r="BJ138">
        <f>BJ117</f>
        <v/>
      </c>
      <c r="BK138">
        <f>BK117</f>
        <v/>
      </c>
      <c r="BL138">
        <f>BL117</f>
        <v/>
      </c>
      <c r="BM138">
        <f>BM117</f>
        <v/>
      </c>
      <c r="BN138">
        <f>BN117</f>
        <v/>
      </c>
      <c r="BO138">
        <f>BO117</f>
        <v/>
      </c>
      <c r="BP138">
        <f>BP117</f>
        <v/>
      </c>
      <c r="BQ138">
        <f>BQ117</f>
        <v/>
      </c>
      <c r="BR138">
        <f>BR117</f>
        <v/>
      </c>
      <c r="BS138">
        <f>BS117</f>
        <v/>
      </c>
      <c r="BT138">
        <f>BT117</f>
        <v/>
      </c>
      <c r="BU138">
        <f>BU117</f>
        <v/>
      </c>
      <c r="BV138">
        <f>BV117</f>
        <v/>
      </c>
      <c r="BW138">
        <f>BW117</f>
        <v/>
      </c>
      <c r="BX138">
        <f>BX117</f>
        <v/>
      </c>
      <c r="BY138">
        <f>BY117</f>
        <v/>
      </c>
      <c r="BZ138">
        <f>BZ117</f>
        <v/>
      </c>
      <c r="CA138">
        <f>CA117</f>
        <v/>
      </c>
      <c r="CB138">
        <f>CB117</f>
        <v/>
      </c>
      <c r="CC138">
        <f>CC117</f>
        <v/>
      </c>
      <c r="CD138">
        <f>CD117</f>
        <v/>
      </c>
      <c r="CE138">
        <f>CE117</f>
        <v/>
      </c>
      <c r="CG138" s="6" t="n">
        <v>2015</v>
      </c>
      <c r="CH138" s="6" t="inlineStr">
        <is>
          <t>Tra_EV_Batt-NMC811_virgin</t>
        </is>
      </c>
      <c r="CI138" s="6" t="n">
        <v>0.058</v>
      </c>
      <c r="CJ138" s="6" t="n">
        <v>0.09</v>
      </c>
      <c r="CK138" s="6" t="inlineStr">
        <is>
          <t>Transport_EV_global</t>
        </is>
      </c>
      <c r="CL138" s="6" t="inlineStr">
        <is>
          <t>Transport_EV_China</t>
        </is>
      </c>
      <c r="CM138" s="6" t="inlineStr">
        <is>
          <t>China transport EV curve is shifted earlier than the global curve to reflect earlier China EV/e-bus deployment in the 2010s.</t>
        </is>
      </c>
    </row>
    <row r="139" ht="14.5" customHeight="1" s="213">
      <c r="D139">
        <f>D138</f>
        <v/>
      </c>
      <c r="E139" t="inlineStr">
        <is>
          <t>Tra_EV_Batt-NMC532_virgin</t>
        </is>
      </c>
      <c r="F139" s="208">
        <f>AW139*$AS139</f>
        <v/>
      </c>
      <c r="G139" s="208">
        <f>AX139*$AS139</f>
        <v/>
      </c>
      <c r="H139" s="208">
        <f>AY139*$AS139</f>
        <v/>
      </c>
      <c r="I139" s="208">
        <f>AZ139*$AS139</f>
        <v/>
      </c>
      <c r="J139" s="208">
        <f>BA139*$AS139</f>
        <v/>
      </c>
      <c r="K139" s="208">
        <f>BB139*$AS139</f>
        <v/>
      </c>
      <c r="L139" s="208">
        <f>BC139*$AS139</f>
        <v/>
      </c>
      <c r="M139" s="208">
        <f>BD139*$CI139</f>
        <v/>
      </c>
      <c r="N139" s="208">
        <f>BE139*$AS139</f>
        <v/>
      </c>
      <c r="O139" s="208">
        <f>BF139*$AS139</f>
        <v/>
      </c>
      <c r="P139" s="208">
        <f>BG139*$AS139</f>
        <v/>
      </c>
      <c r="Q139" s="208">
        <f>BH139*$AS139</f>
        <v/>
      </c>
      <c r="R139" s="208">
        <f>BI139*$AS139</f>
        <v/>
      </c>
      <c r="S139" s="208">
        <f>BJ139*$AS139</f>
        <v/>
      </c>
      <c r="T139" s="208">
        <f>BK139*$AS139</f>
        <v/>
      </c>
      <c r="U139" s="208">
        <f>BL139*$AS139</f>
        <v/>
      </c>
      <c r="V139" s="208">
        <f>BM139*$AS139</f>
        <v/>
      </c>
      <c r="W139" s="208">
        <f>BN139*$AS139</f>
        <v/>
      </c>
      <c r="X139" s="208">
        <f>BO139*$AS139</f>
        <v/>
      </c>
      <c r="Y139" s="208">
        <f>BP139*$AS139</f>
        <v/>
      </c>
      <c r="Z139" s="208">
        <f>BQ139*$AS139</f>
        <v/>
      </c>
      <c r="AA139" s="208">
        <f>BR139*$AS139</f>
        <v/>
      </c>
      <c r="AB139" s="208">
        <f>BS139*$AS139</f>
        <v/>
      </c>
      <c r="AC139" s="208">
        <f>BT139*$AS139</f>
        <v/>
      </c>
      <c r="AD139" s="208">
        <f>BU139*$AS139</f>
        <v/>
      </c>
      <c r="AE139" s="208">
        <f>BV139*$AS139</f>
        <v/>
      </c>
      <c r="AF139" s="208">
        <f>BW139*$AS139</f>
        <v/>
      </c>
      <c r="AG139" s="208">
        <f>BX139*$AS139</f>
        <v/>
      </c>
      <c r="AH139" s="208">
        <f>BY139*$AS139</f>
        <v/>
      </c>
      <c r="AI139" s="208">
        <f>BZ139*$AS139</f>
        <v/>
      </c>
      <c r="AJ139" s="208">
        <f>CA139*$AS139</f>
        <v/>
      </c>
      <c r="AK139" s="208">
        <f>CB139*$AS139</f>
        <v/>
      </c>
      <c r="AL139" s="208">
        <f>CC139*$AS139</f>
        <v/>
      </c>
      <c r="AM139" s="208">
        <f>CD139*$AS139</f>
        <v/>
      </c>
      <c r="AN139" s="208">
        <f>CE139*$AS139</f>
        <v/>
      </c>
      <c r="AQ139" s="6" t="n">
        <v>2015</v>
      </c>
      <c r="AR139" s="6" t="inlineStr">
        <is>
          <t>Tra_EV_Batt-NMC532_virgin</t>
        </is>
      </c>
      <c r="AS139" s="6" t="n">
        <v>0.058</v>
      </c>
      <c r="AT139" s="6" t="inlineStr">
        <is>
          <t>Transport_EV_general</t>
        </is>
      </c>
      <c r="AU139" s="6" t="inlineStr">
        <is>
          <t>Back-loaded transport EV battery vintage curve based on historical EV deployment shape.</t>
        </is>
      </c>
      <c r="AV139">
        <f>AV118</f>
        <v/>
      </c>
      <c r="AW139">
        <f>AW118</f>
        <v/>
      </c>
      <c r="AX139">
        <f>AX118</f>
        <v/>
      </c>
      <c r="AY139">
        <f>AY118</f>
        <v/>
      </c>
      <c r="AZ139">
        <f>AZ118</f>
        <v/>
      </c>
      <c r="BA139">
        <f>BA118</f>
        <v/>
      </c>
      <c r="BB139">
        <f>BB118</f>
        <v/>
      </c>
      <c r="BC139">
        <f>BC118</f>
        <v/>
      </c>
      <c r="BD139">
        <f>BD118</f>
        <v/>
      </c>
      <c r="BE139">
        <f>BE118</f>
        <v/>
      </c>
      <c r="BF139">
        <f>BF118</f>
        <v/>
      </c>
      <c r="BG139">
        <f>BG118</f>
        <v/>
      </c>
      <c r="BH139">
        <f>BH118</f>
        <v/>
      </c>
      <c r="BI139">
        <f>BI118</f>
        <v/>
      </c>
      <c r="BJ139">
        <f>BJ118</f>
        <v/>
      </c>
      <c r="BK139">
        <f>BK118</f>
        <v/>
      </c>
      <c r="BL139">
        <f>BL118</f>
        <v/>
      </c>
      <c r="BM139">
        <f>BM118</f>
        <v/>
      </c>
      <c r="BN139">
        <f>BN118</f>
        <v/>
      </c>
      <c r="BO139">
        <f>BO118</f>
        <v/>
      </c>
      <c r="BP139">
        <f>BP118</f>
        <v/>
      </c>
      <c r="BQ139">
        <f>BQ118</f>
        <v/>
      </c>
      <c r="BR139">
        <f>BR118</f>
        <v/>
      </c>
      <c r="BS139">
        <f>BS118</f>
        <v/>
      </c>
      <c r="BT139">
        <f>BT118</f>
        <v/>
      </c>
      <c r="BU139">
        <f>BU118</f>
        <v/>
      </c>
      <c r="BV139">
        <f>BV118</f>
        <v/>
      </c>
      <c r="BW139">
        <f>BW118</f>
        <v/>
      </c>
      <c r="BX139">
        <f>BX118</f>
        <v/>
      </c>
      <c r="BY139">
        <f>BY118</f>
        <v/>
      </c>
      <c r="BZ139">
        <f>BZ118</f>
        <v/>
      </c>
      <c r="CA139">
        <f>CA118</f>
        <v/>
      </c>
      <c r="CB139">
        <f>CB118</f>
        <v/>
      </c>
      <c r="CC139">
        <f>CC118</f>
        <v/>
      </c>
      <c r="CD139">
        <f>CD118</f>
        <v/>
      </c>
      <c r="CE139">
        <f>CE118</f>
        <v/>
      </c>
      <c r="CG139" s="6" t="n">
        <v>2015</v>
      </c>
      <c r="CH139" s="6" t="inlineStr">
        <is>
          <t>Tra_EV_Batt-NMC532_virgin</t>
        </is>
      </c>
      <c r="CI139" s="6" t="n">
        <v>0.058</v>
      </c>
      <c r="CJ139" s="6" t="n">
        <v>0.09</v>
      </c>
      <c r="CK139" s="6" t="inlineStr">
        <is>
          <t>Transport_EV_global</t>
        </is>
      </c>
      <c r="CL139" s="6" t="inlineStr">
        <is>
          <t>Transport_EV_China</t>
        </is>
      </c>
      <c r="CM139" s="6" t="inlineStr">
        <is>
          <t>China transport EV curve is shifted earlier than the global curve to reflect earlier China EV/e-bus deployment in the 2010s.</t>
        </is>
      </c>
    </row>
    <row r="140" ht="14.5" customHeight="1" s="213">
      <c r="D140">
        <f>D139</f>
        <v/>
      </c>
      <c r="E140" t="inlineStr">
        <is>
          <t>Tra_EV_Batt-NCA_virgin</t>
        </is>
      </c>
      <c r="F140" s="208">
        <f>AW140*$AS140</f>
        <v/>
      </c>
      <c r="G140" s="208">
        <f>AX140*$AS140</f>
        <v/>
      </c>
      <c r="H140" s="208">
        <f>AY140*$AS140</f>
        <v/>
      </c>
      <c r="I140" s="208">
        <f>AZ140*$AS140</f>
        <v/>
      </c>
      <c r="J140" s="208">
        <f>BA140*$AS140</f>
        <v/>
      </c>
      <c r="K140" s="208">
        <f>BB140*$AS140</f>
        <v/>
      </c>
      <c r="L140" s="208">
        <f>BC140*$AS140</f>
        <v/>
      </c>
      <c r="M140" s="208">
        <f>BD140*$CI140</f>
        <v/>
      </c>
      <c r="N140" s="208">
        <f>BE140*$AS140</f>
        <v/>
      </c>
      <c r="O140" s="208">
        <f>BF140*$AS140</f>
        <v/>
      </c>
      <c r="P140" s="208">
        <f>BG140*$AS140</f>
        <v/>
      </c>
      <c r="Q140" s="208">
        <f>BH140*$AS140</f>
        <v/>
      </c>
      <c r="R140" s="208">
        <f>BI140*$AS140</f>
        <v/>
      </c>
      <c r="S140" s="208">
        <f>BJ140*$AS140</f>
        <v/>
      </c>
      <c r="T140" s="208">
        <f>BK140*$AS140</f>
        <v/>
      </c>
      <c r="U140" s="208">
        <f>BL140*$AS140</f>
        <v/>
      </c>
      <c r="V140" s="208">
        <f>BM140*$AS140</f>
        <v/>
      </c>
      <c r="W140" s="208">
        <f>BN140*$AS140</f>
        <v/>
      </c>
      <c r="X140" s="208">
        <f>BO140*$AS140</f>
        <v/>
      </c>
      <c r="Y140" s="208">
        <f>BP140*$AS140</f>
        <v/>
      </c>
      <c r="Z140" s="208">
        <f>BQ140*$AS140</f>
        <v/>
      </c>
      <c r="AA140" s="208">
        <f>BR140*$AS140</f>
        <v/>
      </c>
      <c r="AB140" s="208">
        <f>BS140*$AS140</f>
        <v/>
      </c>
      <c r="AC140" s="208">
        <f>BT140*$AS140</f>
        <v/>
      </c>
      <c r="AD140" s="208">
        <f>BU140*$AS140</f>
        <v/>
      </c>
      <c r="AE140" s="208">
        <f>BV140*$AS140</f>
        <v/>
      </c>
      <c r="AF140" s="208">
        <f>BW140*$AS140</f>
        <v/>
      </c>
      <c r="AG140" s="208">
        <f>BX140*$AS140</f>
        <v/>
      </c>
      <c r="AH140" s="208">
        <f>BY140*$AS140</f>
        <v/>
      </c>
      <c r="AI140" s="208">
        <f>BZ140*$AS140</f>
        <v/>
      </c>
      <c r="AJ140" s="208">
        <f>CA140*$AS140</f>
        <v/>
      </c>
      <c r="AK140" s="208">
        <f>CB140*$AS140</f>
        <v/>
      </c>
      <c r="AL140" s="208">
        <f>CC140*$AS140</f>
        <v/>
      </c>
      <c r="AM140" s="208">
        <f>CD140*$AS140</f>
        <v/>
      </c>
      <c r="AN140" s="208">
        <f>CE140*$AS140</f>
        <v/>
      </c>
      <c r="AQ140" s="6" t="n">
        <v>2015</v>
      </c>
      <c r="AR140" s="6" t="inlineStr">
        <is>
          <t>Tra_EV_Batt-NCA_virgin</t>
        </is>
      </c>
      <c r="AS140" s="6" t="n">
        <v>0.058</v>
      </c>
      <c r="AT140" s="6" t="inlineStr">
        <is>
          <t>Transport_EV_general</t>
        </is>
      </c>
      <c r="AU140" s="6" t="inlineStr">
        <is>
          <t>Back-loaded transport EV battery vintage curve based on historical EV deployment shape.</t>
        </is>
      </c>
      <c r="AV140">
        <f>AV119</f>
        <v/>
      </c>
      <c r="AW140">
        <f>AW119</f>
        <v/>
      </c>
      <c r="AX140">
        <f>AX119</f>
        <v/>
      </c>
      <c r="AY140">
        <f>AY119</f>
        <v/>
      </c>
      <c r="AZ140">
        <f>AZ119</f>
        <v/>
      </c>
      <c r="BA140">
        <f>BA119</f>
        <v/>
      </c>
      <c r="BB140">
        <f>BB119</f>
        <v/>
      </c>
      <c r="BC140">
        <f>BC119</f>
        <v/>
      </c>
      <c r="BD140">
        <f>BD119</f>
        <v/>
      </c>
      <c r="BE140">
        <f>BE119</f>
        <v/>
      </c>
      <c r="BF140">
        <f>BF119</f>
        <v/>
      </c>
      <c r="BG140">
        <f>BG119</f>
        <v/>
      </c>
      <c r="BH140">
        <f>BH119</f>
        <v/>
      </c>
      <c r="BI140">
        <f>BI119</f>
        <v/>
      </c>
      <c r="BJ140">
        <f>BJ119</f>
        <v/>
      </c>
      <c r="BK140">
        <f>BK119</f>
        <v/>
      </c>
      <c r="BL140">
        <f>BL119</f>
        <v/>
      </c>
      <c r="BM140">
        <f>BM119</f>
        <v/>
      </c>
      <c r="BN140">
        <f>BN119</f>
        <v/>
      </c>
      <c r="BO140">
        <f>BO119</f>
        <v/>
      </c>
      <c r="BP140">
        <f>BP119</f>
        <v/>
      </c>
      <c r="BQ140">
        <f>BQ119</f>
        <v/>
      </c>
      <c r="BR140">
        <f>BR119</f>
        <v/>
      </c>
      <c r="BS140">
        <f>BS119</f>
        <v/>
      </c>
      <c r="BT140">
        <f>BT119</f>
        <v/>
      </c>
      <c r="BU140">
        <f>BU119</f>
        <v/>
      </c>
      <c r="BV140">
        <f>BV119</f>
        <v/>
      </c>
      <c r="BW140">
        <f>BW119</f>
        <v/>
      </c>
      <c r="BX140">
        <f>BX119</f>
        <v/>
      </c>
      <c r="BY140">
        <f>BY119</f>
        <v/>
      </c>
      <c r="BZ140">
        <f>BZ119</f>
        <v/>
      </c>
      <c r="CA140">
        <f>CA119</f>
        <v/>
      </c>
      <c r="CB140">
        <f>CB119</f>
        <v/>
      </c>
      <c r="CC140">
        <f>CC119</f>
        <v/>
      </c>
      <c r="CD140">
        <f>CD119</f>
        <v/>
      </c>
      <c r="CE140">
        <f>CE119</f>
        <v/>
      </c>
      <c r="CG140" s="6" t="n">
        <v>2015</v>
      </c>
      <c r="CH140" s="6" t="inlineStr">
        <is>
          <t>Tra_EV_Batt-NCA_virgin</t>
        </is>
      </c>
      <c r="CI140" s="6" t="n">
        <v>0.058</v>
      </c>
      <c r="CJ140" s="6" t="n">
        <v>0.09</v>
      </c>
      <c r="CK140" s="6" t="inlineStr">
        <is>
          <t>Transport_EV_global</t>
        </is>
      </c>
      <c r="CL140" s="6" t="inlineStr">
        <is>
          <t>Transport_EV_China</t>
        </is>
      </c>
      <c r="CM140" s="6" t="inlineStr">
        <is>
          <t>China transport EV curve is shifted earlier than the global curve to reflect earlier China EV/e-bus deployment in the 2010s.</t>
        </is>
      </c>
    </row>
    <row r="141" ht="14.5" customHeight="1" s="213">
      <c r="D141">
        <f>D140</f>
        <v/>
      </c>
      <c r="E141" t="inlineStr">
        <is>
          <t>Tra_EV_Batt-LMO_virgin</t>
        </is>
      </c>
      <c r="F141" s="208">
        <f>AW141*$AS141</f>
        <v/>
      </c>
      <c r="G141" s="208">
        <f>AX141*$AS141</f>
        <v/>
      </c>
      <c r="H141" s="208">
        <f>AY141*$AS141</f>
        <v/>
      </c>
      <c r="I141" s="208">
        <f>AZ141*$AS141</f>
        <v/>
      </c>
      <c r="J141" s="208">
        <f>BA141*$AS141</f>
        <v/>
      </c>
      <c r="K141" s="208">
        <f>BB141*$AS141</f>
        <v/>
      </c>
      <c r="L141" s="208">
        <f>BC141*$AS141</f>
        <v/>
      </c>
      <c r="M141" s="208">
        <f>BD141*$CI141</f>
        <v/>
      </c>
      <c r="N141" s="208">
        <f>BE141*$AS141</f>
        <v/>
      </c>
      <c r="O141" s="208">
        <f>BF141*$AS141</f>
        <v/>
      </c>
      <c r="P141" s="208">
        <f>BG141*$AS141</f>
        <v/>
      </c>
      <c r="Q141" s="208">
        <f>BH141*$AS141</f>
        <v/>
      </c>
      <c r="R141" s="208">
        <f>BI141*$AS141</f>
        <v/>
      </c>
      <c r="S141" s="208">
        <f>BJ141*$AS141</f>
        <v/>
      </c>
      <c r="T141" s="208">
        <f>BK141*$AS141</f>
        <v/>
      </c>
      <c r="U141" s="208">
        <f>BL141*$AS141</f>
        <v/>
      </c>
      <c r="V141" s="208">
        <f>BM141*$AS141</f>
        <v/>
      </c>
      <c r="W141" s="208">
        <f>BN141*$AS141</f>
        <v/>
      </c>
      <c r="X141" s="208">
        <f>BO141*$AS141</f>
        <v/>
      </c>
      <c r="Y141" s="208">
        <f>BP141*$AS141</f>
        <v/>
      </c>
      <c r="Z141" s="208">
        <f>BQ141*$AS141</f>
        <v/>
      </c>
      <c r="AA141" s="208">
        <f>BR141*$AS141</f>
        <v/>
      </c>
      <c r="AB141" s="208">
        <f>BS141*$AS141</f>
        <v/>
      </c>
      <c r="AC141" s="208">
        <f>BT141*$AS141</f>
        <v/>
      </c>
      <c r="AD141" s="208">
        <f>BU141*$AS141</f>
        <v/>
      </c>
      <c r="AE141" s="208">
        <f>BV141*$AS141</f>
        <v/>
      </c>
      <c r="AF141" s="208">
        <f>BW141*$AS141</f>
        <v/>
      </c>
      <c r="AG141" s="208">
        <f>BX141*$AS141</f>
        <v/>
      </c>
      <c r="AH141" s="208">
        <f>BY141*$AS141</f>
        <v/>
      </c>
      <c r="AI141" s="208">
        <f>BZ141*$AS141</f>
        <v/>
      </c>
      <c r="AJ141" s="208">
        <f>CA141*$AS141</f>
        <v/>
      </c>
      <c r="AK141" s="208">
        <f>CB141*$AS141</f>
        <v/>
      </c>
      <c r="AL141" s="208">
        <f>CC141*$AS141</f>
        <v/>
      </c>
      <c r="AM141" s="208">
        <f>CD141*$AS141</f>
        <v/>
      </c>
      <c r="AN141" s="208">
        <f>CE141*$AS141</f>
        <v/>
      </c>
      <c r="AQ141" s="6" t="n">
        <v>2015</v>
      </c>
      <c r="AR141" s="6" t="inlineStr">
        <is>
          <t>Tra_EV_Batt-LMO_virgin</t>
        </is>
      </c>
      <c r="AS141" s="6" t="n">
        <v>0.058</v>
      </c>
      <c r="AT141" s="6" t="inlineStr">
        <is>
          <t>Transport_EV_general</t>
        </is>
      </c>
      <c r="AU141" s="6" t="inlineStr">
        <is>
          <t>Back-loaded transport EV battery vintage curve based on historical EV deployment shape.</t>
        </is>
      </c>
      <c r="AV141">
        <f>AV120</f>
        <v/>
      </c>
      <c r="AW141">
        <f>AW120</f>
        <v/>
      </c>
      <c r="AX141">
        <f>AX120</f>
        <v/>
      </c>
      <c r="AY141">
        <f>AY120</f>
        <v/>
      </c>
      <c r="AZ141">
        <f>AZ120</f>
        <v/>
      </c>
      <c r="BA141">
        <f>BA120</f>
        <v/>
      </c>
      <c r="BB141">
        <f>BB120</f>
        <v/>
      </c>
      <c r="BC141">
        <f>BC120</f>
        <v/>
      </c>
      <c r="BD141">
        <f>BD120</f>
        <v/>
      </c>
      <c r="BE141">
        <f>BE120</f>
        <v/>
      </c>
      <c r="BF141">
        <f>BF120</f>
        <v/>
      </c>
      <c r="BG141">
        <f>BG120</f>
        <v/>
      </c>
      <c r="BH141">
        <f>BH120</f>
        <v/>
      </c>
      <c r="BI141">
        <f>BI120</f>
        <v/>
      </c>
      <c r="BJ141">
        <f>BJ120</f>
        <v/>
      </c>
      <c r="BK141">
        <f>BK120</f>
        <v/>
      </c>
      <c r="BL141">
        <f>BL120</f>
        <v/>
      </c>
      <c r="BM141">
        <f>BM120</f>
        <v/>
      </c>
      <c r="BN141">
        <f>BN120</f>
        <v/>
      </c>
      <c r="BO141">
        <f>BO120</f>
        <v/>
      </c>
      <c r="BP141">
        <f>BP120</f>
        <v/>
      </c>
      <c r="BQ141">
        <f>BQ120</f>
        <v/>
      </c>
      <c r="BR141">
        <f>BR120</f>
        <v/>
      </c>
      <c r="BS141">
        <f>BS120</f>
        <v/>
      </c>
      <c r="BT141">
        <f>BT120</f>
        <v/>
      </c>
      <c r="BU141">
        <f>BU120</f>
        <v/>
      </c>
      <c r="BV141">
        <f>BV120</f>
        <v/>
      </c>
      <c r="BW141">
        <f>BW120</f>
        <v/>
      </c>
      <c r="BX141">
        <f>BX120</f>
        <v/>
      </c>
      <c r="BY141">
        <f>BY120</f>
        <v/>
      </c>
      <c r="BZ141">
        <f>BZ120</f>
        <v/>
      </c>
      <c r="CA141">
        <f>CA120</f>
        <v/>
      </c>
      <c r="CB141">
        <f>CB120</f>
        <v/>
      </c>
      <c r="CC141">
        <f>CC120</f>
        <v/>
      </c>
      <c r="CD141">
        <f>CD120</f>
        <v/>
      </c>
      <c r="CE141">
        <f>CE120</f>
        <v/>
      </c>
      <c r="CG141" s="6" t="n">
        <v>2015</v>
      </c>
      <c r="CH141" s="6" t="inlineStr">
        <is>
          <t>Tra_EV_Batt-LMO_virgin</t>
        </is>
      </c>
      <c r="CI141" s="6" t="n">
        <v>0.058</v>
      </c>
      <c r="CJ141" s="6" t="n">
        <v>0.09</v>
      </c>
      <c r="CK141" s="6" t="inlineStr">
        <is>
          <t>Transport_EV_global</t>
        </is>
      </c>
      <c r="CL141" s="6" t="inlineStr">
        <is>
          <t>Transport_EV_China</t>
        </is>
      </c>
      <c r="CM141" s="6" t="inlineStr">
        <is>
          <t>China transport EV curve is shifted earlier than the global curve to reflect earlier China EV/e-bus deployment in the 2010s.</t>
        </is>
      </c>
    </row>
    <row r="142" ht="14.5" customHeight="1" s="213">
      <c r="D142">
        <f>D141</f>
        <v/>
      </c>
      <c r="E142" t="inlineStr">
        <is>
          <t>Tra_EV_Batt-NMC111_virgin</t>
        </is>
      </c>
      <c r="F142" s="208">
        <f>AW142*$AS142</f>
        <v/>
      </c>
      <c r="G142" s="208">
        <f>AX142*$AS142</f>
        <v/>
      </c>
      <c r="H142" s="208">
        <f>AY142*$AS142</f>
        <v/>
      </c>
      <c r="I142" s="208">
        <f>AZ142*$AS142</f>
        <v/>
      </c>
      <c r="J142" s="208">
        <f>BA142*$AS142</f>
        <v/>
      </c>
      <c r="K142" s="208">
        <f>BB142*$AS142</f>
        <v/>
      </c>
      <c r="L142" s="208">
        <f>BC142*$AS142</f>
        <v/>
      </c>
      <c r="M142" s="208">
        <f>BD142*$CI142</f>
        <v/>
      </c>
      <c r="N142" s="208">
        <f>BE142*$AS142</f>
        <v/>
      </c>
      <c r="O142" s="208">
        <f>BF142*$AS142</f>
        <v/>
      </c>
      <c r="P142" s="208">
        <f>BG142*$AS142</f>
        <v/>
      </c>
      <c r="Q142" s="208">
        <f>BH142*$AS142</f>
        <v/>
      </c>
      <c r="R142" s="208">
        <f>BI142*$AS142</f>
        <v/>
      </c>
      <c r="S142" s="208">
        <f>BJ142*$AS142</f>
        <v/>
      </c>
      <c r="T142" s="208">
        <f>BK142*$AS142</f>
        <v/>
      </c>
      <c r="U142" s="208">
        <f>BL142*$AS142</f>
        <v/>
      </c>
      <c r="V142" s="208">
        <f>BM142*$AS142</f>
        <v/>
      </c>
      <c r="W142" s="208">
        <f>BN142*$AS142</f>
        <v/>
      </c>
      <c r="X142" s="208">
        <f>BO142*$AS142</f>
        <v/>
      </c>
      <c r="Y142" s="208">
        <f>BP142*$AS142</f>
        <v/>
      </c>
      <c r="Z142" s="208">
        <f>BQ142*$AS142</f>
        <v/>
      </c>
      <c r="AA142" s="208">
        <f>BR142*$AS142</f>
        <v/>
      </c>
      <c r="AB142" s="208">
        <f>BS142*$AS142</f>
        <v/>
      </c>
      <c r="AC142" s="208">
        <f>BT142*$AS142</f>
        <v/>
      </c>
      <c r="AD142" s="208">
        <f>BU142*$AS142</f>
        <v/>
      </c>
      <c r="AE142" s="208">
        <f>BV142*$AS142</f>
        <v/>
      </c>
      <c r="AF142" s="208">
        <f>BW142*$AS142</f>
        <v/>
      </c>
      <c r="AG142" s="208">
        <f>BX142*$AS142</f>
        <v/>
      </c>
      <c r="AH142" s="208">
        <f>BY142*$AS142</f>
        <v/>
      </c>
      <c r="AI142" s="208">
        <f>BZ142*$AS142</f>
        <v/>
      </c>
      <c r="AJ142" s="208">
        <f>CA142*$AS142</f>
        <v/>
      </c>
      <c r="AK142" s="208">
        <f>CB142*$AS142</f>
        <v/>
      </c>
      <c r="AL142" s="208">
        <f>CC142*$AS142</f>
        <v/>
      </c>
      <c r="AM142" s="208">
        <f>CD142*$AS142</f>
        <v/>
      </c>
      <c r="AN142" s="208">
        <f>CE142*$AS142</f>
        <v/>
      </c>
      <c r="AQ142" s="6" t="n">
        <v>2015</v>
      </c>
      <c r="AR142" s="6" t="inlineStr">
        <is>
          <t>Tra_EV_Batt-NMC111_virgin</t>
        </is>
      </c>
      <c r="AS142" s="6" t="n">
        <v>0.058</v>
      </c>
      <c r="AT142" s="6" t="inlineStr">
        <is>
          <t>Transport_EV_general</t>
        </is>
      </c>
      <c r="AU142" s="6" t="inlineStr">
        <is>
          <t>Back-loaded transport EV battery vintage curve based on historical EV deployment shape.</t>
        </is>
      </c>
      <c r="AV142">
        <f>AV121</f>
        <v/>
      </c>
      <c r="AW142">
        <f>AW121</f>
        <v/>
      </c>
      <c r="AX142">
        <f>AX121</f>
        <v/>
      </c>
      <c r="AY142">
        <f>AY121</f>
        <v/>
      </c>
      <c r="AZ142">
        <f>AZ121</f>
        <v/>
      </c>
      <c r="BA142">
        <f>BA121</f>
        <v/>
      </c>
      <c r="BB142">
        <f>BB121</f>
        <v/>
      </c>
      <c r="BC142">
        <f>BC121</f>
        <v/>
      </c>
      <c r="BD142">
        <f>BD121</f>
        <v/>
      </c>
      <c r="BE142">
        <f>BE121</f>
        <v/>
      </c>
      <c r="BF142">
        <f>BF121</f>
        <v/>
      </c>
      <c r="BG142">
        <f>BG121</f>
        <v/>
      </c>
      <c r="BH142">
        <f>BH121</f>
        <v/>
      </c>
      <c r="BI142">
        <f>BI121</f>
        <v/>
      </c>
      <c r="BJ142">
        <f>BJ121</f>
        <v/>
      </c>
      <c r="BK142">
        <f>BK121</f>
        <v/>
      </c>
      <c r="BL142">
        <f>BL121</f>
        <v/>
      </c>
      <c r="BM142">
        <f>BM121</f>
        <v/>
      </c>
      <c r="BN142">
        <f>BN121</f>
        <v/>
      </c>
      <c r="BO142">
        <f>BO121</f>
        <v/>
      </c>
      <c r="BP142">
        <f>BP121</f>
        <v/>
      </c>
      <c r="BQ142">
        <f>BQ121</f>
        <v/>
      </c>
      <c r="BR142">
        <f>BR121</f>
        <v/>
      </c>
      <c r="BS142">
        <f>BS121</f>
        <v/>
      </c>
      <c r="BT142">
        <f>BT121</f>
        <v/>
      </c>
      <c r="BU142">
        <f>BU121</f>
        <v/>
      </c>
      <c r="BV142">
        <f>BV121</f>
        <v/>
      </c>
      <c r="BW142">
        <f>BW121</f>
        <v/>
      </c>
      <c r="BX142">
        <f>BX121</f>
        <v/>
      </c>
      <c r="BY142">
        <f>BY121</f>
        <v/>
      </c>
      <c r="BZ142">
        <f>BZ121</f>
        <v/>
      </c>
      <c r="CA142">
        <f>CA121</f>
        <v/>
      </c>
      <c r="CB142">
        <f>CB121</f>
        <v/>
      </c>
      <c r="CC142">
        <f>CC121</f>
        <v/>
      </c>
      <c r="CD142">
        <f>CD121</f>
        <v/>
      </c>
      <c r="CE142">
        <f>CE121</f>
        <v/>
      </c>
      <c r="CG142" s="6" t="n">
        <v>2015</v>
      </c>
      <c r="CH142" s="6" t="inlineStr">
        <is>
          <t>Tra_EV_Batt-NMC111_virgin</t>
        </is>
      </c>
      <c r="CI142" s="6" t="n">
        <v>0.058</v>
      </c>
      <c r="CJ142" s="6" t="n">
        <v>0.09</v>
      </c>
      <c r="CK142" s="6" t="inlineStr">
        <is>
          <t>Transport_EV_global</t>
        </is>
      </c>
      <c r="CL142" s="6" t="inlineStr">
        <is>
          <t>Transport_EV_China</t>
        </is>
      </c>
      <c r="CM142" s="6" t="inlineStr">
        <is>
          <t>China transport EV curve is shifted earlier than the global curve to reflect earlier China EV/e-bus deployment in the 2010s.</t>
        </is>
      </c>
    </row>
    <row r="143" ht="14.5" customHeight="1" s="213">
      <c r="D143">
        <f>D142</f>
        <v/>
      </c>
      <c r="E143" t="inlineStr">
        <is>
          <t>Tra_EV_Batt-LFP_virgin_pack</t>
        </is>
      </c>
      <c r="F143" s="208">
        <f>AW143*$AS143</f>
        <v/>
      </c>
      <c r="G143" s="208">
        <f>AX143*$AS143</f>
        <v/>
      </c>
      <c r="H143" s="208">
        <f>AY143*$AS143</f>
        <v/>
      </c>
      <c r="I143" s="208">
        <f>AZ143*$AS143</f>
        <v/>
      </c>
      <c r="J143" s="208">
        <f>BA143*$AS143</f>
        <v/>
      </c>
      <c r="K143" s="208">
        <f>BB143*$AS143</f>
        <v/>
      </c>
      <c r="L143" s="208">
        <f>BC143*$AS143</f>
        <v/>
      </c>
      <c r="M143" s="208">
        <f>BD143*$CI143</f>
        <v/>
      </c>
      <c r="N143" s="208">
        <f>BE143*$AS143</f>
        <v/>
      </c>
      <c r="O143" s="208">
        <f>BF143*$AS143</f>
        <v/>
      </c>
      <c r="P143" s="208">
        <f>BG143*$AS143</f>
        <v/>
      </c>
      <c r="Q143" s="208">
        <f>BH143*$AS143</f>
        <v/>
      </c>
      <c r="R143" s="208">
        <f>BI143*$AS143</f>
        <v/>
      </c>
      <c r="S143" s="208">
        <f>BJ143*$AS143</f>
        <v/>
      </c>
      <c r="T143" s="208">
        <f>BK143*$AS143</f>
        <v/>
      </c>
      <c r="U143" s="208">
        <f>BL143*$AS143</f>
        <v/>
      </c>
      <c r="V143" s="208">
        <f>BM143*$AS143</f>
        <v/>
      </c>
      <c r="W143" s="208">
        <f>BN143*$AS143</f>
        <v/>
      </c>
      <c r="X143" s="208">
        <f>BO143*$AS143</f>
        <v/>
      </c>
      <c r="Y143" s="208">
        <f>BP143*$AS143</f>
        <v/>
      </c>
      <c r="Z143" s="208">
        <f>BQ143*$AS143</f>
        <v/>
      </c>
      <c r="AA143" s="208">
        <f>BR143*$AS143</f>
        <v/>
      </c>
      <c r="AB143" s="208">
        <f>BS143*$AS143</f>
        <v/>
      </c>
      <c r="AC143" s="208">
        <f>BT143*$AS143</f>
        <v/>
      </c>
      <c r="AD143" s="208">
        <f>BU143*$AS143</f>
        <v/>
      </c>
      <c r="AE143" s="208">
        <f>BV143*$AS143</f>
        <v/>
      </c>
      <c r="AF143" s="208">
        <f>BW143*$AS143</f>
        <v/>
      </c>
      <c r="AG143" s="208">
        <f>BX143*$AS143</f>
        <v/>
      </c>
      <c r="AH143" s="208">
        <f>BY143*$AS143</f>
        <v/>
      </c>
      <c r="AI143" s="208">
        <f>BZ143*$AS143</f>
        <v/>
      </c>
      <c r="AJ143" s="208">
        <f>CA143*$AS143</f>
        <v/>
      </c>
      <c r="AK143" s="208">
        <f>CB143*$AS143</f>
        <v/>
      </c>
      <c r="AL143" s="208">
        <f>CC143*$AS143</f>
        <v/>
      </c>
      <c r="AM143" s="208">
        <f>CD143*$AS143</f>
        <v/>
      </c>
      <c r="AN143" s="208">
        <f>CE143*$AS143</f>
        <v/>
      </c>
      <c r="AQ143" s="6" t="n">
        <v>2015</v>
      </c>
      <c r="AR143" s="6" t="inlineStr">
        <is>
          <t>Tra_EV_Batt-LFP_virgin_pack</t>
        </is>
      </c>
      <c r="AS143" s="6" t="n">
        <v>0.058</v>
      </c>
      <c r="AT143" s="6" t="inlineStr">
        <is>
          <t>Transport_EV_general</t>
        </is>
      </c>
      <c r="AU143" s="6" t="inlineStr">
        <is>
          <t>Back-loaded transport EV battery vintage curve based on historical EV deployment shape.</t>
        </is>
      </c>
      <c r="AV143">
        <f>AV122</f>
        <v/>
      </c>
      <c r="AW143">
        <f>AW122</f>
        <v/>
      </c>
      <c r="AX143">
        <f>AX122</f>
        <v/>
      </c>
      <c r="AY143">
        <f>AY122</f>
        <v/>
      </c>
      <c r="AZ143">
        <f>AZ122</f>
        <v/>
      </c>
      <c r="BA143">
        <f>BA122</f>
        <v/>
      </c>
      <c r="BB143">
        <f>BB122</f>
        <v/>
      </c>
      <c r="BC143">
        <f>BC122</f>
        <v/>
      </c>
      <c r="BD143">
        <f>BD122</f>
        <v/>
      </c>
      <c r="BE143">
        <f>BE122</f>
        <v/>
      </c>
      <c r="BF143">
        <f>BF122</f>
        <v/>
      </c>
      <c r="BG143">
        <f>BG122</f>
        <v/>
      </c>
      <c r="BH143">
        <f>BH122</f>
        <v/>
      </c>
      <c r="BI143">
        <f>BI122</f>
        <v/>
      </c>
      <c r="BJ143">
        <f>BJ122</f>
        <v/>
      </c>
      <c r="BK143">
        <f>BK122</f>
        <v/>
      </c>
      <c r="BL143">
        <f>BL122</f>
        <v/>
      </c>
      <c r="BM143">
        <f>BM122</f>
        <v/>
      </c>
      <c r="BN143">
        <f>BN122</f>
        <v/>
      </c>
      <c r="BO143">
        <f>BO122</f>
        <v/>
      </c>
      <c r="BP143">
        <f>BP122</f>
        <v/>
      </c>
      <c r="BQ143">
        <f>BQ122</f>
        <v/>
      </c>
      <c r="BR143">
        <f>BR122</f>
        <v/>
      </c>
      <c r="BS143">
        <f>BS122</f>
        <v/>
      </c>
      <c r="BT143">
        <f>BT122</f>
        <v/>
      </c>
      <c r="BU143">
        <f>BU122</f>
        <v/>
      </c>
      <c r="BV143">
        <f>BV122</f>
        <v/>
      </c>
      <c r="BW143">
        <f>BW122</f>
        <v/>
      </c>
      <c r="BX143">
        <f>BX122</f>
        <v/>
      </c>
      <c r="BY143">
        <f>BY122</f>
        <v/>
      </c>
      <c r="BZ143">
        <f>BZ122</f>
        <v/>
      </c>
      <c r="CA143">
        <f>CA122</f>
        <v/>
      </c>
      <c r="CB143">
        <f>CB122</f>
        <v/>
      </c>
      <c r="CC143">
        <f>CC122</f>
        <v/>
      </c>
      <c r="CD143">
        <f>CD122</f>
        <v/>
      </c>
      <c r="CE143">
        <f>CE122</f>
        <v/>
      </c>
      <c r="CG143" s="6" t="n">
        <v>2015</v>
      </c>
      <c r="CH143" s="6" t="inlineStr">
        <is>
          <t>Tra_EV_Batt-LFP_virgin_pack</t>
        </is>
      </c>
      <c r="CI143" s="6" t="n">
        <v>0.058</v>
      </c>
      <c r="CJ143" s="6" t="n">
        <v>0.09</v>
      </c>
      <c r="CK143" s="6" t="inlineStr">
        <is>
          <t>Transport_EV_global</t>
        </is>
      </c>
      <c r="CL143" s="6" t="inlineStr">
        <is>
          <t>Transport_EV_China</t>
        </is>
      </c>
      <c r="CM143" s="6" t="inlineStr">
        <is>
          <t>China transport EV curve is shifted earlier than the global curve to reflect earlier China EV/e-bus deployment in the 2010s.</t>
        </is>
      </c>
    </row>
    <row r="144" ht="14.5" customHeight="1" s="213">
      <c r="D144">
        <f>D143</f>
        <v/>
      </c>
      <c r="E144" t="inlineStr">
        <is>
          <t>Tra_EV_Batt-NMC622_virgin_pack</t>
        </is>
      </c>
      <c r="F144" s="208">
        <f>AW144*$AS144</f>
        <v/>
      </c>
      <c r="G144" s="208">
        <f>AX144*$AS144</f>
        <v/>
      </c>
      <c r="H144" s="208">
        <f>AY144*$AS144</f>
        <v/>
      </c>
      <c r="I144" s="208">
        <f>AZ144*$AS144</f>
        <v/>
      </c>
      <c r="J144" s="208">
        <f>BA144*$AS144</f>
        <v/>
      </c>
      <c r="K144" s="208">
        <f>BB144*$AS144</f>
        <v/>
      </c>
      <c r="L144" s="208">
        <f>BC144*$AS144</f>
        <v/>
      </c>
      <c r="M144" s="208">
        <f>BD144*$CI144</f>
        <v/>
      </c>
      <c r="N144" s="208">
        <f>BE144*$AS144</f>
        <v/>
      </c>
      <c r="O144" s="208">
        <f>BF144*$AS144</f>
        <v/>
      </c>
      <c r="P144" s="208">
        <f>BG144*$AS144</f>
        <v/>
      </c>
      <c r="Q144" s="208">
        <f>BH144*$AS144</f>
        <v/>
      </c>
      <c r="R144" s="208">
        <f>BI144*$AS144</f>
        <v/>
      </c>
      <c r="S144" s="208">
        <f>BJ144*$AS144</f>
        <v/>
      </c>
      <c r="T144" s="208">
        <f>BK144*$AS144</f>
        <v/>
      </c>
      <c r="U144" s="208">
        <f>BL144*$AS144</f>
        <v/>
      </c>
      <c r="V144" s="208">
        <f>BM144*$AS144</f>
        <v/>
      </c>
      <c r="W144" s="208">
        <f>BN144*$AS144</f>
        <v/>
      </c>
      <c r="X144" s="208">
        <f>BO144*$AS144</f>
        <v/>
      </c>
      <c r="Y144" s="208">
        <f>BP144*$AS144</f>
        <v/>
      </c>
      <c r="Z144" s="208">
        <f>BQ144*$AS144</f>
        <v/>
      </c>
      <c r="AA144" s="208">
        <f>BR144*$AS144</f>
        <v/>
      </c>
      <c r="AB144" s="208">
        <f>BS144*$AS144</f>
        <v/>
      </c>
      <c r="AC144" s="208">
        <f>BT144*$AS144</f>
        <v/>
      </c>
      <c r="AD144" s="208">
        <f>BU144*$AS144</f>
        <v/>
      </c>
      <c r="AE144" s="208">
        <f>BV144*$AS144</f>
        <v/>
      </c>
      <c r="AF144" s="208">
        <f>BW144*$AS144</f>
        <v/>
      </c>
      <c r="AG144" s="208">
        <f>BX144*$AS144</f>
        <v/>
      </c>
      <c r="AH144" s="208">
        <f>BY144*$AS144</f>
        <v/>
      </c>
      <c r="AI144" s="208">
        <f>BZ144*$AS144</f>
        <v/>
      </c>
      <c r="AJ144" s="208">
        <f>CA144*$AS144</f>
        <v/>
      </c>
      <c r="AK144" s="208">
        <f>CB144*$AS144</f>
        <v/>
      </c>
      <c r="AL144" s="208">
        <f>CC144*$AS144</f>
        <v/>
      </c>
      <c r="AM144" s="208">
        <f>CD144*$AS144</f>
        <v/>
      </c>
      <c r="AN144" s="208">
        <f>CE144*$AS144</f>
        <v/>
      </c>
      <c r="AQ144" s="6" t="n">
        <v>2015</v>
      </c>
      <c r="AR144" s="6" t="inlineStr">
        <is>
          <t>Tra_EV_Batt-NMC622_virgin_pack</t>
        </is>
      </c>
      <c r="AS144" s="6" t="n">
        <v>0.058</v>
      </c>
      <c r="AT144" s="6" t="inlineStr">
        <is>
          <t>Transport_EV_general</t>
        </is>
      </c>
      <c r="AU144" s="6" t="inlineStr">
        <is>
          <t>Back-loaded transport EV battery vintage curve based on historical EV deployment shape.</t>
        </is>
      </c>
      <c r="AV144">
        <f>AV123</f>
        <v/>
      </c>
      <c r="AW144">
        <f>AW123</f>
        <v/>
      </c>
      <c r="AX144">
        <f>AX123</f>
        <v/>
      </c>
      <c r="AY144">
        <f>AY123</f>
        <v/>
      </c>
      <c r="AZ144">
        <f>AZ123</f>
        <v/>
      </c>
      <c r="BA144">
        <f>BA123</f>
        <v/>
      </c>
      <c r="BB144">
        <f>BB123</f>
        <v/>
      </c>
      <c r="BC144">
        <f>BC123</f>
        <v/>
      </c>
      <c r="BD144">
        <f>BD123</f>
        <v/>
      </c>
      <c r="BE144">
        <f>BE123</f>
        <v/>
      </c>
      <c r="BF144">
        <f>BF123</f>
        <v/>
      </c>
      <c r="BG144">
        <f>BG123</f>
        <v/>
      </c>
      <c r="BH144">
        <f>BH123</f>
        <v/>
      </c>
      <c r="BI144">
        <f>BI123</f>
        <v/>
      </c>
      <c r="BJ144">
        <f>BJ123</f>
        <v/>
      </c>
      <c r="BK144">
        <f>BK123</f>
        <v/>
      </c>
      <c r="BL144">
        <f>BL123</f>
        <v/>
      </c>
      <c r="BM144">
        <f>BM123</f>
        <v/>
      </c>
      <c r="BN144">
        <f>BN123</f>
        <v/>
      </c>
      <c r="BO144">
        <f>BO123</f>
        <v/>
      </c>
      <c r="BP144">
        <f>BP123</f>
        <v/>
      </c>
      <c r="BQ144">
        <f>BQ123</f>
        <v/>
      </c>
      <c r="BR144">
        <f>BR123</f>
        <v/>
      </c>
      <c r="BS144">
        <f>BS123</f>
        <v/>
      </c>
      <c r="BT144">
        <f>BT123</f>
        <v/>
      </c>
      <c r="BU144">
        <f>BU123</f>
        <v/>
      </c>
      <c r="BV144">
        <f>BV123</f>
        <v/>
      </c>
      <c r="BW144">
        <f>BW123</f>
        <v/>
      </c>
      <c r="BX144">
        <f>BX123</f>
        <v/>
      </c>
      <c r="BY144">
        <f>BY123</f>
        <v/>
      </c>
      <c r="BZ144">
        <f>BZ123</f>
        <v/>
      </c>
      <c r="CA144">
        <f>CA123</f>
        <v/>
      </c>
      <c r="CB144">
        <f>CB123</f>
        <v/>
      </c>
      <c r="CC144">
        <f>CC123</f>
        <v/>
      </c>
      <c r="CD144">
        <f>CD123</f>
        <v/>
      </c>
      <c r="CE144">
        <f>CE123</f>
        <v/>
      </c>
      <c r="CG144" s="6" t="n">
        <v>2015</v>
      </c>
      <c r="CH144" s="6" t="inlineStr">
        <is>
          <t>Tra_EV_Batt-NMC622_virgin_pack</t>
        </is>
      </c>
      <c r="CI144" s="6" t="n">
        <v>0.058</v>
      </c>
      <c r="CJ144" s="6" t="n">
        <v>0.09</v>
      </c>
      <c r="CK144" s="6" t="inlineStr">
        <is>
          <t>Transport_EV_global</t>
        </is>
      </c>
      <c r="CL144" s="6" t="inlineStr">
        <is>
          <t>Transport_EV_China</t>
        </is>
      </c>
      <c r="CM144" s="6" t="inlineStr">
        <is>
          <t>China transport EV curve is shifted earlier than the global curve to reflect earlier China EV/e-bus deployment in the 2010s.</t>
        </is>
      </c>
    </row>
    <row r="145" ht="14.5" customHeight="1" s="213">
      <c r="D145">
        <f>D144</f>
        <v/>
      </c>
      <c r="E145" t="inlineStr">
        <is>
          <t>Tra_EV_Batt-NMC811_virgin_pack</t>
        </is>
      </c>
      <c r="F145" s="208">
        <f>AW145*$AS145</f>
        <v/>
      </c>
      <c r="G145" s="208">
        <f>AX145*$AS145</f>
        <v/>
      </c>
      <c r="H145" s="208">
        <f>AY145*$AS145</f>
        <v/>
      </c>
      <c r="I145" s="208">
        <f>AZ145*$AS145</f>
        <v/>
      </c>
      <c r="J145" s="208">
        <f>BA145*$AS145</f>
        <v/>
      </c>
      <c r="K145" s="208">
        <f>BB145*$AS145</f>
        <v/>
      </c>
      <c r="L145" s="208">
        <f>BC145*$AS145</f>
        <v/>
      </c>
      <c r="M145" s="208">
        <f>BD145*$CI145</f>
        <v/>
      </c>
      <c r="N145" s="208">
        <f>BE145*$AS145</f>
        <v/>
      </c>
      <c r="O145" s="208">
        <f>BF145*$AS145</f>
        <v/>
      </c>
      <c r="P145" s="208">
        <f>BG145*$AS145</f>
        <v/>
      </c>
      <c r="Q145" s="208">
        <f>BH145*$AS145</f>
        <v/>
      </c>
      <c r="R145" s="208">
        <f>BI145*$AS145</f>
        <v/>
      </c>
      <c r="S145" s="208">
        <f>BJ145*$AS145</f>
        <v/>
      </c>
      <c r="T145" s="208">
        <f>BK145*$AS145</f>
        <v/>
      </c>
      <c r="U145" s="208">
        <f>BL145*$AS145</f>
        <v/>
      </c>
      <c r="V145" s="208">
        <f>BM145*$AS145</f>
        <v/>
      </c>
      <c r="W145" s="208">
        <f>BN145*$AS145</f>
        <v/>
      </c>
      <c r="X145" s="208">
        <f>BO145*$AS145</f>
        <v/>
      </c>
      <c r="Y145" s="208">
        <f>BP145*$AS145</f>
        <v/>
      </c>
      <c r="Z145" s="208">
        <f>BQ145*$AS145</f>
        <v/>
      </c>
      <c r="AA145" s="208">
        <f>BR145*$AS145</f>
        <v/>
      </c>
      <c r="AB145" s="208">
        <f>BS145*$AS145</f>
        <v/>
      </c>
      <c r="AC145" s="208">
        <f>BT145*$AS145</f>
        <v/>
      </c>
      <c r="AD145" s="208">
        <f>BU145*$AS145</f>
        <v/>
      </c>
      <c r="AE145" s="208">
        <f>BV145*$AS145</f>
        <v/>
      </c>
      <c r="AF145" s="208">
        <f>BW145*$AS145</f>
        <v/>
      </c>
      <c r="AG145" s="208">
        <f>BX145*$AS145</f>
        <v/>
      </c>
      <c r="AH145" s="208">
        <f>BY145*$AS145</f>
        <v/>
      </c>
      <c r="AI145" s="208">
        <f>BZ145*$AS145</f>
        <v/>
      </c>
      <c r="AJ145" s="208">
        <f>CA145*$AS145</f>
        <v/>
      </c>
      <c r="AK145" s="208">
        <f>CB145*$AS145</f>
        <v/>
      </c>
      <c r="AL145" s="208">
        <f>CC145*$AS145</f>
        <v/>
      </c>
      <c r="AM145" s="208">
        <f>CD145*$AS145</f>
        <v/>
      </c>
      <c r="AN145" s="208">
        <f>CE145*$AS145</f>
        <v/>
      </c>
      <c r="AQ145" s="6" t="n">
        <v>2015</v>
      </c>
      <c r="AR145" s="6" t="inlineStr">
        <is>
          <t>Tra_EV_Batt-NMC811_virgin_pack</t>
        </is>
      </c>
      <c r="AS145" s="6" t="n">
        <v>0.058</v>
      </c>
      <c r="AT145" s="6" t="inlineStr">
        <is>
          <t>Transport_EV_general</t>
        </is>
      </c>
      <c r="AU145" s="6" t="inlineStr">
        <is>
          <t>Back-loaded transport EV battery vintage curve based on historical EV deployment shape.</t>
        </is>
      </c>
      <c r="AV145">
        <f>AV124</f>
        <v/>
      </c>
      <c r="AW145">
        <f>AW124</f>
        <v/>
      </c>
      <c r="AX145">
        <f>AX124</f>
        <v/>
      </c>
      <c r="AY145">
        <f>AY124</f>
        <v/>
      </c>
      <c r="AZ145">
        <f>AZ124</f>
        <v/>
      </c>
      <c r="BA145">
        <f>BA124</f>
        <v/>
      </c>
      <c r="BB145">
        <f>BB124</f>
        <v/>
      </c>
      <c r="BC145">
        <f>BC124</f>
        <v/>
      </c>
      <c r="BD145">
        <f>BD124</f>
        <v/>
      </c>
      <c r="BE145">
        <f>BE124</f>
        <v/>
      </c>
      <c r="BF145">
        <f>BF124</f>
        <v/>
      </c>
      <c r="BG145">
        <f>BG124</f>
        <v/>
      </c>
      <c r="BH145">
        <f>BH124</f>
        <v/>
      </c>
      <c r="BI145">
        <f>BI124</f>
        <v/>
      </c>
      <c r="BJ145">
        <f>BJ124</f>
        <v/>
      </c>
      <c r="BK145">
        <f>BK124</f>
        <v/>
      </c>
      <c r="BL145">
        <f>BL124</f>
        <v/>
      </c>
      <c r="BM145">
        <f>BM124</f>
        <v/>
      </c>
      <c r="BN145">
        <f>BN124</f>
        <v/>
      </c>
      <c r="BO145">
        <f>BO124</f>
        <v/>
      </c>
      <c r="BP145">
        <f>BP124</f>
        <v/>
      </c>
      <c r="BQ145">
        <f>BQ124</f>
        <v/>
      </c>
      <c r="BR145">
        <f>BR124</f>
        <v/>
      </c>
      <c r="BS145">
        <f>BS124</f>
        <v/>
      </c>
      <c r="BT145">
        <f>BT124</f>
        <v/>
      </c>
      <c r="BU145">
        <f>BU124</f>
        <v/>
      </c>
      <c r="BV145">
        <f>BV124</f>
        <v/>
      </c>
      <c r="BW145">
        <f>BW124</f>
        <v/>
      </c>
      <c r="BX145">
        <f>BX124</f>
        <v/>
      </c>
      <c r="BY145">
        <f>BY124</f>
        <v/>
      </c>
      <c r="BZ145">
        <f>BZ124</f>
        <v/>
      </c>
      <c r="CA145">
        <f>CA124</f>
        <v/>
      </c>
      <c r="CB145">
        <f>CB124</f>
        <v/>
      </c>
      <c r="CC145">
        <f>CC124</f>
        <v/>
      </c>
      <c r="CD145">
        <f>CD124</f>
        <v/>
      </c>
      <c r="CE145">
        <f>CE124</f>
        <v/>
      </c>
      <c r="CG145" s="6" t="n">
        <v>2015</v>
      </c>
      <c r="CH145" s="6" t="inlineStr">
        <is>
          <t>Tra_EV_Batt-NMC811_virgin_pack</t>
        </is>
      </c>
      <c r="CI145" s="6" t="n">
        <v>0.058</v>
      </c>
      <c r="CJ145" s="6" t="n">
        <v>0.09</v>
      </c>
      <c r="CK145" s="6" t="inlineStr">
        <is>
          <t>Transport_EV_global</t>
        </is>
      </c>
      <c r="CL145" s="6" t="inlineStr">
        <is>
          <t>Transport_EV_China</t>
        </is>
      </c>
      <c r="CM145" s="6" t="inlineStr">
        <is>
          <t>China transport EV curve is shifted earlier than the global curve to reflect earlier China EV/e-bus deployment in the 2010s.</t>
        </is>
      </c>
    </row>
    <row r="146" ht="14.5" customHeight="1" s="213">
      <c r="D146">
        <f>D145</f>
        <v/>
      </c>
      <c r="E146" t="inlineStr">
        <is>
          <t>Tra_EV_Batt-NMC532_virgin_pack</t>
        </is>
      </c>
      <c r="F146" s="208">
        <f>AW146*$AS146</f>
        <v/>
      </c>
      <c r="G146" s="208">
        <f>AX146*$AS146</f>
        <v/>
      </c>
      <c r="H146" s="208">
        <f>AY146*$AS146</f>
        <v/>
      </c>
      <c r="I146" s="208">
        <f>AZ146*$AS146</f>
        <v/>
      </c>
      <c r="J146" s="208">
        <f>BA146*$AS146</f>
        <v/>
      </c>
      <c r="K146" s="208">
        <f>BB146*$AS146</f>
        <v/>
      </c>
      <c r="L146" s="208">
        <f>BC146*$AS146</f>
        <v/>
      </c>
      <c r="M146" s="208">
        <f>BD146*$CI146</f>
        <v/>
      </c>
      <c r="N146" s="208">
        <f>BE146*$AS146</f>
        <v/>
      </c>
      <c r="O146" s="208">
        <f>BF146*$AS146</f>
        <v/>
      </c>
      <c r="P146" s="208">
        <f>BG146*$AS146</f>
        <v/>
      </c>
      <c r="Q146" s="208">
        <f>BH146*$AS146</f>
        <v/>
      </c>
      <c r="R146" s="208">
        <f>BI146*$AS146</f>
        <v/>
      </c>
      <c r="S146" s="208">
        <f>BJ146*$AS146</f>
        <v/>
      </c>
      <c r="T146" s="208">
        <f>BK146*$AS146</f>
        <v/>
      </c>
      <c r="U146" s="208">
        <f>BL146*$AS146</f>
        <v/>
      </c>
      <c r="V146" s="208">
        <f>BM146*$AS146</f>
        <v/>
      </c>
      <c r="W146" s="208">
        <f>BN146*$AS146</f>
        <v/>
      </c>
      <c r="X146" s="208">
        <f>BO146*$AS146</f>
        <v/>
      </c>
      <c r="Y146" s="208">
        <f>BP146*$AS146</f>
        <v/>
      </c>
      <c r="Z146" s="208">
        <f>BQ146*$AS146</f>
        <v/>
      </c>
      <c r="AA146" s="208">
        <f>BR146*$AS146</f>
        <v/>
      </c>
      <c r="AB146" s="208">
        <f>BS146*$AS146</f>
        <v/>
      </c>
      <c r="AC146" s="208">
        <f>BT146*$AS146</f>
        <v/>
      </c>
      <c r="AD146" s="208">
        <f>BU146*$AS146</f>
        <v/>
      </c>
      <c r="AE146" s="208">
        <f>BV146*$AS146</f>
        <v/>
      </c>
      <c r="AF146" s="208">
        <f>BW146*$AS146</f>
        <v/>
      </c>
      <c r="AG146" s="208">
        <f>BX146*$AS146</f>
        <v/>
      </c>
      <c r="AH146" s="208">
        <f>BY146*$AS146</f>
        <v/>
      </c>
      <c r="AI146" s="208">
        <f>BZ146*$AS146</f>
        <v/>
      </c>
      <c r="AJ146" s="208">
        <f>CA146*$AS146</f>
        <v/>
      </c>
      <c r="AK146" s="208">
        <f>CB146*$AS146</f>
        <v/>
      </c>
      <c r="AL146" s="208">
        <f>CC146*$AS146</f>
        <v/>
      </c>
      <c r="AM146" s="208">
        <f>CD146*$AS146</f>
        <v/>
      </c>
      <c r="AN146" s="208">
        <f>CE146*$AS146</f>
        <v/>
      </c>
      <c r="AQ146" s="6" t="n">
        <v>2015</v>
      </c>
      <c r="AR146" s="6" t="inlineStr">
        <is>
          <t>Tra_EV_Batt-NMC532_virgin_pack</t>
        </is>
      </c>
      <c r="AS146" s="6" t="n">
        <v>0.058</v>
      </c>
      <c r="AT146" s="6" t="inlineStr">
        <is>
          <t>Transport_EV_general</t>
        </is>
      </c>
      <c r="AU146" s="6" t="inlineStr">
        <is>
          <t>Back-loaded transport EV battery vintage curve based on historical EV deployment shape.</t>
        </is>
      </c>
      <c r="AV146">
        <f>AV125</f>
        <v/>
      </c>
      <c r="AW146">
        <f>AW125</f>
        <v/>
      </c>
      <c r="AX146">
        <f>AX125</f>
        <v/>
      </c>
      <c r="AY146">
        <f>AY125</f>
        <v/>
      </c>
      <c r="AZ146">
        <f>AZ125</f>
        <v/>
      </c>
      <c r="BA146">
        <f>BA125</f>
        <v/>
      </c>
      <c r="BB146">
        <f>BB125</f>
        <v/>
      </c>
      <c r="BC146">
        <f>BC125</f>
        <v/>
      </c>
      <c r="BD146">
        <f>BD125</f>
        <v/>
      </c>
      <c r="BE146">
        <f>BE125</f>
        <v/>
      </c>
      <c r="BF146">
        <f>BF125</f>
        <v/>
      </c>
      <c r="BG146">
        <f>BG125</f>
        <v/>
      </c>
      <c r="BH146">
        <f>BH125</f>
        <v/>
      </c>
      <c r="BI146">
        <f>BI125</f>
        <v/>
      </c>
      <c r="BJ146">
        <f>BJ125</f>
        <v/>
      </c>
      <c r="BK146">
        <f>BK125</f>
        <v/>
      </c>
      <c r="BL146">
        <f>BL125</f>
        <v/>
      </c>
      <c r="BM146">
        <f>BM125</f>
        <v/>
      </c>
      <c r="BN146">
        <f>BN125</f>
        <v/>
      </c>
      <c r="BO146">
        <f>BO125</f>
        <v/>
      </c>
      <c r="BP146">
        <f>BP125</f>
        <v/>
      </c>
      <c r="BQ146">
        <f>BQ125</f>
        <v/>
      </c>
      <c r="BR146">
        <f>BR125</f>
        <v/>
      </c>
      <c r="BS146">
        <f>BS125</f>
        <v/>
      </c>
      <c r="BT146">
        <f>BT125</f>
        <v/>
      </c>
      <c r="BU146">
        <f>BU125</f>
        <v/>
      </c>
      <c r="BV146">
        <f>BV125</f>
        <v/>
      </c>
      <c r="BW146">
        <f>BW125</f>
        <v/>
      </c>
      <c r="BX146">
        <f>BX125</f>
        <v/>
      </c>
      <c r="BY146">
        <f>BY125</f>
        <v/>
      </c>
      <c r="BZ146">
        <f>BZ125</f>
        <v/>
      </c>
      <c r="CA146">
        <f>CA125</f>
        <v/>
      </c>
      <c r="CB146">
        <f>CB125</f>
        <v/>
      </c>
      <c r="CC146">
        <f>CC125</f>
        <v/>
      </c>
      <c r="CD146">
        <f>CD125</f>
        <v/>
      </c>
      <c r="CE146">
        <f>CE125</f>
        <v/>
      </c>
      <c r="CG146" s="6" t="n">
        <v>2015</v>
      </c>
      <c r="CH146" s="6" t="inlineStr">
        <is>
          <t>Tra_EV_Batt-NMC532_virgin_pack</t>
        </is>
      </c>
      <c r="CI146" s="6" t="n">
        <v>0.058</v>
      </c>
      <c r="CJ146" s="6" t="n">
        <v>0.09</v>
      </c>
      <c r="CK146" s="6" t="inlineStr">
        <is>
          <t>Transport_EV_global</t>
        </is>
      </c>
      <c r="CL146" s="6" t="inlineStr">
        <is>
          <t>Transport_EV_China</t>
        </is>
      </c>
      <c r="CM146" s="6" t="inlineStr">
        <is>
          <t>China transport EV curve is shifted earlier than the global curve to reflect earlier China EV/e-bus deployment in the 2010s.</t>
        </is>
      </c>
    </row>
    <row r="147" ht="14.5" customHeight="1" s="213">
      <c r="D147">
        <f>D146</f>
        <v/>
      </c>
      <c r="E147" t="inlineStr">
        <is>
          <t>Tra_EV_Batt-NCA_virgin_pack</t>
        </is>
      </c>
      <c r="F147" s="208">
        <f>AW147*$AS147</f>
        <v/>
      </c>
      <c r="G147" s="208">
        <f>AX147*$AS147</f>
        <v/>
      </c>
      <c r="H147" s="208">
        <f>AY147*$AS147</f>
        <v/>
      </c>
      <c r="I147" s="208">
        <f>AZ147*$AS147</f>
        <v/>
      </c>
      <c r="J147" s="208">
        <f>BA147*$AS147</f>
        <v/>
      </c>
      <c r="K147" s="208">
        <f>BB147*$AS147</f>
        <v/>
      </c>
      <c r="L147" s="208">
        <f>BC147*$AS147</f>
        <v/>
      </c>
      <c r="M147" s="208">
        <f>BD147*$CI147</f>
        <v/>
      </c>
      <c r="N147" s="208">
        <f>BE147*$AS147</f>
        <v/>
      </c>
      <c r="O147" s="208">
        <f>BF147*$AS147</f>
        <v/>
      </c>
      <c r="P147" s="208">
        <f>BG147*$AS147</f>
        <v/>
      </c>
      <c r="Q147" s="208">
        <f>BH147*$AS147</f>
        <v/>
      </c>
      <c r="R147" s="208">
        <f>BI147*$AS147</f>
        <v/>
      </c>
      <c r="S147" s="208">
        <f>BJ147*$AS147</f>
        <v/>
      </c>
      <c r="T147" s="208">
        <f>BK147*$AS147</f>
        <v/>
      </c>
      <c r="U147" s="208">
        <f>BL147*$AS147</f>
        <v/>
      </c>
      <c r="V147" s="208">
        <f>BM147*$AS147</f>
        <v/>
      </c>
      <c r="W147" s="208">
        <f>BN147*$AS147</f>
        <v/>
      </c>
      <c r="X147" s="208">
        <f>BO147*$AS147</f>
        <v/>
      </c>
      <c r="Y147" s="208">
        <f>BP147*$AS147</f>
        <v/>
      </c>
      <c r="Z147" s="208">
        <f>BQ147*$AS147</f>
        <v/>
      </c>
      <c r="AA147" s="208">
        <f>BR147*$AS147</f>
        <v/>
      </c>
      <c r="AB147" s="208">
        <f>BS147*$AS147</f>
        <v/>
      </c>
      <c r="AC147" s="208">
        <f>BT147*$AS147</f>
        <v/>
      </c>
      <c r="AD147" s="208">
        <f>BU147*$AS147</f>
        <v/>
      </c>
      <c r="AE147" s="208">
        <f>BV147*$AS147</f>
        <v/>
      </c>
      <c r="AF147" s="208">
        <f>BW147*$AS147</f>
        <v/>
      </c>
      <c r="AG147" s="208">
        <f>BX147*$AS147</f>
        <v/>
      </c>
      <c r="AH147" s="208">
        <f>BY147*$AS147</f>
        <v/>
      </c>
      <c r="AI147" s="208">
        <f>BZ147*$AS147</f>
        <v/>
      </c>
      <c r="AJ147" s="208">
        <f>CA147*$AS147</f>
        <v/>
      </c>
      <c r="AK147" s="208">
        <f>CB147*$AS147</f>
        <v/>
      </c>
      <c r="AL147" s="208">
        <f>CC147*$AS147</f>
        <v/>
      </c>
      <c r="AM147" s="208">
        <f>CD147*$AS147</f>
        <v/>
      </c>
      <c r="AN147" s="208">
        <f>CE147*$AS147</f>
        <v/>
      </c>
      <c r="AQ147" s="6" t="n">
        <v>2015</v>
      </c>
      <c r="AR147" s="6" t="inlineStr">
        <is>
          <t>Tra_EV_Batt-NCA_virgin_pack</t>
        </is>
      </c>
      <c r="AS147" s="6" t="n">
        <v>0.058</v>
      </c>
      <c r="AT147" s="6" t="inlineStr">
        <is>
          <t>Transport_EV_general</t>
        </is>
      </c>
      <c r="AU147" s="6" t="inlineStr">
        <is>
          <t>Back-loaded transport EV battery vintage curve based on historical EV deployment shape.</t>
        </is>
      </c>
      <c r="AV147">
        <f>AV126</f>
        <v/>
      </c>
      <c r="AW147">
        <f>AW126</f>
        <v/>
      </c>
      <c r="AX147">
        <f>AX126</f>
        <v/>
      </c>
      <c r="AY147">
        <f>AY126</f>
        <v/>
      </c>
      <c r="AZ147">
        <f>AZ126</f>
        <v/>
      </c>
      <c r="BA147">
        <f>BA126</f>
        <v/>
      </c>
      <c r="BB147">
        <f>BB126</f>
        <v/>
      </c>
      <c r="BC147">
        <f>BC126</f>
        <v/>
      </c>
      <c r="BD147">
        <f>BD126</f>
        <v/>
      </c>
      <c r="BE147">
        <f>BE126</f>
        <v/>
      </c>
      <c r="BF147">
        <f>BF126</f>
        <v/>
      </c>
      <c r="BG147">
        <f>BG126</f>
        <v/>
      </c>
      <c r="BH147">
        <f>BH126</f>
        <v/>
      </c>
      <c r="BI147">
        <f>BI126</f>
        <v/>
      </c>
      <c r="BJ147">
        <f>BJ126</f>
        <v/>
      </c>
      <c r="BK147">
        <f>BK126</f>
        <v/>
      </c>
      <c r="BL147">
        <f>BL126</f>
        <v/>
      </c>
      <c r="BM147">
        <f>BM126</f>
        <v/>
      </c>
      <c r="BN147">
        <f>BN126</f>
        <v/>
      </c>
      <c r="BO147">
        <f>BO126</f>
        <v/>
      </c>
      <c r="BP147">
        <f>BP126</f>
        <v/>
      </c>
      <c r="BQ147">
        <f>BQ126</f>
        <v/>
      </c>
      <c r="BR147">
        <f>BR126</f>
        <v/>
      </c>
      <c r="BS147">
        <f>BS126</f>
        <v/>
      </c>
      <c r="BT147">
        <f>BT126</f>
        <v/>
      </c>
      <c r="BU147">
        <f>BU126</f>
        <v/>
      </c>
      <c r="BV147">
        <f>BV126</f>
        <v/>
      </c>
      <c r="BW147">
        <f>BW126</f>
        <v/>
      </c>
      <c r="BX147">
        <f>BX126</f>
        <v/>
      </c>
      <c r="BY147">
        <f>BY126</f>
        <v/>
      </c>
      <c r="BZ147">
        <f>BZ126</f>
        <v/>
      </c>
      <c r="CA147">
        <f>CA126</f>
        <v/>
      </c>
      <c r="CB147">
        <f>CB126</f>
        <v/>
      </c>
      <c r="CC147">
        <f>CC126</f>
        <v/>
      </c>
      <c r="CD147">
        <f>CD126</f>
        <v/>
      </c>
      <c r="CE147">
        <f>CE126</f>
        <v/>
      </c>
      <c r="CG147" s="6" t="n">
        <v>2015</v>
      </c>
      <c r="CH147" s="6" t="inlineStr">
        <is>
          <t>Tra_EV_Batt-NCA_virgin_pack</t>
        </is>
      </c>
      <c r="CI147" s="6" t="n">
        <v>0.058</v>
      </c>
      <c r="CJ147" s="6" t="n">
        <v>0.09</v>
      </c>
      <c r="CK147" s="6" t="inlineStr">
        <is>
          <t>Transport_EV_global</t>
        </is>
      </c>
      <c r="CL147" s="6" t="inlineStr">
        <is>
          <t>Transport_EV_China</t>
        </is>
      </c>
      <c r="CM147" s="6" t="inlineStr">
        <is>
          <t>China transport EV curve is shifted earlier than the global curve to reflect earlier China EV/e-bus deployment in the 2010s.</t>
        </is>
      </c>
    </row>
    <row r="148" ht="14.5" customHeight="1" s="213">
      <c r="D148">
        <f>D147</f>
        <v/>
      </c>
      <c r="E148" t="inlineStr">
        <is>
          <t>Tra_EV_Batt-LMO_virgin_pack</t>
        </is>
      </c>
      <c r="F148" s="208">
        <f>AW148*$AS148</f>
        <v/>
      </c>
      <c r="G148" s="208">
        <f>AX148*$AS148</f>
        <v/>
      </c>
      <c r="H148" s="208">
        <f>AY148*$AS148</f>
        <v/>
      </c>
      <c r="I148" s="208">
        <f>AZ148*$AS148</f>
        <v/>
      </c>
      <c r="J148" s="208">
        <f>BA148*$AS148</f>
        <v/>
      </c>
      <c r="K148" s="208">
        <f>BB148*$AS148</f>
        <v/>
      </c>
      <c r="L148" s="208">
        <f>BC148*$AS148</f>
        <v/>
      </c>
      <c r="M148" s="208">
        <f>BD148*$CI148</f>
        <v/>
      </c>
      <c r="N148" s="208">
        <f>BE148*$AS148</f>
        <v/>
      </c>
      <c r="O148" s="208">
        <f>BF148*$AS148</f>
        <v/>
      </c>
      <c r="P148" s="208">
        <f>BG148*$AS148</f>
        <v/>
      </c>
      <c r="Q148" s="208">
        <f>BH148*$AS148</f>
        <v/>
      </c>
      <c r="R148" s="208">
        <f>BI148*$AS148</f>
        <v/>
      </c>
      <c r="S148" s="208">
        <f>BJ148*$AS148</f>
        <v/>
      </c>
      <c r="T148" s="208">
        <f>BK148*$AS148</f>
        <v/>
      </c>
      <c r="U148" s="208">
        <f>BL148*$AS148</f>
        <v/>
      </c>
      <c r="V148" s="208">
        <f>BM148*$AS148</f>
        <v/>
      </c>
      <c r="W148" s="208">
        <f>BN148*$AS148</f>
        <v/>
      </c>
      <c r="X148" s="208">
        <f>BO148*$AS148</f>
        <v/>
      </c>
      <c r="Y148" s="208">
        <f>BP148*$AS148</f>
        <v/>
      </c>
      <c r="Z148" s="208">
        <f>BQ148*$AS148</f>
        <v/>
      </c>
      <c r="AA148" s="208">
        <f>BR148*$AS148</f>
        <v/>
      </c>
      <c r="AB148" s="208">
        <f>BS148*$AS148</f>
        <v/>
      </c>
      <c r="AC148" s="208">
        <f>BT148*$AS148</f>
        <v/>
      </c>
      <c r="AD148" s="208">
        <f>BU148*$AS148</f>
        <v/>
      </c>
      <c r="AE148" s="208">
        <f>BV148*$AS148</f>
        <v/>
      </c>
      <c r="AF148" s="208">
        <f>BW148*$AS148</f>
        <v/>
      </c>
      <c r="AG148" s="208">
        <f>BX148*$AS148</f>
        <v/>
      </c>
      <c r="AH148" s="208">
        <f>BY148*$AS148</f>
        <v/>
      </c>
      <c r="AI148" s="208">
        <f>BZ148*$AS148</f>
        <v/>
      </c>
      <c r="AJ148" s="208">
        <f>CA148*$AS148</f>
        <v/>
      </c>
      <c r="AK148" s="208">
        <f>CB148*$AS148</f>
        <v/>
      </c>
      <c r="AL148" s="208">
        <f>CC148*$AS148</f>
        <v/>
      </c>
      <c r="AM148" s="208">
        <f>CD148*$AS148</f>
        <v/>
      </c>
      <c r="AN148" s="208">
        <f>CE148*$AS148</f>
        <v/>
      </c>
      <c r="AQ148" s="6" t="n">
        <v>2015</v>
      </c>
      <c r="AR148" s="6" t="inlineStr">
        <is>
          <t>Tra_EV_Batt-LMO_virgin_pack</t>
        </is>
      </c>
      <c r="AS148" s="6" t="n">
        <v>0.058</v>
      </c>
      <c r="AT148" s="6" t="inlineStr">
        <is>
          <t>Transport_EV_general</t>
        </is>
      </c>
      <c r="AU148" s="6" t="inlineStr">
        <is>
          <t>Back-loaded transport EV battery vintage curve based on historical EV deployment shape.</t>
        </is>
      </c>
      <c r="AV148">
        <f>AV127</f>
        <v/>
      </c>
      <c r="AW148">
        <f>AW127</f>
        <v/>
      </c>
      <c r="AX148">
        <f>AX127</f>
        <v/>
      </c>
      <c r="AY148">
        <f>AY127</f>
        <v/>
      </c>
      <c r="AZ148">
        <f>AZ127</f>
        <v/>
      </c>
      <c r="BA148">
        <f>BA127</f>
        <v/>
      </c>
      <c r="BB148">
        <f>BB127</f>
        <v/>
      </c>
      <c r="BC148">
        <f>BC127</f>
        <v/>
      </c>
      <c r="BD148">
        <f>BD127</f>
        <v/>
      </c>
      <c r="BE148">
        <f>BE127</f>
        <v/>
      </c>
      <c r="BF148">
        <f>BF127</f>
        <v/>
      </c>
      <c r="BG148">
        <f>BG127</f>
        <v/>
      </c>
      <c r="BH148">
        <f>BH127</f>
        <v/>
      </c>
      <c r="BI148">
        <f>BI127</f>
        <v/>
      </c>
      <c r="BJ148">
        <f>BJ127</f>
        <v/>
      </c>
      <c r="BK148">
        <f>BK127</f>
        <v/>
      </c>
      <c r="BL148">
        <f>BL127</f>
        <v/>
      </c>
      <c r="BM148">
        <f>BM127</f>
        <v/>
      </c>
      <c r="BN148">
        <f>BN127</f>
        <v/>
      </c>
      <c r="BO148">
        <f>BO127</f>
        <v/>
      </c>
      <c r="BP148">
        <f>BP127</f>
        <v/>
      </c>
      <c r="BQ148">
        <f>BQ127</f>
        <v/>
      </c>
      <c r="BR148">
        <f>BR127</f>
        <v/>
      </c>
      <c r="BS148">
        <f>BS127</f>
        <v/>
      </c>
      <c r="BT148">
        <f>BT127</f>
        <v/>
      </c>
      <c r="BU148">
        <f>BU127</f>
        <v/>
      </c>
      <c r="BV148">
        <f>BV127</f>
        <v/>
      </c>
      <c r="BW148">
        <f>BW127</f>
        <v/>
      </c>
      <c r="BX148">
        <f>BX127</f>
        <v/>
      </c>
      <c r="BY148">
        <f>BY127</f>
        <v/>
      </c>
      <c r="BZ148">
        <f>BZ127</f>
        <v/>
      </c>
      <c r="CA148">
        <f>CA127</f>
        <v/>
      </c>
      <c r="CB148">
        <f>CB127</f>
        <v/>
      </c>
      <c r="CC148">
        <f>CC127</f>
        <v/>
      </c>
      <c r="CD148">
        <f>CD127</f>
        <v/>
      </c>
      <c r="CE148">
        <f>CE127</f>
        <v/>
      </c>
      <c r="CG148" s="6" t="n">
        <v>2015</v>
      </c>
      <c r="CH148" s="6" t="inlineStr">
        <is>
          <t>Tra_EV_Batt-LMO_virgin_pack</t>
        </is>
      </c>
      <c r="CI148" s="6" t="n">
        <v>0.058</v>
      </c>
      <c r="CJ148" s="6" t="n">
        <v>0.09</v>
      </c>
      <c r="CK148" s="6" t="inlineStr">
        <is>
          <t>Transport_EV_global</t>
        </is>
      </c>
      <c r="CL148" s="6" t="inlineStr">
        <is>
          <t>Transport_EV_China</t>
        </is>
      </c>
      <c r="CM148" s="6" t="inlineStr">
        <is>
          <t>China transport EV curve is shifted earlier than the global curve to reflect earlier China EV/e-bus deployment in the 2010s.</t>
        </is>
      </c>
    </row>
    <row r="149" ht="14.5" customHeight="1" s="213">
      <c r="D149">
        <f>D148</f>
        <v/>
      </c>
      <c r="E149" t="inlineStr">
        <is>
          <t>Tra_EV_Batt-NMC111_virgin_pack</t>
        </is>
      </c>
      <c r="F149" s="208">
        <f>AW149*$AS149</f>
        <v/>
      </c>
      <c r="G149" s="208">
        <f>AX149*$AS149</f>
        <v/>
      </c>
      <c r="H149" s="208">
        <f>AY149*$AS149</f>
        <v/>
      </c>
      <c r="I149" s="208">
        <f>AZ149*$AS149</f>
        <v/>
      </c>
      <c r="J149" s="208">
        <f>BA149*$AS149</f>
        <v/>
      </c>
      <c r="K149" s="208">
        <f>BB149*$AS149</f>
        <v/>
      </c>
      <c r="L149" s="208">
        <f>BC149*$AS149</f>
        <v/>
      </c>
      <c r="M149" s="208">
        <f>BD149*$CI149</f>
        <v/>
      </c>
      <c r="N149" s="208">
        <f>BE149*$AS149</f>
        <v/>
      </c>
      <c r="O149" s="208">
        <f>BF149*$AS149</f>
        <v/>
      </c>
      <c r="P149" s="208">
        <f>BG149*$AS149</f>
        <v/>
      </c>
      <c r="Q149" s="208">
        <f>BH149*$AS149</f>
        <v/>
      </c>
      <c r="R149" s="208">
        <f>BI149*$AS149</f>
        <v/>
      </c>
      <c r="S149" s="208">
        <f>BJ149*$AS149</f>
        <v/>
      </c>
      <c r="T149" s="208">
        <f>BK149*$AS149</f>
        <v/>
      </c>
      <c r="U149" s="208">
        <f>BL149*$AS149</f>
        <v/>
      </c>
      <c r="V149" s="208">
        <f>BM149*$AS149</f>
        <v/>
      </c>
      <c r="W149" s="208">
        <f>BN149*$AS149</f>
        <v/>
      </c>
      <c r="X149" s="208">
        <f>BO149*$AS149</f>
        <v/>
      </c>
      <c r="Y149" s="208">
        <f>BP149*$AS149</f>
        <v/>
      </c>
      <c r="Z149" s="208">
        <f>BQ149*$AS149</f>
        <v/>
      </c>
      <c r="AA149" s="208">
        <f>BR149*$AS149</f>
        <v/>
      </c>
      <c r="AB149" s="208">
        <f>BS149*$AS149</f>
        <v/>
      </c>
      <c r="AC149" s="208">
        <f>BT149*$AS149</f>
        <v/>
      </c>
      <c r="AD149" s="208">
        <f>BU149*$AS149</f>
        <v/>
      </c>
      <c r="AE149" s="208">
        <f>BV149*$AS149</f>
        <v/>
      </c>
      <c r="AF149" s="208">
        <f>BW149*$AS149</f>
        <v/>
      </c>
      <c r="AG149" s="208">
        <f>BX149*$AS149</f>
        <v/>
      </c>
      <c r="AH149" s="208">
        <f>BY149*$AS149</f>
        <v/>
      </c>
      <c r="AI149" s="208">
        <f>BZ149*$AS149</f>
        <v/>
      </c>
      <c r="AJ149" s="208">
        <f>CA149*$AS149</f>
        <v/>
      </c>
      <c r="AK149" s="208">
        <f>CB149*$AS149</f>
        <v/>
      </c>
      <c r="AL149" s="208">
        <f>CC149*$AS149</f>
        <v/>
      </c>
      <c r="AM149" s="208">
        <f>CD149*$AS149</f>
        <v/>
      </c>
      <c r="AN149" s="208">
        <f>CE149*$AS149</f>
        <v/>
      </c>
      <c r="AQ149" s="6" t="n">
        <v>2015</v>
      </c>
      <c r="AR149" s="6" t="inlineStr">
        <is>
          <t>Tra_EV_Batt-NMC111_virgin_pack</t>
        </is>
      </c>
      <c r="AS149" s="6" t="n">
        <v>0.058</v>
      </c>
      <c r="AT149" s="6" t="inlineStr">
        <is>
          <t>Transport_EV_general</t>
        </is>
      </c>
      <c r="AU149" s="6" t="inlineStr">
        <is>
          <t>Back-loaded transport EV battery vintage curve based on historical EV deployment shape.</t>
        </is>
      </c>
      <c r="AV149">
        <f>AV128</f>
        <v/>
      </c>
      <c r="AW149">
        <f>AW128</f>
        <v/>
      </c>
      <c r="AX149">
        <f>AX128</f>
        <v/>
      </c>
      <c r="AY149">
        <f>AY128</f>
        <v/>
      </c>
      <c r="AZ149">
        <f>AZ128</f>
        <v/>
      </c>
      <c r="BA149">
        <f>BA128</f>
        <v/>
      </c>
      <c r="BB149">
        <f>BB128</f>
        <v/>
      </c>
      <c r="BC149">
        <f>BC128</f>
        <v/>
      </c>
      <c r="BD149">
        <f>BD128</f>
        <v/>
      </c>
      <c r="BE149">
        <f>BE128</f>
        <v/>
      </c>
      <c r="BF149">
        <f>BF128</f>
        <v/>
      </c>
      <c r="BG149">
        <f>BG128</f>
        <v/>
      </c>
      <c r="BH149">
        <f>BH128</f>
        <v/>
      </c>
      <c r="BI149">
        <f>BI128</f>
        <v/>
      </c>
      <c r="BJ149">
        <f>BJ128</f>
        <v/>
      </c>
      <c r="BK149">
        <f>BK128</f>
        <v/>
      </c>
      <c r="BL149">
        <f>BL128</f>
        <v/>
      </c>
      <c r="BM149">
        <f>BM128</f>
        <v/>
      </c>
      <c r="BN149">
        <f>BN128</f>
        <v/>
      </c>
      <c r="BO149">
        <f>BO128</f>
        <v/>
      </c>
      <c r="BP149">
        <f>BP128</f>
        <v/>
      </c>
      <c r="BQ149">
        <f>BQ128</f>
        <v/>
      </c>
      <c r="BR149">
        <f>BR128</f>
        <v/>
      </c>
      <c r="BS149">
        <f>BS128</f>
        <v/>
      </c>
      <c r="BT149">
        <f>BT128</f>
        <v/>
      </c>
      <c r="BU149">
        <f>BU128</f>
        <v/>
      </c>
      <c r="BV149">
        <f>BV128</f>
        <v/>
      </c>
      <c r="BW149">
        <f>BW128</f>
        <v/>
      </c>
      <c r="BX149">
        <f>BX128</f>
        <v/>
      </c>
      <c r="BY149">
        <f>BY128</f>
        <v/>
      </c>
      <c r="BZ149">
        <f>BZ128</f>
        <v/>
      </c>
      <c r="CA149">
        <f>CA128</f>
        <v/>
      </c>
      <c r="CB149">
        <f>CB128</f>
        <v/>
      </c>
      <c r="CC149">
        <f>CC128</f>
        <v/>
      </c>
      <c r="CD149">
        <f>CD128</f>
        <v/>
      </c>
      <c r="CE149">
        <f>CE128</f>
        <v/>
      </c>
      <c r="CG149" s="6" t="n">
        <v>2015</v>
      </c>
      <c r="CH149" s="6" t="inlineStr">
        <is>
          <t>Tra_EV_Batt-NMC111_virgin_pack</t>
        </is>
      </c>
      <c r="CI149" s="6" t="n">
        <v>0.058</v>
      </c>
      <c r="CJ149" s="6" t="n">
        <v>0.09</v>
      </c>
      <c r="CK149" s="6" t="inlineStr">
        <is>
          <t>Transport_EV_global</t>
        </is>
      </c>
      <c r="CL149" s="6" t="inlineStr">
        <is>
          <t>Transport_EV_China</t>
        </is>
      </c>
      <c r="CM149" s="6" t="inlineStr">
        <is>
          <t>China transport EV curve is shifted earlier than the global curve to reflect earlier China EV/e-bus deployment in the 2010s.</t>
        </is>
      </c>
    </row>
    <row r="150" ht="14.5" customHeight="1" s="213">
      <c r="D150" t="n">
        <v>2021</v>
      </c>
      <c r="E150" t="inlineStr">
        <is>
          <t>MINBatMaterials_LI</t>
        </is>
      </c>
      <c r="F150" s="208">
        <f>AW150*$AS150</f>
        <v/>
      </c>
      <c r="G150" s="208">
        <f>AX150*$AS150</f>
        <v/>
      </c>
      <c r="H150" s="208">
        <f>AY150*$AS150</f>
        <v/>
      </c>
      <c r="I150" s="208">
        <f>AZ150*$AS150</f>
        <v/>
      </c>
      <c r="J150" s="208">
        <f>BA150*$AS150</f>
        <v/>
      </c>
      <c r="K150" s="208">
        <f>BB150*$AS150</f>
        <v/>
      </c>
      <c r="L150" s="208">
        <f>BC150*$AS150</f>
        <v/>
      </c>
      <c r="M150" s="208">
        <f>BD150*$CI150</f>
        <v/>
      </c>
      <c r="N150" s="208">
        <f>BE150*$AS150</f>
        <v/>
      </c>
      <c r="O150" s="208">
        <f>BF150*$AS150</f>
        <v/>
      </c>
      <c r="P150" s="208">
        <f>BG150*$AS150</f>
        <v/>
      </c>
      <c r="Q150" s="208">
        <f>BH150*$AS150</f>
        <v/>
      </c>
      <c r="R150" s="208">
        <f>BI150*$AS150</f>
        <v/>
      </c>
      <c r="S150" s="208">
        <f>BJ150*$AS150</f>
        <v/>
      </c>
      <c r="T150" s="208">
        <f>BK150*$AS150</f>
        <v/>
      </c>
      <c r="U150" s="208">
        <f>BL150*$AS150</f>
        <v/>
      </c>
      <c r="V150" s="208">
        <f>BM150*$AS150</f>
        <v/>
      </c>
      <c r="W150" s="208">
        <f>BN150*$AS150</f>
        <v/>
      </c>
      <c r="X150" s="208">
        <f>BO150*$AS150</f>
        <v/>
      </c>
      <c r="Y150" s="208">
        <f>BP150*$AS150</f>
        <v/>
      </c>
      <c r="Z150" s="208">
        <f>BQ150*$AS150</f>
        <v/>
      </c>
      <c r="AA150" s="208">
        <f>BR150*$AS150</f>
        <v/>
      </c>
      <c r="AB150" s="208">
        <f>BS150*$AS150</f>
        <v/>
      </c>
      <c r="AC150" s="208">
        <f>BT150*$AS150</f>
        <v/>
      </c>
      <c r="AD150" s="208">
        <f>BU150*$AS150</f>
        <v/>
      </c>
      <c r="AE150" s="208">
        <f>BV150*$AS150</f>
        <v/>
      </c>
      <c r="AF150" s="208">
        <f>BW150*$AS150</f>
        <v/>
      </c>
      <c r="AG150" s="208">
        <f>BX150*$AS150</f>
        <v/>
      </c>
      <c r="AH150" s="208">
        <f>BY150*$AS150</f>
        <v/>
      </c>
      <c r="AI150" s="208">
        <f>BZ150*$AS150</f>
        <v/>
      </c>
      <c r="AJ150" s="208">
        <f>CA150*$AS150</f>
        <v/>
      </c>
      <c r="AK150" s="208">
        <f>CB150*$AS150</f>
        <v/>
      </c>
      <c r="AL150" s="208">
        <f>CC150*$AS150</f>
        <v/>
      </c>
      <c r="AM150" s="208">
        <f>CD150*$AS150</f>
        <v/>
      </c>
      <c r="AN150" s="208">
        <f>CE150*$AS150</f>
        <v/>
      </c>
      <c r="AQ150" s="6" t="n">
        <v>2016</v>
      </c>
      <c r="AR150" s="6" t="inlineStr">
        <is>
          <t>MINBatMaterials_LI</t>
        </is>
      </c>
      <c r="AS150" s="6" t="n">
        <v>0.105</v>
      </c>
      <c r="AT150" s="6" t="inlineStr">
        <is>
          <t>Mining_facility_representative</t>
        </is>
      </c>
      <c r="AU150" s="6" t="inlineStr">
        <is>
          <t>Representative mining-capacity vintage curve; COB_direct treated as aggregate cobalt-production route including by-product routes.</t>
        </is>
      </c>
      <c r="AV150">
        <f>AV129</f>
        <v/>
      </c>
      <c r="AW150">
        <f>AW129</f>
        <v/>
      </c>
      <c r="AX150">
        <f>AX129</f>
        <v/>
      </c>
      <c r="AY150">
        <f>AY129</f>
        <v/>
      </c>
      <c r="AZ150">
        <f>AZ129</f>
        <v/>
      </c>
      <c r="BA150">
        <f>BA129</f>
        <v/>
      </c>
      <c r="BB150">
        <f>BB129</f>
        <v/>
      </c>
      <c r="BC150">
        <f>BC129</f>
        <v/>
      </c>
      <c r="BD150">
        <f>BD129</f>
        <v/>
      </c>
      <c r="BE150">
        <f>BE129</f>
        <v/>
      </c>
      <c r="BF150">
        <f>BF129</f>
        <v/>
      </c>
      <c r="BG150">
        <f>BG129</f>
        <v/>
      </c>
      <c r="BH150">
        <f>BH129</f>
        <v/>
      </c>
      <c r="BI150">
        <f>BI129</f>
        <v/>
      </c>
      <c r="BJ150">
        <f>BJ129</f>
        <v/>
      </c>
      <c r="BK150">
        <f>BK129</f>
        <v/>
      </c>
      <c r="BL150">
        <f>BL129</f>
        <v/>
      </c>
      <c r="BM150">
        <f>BM129</f>
        <v/>
      </c>
      <c r="BN150">
        <f>BN129</f>
        <v/>
      </c>
      <c r="BO150">
        <f>BO129</f>
        <v/>
      </c>
      <c r="BP150">
        <f>BP129</f>
        <v/>
      </c>
      <c r="BQ150">
        <f>BQ129</f>
        <v/>
      </c>
      <c r="BR150">
        <f>BR129</f>
        <v/>
      </c>
      <c r="BS150">
        <f>BS129</f>
        <v/>
      </c>
      <c r="BT150">
        <f>BT129</f>
        <v/>
      </c>
      <c r="BU150">
        <f>BU129</f>
        <v/>
      </c>
      <c r="BV150">
        <f>BV129</f>
        <v/>
      </c>
      <c r="BW150">
        <f>BW129</f>
        <v/>
      </c>
      <c r="BX150">
        <f>BX129</f>
        <v/>
      </c>
      <c r="BY150">
        <f>BY129</f>
        <v/>
      </c>
      <c r="BZ150">
        <f>BZ129</f>
        <v/>
      </c>
      <c r="CA150">
        <f>CA129</f>
        <v/>
      </c>
      <c r="CB150">
        <f>CB129</f>
        <v/>
      </c>
      <c r="CC150">
        <f>CC129</f>
        <v/>
      </c>
      <c r="CD150">
        <f>CD129</f>
        <v/>
      </c>
      <c r="CE150">
        <f>CE129</f>
        <v/>
      </c>
      <c r="CG150" s="6" t="n">
        <v>2016</v>
      </c>
      <c r="CH150" s="6" t="inlineStr">
        <is>
          <t>MINBatMaterials_LI</t>
        </is>
      </c>
      <c r="CI150" s="6" t="n">
        <v>0.105</v>
      </c>
      <c r="CJ150" s="6" t="n">
        <v>0.105</v>
      </c>
      <c r="CK150" s="6" t="inlineStr">
        <is>
          <t>Mining_facility_representative</t>
        </is>
      </c>
      <c r="CL150" s="6" t="inlineStr">
        <is>
          <t>Mining_facility_representative</t>
        </is>
      </c>
      <c r="CM150" s="6" t="inlineStr">
        <is>
          <t>Mining curve kept the same for China; COB_direct treated as aggregate cobalt-production route including by-product routes.</t>
        </is>
      </c>
    </row>
    <row r="151" ht="14.5" customHeight="1" s="213">
      <c r="D151">
        <f>D150</f>
        <v/>
      </c>
      <c r="E151" t="inlineStr">
        <is>
          <t>MINBatMaterials_NI</t>
        </is>
      </c>
      <c r="F151" s="208">
        <f>AW151*$AS151</f>
        <v/>
      </c>
      <c r="G151" s="208">
        <f>AX151*$AS151</f>
        <v/>
      </c>
      <c r="H151" s="208">
        <f>AY151*$AS151</f>
        <v/>
      </c>
      <c r="I151" s="208">
        <f>AZ151*$AS151</f>
        <v/>
      </c>
      <c r="J151" s="208">
        <f>BA151*$AS151</f>
        <v/>
      </c>
      <c r="K151" s="208">
        <f>BB151*$AS151</f>
        <v/>
      </c>
      <c r="L151" s="208">
        <f>BC151*$AS151</f>
        <v/>
      </c>
      <c r="M151" s="208">
        <f>BD151*$CI151</f>
        <v/>
      </c>
      <c r="N151" s="208">
        <f>BE151*$AS151</f>
        <v/>
      </c>
      <c r="O151" s="208">
        <f>BF151*$AS151</f>
        <v/>
      </c>
      <c r="P151" s="208">
        <f>BG151*$AS151</f>
        <v/>
      </c>
      <c r="Q151" s="208">
        <f>BH151*$AS151</f>
        <v/>
      </c>
      <c r="R151" s="208">
        <f>BI151*$AS151</f>
        <v/>
      </c>
      <c r="S151" s="208">
        <f>BJ151*$AS151</f>
        <v/>
      </c>
      <c r="T151" s="208">
        <f>BK151*$AS151</f>
        <v/>
      </c>
      <c r="U151" s="208">
        <f>BL151*$AS151</f>
        <v/>
      </c>
      <c r="V151" s="208">
        <f>BM151*$AS151</f>
        <v/>
      </c>
      <c r="W151" s="208">
        <f>BN151*$AS151</f>
        <v/>
      </c>
      <c r="X151" s="208">
        <f>BO151*$AS151</f>
        <v/>
      </c>
      <c r="Y151" s="208">
        <f>BP151*$AS151</f>
        <v/>
      </c>
      <c r="Z151" s="208">
        <f>BQ151*$AS151</f>
        <v/>
      </c>
      <c r="AA151" s="208">
        <f>BR151*$AS151</f>
        <v/>
      </c>
      <c r="AB151" s="208">
        <f>BS151*$AS151</f>
        <v/>
      </c>
      <c r="AC151" s="208">
        <f>BT151*$AS151</f>
        <v/>
      </c>
      <c r="AD151" s="208">
        <f>BU151*$AS151</f>
        <v/>
      </c>
      <c r="AE151" s="208">
        <f>BV151*$AS151</f>
        <v/>
      </c>
      <c r="AF151" s="208">
        <f>BW151*$AS151</f>
        <v/>
      </c>
      <c r="AG151" s="208">
        <f>BX151*$AS151</f>
        <v/>
      </c>
      <c r="AH151" s="208">
        <f>BY151*$AS151</f>
        <v/>
      </c>
      <c r="AI151" s="208">
        <f>BZ151*$AS151</f>
        <v/>
      </c>
      <c r="AJ151" s="208">
        <f>CA151*$AS151</f>
        <v/>
      </c>
      <c r="AK151" s="208">
        <f>CB151*$AS151</f>
        <v/>
      </c>
      <c r="AL151" s="208">
        <f>CC151*$AS151</f>
        <v/>
      </c>
      <c r="AM151" s="208">
        <f>CD151*$AS151</f>
        <v/>
      </c>
      <c r="AN151" s="208">
        <f>CE151*$AS151</f>
        <v/>
      </c>
      <c r="AQ151" s="6" t="n">
        <v>2016</v>
      </c>
      <c r="AR151" s="6" t="inlineStr">
        <is>
          <t>MINBatMaterials_NI</t>
        </is>
      </c>
      <c r="AS151" s="6" t="n">
        <v>0.105</v>
      </c>
      <c r="AT151" s="6" t="inlineStr">
        <is>
          <t>Mining_facility_representative</t>
        </is>
      </c>
      <c r="AU151" s="6" t="inlineStr">
        <is>
          <t>Representative mining-capacity vintage curve; COB_direct treated as aggregate cobalt-production route including by-product routes.</t>
        </is>
      </c>
      <c r="AV151">
        <f>AV130</f>
        <v/>
      </c>
      <c r="AW151">
        <f>AW130</f>
        <v/>
      </c>
      <c r="AX151">
        <f>AX130</f>
        <v/>
      </c>
      <c r="AY151">
        <f>AY130</f>
        <v/>
      </c>
      <c r="AZ151">
        <f>AZ130</f>
        <v/>
      </c>
      <c r="BA151">
        <f>BA130</f>
        <v/>
      </c>
      <c r="BB151">
        <f>BB130</f>
        <v/>
      </c>
      <c r="BC151">
        <f>BC130</f>
        <v/>
      </c>
      <c r="BD151">
        <f>BD130</f>
        <v/>
      </c>
      <c r="BE151">
        <f>BE130</f>
        <v/>
      </c>
      <c r="BF151">
        <f>BF130</f>
        <v/>
      </c>
      <c r="BG151">
        <f>BG130</f>
        <v/>
      </c>
      <c r="BH151">
        <f>BH130</f>
        <v/>
      </c>
      <c r="BI151">
        <f>BI130</f>
        <v/>
      </c>
      <c r="BJ151">
        <f>BJ130</f>
        <v/>
      </c>
      <c r="BK151">
        <f>BK130</f>
        <v/>
      </c>
      <c r="BL151">
        <f>BL130</f>
        <v/>
      </c>
      <c r="BM151">
        <f>BM130</f>
        <v/>
      </c>
      <c r="BN151">
        <f>BN130</f>
        <v/>
      </c>
      <c r="BO151">
        <f>BO130</f>
        <v/>
      </c>
      <c r="BP151">
        <f>BP130</f>
        <v/>
      </c>
      <c r="BQ151">
        <f>BQ130</f>
        <v/>
      </c>
      <c r="BR151">
        <f>BR130</f>
        <v/>
      </c>
      <c r="BS151">
        <f>BS130</f>
        <v/>
      </c>
      <c r="BT151">
        <f>BT130</f>
        <v/>
      </c>
      <c r="BU151">
        <f>BU130</f>
        <v/>
      </c>
      <c r="BV151">
        <f>BV130</f>
        <v/>
      </c>
      <c r="BW151">
        <f>BW130</f>
        <v/>
      </c>
      <c r="BX151">
        <f>BX130</f>
        <v/>
      </c>
      <c r="BY151">
        <f>BY130</f>
        <v/>
      </c>
      <c r="BZ151">
        <f>BZ130</f>
        <v/>
      </c>
      <c r="CA151">
        <f>CA130</f>
        <v/>
      </c>
      <c r="CB151">
        <f>CB130</f>
        <v/>
      </c>
      <c r="CC151">
        <f>CC130</f>
        <v/>
      </c>
      <c r="CD151">
        <f>CD130</f>
        <v/>
      </c>
      <c r="CE151">
        <f>CE130</f>
        <v/>
      </c>
      <c r="CG151" s="6" t="n">
        <v>2016</v>
      </c>
      <c r="CH151" s="6" t="inlineStr">
        <is>
          <t>MINBatMaterials_NI</t>
        </is>
      </c>
      <c r="CI151" s="6" t="n">
        <v>0.105</v>
      </c>
      <c r="CJ151" s="6" t="n">
        <v>0.105</v>
      </c>
      <c r="CK151" s="6" t="inlineStr">
        <is>
          <t>Mining_facility_representative</t>
        </is>
      </c>
      <c r="CL151" s="6" t="inlineStr">
        <is>
          <t>Mining_facility_representative</t>
        </is>
      </c>
      <c r="CM151" s="6" t="inlineStr">
        <is>
          <t>Mining curve kept the same for China; COB_direct treated as aggregate cobalt-production route including by-product routes.</t>
        </is>
      </c>
    </row>
    <row r="152" ht="16" customHeight="1" s="213">
      <c r="D152">
        <f>D151</f>
        <v/>
      </c>
      <c r="E152" s="66" t="inlineStr">
        <is>
          <t>MINBatMaterials_COB_direct</t>
        </is>
      </c>
      <c r="F152" s="208">
        <f>AW152*$AS152</f>
        <v/>
      </c>
      <c r="G152" s="208">
        <f>AX152*$AS152</f>
        <v/>
      </c>
      <c r="H152" s="208">
        <f>AY152*$AS152</f>
        <v/>
      </c>
      <c r="I152" s="208">
        <f>AZ152*$AS152</f>
        <v/>
      </c>
      <c r="J152" s="208">
        <f>BA152*$AS152</f>
        <v/>
      </c>
      <c r="K152" s="208">
        <f>BB152*$AS152</f>
        <v/>
      </c>
      <c r="L152" s="208">
        <f>BC152*$AS152</f>
        <v/>
      </c>
      <c r="M152" s="208">
        <f>BD152*$CI152</f>
        <v/>
      </c>
      <c r="N152" s="208">
        <f>BE152*$AS152</f>
        <v/>
      </c>
      <c r="O152" s="208">
        <f>BF152*$AS152</f>
        <v/>
      </c>
      <c r="P152" s="208">
        <f>BG152*$AS152</f>
        <v/>
      </c>
      <c r="Q152" s="208">
        <f>BH152*$AS152</f>
        <v/>
      </c>
      <c r="R152" s="208">
        <f>BI152*$AS152</f>
        <v/>
      </c>
      <c r="S152" s="208">
        <f>BJ152*$AS152</f>
        <v/>
      </c>
      <c r="T152" s="208">
        <f>BK152*$AS152</f>
        <v/>
      </c>
      <c r="U152" s="208">
        <f>BL152*$AS152</f>
        <v/>
      </c>
      <c r="V152" s="208">
        <f>BM152*$AS152</f>
        <v/>
      </c>
      <c r="W152" s="208">
        <f>BN152*$AS152</f>
        <v/>
      </c>
      <c r="X152" s="208">
        <f>BO152*$AS152</f>
        <v/>
      </c>
      <c r="Y152" s="208">
        <f>BP152*$AS152</f>
        <v/>
      </c>
      <c r="Z152" s="208">
        <f>BQ152*$AS152</f>
        <v/>
      </c>
      <c r="AA152" s="208">
        <f>BR152*$AS152</f>
        <v/>
      </c>
      <c r="AB152" s="208">
        <f>BS152*$AS152</f>
        <v/>
      </c>
      <c r="AC152" s="208">
        <f>BT152*$AS152</f>
        <v/>
      </c>
      <c r="AD152" s="208">
        <f>BU152*$AS152</f>
        <v/>
      </c>
      <c r="AE152" s="208">
        <f>BV152*$AS152</f>
        <v/>
      </c>
      <c r="AF152" s="208">
        <f>BW152*$AS152</f>
        <v/>
      </c>
      <c r="AG152" s="208">
        <f>BX152*$AS152</f>
        <v/>
      </c>
      <c r="AH152" s="208">
        <f>BY152*$AS152</f>
        <v/>
      </c>
      <c r="AI152" s="208">
        <f>BZ152*$AS152</f>
        <v/>
      </c>
      <c r="AJ152" s="208">
        <f>CA152*$AS152</f>
        <v/>
      </c>
      <c r="AK152" s="208">
        <f>CB152*$AS152</f>
        <v/>
      </c>
      <c r="AL152" s="208">
        <f>CC152*$AS152</f>
        <v/>
      </c>
      <c r="AM152" s="208">
        <f>CD152*$AS152</f>
        <v/>
      </c>
      <c r="AN152" s="208">
        <f>CE152*$AS152</f>
        <v/>
      </c>
      <c r="AQ152" s="6" t="n">
        <v>2016</v>
      </c>
      <c r="AR152" s="6" t="inlineStr">
        <is>
          <t>MINBatMaterials_COB_direct</t>
        </is>
      </c>
      <c r="AS152" s="6" t="n">
        <v>0.105</v>
      </c>
      <c r="AT152" s="6" t="inlineStr">
        <is>
          <t>Mining_facility_representative</t>
        </is>
      </c>
      <c r="AU152" s="6" t="inlineStr">
        <is>
          <t>Representative mining-capacity vintage curve; COB_direct treated as aggregate cobalt-production route including by-product routes.</t>
        </is>
      </c>
      <c r="AV152">
        <f>AV131</f>
        <v/>
      </c>
      <c r="AW152">
        <f>AW131</f>
        <v/>
      </c>
      <c r="AX152">
        <f>AX131</f>
        <v/>
      </c>
      <c r="AY152">
        <f>AY131</f>
        <v/>
      </c>
      <c r="AZ152">
        <f>AZ131</f>
        <v/>
      </c>
      <c r="BA152">
        <f>BA131</f>
        <v/>
      </c>
      <c r="BB152">
        <f>BB131</f>
        <v/>
      </c>
      <c r="BC152">
        <f>BC131</f>
        <v/>
      </c>
      <c r="BD152">
        <f>BD131</f>
        <v/>
      </c>
      <c r="BE152">
        <f>BE131</f>
        <v/>
      </c>
      <c r="BF152">
        <f>BF131</f>
        <v/>
      </c>
      <c r="BG152">
        <f>BG131</f>
        <v/>
      </c>
      <c r="BH152">
        <f>BH131</f>
        <v/>
      </c>
      <c r="BI152">
        <f>BI131</f>
        <v/>
      </c>
      <c r="BJ152">
        <f>BJ131</f>
        <v/>
      </c>
      <c r="BK152">
        <f>BK131</f>
        <v/>
      </c>
      <c r="BL152">
        <f>BL131</f>
        <v/>
      </c>
      <c r="BM152">
        <f>BM131</f>
        <v/>
      </c>
      <c r="BN152">
        <f>BN131</f>
        <v/>
      </c>
      <c r="BO152">
        <f>BO131</f>
        <v/>
      </c>
      <c r="BP152">
        <f>BP131</f>
        <v/>
      </c>
      <c r="BQ152">
        <f>BQ131</f>
        <v/>
      </c>
      <c r="BR152">
        <f>BR131</f>
        <v/>
      </c>
      <c r="BS152">
        <f>BS131</f>
        <v/>
      </c>
      <c r="BT152">
        <f>BT131</f>
        <v/>
      </c>
      <c r="BU152">
        <f>BU131</f>
        <v/>
      </c>
      <c r="BV152">
        <f>BV131</f>
        <v/>
      </c>
      <c r="BW152">
        <f>BW131</f>
        <v/>
      </c>
      <c r="BX152">
        <f>BX131</f>
        <v/>
      </c>
      <c r="BY152">
        <f>BY131</f>
        <v/>
      </c>
      <c r="BZ152">
        <f>BZ131</f>
        <v/>
      </c>
      <c r="CA152">
        <f>CA131</f>
        <v/>
      </c>
      <c r="CB152">
        <f>CB131</f>
        <v/>
      </c>
      <c r="CC152">
        <f>CC131</f>
        <v/>
      </c>
      <c r="CD152">
        <f>CD131</f>
        <v/>
      </c>
      <c r="CE152">
        <f>CE131</f>
        <v/>
      </c>
      <c r="CG152" s="6" t="n">
        <v>2016</v>
      </c>
      <c r="CH152" s="6" t="inlineStr">
        <is>
          <t>MINBatMaterials_COB_direct</t>
        </is>
      </c>
      <c r="CI152" s="6" t="n">
        <v>0.105</v>
      </c>
      <c r="CJ152" s="6" t="n">
        <v>0.105</v>
      </c>
      <c r="CK152" s="6" t="inlineStr">
        <is>
          <t>Mining_facility_representative</t>
        </is>
      </c>
      <c r="CL152" s="6" t="inlineStr">
        <is>
          <t>Mining_facility_representative</t>
        </is>
      </c>
      <c r="CM152" s="6" t="inlineStr">
        <is>
          <t>Mining curve kept the same for China; COB_direct treated as aggregate cobalt-production route including by-product routes.</t>
        </is>
      </c>
    </row>
    <row r="153" ht="14.5" customHeight="1" s="213">
      <c r="D153">
        <f>D152</f>
        <v/>
      </c>
      <c r="E153" t="inlineStr">
        <is>
          <t>MINBatMaterials_MN</t>
        </is>
      </c>
      <c r="F153" s="208">
        <f>AW153*$AS153</f>
        <v/>
      </c>
      <c r="G153" s="208">
        <f>AX153*$AS153</f>
        <v/>
      </c>
      <c r="H153" s="208">
        <f>AY153*$AS153</f>
        <v/>
      </c>
      <c r="I153" s="208">
        <f>AZ153*$AS153</f>
        <v/>
      </c>
      <c r="J153" s="208">
        <f>BA153*$AS153</f>
        <v/>
      </c>
      <c r="K153" s="208">
        <f>BB153*$AS153</f>
        <v/>
      </c>
      <c r="L153" s="208">
        <f>BC153*$AS153</f>
        <v/>
      </c>
      <c r="M153" s="208">
        <f>BD153*$CI153</f>
        <v/>
      </c>
      <c r="N153" s="208">
        <f>BE153*$AS153</f>
        <v/>
      </c>
      <c r="O153" s="208">
        <f>BF153*$AS153</f>
        <v/>
      </c>
      <c r="P153" s="208">
        <f>BG153*$AS153</f>
        <v/>
      </c>
      <c r="Q153" s="208">
        <f>BH153*$AS153</f>
        <v/>
      </c>
      <c r="R153" s="208">
        <f>BI153*$AS153</f>
        <v/>
      </c>
      <c r="S153" s="208">
        <f>BJ153*$AS153</f>
        <v/>
      </c>
      <c r="T153" s="208">
        <f>BK153*$AS153</f>
        <v/>
      </c>
      <c r="U153" s="208">
        <f>BL153*$AS153</f>
        <v/>
      </c>
      <c r="V153" s="208">
        <f>BM153*$AS153</f>
        <v/>
      </c>
      <c r="W153" s="208">
        <f>BN153*$AS153</f>
        <v/>
      </c>
      <c r="X153" s="208">
        <f>BO153*$AS153</f>
        <v/>
      </c>
      <c r="Y153" s="208">
        <f>BP153*$AS153</f>
        <v/>
      </c>
      <c r="Z153" s="208">
        <f>BQ153*$AS153</f>
        <v/>
      </c>
      <c r="AA153" s="208">
        <f>BR153*$AS153</f>
        <v/>
      </c>
      <c r="AB153" s="208">
        <f>BS153*$AS153</f>
        <v/>
      </c>
      <c r="AC153" s="208">
        <f>BT153*$AS153</f>
        <v/>
      </c>
      <c r="AD153" s="208">
        <f>BU153*$AS153</f>
        <v/>
      </c>
      <c r="AE153" s="208">
        <f>BV153*$AS153</f>
        <v/>
      </c>
      <c r="AF153" s="208">
        <f>BW153*$AS153</f>
        <v/>
      </c>
      <c r="AG153" s="208">
        <f>BX153*$AS153</f>
        <v/>
      </c>
      <c r="AH153" s="208">
        <f>BY153*$AS153</f>
        <v/>
      </c>
      <c r="AI153" s="208">
        <f>BZ153*$AS153</f>
        <v/>
      </c>
      <c r="AJ153" s="208">
        <f>CA153*$AS153</f>
        <v/>
      </c>
      <c r="AK153" s="208">
        <f>CB153*$AS153</f>
        <v/>
      </c>
      <c r="AL153" s="208">
        <f>CC153*$AS153</f>
        <v/>
      </c>
      <c r="AM153" s="208">
        <f>CD153*$AS153</f>
        <v/>
      </c>
      <c r="AN153" s="208">
        <f>CE153*$AS153</f>
        <v/>
      </c>
      <c r="AQ153" s="6" t="n">
        <v>2016</v>
      </c>
      <c r="AR153" s="6" t="inlineStr">
        <is>
          <t>MINBatMaterials_MN</t>
        </is>
      </c>
      <c r="AS153" s="6" t="n">
        <v>0.105</v>
      </c>
      <c r="AT153" s="6" t="inlineStr">
        <is>
          <t>Mining_facility_representative</t>
        </is>
      </c>
      <c r="AU153" s="6" t="inlineStr">
        <is>
          <t>Representative mining-capacity vintage curve; COB_direct treated as aggregate cobalt-production route including by-product routes.</t>
        </is>
      </c>
      <c r="AV153">
        <f>AV132</f>
        <v/>
      </c>
      <c r="AW153">
        <f>AW132</f>
        <v/>
      </c>
      <c r="AX153">
        <f>AX132</f>
        <v/>
      </c>
      <c r="AY153">
        <f>AY132</f>
        <v/>
      </c>
      <c r="AZ153">
        <f>AZ132</f>
        <v/>
      </c>
      <c r="BA153">
        <f>BA132</f>
        <v/>
      </c>
      <c r="BB153">
        <f>BB132</f>
        <v/>
      </c>
      <c r="BC153">
        <f>BC132</f>
        <v/>
      </c>
      <c r="BD153">
        <f>BD132</f>
        <v/>
      </c>
      <c r="BE153">
        <f>BE132</f>
        <v/>
      </c>
      <c r="BF153">
        <f>BF132</f>
        <v/>
      </c>
      <c r="BG153">
        <f>BG132</f>
        <v/>
      </c>
      <c r="BH153">
        <f>BH132</f>
        <v/>
      </c>
      <c r="BI153">
        <f>BI132</f>
        <v/>
      </c>
      <c r="BJ153">
        <f>BJ132</f>
        <v/>
      </c>
      <c r="BK153">
        <f>BK132</f>
        <v/>
      </c>
      <c r="BL153">
        <f>BL132</f>
        <v/>
      </c>
      <c r="BM153">
        <f>BM132</f>
        <v/>
      </c>
      <c r="BN153">
        <f>BN132</f>
        <v/>
      </c>
      <c r="BO153">
        <f>BO132</f>
        <v/>
      </c>
      <c r="BP153">
        <f>BP132</f>
        <v/>
      </c>
      <c r="BQ153">
        <f>BQ132</f>
        <v/>
      </c>
      <c r="BR153">
        <f>BR132</f>
        <v/>
      </c>
      <c r="BS153">
        <f>BS132</f>
        <v/>
      </c>
      <c r="BT153">
        <f>BT132</f>
        <v/>
      </c>
      <c r="BU153">
        <f>BU132</f>
        <v/>
      </c>
      <c r="BV153">
        <f>BV132</f>
        <v/>
      </c>
      <c r="BW153">
        <f>BW132</f>
        <v/>
      </c>
      <c r="BX153">
        <f>BX132</f>
        <v/>
      </c>
      <c r="BY153">
        <f>BY132</f>
        <v/>
      </c>
      <c r="BZ153">
        <f>BZ132</f>
        <v/>
      </c>
      <c r="CA153">
        <f>CA132</f>
        <v/>
      </c>
      <c r="CB153">
        <f>CB132</f>
        <v/>
      </c>
      <c r="CC153">
        <f>CC132</f>
        <v/>
      </c>
      <c r="CD153">
        <f>CD132</f>
        <v/>
      </c>
      <c r="CE153">
        <f>CE132</f>
        <v/>
      </c>
      <c r="CG153" s="6" t="n">
        <v>2016</v>
      </c>
      <c r="CH153" s="6" t="inlineStr">
        <is>
          <t>MINBatMaterials_MN</t>
        </is>
      </c>
      <c r="CI153" s="6" t="n">
        <v>0.105</v>
      </c>
      <c r="CJ153" s="6" t="n">
        <v>0.105</v>
      </c>
      <c r="CK153" s="6" t="inlineStr">
        <is>
          <t>Mining_facility_representative</t>
        </is>
      </c>
      <c r="CL153" s="6" t="inlineStr">
        <is>
          <t>Mining_facility_representative</t>
        </is>
      </c>
      <c r="CM153" s="6" t="inlineStr">
        <is>
          <t>Mining curve kept the same for China; COB_direct treated as aggregate cobalt-production route including by-product routes.</t>
        </is>
      </c>
    </row>
    <row r="154" ht="14.5" customHeight="1" s="213">
      <c r="D154">
        <f>D153</f>
        <v/>
      </c>
      <c r="E154" t="inlineStr">
        <is>
          <t>MINBatMaterials_AL</t>
        </is>
      </c>
      <c r="F154" s="208">
        <f>AW154*$AS154</f>
        <v/>
      </c>
      <c r="G154" s="208">
        <f>AX154*$AS154</f>
        <v/>
      </c>
      <c r="H154" s="208">
        <f>AY154*$AS154</f>
        <v/>
      </c>
      <c r="I154" s="208">
        <f>AZ154*$AS154</f>
        <v/>
      </c>
      <c r="J154" s="208">
        <f>BA154*$AS154</f>
        <v/>
      </c>
      <c r="K154" s="208">
        <f>BB154*$AS154</f>
        <v/>
      </c>
      <c r="L154" s="208">
        <f>BC154*$AS154</f>
        <v/>
      </c>
      <c r="M154" s="208">
        <f>BD154*$CI154</f>
        <v/>
      </c>
      <c r="N154" s="208">
        <f>BE154*$AS154</f>
        <v/>
      </c>
      <c r="O154" s="208">
        <f>BF154*$AS154</f>
        <v/>
      </c>
      <c r="P154" s="208">
        <f>BG154*$AS154</f>
        <v/>
      </c>
      <c r="Q154" s="208">
        <f>BH154*$AS154</f>
        <v/>
      </c>
      <c r="R154" s="208">
        <f>BI154*$AS154</f>
        <v/>
      </c>
      <c r="S154" s="208">
        <f>BJ154*$AS154</f>
        <v/>
      </c>
      <c r="T154" s="208">
        <f>BK154*$AS154</f>
        <v/>
      </c>
      <c r="U154" s="208">
        <f>BL154*$AS154</f>
        <v/>
      </c>
      <c r="V154" s="208">
        <f>BM154*$AS154</f>
        <v/>
      </c>
      <c r="W154" s="208">
        <f>BN154*$AS154</f>
        <v/>
      </c>
      <c r="X154" s="208">
        <f>BO154*$AS154</f>
        <v/>
      </c>
      <c r="Y154" s="208">
        <f>BP154*$AS154</f>
        <v/>
      </c>
      <c r="Z154" s="208">
        <f>BQ154*$AS154</f>
        <v/>
      </c>
      <c r="AA154" s="208">
        <f>BR154*$AS154</f>
        <v/>
      </c>
      <c r="AB154" s="208">
        <f>BS154*$AS154</f>
        <v/>
      </c>
      <c r="AC154" s="208">
        <f>BT154*$AS154</f>
        <v/>
      </c>
      <c r="AD154" s="208">
        <f>BU154*$AS154</f>
        <v/>
      </c>
      <c r="AE154" s="208">
        <f>BV154*$AS154</f>
        <v/>
      </c>
      <c r="AF154" s="208">
        <f>BW154*$AS154</f>
        <v/>
      </c>
      <c r="AG154" s="208">
        <f>BX154*$AS154</f>
        <v/>
      </c>
      <c r="AH154" s="208">
        <f>BY154*$AS154</f>
        <v/>
      </c>
      <c r="AI154" s="208">
        <f>BZ154*$AS154</f>
        <v/>
      </c>
      <c r="AJ154" s="208">
        <f>CA154*$AS154</f>
        <v/>
      </c>
      <c r="AK154" s="208">
        <f>CB154*$AS154</f>
        <v/>
      </c>
      <c r="AL154" s="208">
        <f>CC154*$AS154</f>
        <v/>
      </c>
      <c r="AM154" s="208">
        <f>CD154*$AS154</f>
        <v/>
      </c>
      <c r="AN154" s="208">
        <f>CE154*$AS154</f>
        <v/>
      </c>
      <c r="AQ154" s="6" t="n">
        <v>2016</v>
      </c>
      <c r="AR154" s="6" t="inlineStr">
        <is>
          <t>MINBatMaterials_AL</t>
        </is>
      </c>
      <c r="AS154" s="6" t="n">
        <v>0.105</v>
      </c>
      <c r="AT154" s="6" t="inlineStr">
        <is>
          <t>Mining_facility_representative</t>
        </is>
      </c>
      <c r="AU154" s="6" t="inlineStr">
        <is>
          <t>Representative mining-capacity vintage curve; COB_direct treated as aggregate cobalt-production route including by-product routes.</t>
        </is>
      </c>
      <c r="AV154">
        <f>AV133</f>
        <v/>
      </c>
      <c r="AW154">
        <f>AW133</f>
        <v/>
      </c>
      <c r="AX154">
        <f>AX133</f>
        <v/>
      </c>
      <c r="AY154">
        <f>AY133</f>
        <v/>
      </c>
      <c r="AZ154">
        <f>AZ133</f>
        <v/>
      </c>
      <c r="BA154">
        <f>BA133</f>
        <v/>
      </c>
      <c r="BB154">
        <f>BB133</f>
        <v/>
      </c>
      <c r="BC154">
        <f>BC133</f>
        <v/>
      </c>
      <c r="BD154">
        <f>BD133</f>
        <v/>
      </c>
      <c r="BE154">
        <f>BE133</f>
        <v/>
      </c>
      <c r="BF154">
        <f>BF133</f>
        <v/>
      </c>
      <c r="BG154">
        <f>BG133</f>
        <v/>
      </c>
      <c r="BH154">
        <f>BH133</f>
        <v/>
      </c>
      <c r="BI154">
        <f>BI133</f>
        <v/>
      </c>
      <c r="BJ154">
        <f>BJ133</f>
        <v/>
      </c>
      <c r="BK154">
        <f>BK133</f>
        <v/>
      </c>
      <c r="BL154">
        <f>BL133</f>
        <v/>
      </c>
      <c r="BM154">
        <f>BM133</f>
        <v/>
      </c>
      <c r="BN154">
        <f>BN133</f>
        <v/>
      </c>
      <c r="BO154">
        <f>BO133</f>
        <v/>
      </c>
      <c r="BP154">
        <f>BP133</f>
        <v/>
      </c>
      <c r="BQ154">
        <f>BQ133</f>
        <v/>
      </c>
      <c r="BR154">
        <f>BR133</f>
        <v/>
      </c>
      <c r="BS154">
        <f>BS133</f>
        <v/>
      </c>
      <c r="BT154">
        <f>BT133</f>
        <v/>
      </c>
      <c r="BU154">
        <f>BU133</f>
        <v/>
      </c>
      <c r="BV154">
        <f>BV133</f>
        <v/>
      </c>
      <c r="BW154">
        <f>BW133</f>
        <v/>
      </c>
      <c r="BX154">
        <f>BX133</f>
        <v/>
      </c>
      <c r="BY154">
        <f>BY133</f>
        <v/>
      </c>
      <c r="BZ154">
        <f>BZ133</f>
        <v/>
      </c>
      <c r="CA154">
        <f>CA133</f>
        <v/>
      </c>
      <c r="CB154">
        <f>CB133</f>
        <v/>
      </c>
      <c r="CC154">
        <f>CC133</f>
        <v/>
      </c>
      <c r="CD154">
        <f>CD133</f>
        <v/>
      </c>
      <c r="CE154">
        <f>CE133</f>
        <v/>
      </c>
      <c r="CG154" s="6" t="n">
        <v>2016</v>
      </c>
      <c r="CH154" s="6" t="inlineStr">
        <is>
          <t>MINBatMaterials_AL</t>
        </is>
      </c>
      <c r="CI154" s="6" t="n">
        <v>0.105</v>
      </c>
      <c r="CJ154" s="6" t="n">
        <v>0.105</v>
      </c>
      <c r="CK154" s="6" t="inlineStr">
        <is>
          <t>Mining_facility_representative</t>
        </is>
      </c>
      <c r="CL154" s="6" t="inlineStr">
        <is>
          <t>Mining_facility_representative</t>
        </is>
      </c>
      <c r="CM154" s="6" t="inlineStr">
        <is>
          <t>Mining curve kept the same for China; COB_direct treated as aggregate cobalt-production route including by-product routes.</t>
        </is>
      </c>
    </row>
    <row r="155" ht="14.5" customHeight="1" s="213">
      <c r="D155">
        <f>D154</f>
        <v/>
      </c>
      <c r="E155" t="inlineStr">
        <is>
          <t>MINBatMaterials_COP</t>
        </is>
      </c>
      <c r="F155" s="208">
        <f>AW155*$AS155</f>
        <v/>
      </c>
      <c r="G155" s="208">
        <f>AX155*$AS155</f>
        <v/>
      </c>
      <c r="H155" s="208">
        <f>AY155*$AS155</f>
        <v/>
      </c>
      <c r="I155" s="208">
        <f>AZ155*$AS155</f>
        <v/>
      </c>
      <c r="J155" s="208">
        <f>BA155*$AS155</f>
        <v/>
      </c>
      <c r="K155" s="208">
        <f>BB155*$AS155</f>
        <v/>
      </c>
      <c r="L155" s="208">
        <f>BC155*$AS155</f>
        <v/>
      </c>
      <c r="M155" s="208">
        <f>BD155*$CI155</f>
        <v/>
      </c>
      <c r="N155" s="208">
        <f>BE155*$AS155</f>
        <v/>
      </c>
      <c r="O155" s="208">
        <f>BF155*$AS155</f>
        <v/>
      </c>
      <c r="P155" s="208">
        <f>BG155*$AS155</f>
        <v/>
      </c>
      <c r="Q155" s="208">
        <f>BH155*$AS155</f>
        <v/>
      </c>
      <c r="R155" s="208">
        <f>BI155*$AS155</f>
        <v/>
      </c>
      <c r="S155" s="208">
        <f>BJ155*$AS155</f>
        <v/>
      </c>
      <c r="T155" s="208">
        <f>BK155*$AS155</f>
        <v/>
      </c>
      <c r="U155" s="208">
        <f>BL155*$AS155</f>
        <v/>
      </c>
      <c r="V155" s="208">
        <f>BM155*$AS155</f>
        <v/>
      </c>
      <c r="W155" s="208">
        <f>BN155*$AS155</f>
        <v/>
      </c>
      <c r="X155" s="208">
        <f>BO155*$AS155</f>
        <v/>
      </c>
      <c r="Y155" s="208">
        <f>BP155*$AS155</f>
        <v/>
      </c>
      <c r="Z155" s="208">
        <f>BQ155*$AS155</f>
        <v/>
      </c>
      <c r="AA155" s="208">
        <f>BR155*$AS155</f>
        <v/>
      </c>
      <c r="AB155" s="208">
        <f>BS155*$AS155</f>
        <v/>
      </c>
      <c r="AC155" s="208">
        <f>BT155*$AS155</f>
        <v/>
      </c>
      <c r="AD155" s="208">
        <f>BU155*$AS155</f>
        <v/>
      </c>
      <c r="AE155" s="208">
        <f>BV155*$AS155</f>
        <v/>
      </c>
      <c r="AF155" s="208">
        <f>BW155*$AS155</f>
        <v/>
      </c>
      <c r="AG155" s="208">
        <f>BX155*$AS155</f>
        <v/>
      </c>
      <c r="AH155" s="208">
        <f>BY155*$AS155</f>
        <v/>
      </c>
      <c r="AI155" s="208">
        <f>BZ155*$AS155</f>
        <v/>
      </c>
      <c r="AJ155" s="208">
        <f>CA155*$AS155</f>
        <v/>
      </c>
      <c r="AK155" s="208">
        <f>CB155*$AS155</f>
        <v/>
      </c>
      <c r="AL155" s="208">
        <f>CC155*$AS155</f>
        <v/>
      </c>
      <c r="AM155" s="208">
        <f>CD155*$AS155</f>
        <v/>
      </c>
      <c r="AN155" s="208">
        <f>CE155*$AS155</f>
        <v/>
      </c>
      <c r="AQ155" s="6" t="n">
        <v>2016</v>
      </c>
      <c r="AR155" s="6" t="inlineStr">
        <is>
          <t>MINBatMaterials_COP</t>
        </is>
      </c>
      <c r="AS155" s="6" t="n">
        <v>0.105</v>
      </c>
      <c r="AT155" s="6" t="inlineStr">
        <is>
          <t>Mining_facility_representative</t>
        </is>
      </c>
      <c r="AU155" s="6" t="inlineStr">
        <is>
          <t>Representative mining-capacity vintage curve; COB_direct treated as aggregate cobalt-production route including by-product routes.</t>
        </is>
      </c>
      <c r="AV155">
        <f>AV134</f>
        <v/>
      </c>
      <c r="AW155">
        <f>AW134</f>
        <v/>
      </c>
      <c r="AX155">
        <f>AX134</f>
        <v/>
      </c>
      <c r="AY155">
        <f>AY134</f>
        <v/>
      </c>
      <c r="AZ155">
        <f>AZ134</f>
        <v/>
      </c>
      <c r="BA155">
        <f>BA134</f>
        <v/>
      </c>
      <c r="BB155">
        <f>BB134</f>
        <v/>
      </c>
      <c r="BC155">
        <f>BC134</f>
        <v/>
      </c>
      <c r="BD155">
        <f>BD134</f>
        <v/>
      </c>
      <c r="BE155">
        <f>BE134</f>
        <v/>
      </c>
      <c r="BF155">
        <f>BF134</f>
        <v/>
      </c>
      <c r="BG155">
        <f>BG134</f>
        <v/>
      </c>
      <c r="BH155">
        <f>BH134</f>
        <v/>
      </c>
      <c r="BI155">
        <f>BI134</f>
        <v/>
      </c>
      <c r="BJ155">
        <f>BJ134</f>
        <v/>
      </c>
      <c r="BK155">
        <f>BK134</f>
        <v/>
      </c>
      <c r="BL155">
        <f>BL134</f>
        <v/>
      </c>
      <c r="BM155">
        <f>BM134</f>
        <v/>
      </c>
      <c r="BN155">
        <f>BN134</f>
        <v/>
      </c>
      <c r="BO155">
        <f>BO134</f>
        <v/>
      </c>
      <c r="BP155">
        <f>BP134</f>
        <v/>
      </c>
      <c r="BQ155">
        <f>BQ134</f>
        <v/>
      </c>
      <c r="BR155">
        <f>BR134</f>
        <v/>
      </c>
      <c r="BS155">
        <f>BS134</f>
        <v/>
      </c>
      <c r="BT155">
        <f>BT134</f>
        <v/>
      </c>
      <c r="BU155">
        <f>BU134</f>
        <v/>
      </c>
      <c r="BV155">
        <f>BV134</f>
        <v/>
      </c>
      <c r="BW155">
        <f>BW134</f>
        <v/>
      </c>
      <c r="BX155">
        <f>BX134</f>
        <v/>
      </c>
      <c r="BY155">
        <f>BY134</f>
        <v/>
      </c>
      <c r="BZ155">
        <f>BZ134</f>
        <v/>
      </c>
      <c r="CA155">
        <f>CA134</f>
        <v/>
      </c>
      <c r="CB155">
        <f>CB134</f>
        <v/>
      </c>
      <c r="CC155">
        <f>CC134</f>
        <v/>
      </c>
      <c r="CD155">
        <f>CD134</f>
        <v/>
      </c>
      <c r="CE155">
        <f>CE134</f>
        <v/>
      </c>
      <c r="CG155" s="6" t="n">
        <v>2016</v>
      </c>
      <c r="CH155" s="6" t="inlineStr">
        <is>
          <t>MINBatMaterials_COP</t>
        </is>
      </c>
      <c r="CI155" s="6" t="n">
        <v>0.105</v>
      </c>
      <c r="CJ155" s="6" t="n">
        <v>0.105</v>
      </c>
      <c r="CK155" s="6" t="inlineStr">
        <is>
          <t>Mining_facility_representative</t>
        </is>
      </c>
      <c r="CL155" s="6" t="inlineStr">
        <is>
          <t>Mining_facility_representative</t>
        </is>
      </c>
      <c r="CM155" s="6" t="inlineStr">
        <is>
          <t>Mining curve kept the same for China; COB_direct treated as aggregate cobalt-production route including by-product routes.</t>
        </is>
      </c>
    </row>
    <row r="156" ht="14.5" customHeight="1" s="213">
      <c r="D156">
        <f>D155</f>
        <v/>
      </c>
      <c r="E156" t="inlineStr">
        <is>
          <t>MINBatMaterials_GR</t>
        </is>
      </c>
      <c r="F156" s="208">
        <f>AW156*$AS156</f>
        <v/>
      </c>
      <c r="G156" s="208">
        <f>AX156*$AS156</f>
        <v/>
      </c>
      <c r="H156" s="208">
        <f>AY156*$AS156</f>
        <v/>
      </c>
      <c r="I156" s="208">
        <f>AZ156*$AS156</f>
        <v/>
      </c>
      <c r="J156" s="208">
        <f>BA156*$AS156</f>
        <v/>
      </c>
      <c r="K156" s="208">
        <f>BB156*$AS156</f>
        <v/>
      </c>
      <c r="L156" s="208">
        <f>BC156*$AS156</f>
        <v/>
      </c>
      <c r="M156" s="208">
        <f>BD156*$CI156</f>
        <v/>
      </c>
      <c r="N156" s="208">
        <f>BE156*$AS156</f>
        <v/>
      </c>
      <c r="O156" s="208">
        <f>BF156*$AS156</f>
        <v/>
      </c>
      <c r="P156" s="208">
        <f>BG156*$AS156</f>
        <v/>
      </c>
      <c r="Q156" s="208">
        <f>BH156*$AS156</f>
        <v/>
      </c>
      <c r="R156" s="208">
        <f>BI156*$AS156</f>
        <v/>
      </c>
      <c r="S156" s="208">
        <f>BJ156*$AS156</f>
        <v/>
      </c>
      <c r="T156" s="208">
        <f>BK156*$AS156</f>
        <v/>
      </c>
      <c r="U156" s="208">
        <f>BL156*$AS156</f>
        <v/>
      </c>
      <c r="V156" s="208">
        <f>BM156*$AS156</f>
        <v/>
      </c>
      <c r="W156" s="208">
        <f>BN156*$AS156</f>
        <v/>
      </c>
      <c r="X156" s="208">
        <f>BO156*$AS156</f>
        <v/>
      </c>
      <c r="Y156" s="208">
        <f>BP156*$AS156</f>
        <v/>
      </c>
      <c r="Z156" s="208">
        <f>BQ156*$AS156</f>
        <v/>
      </c>
      <c r="AA156" s="208">
        <f>BR156*$AS156</f>
        <v/>
      </c>
      <c r="AB156" s="208">
        <f>BS156*$AS156</f>
        <v/>
      </c>
      <c r="AC156" s="208">
        <f>BT156*$AS156</f>
        <v/>
      </c>
      <c r="AD156" s="208">
        <f>BU156*$AS156</f>
        <v/>
      </c>
      <c r="AE156" s="208">
        <f>BV156*$AS156</f>
        <v/>
      </c>
      <c r="AF156" s="208">
        <f>BW156*$AS156</f>
        <v/>
      </c>
      <c r="AG156" s="208">
        <f>BX156*$AS156</f>
        <v/>
      </c>
      <c r="AH156" s="208">
        <f>BY156*$AS156</f>
        <v/>
      </c>
      <c r="AI156" s="208">
        <f>BZ156*$AS156</f>
        <v/>
      </c>
      <c r="AJ156" s="208">
        <f>CA156*$AS156</f>
        <v/>
      </c>
      <c r="AK156" s="208">
        <f>CB156*$AS156</f>
        <v/>
      </c>
      <c r="AL156" s="208">
        <f>CC156*$AS156</f>
        <v/>
      </c>
      <c r="AM156" s="208">
        <f>CD156*$AS156</f>
        <v/>
      </c>
      <c r="AN156" s="208">
        <f>CE156*$AS156</f>
        <v/>
      </c>
      <c r="AQ156" s="6" t="n">
        <v>2016</v>
      </c>
      <c r="AR156" s="6" t="inlineStr">
        <is>
          <t>MINBatMaterials_GR</t>
        </is>
      </c>
      <c r="AS156" s="6" t="n">
        <v>0.105</v>
      </c>
      <c r="AT156" s="6" t="inlineStr">
        <is>
          <t>Mining_facility_representative</t>
        </is>
      </c>
      <c r="AU156" s="6" t="inlineStr">
        <is>
          <t>Representative mining-capacity vintage curve; COB_direct treated as aggregate cobalt-production route including by-product routes.</t>
        </is>
      </c>
      <c r="AV156">
        <f>AV135</f>
        <v/>
      </c>
      <c r="AW156">
        <f>AW135</f>
        <v/>
      </c>
      <c r="AX156">
        <f>AX135</f>
        <v/>
      </c>
      <c r="AY156">
        <f>AY135</f>
        <v/>
      </c>
      <c r="AZ156">
        <f>AZ135</f>
        <v/>
      </c>
      <c r="BA156">
        <f>BA135</f>
        <v/>
      </c>
      <c r="BB156">
        <f>BB135</f>
        <v/>
      </c>
      <c r="BC156">
        <f>BC135</f>
        <v/>
      </c>
      <c r="BD156">
        <f>BD135</f>
        <v/>
      </c>
      <c r="BE156">
        <f>BE135</f>
        <v/>
      </c>
      <c r="BF156">
        <f>BF135</f>
        <v/>
      </c>
      <c r="BG156">
        <f>BG135</f>
        <v/>
      </c>
      <c r="BH156">
        <f>BH135</f>
        <v/>
      </c>
      <c r="BI156">
        <f>BI135</f>
        <v/>
      </c>
      <c r="BJ156">
        <f>BJ135</f>
        <v/>
      </c>
      <c r="BK156">
        <f>BK135</f>
        <v/>
      </c>
      <c r="BL156">
        <f>BL135</f>
        <v/>
      </c>
      <c r="BM156">
        <f>BM135</f>
        <v/>
      </c>
      <c r="BN156">
        <f>BN135</f>
        <v/>
      </c>
      <c r="BO156">
        <f>BO135</f>
        <v/>
      </c>
      <c r="BP156">
        <f>BP135</f>
        <v/>
      </c>
      <c r="BQ156">
        <f>BQ135</f>
        <v/>
      </c>
      <c r="BR156">
        <f>BR135</f>
        <v/>
      </c>
      <c r="BS156">
        <f>BS135</f>
        <v/>
      </c>
      <c r="BT156">
        <f>BT135</f>
        <v/>
      </c>
      <c r="BU156">
        <f>BU135</f>
        <v/>
      </c>
      <c r="BV156">
        <f>BV135</f>
        <v/>
      </c>
      <c r="BW156">
        <f>BW135</f>
        <v/>
      </c>
      <c r="BX156">
        <f>BX135</f>
        <v/>
      </c>
      <c r="BY156">
        <f>BY135</f>
        <v/>
      </c>
      <c r="BZ156">
        <f>BZ135</f>
        <v/>
      </c>
      <c r="CA156">
        <f>CA135</f>
        <v/>
      </c>
      <c r="CB156">
        <f>CB135</f>
        <v/>
      </c>
      <c r="CC156">
        <f>CC135</f>
        <v/>
      </c>
      <c r="CD156">
        <f>CD135</f>
        <v/>
      </c>
      <c r="CE156">
        <f>CE135</f>
        <v/>
      </c>
      <c r="CG156" s="6" t="n">
        <v>2016</v>
      </c>
      <c r="CH156" s="6" t="inlineStr">
        <is>
          <t>MINBatMaterials_GR</t>
        </is>
      </c>
      <c r="CI156" s="6" t="n">
        <v>0.105</v>
      </c>
      <c r="CJ156" s="6" t="n">
        <v>0.105</v>
      </c>
      <c r="CK156" s="6" t="inlineStr">
        <is>
          <t>Mining_facility_representative</t>
        </is>
      </c>
      <c r="CL156" s="6" t="inlineStr">
        <is>
          <t>Mining_facility_representative</t>
        </is>
      </c>
      <c r="CM156" s="6" t="inlineStr">
        <is>
          <t>Mining curve kept the same for China; COB_direct treated as aggregate cobalt-production route including by-product routes.</t>
        </is>
      </c>
    </row>
    <row r="157" ht="14.5" customHeight="1" s="213">
      <c r="D157" t="n">
        <v>2016</v>
      </c>
      <c r="E157" t="inlineStr">
        <is>
          <t>Tra_EV_Batt-LFP_virgin</t>
        </is>
      </c>
      <c r="F157" s="208">
        <f>AW157*$AS157</f>
        <v/>
      </c>
      <c r="G157" s="208">
        <f>AX157*$AS157</f>
        <v/>
      </c>
      <c r="H157" s="208">
        <f>AY157*$AS157</f>
        <v/>
      </c>
      <c r="I157" s="208">
        <f>AZ157*$AS157</f>
        <v/>
      </c>
      <c r="J157" s="208">
        <f>BA157*$AS157</f>
        <v/>
      </c>
      <c r="K157" s="208">
        <f>BB157*$AS157</f>
        <v/>
      </c>
      <c r="L157" s="208">
        <f>BC157*$AS157</f>
        <v/>
      </c>
      <c r="M157" s="208">
        <f>BD157*$CI157</f>
        <v/>
      </c>
      <c r="N157" s="208">
        <f>BE157*$AS157</f>
        <v/>
      </c>
      <c r="O157" s="208">
        <f>BF157*$AS157</f>
        <v/>
      </c>
      <c r="P157" s="208">
        <f>BG157*$AS157</f>
        <v/>
      </c>
      <c r="Q157" s="208">
        <f>BH157*$AS157</f>
        <v/>
      </c>
      <c r="R157" s="208">
        <f>BI157*$AS157</f>
        <v/>
      </c>
      <c r="S157" s="208">
        <f>BJ157*$AS157</f>
        <v/>
      </c>
      <c r="T157" s="208">
        <f>BK157*$AS157</f>
        <v/>
      </c>
      <c r="U157" s="208">
        <f>BL157*$AS157</f>
        <v/>
      </c>
      <c r="V157" s="208">
        <f>BM157*$AS157</f>
        <v/>
      </c>
      <c r="W157" s="208">
        <f>BN157*$AS157</f>
        <v/>
      </c>
      <c r="X157" s="208">
        <f>BO157*$AS157</f>
        <v/>
      </c>
      <c r="Y157" s="208">
        <f>BP157*$AS157</f>
        <v/>
      </c>
      <c r="Z157" s="208">
        <f>BQ157*$AS157</f>
        <v/>
      </c>
      <c r="AA157" s="208">
        <f>BR157*$AS157</f>
        <v/>
      </c>
      <c r="AB157" s="208">
        <f>BS157*$AS157</f>
        <v/>
      </c>
      <c r="AC157" s="208">
        <f>BT157*$AS157</f>
        <v/>
      </c>
      <c r="AD157" s="208">
        <f>BU157*$AS157</f>
        <v/>
      </c>
      <c r="AE157" s="208">
        <f>BV157*$AS157</f>
        <v/>
      </c>
      <c r="AF157" s="208">
        <f>BW157*$AS157</f>
        <v/>
      </c>
      <c r="AG157" s="208">
        <f>BX157*$AS157</f>
        <v/>
      </c>
      <c r="AH157" s="208">
        <f>BY157*$AS157</f>
        <v/>
      </c>
      <c r="AI157" s="208">
        <f>BZ157*$AS157</f>
        <v/>
      </c>
      <c r="AJ157" s="208">
        <f>CA157*$AS157</f>
        <v/>
      </c>
      <c r="AK157" s="208">
        <f>CB157*$AS157</f>
        <v/>
      </c>
      <c r="AL157" s="208">
        <f>CC157*$AS157</f>
        <v/>
      </c>
      <c r="AM157" s="208">
        <f>CD157*$AS157</f>
        <v/>
      </c>
      <c r="AN157" s="208">
        <f>CE157*$AS157</f>
        <v/>
      </c>
      <c r="AQ157" s="6" t="n">
        <v>2016</v>
      </c>
      <c r="AR157" s="6" t="inlineStr">
        <is>
          <t>Tra_EV_Batt-LFP_virgin</t>
        </is>
      </c>
      <c r="AS157" s="6" t="n">
        <v>0.09</v>
      </c>
      <c r="AT157" s="6" t="inlineStr">
        <is>
          <t>Transport_EV_general</t>
        </is>
      </c>
      <c r="AU157" s="6" t="inlineStr">
        <is>
          <t>Back-loaded transport EV battery vintage curve based on historical EV deployment shape.</t>
        </is>
      </c>
      <c r="AV157">
        <f>AV136</f>
        <v/>
      </c>
      <c r="AW157">
        <f>AW136</f>
        <v/>
      </c>
      <c r="AX157">
        <f>AX136</f>
        <v/>
      </c>
      <c r="AY157">
        <f>AY136</f>
        <v/>
      </c>
      <c r="AZ157">
        <f>AZ136</f>
        <v/>
      </c>
      <c r="BA157">
        <f>BA136</f>
        <v/>
      </c>
      <c r="BB157">
        <f>BB136</f>
        <v/>
      </c>
      <c r="BC157">
        <f>BC136</f>
        <v/>
      </c>
      <c r="BD157">
        <f>BD136</f>
        <v/>
      </c>
      <c r="BE157">
        <f>BE136</f>
        <v/>
      </c>
      <c r="BF157">
        <f>BF136</f>
        <v/>
      </c>
      <c r="BG157">
        <f>BG136</f>
        <v/>
      </c>
      <c r="BH157">
        <f>BH136</f>
        <v/>
      </c>
      <c r="BI157">
        <f>BI136</f>
        <v/>
      </c>
      <c r="BJ157">
        <f>BJ136</f>
        <v/>
      </c>
      <c r="BK157">
        <f>BK136</f>
        <v/>
      </c>
      <c r="BL157">
        <f>BL136</f>
        <v/>
      </c>
      <c r="BM157">
        <f>BM136</f>
        <v/>
      </c>
      <c r="BN157">
        <f>BN136</f>
        <v/>
      </c>
      <c r="BO157">
        <f>BO136</f>
        <v/>
      </c>
      <c r="BP157">
        <f>BP136</f>
        <v/>
      </c>
      <c r="BQ157">
        <f>BQ136</f>
        <v/>
      </c>
      <c r="BR157">
        <f>BR136</f>
        <v/>
      </c>
      <c r="BS157">
        <f>BS136</f>
        <v/>
      </c>
      <c r="BT157">
        <f>BT136</f>
        <v/>
      </c>
      <c r="BU157">
        <f>BU136</f>
        <v/>
      </c>
      <c r="BV157">
        <f>BV136</f>
        <v/>
      </c>
      <c r="BW157">
        <f>BW136</f>
        <v/>
      </c>
      <c r="BX157">
        <f>BX136</f>
        <v/>
      </c>
      <c r="BY157">
        <f>BY136</f>
        <v/>
      </c>
      <c r="BZ157">
        <f>BZ136</f>
        <v/>
      </c>
      <c r="CA157">
        <f>CA136</f>
        <v/>
      </c>
      <c r="CB157">
        <f>CB136</f>
        <v/>
      </c>
      <c r="CC157">
        <f>CC136</f>
        <v/>
      </c>
      <c r="CD157">
        <f>CD136</f>
        <v/>
      </c>
      <c r="CE157">
        <f>CE136</f>
        <v/>
      </c>
      <c r="CG157" s="6" t="n">
        <v>2016</v>
      </c>
      <c r="CH157" s="6" t="inlineStr">
        <is>
          <t>Tra_EV_Batt-LFP_virgin</t>
        </is>
      </c>
      <c r="CI157" s="6" t="n">
        <v>0.09</v>
      </c>
      <c r="CJ157" s="6" t="n">
        <v>0.15</v>
      </c>
      <c r="CK157" s="6" t="inlineStr">
        <is>
          <t>Transport_EV_global</t>
        </is>
      </c>
      <c r="CL157" s="6" t="inlineStr">
        <is>
          <t>Transport_EV_China</t>
        </is>
      </c>
      <c r="CM157" s="6" t="inlineStr">
        <is>
          <t>China transport EV curve is shifted earlier than the global curve to reflect earlier China EV/e-bus deployment in the 2010s.</t>
        </is>
      </c>
    </row>
    <row r="158" ht="14.5" customHeight="1" s="213">
      <c r="D158">
        <f>D157</f>
        <v/>
      </c>
      <c r="E158" t="inlineStr">
        <is>
          <t>Tra_EV_Batt-NMC622_virgin</t>
        </is>
      </c>
      <c r="F158" s="208">
        <f>AW158*$AS158</f>
        <v/>
      </c>
      <c r="G158" s="208">
        <f>AX158*$AS158</f>
        <v/>
      </c>
      <c r="H158" s="208">
        <f>AY158*$AS158</f>
        <v/>
      </c>
      <c r="I158" s="208">
        <f>AZ158*$AS158</f>
        <v/>
      </c>
      <c r="J158" s="208">
        <f>BA158*$AS158</f>
        <v/>
      </c>
      <c r="K158" s="208">
        <f>BB158*$AS158</f>
        <v/>
      </c>
      <c r="L158" s="208">
        <f>BC158*$AS158</f>
        <v/>
      </c>
      <c r="M158" s="208">
        <f>BD158*$CI158</f>
        <v/>
      </c>
      <c r="N158" s="208">
        <f>BE158*$AS158</f>
        <v/>
      </c>
      <c r="O158" s="208">
        <f>BF158*$AS158</f>
        <v/>
      </c>
      <c r="P158" s="208">
        <f>BG158*$AS158</f>
        <v/>
      </c>
      <c r="Q158" s="208">
        <f>BH158*$AS158</f>
        <v/>
      </c>
      <c r="R158" s="208">
        <f>BI158*$AS158</f>
        <v/>
      </c>
      <c r="S158" s="208">
        <f>BJ158*$AS158</f>
        <v/>
      </c>
      <c r="T158" s="208">
        <f>BK158*$AS158</f>
        <v/>
      </c>
      <c r="U158" s="208">
        <f>BL158*$AS158</f>
        <v/>
      </c>
      <c r="V158" s="208">
        <f>BM158*$AS158</f>
        <v/>
      </c>
      <c r="W158" s="208">
        <f>BN158*$AS158</f>
        <v/>
      </c>
      <c r="X158" s="208">
        <f>BO158*$AS158</f>
        <v/>
      </c>
      <c r="Y158" s="208">
        <f>BP158*$AS158</f>
        <v/>
      </c>
      <c r="Z158" s="208">
        <f>BQ158*$AS158</f>
        <v/>
      </c>
      <c r="AA158" s="208">
        <f>BR158*$AS158</f>
        <v/>
      </c>
      <c r="AB158" s="208">
        <f>BS158*$AS158</f>
        <v/>
      </c>
      <c r="AC158" s="208">
        <f>BT158*$AS158</f>
        <v/>
      </c>
      <c r="AD158" s="208">
        <f>BU158*$AS158</f>
        <v/>
      </c>
      <c r="AE158" s="208">
        <f>BV158*$AS158</f>
        <v/>
      </c>
      <c r="AF158" s="208">
        <f>BW158*$AS158</f>
        <v/>
      </c>
      <c r="AG158" s="208">
        <f>BX158*$AS158</f>
        <v/>
      </c>
      <c r="AH158" s="208">
        <f>BY158*$AS158</f>
        <v/>
      </c>
      <c r="AI158" s="208">
        <f>BZ158*$AS158</f>
        <v/>
      </c>
      <c r="AJ158" s="208">
        <f>CA158*$AS158</f>
        <v/>
      </c>
      <c r="AK158" s="208">
        <f>CB158*$AS158</f>
        <v/>
      </c>
      <c r="AL158" s="208">
        <f>CC158*$AS158</f>
        <v/>
      </c>
      <c r="AM158" s="208">
        <f>CD158*$AS158</f>
        <v/>
      </c>
      <c r="AN158" s="208">
        <f>CE158*$AS158</f>
        <v/>
      </c>
      <c r="AQ158" s="6" t="n">
        <v>2016</v>
      </c>
      <c r="AR158" s="6" t="inlineStr">
        <is>
          <t>Tra_EV_Batt-NMC622_virgin</t>
        </is>
      </c>
      <c r="AS158" s="6" t="n">
        <v>0.09</v>
      </c>
      <c r="AT158" s="6" t="inlineStr">
        <is>
          <t>Transport_EV_general</t>
        </is>
      </c>
      <c r="AU158" s="6" t="inlineStr">
        <is>
          <t>Back-loaded transport EV battery vintage curve based on historical EV deployment shape.</t>
        </is>
      </c>
      <c r="AV158">
        <f>AV137</f>
        <v/>
      </c>
      <c r="AW158">
        <f>AW137</f>
        <v/>
      </c>
      <c r="AX158">
        <f>AX137</f>
        <v/>
      </c>
      <c r="AY158">
        <f>AY137</f>
        <v/>
      </c>
      <c r="AZ158">
        <f>AZ137</f>
        <v/>
      </c>
      <c r="BA158">
        <f>BA137</f>
        <v/>
      </c>
      <c r="BB158">
        <f>BB137</f>
        <v/>
      </c>
      <c r="BC158">
        <f>BC137</f>
        <v/>
      </c>
      <c r="BD158">
        <f>BD137</f>
        <v/>
      </c>
      <c r="BE158">
        <f>BE137</f>
        <v/>
      </c>
      <c r="BF158">
        <f>BF137</f>
        <v/>
      </c>
      <c r="BG158">
        <f>BG137</f>
        <v/>
      </c>
      <c r="BH158">
        <f>BH137</f>
        <v/>
      </c>
      <c r="BI158">
        <f>BI137</f>
        <v/>
      </c>
      <c r="BJ158">
        <f>BJ137</f>
        <v/>
      </c>
      <c r="BK158">
        <f>BK137</f>
        <v/>
      </c>
      <c r="BL158">
        <f>BL137</f>
        <v/>
      </c>
      <c r="BM158">
        <f>BM137</f>
        <v/>
      </c>
      <c r="BN158">
        <f>BN137</f>
        <v/>
      </c>
      <c r="BO158">
        <f>BO137</f>
        <v/>
      </c>
      <c r="BP158">
        <f>BP137</f>
        <v/>
      </c>
      <c r="BQ158">
        <f>BQ137</f>
        <v/>
      </c>
      <c r="BR158">
        <f>BR137</f>
        <v/>
      </c>
      <c r="BS158">
        <f>BS137</f>
        <v/>
      </c>
      <c r="BT158">
        <f>BT137</f>
        <v/>
      </c>
      <c r="BU158">
        <f>BU137</f>
        <v/>
      </c>
      <c r="BV158">
        <f>BV137</f>
        <v/>
      </c>
      <c r="BW158">
        <f>BW137</f>
        <v/>
      </c>
      <c r="BX158">
        <f>BX137</f>
        <v/>
      </c>
      <c r="BY158">
        <f>BY137</f>
        <v/>
      </c>
      <c r="BZ158">
        <f>BZ137</f>
        <v/>
      </c>
      <c r="CA158">
        <f>CA137</f>
        <v/>
      </c>
      <c r="CB158">
        <f>CB137</f>
        <v/>
      </c>
      <c r="CC158">
        <f>CC137</f>
        <v/>
      </c>
      <c r="CD158">
        <f>CD137</f>
        <v/>
      </c>
      <c r="CE158">
        <f>CE137</f>
        <v/>
      </c>
      <c r="CG158" s="6" t="n">
        <v>2016</v>
      </c>
      <c r="CH158" s="6" t="inlineStr">
        <is>
          <t>Tra_EV_Batt-NMC622_virgin</t>
        </is>
      </c>
      <c r="CI158" s="6" t="n">
        <v>0.09</v>
      </c>
      <c r="CJ158" s="6" t="n">
        <v>0.15</v>
      </c>
      <c r="CK158" s="6" t="inlineStr">
        <is>
          <t>Transport_EV_global</t>
        </is>
      </c>
      <c r="CL158" s="6" t="inlineStr">
        <is>
          <t>Transport_EV_China</t>
        </is>
      </c>
      <c r="CM158" s="6" t="inlineStr">
        <is>
          <t>China transport EV curve is shifted earlier than the global curve to reflect earlier China EV/e-bus deployment in the 2010s.</t>
        </is>
      </c>
    </row>
    <row r="159" ht="14.5" customHeight="1" s="213">
      <c r="D159">
        <f>D158</f>
        <v/>
      </c>
      <c r="E159" t="inlineStr">
        <is>
          <t>Tra_EV_Batt-NMC811_virgin</t>
        </is>
      </c>
      <c r="F159" s="208">
        <f>AW159*$AS159</f>
        <v/>
      </c>
      <c r="G159" s="208">
        <f>AX159*$AS159</f>
        <v/>
      </c>
      <c r="H159" s="208">
        <f>AY159*$AS159</f>
        <v/>
      </c>
      <c r="I159" s="208">
        <f>AZ159*$AS159</f>
        <v/>
      </c>
      <c r="J159" s="208">
        <f>BA159*$AS159</f>
        <v/>
      </c>
      <c r="K159" s="208">
        <f>BB159*$AS159</f>
        <v/>
      </c>
      <c r="L159" s="208">
        <f>BC159*$AS159</f>
        <v/>
      </c>
      <c r="M159" s="208">
        <f>BD159*$CI159</f>
        <v/>
      </c>
      <c r="N159" s="208">
        <f>BE159*$AS159</f>
        <v/>
      </c>
      <c r="O159" s="208">
        <f>BF159*$AS159</f>
        <v/>
      </c>
      <c r="P159" s="208">
        <f>BG159*$AS159</f>
        <v/>
      </c>
      <c r="Q159" s="208">
        <f>BH159*$AS159</f>
        <v/>
      </c>
      <c r="R159" s="208">
        <f>BI159*$AS159</f>
        <v/>
      </c>
      <c r="S159" s="208">
        <f>BJ159*$AS159</f>
        <v/>
      </c>
      <c r="T159" s="208">
        <f>BK159*$AS159</f>
        <v/>
      </c>
      <c r="U159" s="208">
        <f>BL159*$AS159</f>
        <v/>
      </c>
      <c r="V159" s="208">
        <f>BM159*$AS159</f>
        <v/>
      </c>
      <c r="W159" s="208">
        <f>BN159*$AS159</f>
        <v/>
      </c>
      <c r="X159" s="208">
        <f>BO159*$AS159</f>
        <v/>
      </c>
      <c r="Y159" s="208">
        <f>BP159*$AS159</f>
        <v/>
      </c>
      <c r="Z159" s="208">
        <f>BQ159*$AS159</f>
        <v/>
      </c>
      <c r="AA159" s="208">
        <f>BR159*$AS159</f>
        <v/>
      </c>
      <c r="AB159" s="208">
        <f>BS159*$AS159</f>
        <v/>
      </c>
      <c r="AC159" s="208">
        <f>BT159*$AS159</f>
        <v/>
      </c>
      <c r="AD159" s="208">
        <f>BU159*$AS159</f>
        <v/>
      </c>
      <c r="AE159" s="208">
        <f>BV159*$AS159</f>
        <v/>
      </c>
      <c r="AF159" s="208">
        <f>BW159*$AS159</f>
        <v/>
      </c>
      <c r="AG159" s="208">
        <f>BX159*$AS159</f>
        <v/>
      </c>
      <c r="AH159" s="208">
        <f>BY159*$AS159</f>
        <v/>
      </c>
      <c r="AI159" s="208">
        <f>BZ159*$AS159</f>
        <v/>
      </c>
      <c r="AJ159" s="208">
        <f>CA159*$AS159</f>
        <v/>
      </c>
      <c r="AK159" s="208">
        <f>CB159*$AS159</f>
        <v/>
      </c>
      <c r="AL159" s="208">
        <f>CC159*$AS159</f>
        <v/>
      </c>
      <c r="AM159" s="208">
        <f>CD159*$AS159</f>
        <v/>
      </c>
      <c r="AN159" s="208">
        <f>CE159*$AS159</f>
        <v/>
      </c>
      <c r="AQ159" s="6" t="n">
        <v>2016</v>
      </c>
      <c r="AR159" s="6" t="inlineStr">
        <is>
          <t>Tra_EV_Batt-NMC811_virgin</t>
        </is>
      </c>
      <c r="AS159" s="6" t="n">
        <v>0.09</v>
      </c>
      <c r="AT159" s="6" t="inlineStr">
        <is>
          <t>Transport_EV_general</t>
        </is>
      </c>
      <c r="AU159" s="6" t="inlineStr">
        <is>
          <t>Back-loaded transport EV battery vintage curve based on historical EV deployment shape.</t>
        </is>
      </c>
      <c r="AV159">
        <f>AV138</f>
        <v/>
      </c>
      <c r="AW159">
        <f>AW138</f>
        <v/>
      </c>
      <c r="AX159">
        <f>AX138</f>
        <v/>
      </c>
      <c r="AY159">
        <f>AY138</f>
        <v/>
      </c>
      <c r="AZ159">
        <f>AZ138</f>
        <v/>
      </c>
      <c r="BA159">
        <f>BA138</f>
        <v/>
      </c>
      <c r="BB159">
        <f>BB138</f>
        <v/>
      </c>
      <c r="BC159">
        <f>BC138</f>
        <v/>
      </c>
      <c r="BD159">
        <f>BD138</f>
        <v/>
      </c>
      <c r="BE159">
        <f>BE138</f>
        <v/>
      </c>
      <c r="BF159">
        <f>BF138</f>
        <v/>
      </c>
      <c r="BG159">
        <f>BG138</f>
        <v/>
      </c>
      <c r="BH159">
        <f>BH138</f>
        <v/>
      </c>
      <c r="BI159">
        <f>BI138</f>
        <v/>
      </c>
      <c r="BJ159">
        <f>BJ138</f>
        <v/>
      </c>
      <c r="BK159">
        <f>BK138</f>
        <v/>
      </c>
      <c r="BL159">
        <f>BL138</f>
        <v/>
      </c>
      <c r="BM159">
        <f>BM138</f>
        <v/>
      </c>
      <c r="BN159">
        <f>BN138</f>
        <v/>
      </c>
      <c r="BO159">
        <f>BO138</f>
        <v/>
      </c>
      <c r="BP159">
        <f>BP138</f>
        <v/>
      </c>
      <c r="BQ159">
        <f>BQ138</f>
        <v/>
      </c>
      <c r="BR159">
        <f>BR138</f>
        <v/>
      </c>
      <c r="BS159">
        <f>BS138</f>
        <v/>
      </c>
      <c r="BT159">
        <f>BT138</f>
        <v/>
      </c>
      <c r="BU159">
        <f>BU138</f>
        <v/>
      </c>
      <c r="BV159">
        <f>BV138</f>
        <v/>
      </c>
      <c r="BW159">
        <f>BW138</f>
        <v/>
      </c>
      <c r="BX159">
        <f>BX138</f>
        <v/>
      </c>
      <c r="BY159">
        <f>BY138</f>
        <v/>
      </c>
      <c r="BZ159">
        <f>BZ138</f>
        <v/>
      </c>
      <c r="CA159">
        <f>CA138</f>
        <v/>
      </c>
      <c r="CB159">
        <f>CB138</f>
        <v/>
      </c>
      <c r="CC159">
        <f>CC138</f>
        <v/>
      </c>
      <c r="CD159">
        <f>CD138</f>
        <v/>
      </c>
      <c r="CE159">
        <f>CE138</f>
        <v/>
      </c>
      <c r="CG159" s="6" t="n">
        <v>2016</v>
      </c>
      <c r="CH159" s="6" t="inlineStr">
        <is>
          <t>Tra_EV_Batt-NMC811_virgin</t>
        </is>
      </c>
      <c r="CI159" s="6" t="n">
        <v>0.09</v>
      </c>
      <c r="CJ159" s="6" t="n">
        <v>0.15</v>
      </c>
      <c r="CK159" s="6" t="inlineStr">
        <is>
          <t>Transport_EV_global</t>
        </is>
      </c>
      <c r="CL159" s="6" t="inlineStr">
        <is>
          <t>Transport_EV_China</t>
        </is>
      </c>
      <c r="CM159" s="6" t="inlineStr">
        <is>
          <t>China transport EV curve is shifted earlier than the global curve to reflect earlier China EV/e-bus deployment in the 2010s.</t>
        </is>
      </c>
    </row>
    <row r="160" ht="14.5" customHeight="1" s="213">
      <c r="D160">
        <f>D159</f>
        <v/>
      </c>
      <c r="E160" t="inlineStr">
        <is>
          <t>Tra_EV_Batt-NMC532_virgin</t>
        </is>
      </c>
      <c r="F160" s="208">
        <f>AW160*$AS160</f>
        <v/>
      </c>
      <c r="G160" s="208">
        <f>AX160*$AS160</f>
        <v/>
      </c>
      <c r="H160" s="208">
        <f>AY160*$AS160</f>
        <v/>
      </c>
      <c r="I160" s="208">
        <f>AZ160*$AS160</f>
        <v/>
      </c>
      <c r="J160" s="208">
        <f>BA160*$AS160</f>
        <v/>
      </c>
      <c r="K160" s="208">
        <f>BB160*$AS160</f>
        <v/>
      </c>
      <c r="L160" s="208">
        <f>BC160*$AS160</f>
        <v/>
      </c>
      <c r="M160" s="208">
        <f>BD160*$CI160</f>
        <v/>
      </c>
      <c r="N160" s="208">
        <f>BE160*$AS160</f>
        <v/>
      </c>
      <c r="O160" s="208">
        <f>BF160*$AS160</f>
        <v/>
      </c>
      <c r="P160" s="208">
        <f>BG160*$AS160</f>
        <v/>
      </c>
      <c r="Q160" s="208">
        <f>BH160*$AS160</f>
        <v/>
      </c>
      <c r="R160" s="208">
        <f>BI160*$AS160</f>
        <v/>
      </c>
      <c r="S160" s="208">
        <f>BJ160*$AS160</f>
        <v/>
      </c>
      <c r="T160" s="208">
        <f>BK160*$AS160</f>
        <v/>
      </c>
      <c r="U160" s="208">
        <f>BL160*$AS160</f>
        <v/>
      </c>
      <c r="V160" s="208">
        <f>BM160*$AS160</f>
        <v/>
      </c>
      <c r="W160" s="208">
        <f>BN160*$AS160</f>
        <v/>
      </c>
      <c r="X160" s="208">
        <f>BO160*$AS160</f>
        <v/>
      </c>
      <c r="Y160" s="208">
        <f>BP160*$AS160</f>
        <v/>
      </c>
      <c r="Z160" s="208">
        <f>BQ160*$AS160</f>
        <v/>
      </c>
      <c r="AA160" s="208">
        <f>BR160*$AS160</f>
        <v/>
      </c>
      <c r="AB160" s="208">
        <f>BS160*$AS160</f>
        <v/>
      </c>
      <c r="AC160" s="208">
        <f>BT160*$AS160</f>
        <v/>
      </c>
      <c r="AD160" s="208">
        <f>BU160*$AS160</f>
        <v/>
      </c>
      <c r="AE160" s="208">
        <f>BV160*$AS160</f>
        <v/>
      </c>
      <c r="AF160" s="208">
        <f>BW160*$AS160</f>
        <v/>
      </c>
      <c r="AG160" s="208">
        <f>BX160*$AS160</f>
        <v/>
      </c>
      <c r="AH160" s="208">
        <f>BY160*$AS160</f>
        <v/>
      </c>
      <c r="AI160" s="208">
        <f>BZ160*$AS160</f>
        <v/>
      </c>
      <c r="AJ160" s="208">
        <f>CA160*$AS160</f>
        <v/>
      </c>
      <c r="AK160" s="208">
        <f>CB160*$AS160</f>
        <v/>
      </c>
      <c r="AL160" s="208">
        <f>CC160*$AS160</f>
        <v/>
      </c>
      <c r="AM160" s="208">
        <f>CD160*$AS160</f>
        <v/>
      </c>
      <c r="AN160" s="208">
        <f>CE160*$AS160</f>
        <v/>
      </c>
      <c r="AQ160" s="6" t="n">
        <v>2016</v>
      </c>
      <c r="AR160" s="6" t="inlineStr">
        <is>
          <t>Tra_EV_Batt-NMC532_virgin</t>
        </is>
      </c>
      <c r="AS160" s="6" t="n">
        <v>0.09</v>
      </c>
      <c r="AT160" s="6" t="inlineStr">
        <is>
          <t>Transport_EV_general</t>
        </is>
      </c>
      <c r="AU160" s="6" t="inlineStr">
        <is>
          <t>Back-loaded transport EV battery vintage curve based on historical EV deployment shape.</t>
        </is>
      </c>
      <c r="AV160">
        <f>AV139</f>
        <v/>
      </c>
      <c r="AW160">
        <f>AW139</f>
        <v/>
      </c>
      <c r="AX160">
        <f>AX139</f>
        <v/>
      </c>
      <c r="AY160">
        <f>AY139</f>
        <v/>
      </c>
      <c r="AZ160">
        <f>AZ139</f>
        <v/>
      </c>
      <c r="BA160">
        <f>BA139</f>
        <v/>
      </c>
      <c r="BB160">
        <f>BB139</f>
        <v/>
      </c>
      <c r="BC160">
        <f>BC139</f>
        <v/>
      </c>
      <c r="BD160">
        <f>BD139</f>
        <v/>
      </c>
      <c r="BE160">
        <f>BE139</f>
        <v/>
      </c>
      <c r="BF160">
        <f>BF139</f>
        <v/>
      </c>
      <c r="BG160">
        <f>BG139</f>
        <v/>
      </c>
      <c r="BH160">
        <f>BH139</f>
        <v/>
      </c>
      <c r="BI160">
        <f>BI139</f>
        <v/>
      </c>
      <c r="BJ160">
        <f>BJ139</f>
        <v/>
      </c>
      <c r="BK160">
        <f>BK139</f>
        <v/>
      </c>
      <c r="BL160">
        <f>BL139</f>
        <v/>
      </c>
      <c r="BM160">
        <f>BM139</f>
        <v/>
      </c>
      <c r="BN160">
        <f>BN139</f>
        <v/>
      </c>
      <c r="BO160">
        <f>BO139</f>
        <v/>
      </c>
      <c r="BP160">
        <f>BP139</f>
        <v/>
      </c>
      <c r="BQ160">
        <f>BQ139</f>
        <v/>
      </c>
      <c r="BR160">
        <f>BR139</f>
        <v/>
      </c>
      <c r="BS160">
        <f>BS139</f>
        <v/>
      </c>
      <c r="BT160">
        <f>BT139</f>
        <v/>
      </c>
      <c r="BU160">
        <f>BU139</f>
        <v/>
      </c>
      <c r="BV160">
        <f>BV139</f>
        <v/>
      </c>
      <c r="BW160">
        <f>BW139</f>
        <v/>
      </c>
      <c r="BX160">
        <f>BX139</f>
        <v/>
      </c>
      <c r="BY160">
        <f>BY139</f>
        <v/>
      </c>
      <c r="BZ160">
        <f>BZ139</f>
        <v/>
      </c>
      <c r="CA160">
        <f>CA139</f>
        <v/>
      </c>
      <c r="CB160">
        <f>CB139</f>
        <v/>
      </c>
      <c r="CC160">
        <f>CC139</f>
        <v/>
      </c>
      <c r="CD160">
        <f>CD139</f>
        <v/>
      </c>
      <c r="CE160">
        <f>CE139</f>
        <v/>
      </c>
      <c r="CG160" s="6" t="n">
        <v>2016</v>
      </c>
      <c r="CH160" s="6" t="inlineStr">
        <is>
          <t>Tra_EV_Batt-NMC532_virgin</t>
        </is>
      </c>
      <c r="CI160" s="6" t="n">
        <v>0.09</v>
      </c>
      <c r="CJ160" s="6" t="n">
        <v>0.15</v>
      </c>
      <c r="CK160" s="6" t="inlineStr">
        <is>
          <t>Transport_EV_global</t>
        </is>
      </c>
      <c r="CL160" s="6" t="inlineStr">
        <is>
          <t>Transport_EV_China</t>
        </is>
      </c>
      <c r="CM160" s="6" t="inlineStr">
        <is>
          <t>China transport EV curve is shifted earlier than the global curve to reflect earlier China EV/e-bus deployment in the 2010s.</t>
        </is>
      </c>
    </row>
    <row r="161" ht="14.5" customHeight="1" s="213">
      <c r="D161">
        <f>D160</f>
        <v/>
      </c>
      <c r="E161" t="inlineStr">
        <is>
          <t>Tra_EV_Batt-NCA_virgin</t>
        </is>
      </c>
      <c r="F161" s="208">
        <f>AW161*$AS161</f>
        <v/>
      </c>
      <c r="G161" s="208">
        <f>AX161*$AS161</f>
        <v/>
      </c>
      <c r="H161" s="208">
        <f>AY161*$AS161</f>
        <v/>
      </c>
      <c r="I161" s="208">
        <f>AZ161*$AS161</f>
        <v/>
      </c>
      <c r="J161" s="208">
        <f>BA161*$AS161</f>
        <v/>
      </c>
      <c r="K161" s="208">
        <f>BB161*$AS161</f>
        <v/>
      </c>
      <c r="L161" s="208">
        <f>BC161*$AS161</f>
        <v/>
      </c>
      <c r="M161" s="208">
        <f>BD161*$CI161</f>
        <v/>
      </c>
      <c r="N161" s="208">
        <f>BE161*$AS161</f>
        <v/>
      </c>
      <c r="O161" s="208">
        <f>BF161*$AS161</f>
        <v/>
      </c>
      <c r="P161" s="208">
        <f>BG161*$AS161</f>
        <v/>
      </c>
      <c r="Q161" s="208">
        <f>BH161*$AS161</f>
        <v/>
      </c>
      <c r="R161" s="208">
        <f>BI161*$AS161</f>
        <v/>
      </c>
      <c r="S161" s="208">
        <f>BJ161*$AS161</f>
        <v/>
      </c>
      <c r="T161" s="208">
        <f>BK161*$AS161</f>
        <v/>
      </c>
      <c r="U161" s="208">
        <f>BL161*$AS161</f>
        <v/>
      </c>
      <c r="V161" s="208">
        <f>BM161*$AS161</f>
        <v/>
      </c>
      <c r="W161" s="208">
        <f>BN161*$AS161</f>
        <v/>
      </c>
      <c r="X161" s="208">
        <f>BO161*$AS161</f>
        <v/>
      </c>
      <c r="Y161" s="208">
        <f>BP161*$AS161</f>
        <v/>
      </c>
      <c r="Z161" s="208">
        <f>BQ161*$AS161</f>
        <v/>
      </c>
      <c r="AA161" s="208">
        <f>BR161*$AS161</f>
        <v/>
      </c>
      <c r="AB161" s="208">
        <f>BS161*$AS161</f>
        <v/>
      </c>
      <c r="AC161" s="208">
        <f>BT161*$AS161</f>
        <v/>
      </c>
      <c r="AD161" s="208">
        <f>BU161*$AS161</f>
        <v/>
      </c>
      <c r="AE161" s="208">
        <f>BV161*$AS161</f>
        <v/>
      </c>
      <c r="AF161" s="208">
        <f>BW161*$AS161</f>
        <v/>
      </c>
      <c r="AG161" s="208">
        <f>BX161*$AS161</f>
        <v/>
      </c>
      <c r="AH161" s="208">
        <f>BY161*$AS161</f>
        <v/>
      </c>
      <c r="AI161" s="208">
        <f>BZ161*$AS161</f>
        <v/>
      </c>
      <c r="AJ161" s="208">
        <f>CA161*$AS161</f>
        <v/>
      </c>
      <c r="AK161" s="208">
        <f>CB161*$AS161</f>
        <v/>
      </c>
      <c r="AL161" s="208">
        <f>CC161*$AS161</f>
        <v/>
      </c>
      <c r="AM161" s="208">
        <f>CD161*$AS161</f>
        <v/>
      </c>
      <c r="AN161" s="208">
        <f>CE161*$AS161</f>
        <v/>
      </c>
      <c r="AQ161" s="6" t="n">
        <v>2016</v>
      </c>
      <c r="AR161" s="6" t="inlineStr">
        <is>
          <t>Tra_EV_Batt-NCA_virgin</t>
        </is>
      </c>
      <c r="AS161" s="6" t="n">
        <v>0.09</v>
      </c>
      <c r="AT161" s="6" t="inlineStr">
        <is>
          <t>Transport_EV_general</t>
        </is>
      </c>
      <c r="AU161" s="6" t="inlineStr">
        <is>
          <t>Back-loaded transport EV battery vintage curve based on historical EV deployment shape.</t>
        </is>
      </c>
      <c r="AV161">
        <f>AV140</f>
        <v/>
      </c>
      <c r="AW161">
        <f>AW140</f>
        <v/>
      </c>
      <c r="AX161">
        <f>AX140</f>
        <v/>
      </c>
      <c r="AY161">
        <f>AY140</f>
        <v/>
      </c>
      <c r="AZ161">
        <f>AZ140</f>
        <v/>
      </c>
      <c r="BA161">
        <f>BA140</f>
        <v/>
      </c>
      <c r="BB161">
        <f>BB140</f>
        <v/>
      </c>
      <c r="BC161">
        <f>BC140</f>
        <v/>
      </c>
      <c r="BD161">
        <f>BD140</f>
        <v/>
      </c>
      <c r="BE161">
        <f>BE140</f>
        <v/>
      </c>
      <c r="BF161">
        <f>BF140</f>
        <v/>
      </c>
      <c r="BG161">
        <f>BG140</f>
        <v/>
      </c>
      <c r="BH161">
        <f>BH140</f>
        <v/>
      </c>
      <c r="BI161">
        <f>BI140</f>
        <v/>
      </c>
      <c r="BJ161">
        <f>BJ140</f>
        <v/>
      </c>
      <c r="BK161">
        <f>BK140</f>
        <v/>
      </c>
      <c r="BL161">
        <f>BL140</f>
        <v/>
      </c>
      <c r="BM161">
        <f>BM140</f>
        <v/>
      </c>
      <c r="BN161">
        <f>BN140</f>
        <v/>
      </c>
      <c r="BO161">
        <f>BO140</f>
        <v/>
      </c>
      <c r="BP161">
        <f>BP140</f>
        <v/>
      </c>
      <c r="BQ161">
        <f>BQ140</f>
        <v/>
      </c>
      <c r="BR161">
        <f>BR140</f>
        <v/>
      </c>
      <c r="BS161">
        <f>BS140</f>
        <v/>
      </c>
      <c r="BT161">
        <f>BT140</f>
        <v/>
      </c>
      <c r="BU161">
        <f>BU140</f>
        <v/>
      </c>
      <c r="BV161">
        <f>BV140</f>
        <v/>
      </c>
      <c r="BW161">
        <f>BW140</f>
        <v/>
      </c>
      <c r="BX161">
        <f>BX140</f>
        <v/>
      </c>
      <c r="BY161">
        <f>BY140</f>
        <v/>
      </c>
      <c r="BZ161">
        <f>BZ140</f>
        <v/>
      </c>
      <c r="CA161">
        <f>CA140</f>
        <v/>
      </c>
      <c r="CB161">
        <f>CB140</f>
        <v/>
      </c>
      <c r="CC161">
        <f>CC140</f>
        <v/>
      </c>
      <c r="CD161">
        <f>CD140</f>
        <v/>
      </c>
      <c r="CE161">
        <f>CE140</f>
        <v/>
      </c>
      <c r="CG161" s="6" t="n">
        <v>2016</v>
      </c>
      <c r="CH161" s="6" t="inlineStr">
        <is>
          <t>Tra_EV_Batt-NCA_virgin</t>
        </is>
      </c>
      <c r="CI161" s="6" t="n">
        <v>0.09</v>
      </c>
      <c r="CJ161" s="6" t="n">
        <v>0.15</v>
      </c>
      <c r="CK161" s="6" t="inlineStr">
        <is>
          <t>Transport_EV_global</t>
        </is>
      </c>
      <c r="CL161" s="6" t="inlineStr">
        <is>
          <t>Transport_EV_China</t>
        </is>
      </c>
      <c r="CM161" s="6" t="inlineStr">
        <is>
          <t>China transport EV curve is shifted earlier than the global curve to reflect earlier China EV/e-bus deployment in the 2010s.</t>
        </is>
      </c>
    </row>
    <row r="162" ht="14.5" customHeight="1" s="213">
      <c r="D162">
        <f>D161</f>
        <v/>
      </c>
      <c r="E162" t="inlineStr">
        <is>
          <t>Tra_EV_Batt-LMO_virgin</t>
        </is>
      </c>
      <c r="F162" s="208">
        <f>AW162*$AS162</f>
        <v/>
      </c>
      <c r="G162" s="208">
        <f>AX162*$AS162</f>
        <v/>
      </c>
      <c r="H162" s="208">
        <f>AY162*$AS162</f>
        <v/>
      </c>
      <c r="I162" s="208">
        <f>AZ162*$AS162</f>
        <v/>
      </c>
      <c r="J162" s="208">
        <f>BA162*$AS162</f>
        <v/>
      </c>
      <c r="K162" s="208">
        <f>BB162*$AS162</f>
        <v/>
      </c>
      <c r="L162" s="208">
        <f>BC162*$AS162</f>
        <v/>
      </c>
      <c r="M162" s="208">
        <f>BD162*$CI162</f>
        <v/>
      </c>
      <c r="N162" s="208">
        <f>BE162*$AS162</f>
        <v/>
      </c>
      <c r="O162" s="208">
        <f>BF162*$AS162</f>
        <v/>
      </c>
      <c r="P162" s="208">
        <f>BG162*$AS162</f>
        <v/>
      </c>
      <c r="Q162" s="208">
        <f>BH162*$AS162</f>
        <v/>
      </c>
      <c r="R162" s="208">
        <f>BI162*$AS162</f>
        <v/>
      </c>
      <c r="S162" s="208">
        <f>BJ162*$AS162</f>
        <v/>
      </c>
      <c r="T162" s="208">
        <f>BK162*$AS162</f>
        <v/>
      </c>
      <c r="U162" s="208">
        <f>BL162*$AS162</f>
        <v/>
      </c>
      <c r="V162" s="208">
        <f>BM162*$AS162</f>
        <v/>
      </c>
      <c r="W162" s="208">
        <f>BN162*$AS162</f>
        <v/>
      </c>
      <c r="X162" s="208">
        <f>BO162*$AS162</f>
        <v/>
      </c>
      <c r="Y162" s="208">
        <f>BP162*$AS162</f>
        <v/>
      </c>
      <c r="Z162" s="208">
        <f>BQ162*$AS162</f>
        <v/>
      </c>
      <c r="AA162" s="208">
        <f>BR162*$AS162</f>
        <v/>
      </c>
      <c r="AB162" s="208">
        <f>BS162*$AS162</f>
        <v/>
      </c>
      <c r="AC162" s="208">
        <f>BT162*$AS162</f>
        <v/>
      </c>
      <c r="AD162" s="208">
        <f>BU162*$AS162</f>
        <v/>
      </c>
      <c r="AE162" s="208">
        <f>BV162*$AS162</f>
        <v/>
      </c>
      <c r="AF162" s="208">
        <f>BW162*$AS162</f>
        <v/>
      </c>
      <c r="AG162" s="208">
        <f>BX162*$AS162</f>
        <v/>
      </c>
      <c r="AH162" s="208">
        <f>BY162*$AS162</f>
        <v/>
      </c>
      <c r="AI162" s="208">
        <f>BZ162*$AS162</f>
        <v/>
      </c>
      <c r="AJ162" s="208">
        <f>CA162*$AS162</f>
        <v/>
      </c>
      <c r="AK162" s="208">
        <f>CB162*$AS162</f>
        <v/>
      </c>
      <c r="AL162" s="208">
        <f>CC162*$AS162</f>
        <v/>
      </c>
      <c r="AM162" s="208">
        <f>CD162*$AS162</f>
        <v/>
      </c>
      <c r="AN162" s="208">
        <f>CE162*$AS162</f>
        <v/>
      </c>
      <c r="AQ162" s="6" t="n">
        <v>2016</v>
      </c>
      <c r="AR162" s="6" t="inlineStr">
        <is>
          <t>Tra_EV_Batt-LMO_virgin</t>
        </is>
      </c>
      <c r="AS162" s="6" t="n">
        <v>0.09</v>
      </c>
      <c r="AT162" s="6" t="inlineStr">
        <is>
          <t>Transport_EV_general</t>
        </is>
      </c>
      <c r="AU162" s="6" t="inlineStr">
        <is>
          <t>Back-loaded transport EV battery vintage curve based on historical EV deployment shape.</t>
        </is>
      </c>
      <c r="AV162">
        <f>AV141</f>
        <v/>
      </c>
      <c r="AW162">
        <f>AW141</f>
        <v/>
      </c>
      <c r="AX162">
        <f>AX141</f>
        <v/>
      </c>
      <c r="AY162">
        <f>AY141</f>
        <v/>
      </c>
      <c r="AZ162">
        <f>AZ141</f>
        <v/>
      </c>
      <c r="BA162">
        <f>BA141</f>
        <v/>
      </c>
      <c r="BB162">
        <f>BB141</f>
        <v/>
      </c>
      <c r="BC162">
        <f>BC141</f>
        <v/>
      </c>
      <c r="BD162">
        <f>BD141</f>
        <v/>
      </c>
      <c r="BE162">
        <f>BE141</f>
        <v/>
      </c>
      <c r="BF162">
        <f>BF141</f>
        <v/>
      </c>
      <c r="BG162">
        <f>BG141</f>
        <v/>
      </c>
      <c r="BH162">
        <f>BH141</f>
        <v/>
      </c>
      <c r="BI162">
        <f>BI141</f>
        <v/>
      </c>
      <c r="BJ162">
        <f>BJ141</f>
        <v/>
      </c>
      <c r="BK162">
        <f>BK141</f>
        <v/>
      </c>
      <c r="BL162">
        <f>BL141</f>
        <v/>
      </c>
      <c r="BM162">
        <f>BM141</f>
        <v/>
      </c>
      <c r="BN162">
        <f>BN141</f>
        <v/>
      </c>
      <c r="BO162">
        <f>BO141</f>
        <v/>
      </c>
      <c r="BP162">
        <f>BP141</f>
        <v/>
      </c>
      <c r="BQ162">
        <f>BQ141</f>
        <v/>
      </c>
      <c r="BR162">
        <f>BR141</f>
        <v/>
      </c>
      <c r="BS162">
        <f>BS141</f>
        <v/>
      </c>
      <c r="BT162">
        <f>BT141</f>
        <v/>
      </c>
      <c r="BU162">
        <f>BU141</f>
        <v/>
      </c>
      <c r="BV162">
        <f>BV141</f>
        <v/>
      </c>
      <c r="BW162">
        <f>BW141</f>
        <v/>
      </c>
      <c r="BX162">
        <f>BX141</f>
        <v/>
      </c>
      <c r="BY162">
        <f>BY141</f>
        <v/>
      </c>
      <c r="BZ162">
        <f>BZ141</f>
        <v/>
      </c>
      <c r="CA162">
        <f>CA141</f>
        <v/>
      </c>
      <c r="CB162">
        <f>CB141</f>
        <v/>
      </c>
      <c r="CC162">
        <f>CC141</f>
        <v/>
      </c>
      <c r="CD162">
        <f>CD141</f>
        <v/>
      </c>
      <c r="CE162">
        <f>CE141</f>
        <v/>
      </c>
      <c r="CG162" s="6" t="n">
        <v>2016</v>
      </c>
      <c r="CH162" s="6" t="inlineStr">
        <is>
          <t>Tra_EV_Batt-LMO_virgin</t>
        </is>
      </c>
      <c r="CI162" s="6" t="n">
        <v>0.09</v>
      </c>
      <c r="CJ162" s="6" t="n">
        <v>0.15</v>
      </c>
      <c r="CK162" s="6" t="inlineStr">
        <is>
          <t>Transport_EV_global</t>
        </is>
      </c>
      <c r="CL162" s="6" t="inlineStr">
        <is>
          <t>Transport_EV_China</t>
        </is>
      </c>
      <c r="CM162" s="6" t="inlineStr">
        <is>
          <t>China transport EV curve is shifted earlier than the global curve to reflect earlier China EV/e-bus deployment in the 2010s.</t>
        </is>
      </c>
    </row>
    <row r="163" ht="14.5" customHeight="1" s="213">
      <c r="D163">
        <f>D162</f>
        <v/>
      </c>
      <c r="E163" t="inlineStr">
        <is>
          <t>Tra_EV_Batt-NMC111_virgin</t>
        </is>
      </c>
      <c r="F163" s="208">
        <f>AW163*$AS163</f>
        <v/>
      </c>
      <c r="G163" s="208">
        <f>AX163*$AS163</f>
        <v/>
      </c>
      <c r="H163" s="208">
        <f>AY163*$AS163</f>
        <v/>
      </c>
      <c r="I163" s="208">
        <f>AZ163*$AS163</f>
        <v/>
      </c>
      <c r="J163" s="208">
        <f>BA163*$AS163</f>
        <v/>
      </c>
      <c r="K163" s="208">
        <f>BB163*$AS163</f>
        <v/>
      </c>
      <c r="L163" s="208">
        <f>BC163*$AS163</f>
        <v/>
      </c>
      <c r="M163" s="208">
        <f>BD163*$CI163</f>
        <v/>
      </c>
      <c r="N163" s="208">
        <f>BE163*$AS163</f>
        <v/>
      </c>
      <c r="O163" s="208">
        <f>BF163*$AS163</f>
        <v/>
      </c>
      <c r="P163" s="208">
        <f>BG163*$AS163</f>
        <v/>
      </c>
      <c r="Q163" s="208">
        <f>BH163*$AS163</f>
        <v/>
      </c>
      <c r="R163" s="208">
        <f>BI163*$AS163</f>
        <v/>
      </c>
      <c r="S163" s="208">
        <f>BJ163*$AS163</f>
        <v/>
      </c>
      <c r="T163" s="208">
        <f>BK163*$AS163</f>
        <v/>
      </c>
      <c r="U163" s="208">
        <f>BL163*$AS163</f>
        <v/>
      </c>
      <c r="V163" s="208">
        <f>BM163*$AS163</f>
        <v/>
      </c>
      <c r="W163" s="208">
        <f>BN163*$AS163</f>
        <v/>
      </c>
      <c r="X163" s="208">
        <f>BO163*$AS163</f>
        <v/>
      </c>
      <c r="Y163" s="208">
        <f>BP163*$AS163</f>
        <v/>
      </c>
      <c r="Z163" s="208">
        <f>BQ163*$AS163</f>
        <v/>
      </c>
      <c r="AA163" s="208">
        <f>BR163*$AS163</f>
        <v/>
      </c>
      <c r="AB163" s="208">
        <f>BS163*$AS163</f>
        <v/>
      </c>
      <c r="AC163" s="208">
        <f>BT163*$AS163</f>
        <v/>
      </c>
      <c r="AD163" s="208">
        <f>BU163*$AS163</f>
        <v/>
      </c>
      <c r="AE163" s="208">
        <f>BV163*$AS163</f>
        <v/>
      </c>
      <c r="AF163" s="208">
        <f>BW163*$AS163</f>
        <v/>
      </c>
      <c r="AG163" s="208">
        <f>BX163*$AS163</f>
        <v/>
      </c>
      <c r="AH163" s="208">
        <f>BY163*$AS163</f>
        <v/>
      </c>
      <c r="AI163" s="208">
        <f>BZ163*$AS163</f>
        <v/>
      </c>
      <c r="AJ163" s="208">
        <f>CA163*$AS163</f>
        <v/>
      </c>
      <c r="AK163" s="208">
        <f>CB163*$AS163</f>
        <v/>
      </c>
      <c r="AL163" s="208">
        <f>CC163*$AS163</f>
        <v/>
      </c>
      <c r="AM163" s="208">
        <f>CD163*$AS163</f>
        <v/>
      </c>
      <c r="AN163" s="208">
        <f>CE163*$AS163</f>
        <v/>
      </c>
      <c r="AQ163" s="6" t="n">
        <v>2016</v>
      </c>
      <c r="AR163" s="6" t="inlineStr">
        <is>
          <t>Tra_EV_Batt-NMC111_virgin</t>
        </is>
      </c>
      <c r="AS163" s="6" t="n">
        <v>0.09</v>
      </c>
      <c r="AT163" s="6" t="inlineStr">
        <is>
          <t>Transport_EV_general</t>
        </is>
      </c>
      <c r="AU163" s="6" t="inlineStr">
        <is>
          <t>Back-loaded transport EV battery vintage curve based on historical EV deployment shape.</t>
        </is>
      </c>
      <c r="AV163">
        <f>AV142</f>
        <v/>
      </c>
      <c r="AW163">
        <f>AW142</f>
        <v/>
      </c>
      <c r="AX163">
        <f>AX142</f>
        <v/>
      </c>
      <c r="AY163">
        <f>AY142</f>
        <v/>
      </c>
      <c r="AZ163">
        <f>AZ142</f>
        <v/>
      </c>
      <c r="BA163">
        <f>BA142</f>
        <v/>
      </c>
      <c r="BB163">
        <f>BB142</f>
        <v/>
      </c>
      <c r="BC163">
        <f>BC142</f>
        <v/>
      </c>
      <c r="BD163">
        <f>BD142</f>
        <v/>
      </c>
      <c r="BE163">
        <f>BE142</f>
        <v/>
      </c>
      <c r="BF163">
        <f>BF142</f>
        <v/>
      </c>
      <c r="BG163">
        <f>BG142</f>
        <v/>
      </c>
      <c r="BH163">
        <f>BH142</f>
        <v/>
      </c>
      <c r="BI163">
        <f>BI142</f>
        <v/>
      </c>
      <c r="BJ163">
        <f>BJ142</f>
        <v/>
      </c>
      <c r="BK163">
        <f>BK142</f>
        <v/>
      </c>
      <c r="BL163">
        <f>BL142</f>
        <v/>
      </c>
      <c r="BM163">
        <f>BM142</f>
        <v/>
      </c>
      <c r="BN163">
        <f>BN142</f>
        <v/>
      </c>
      <c r="BO163">
        <f>BO142</f>
        <v/>
      </c>
      <c r="BP163">
        <f>BP142</f>
        <v/>
      </c>
      <c r="BQ163">
        <f>BQ142</f>
        <v/>
      </c>
      <c r="BR163">
        <f>BR142</f>
        <v/>
      </c>
      <c r="BS163">
        <f>BS142</f>
        <v/>
      </c>
      <c r="BT163">
        <f>BT142</f>
        <v/>
      </c>
      <c r="BU163">
        <f>BU142</f>
        <v/>
      </c>
      <c r="BV163">
        <f>BV142</f>
        <v/>
      </c>
      <c r="BW163">
        <f>BW142</f>
        <v/>
      </c>
      <c r="BX163">
        <f>BX142</f>
        <v/>
      </c>
      <c r="BY163">
        <f>BY142</f>
        <v/>
      </c>
      <c r="BZ163">
        <f>BZ142</f>
        <v/>
      </c>
      <c r="CA163">
        <f>CA142</f>
        <v/>
      </c>
      <c r="CB163">
        <f>CB142</f>
        <v/>
      </c>
      <c r="CC163">
        <f>CC142</f>
        <v/>
      </c>
      <c r="CD163">
        <f>CD142</f>
        <v/>
      </c>
      <c r="CE163">
        <f>CE142</f>
        <v/>
      </c>
      <c r="CG163" s="6" t="n">
        <v>2016</v>
      </c>
      <c r="CH163" s="6" t="inlineStr">
        <is>
          <t>Tra_EV_Batt-NMC111_virgin</t>
        </is>
      </c>
      <c r="CI163" s="6" t="n">
        <v>0.09</v>
      </c>
      <c r="CJ163" s="6" t="n">
        <v>0.15</v>
      </c>
      <c r="CK163" s="6" t="inlineStr">
        <is>
          <t>Transport_EV_global</t>
        </is>
      </c>
      <c r="CL163" s="6" t="inlineStr">
        <is>
          <t>Transport_EV_China</t>
        </is>
      </c>
      <c r="CM163" s="6" t="inlineStr">
        <is>
          <t>China transport EV curve is shifted earlier than the global curve to reflect earlier China EV/e-bus deployment in the 2010s.</t>
        </is>
      </c>
    </row>
    <row r="164" ht="14.5" customHeight="1" s="213">
      <c r="D164">
        <f>D163</f>
        <v/>
      </c>
      <c r="E164" t="inlineStr">
        <is>
          <t>Tra_EV_Batt-LFP_virgin_pack</t>
        </is>
      </c>
      <c r="F164" s="208">
        <f>AW164*$AS164</f>
        <v/>
      </c>
      <c r="G164" s="208">
        <f>AX164*$AS164</f>
        <v/>
      </c>
      <c r="H164" s="208">
        <f>AY164*$AS164</f>
        <v/>
      </c>
      <c r="I164" s="208">
        <f>AZ164*$AS164</f>
        <v/>
      </c>
      <c r="J164" s="208">
        <f>BA164*$AS164</f>
        <v/>
      </c>
      <c r="K164" s="208">
        <f>BB164*$AS164</f>
        <v/>
      </c>
      <c r="L164" s="208">
        <f>BC164*$AS164</f>
        <v/>
      </c>
      <c r="M164" s="208">
        <f>BD164*$CI164</f>
        <v/>
      </c>
      <c r="N164" s="208">
        <f>BE164*$AS164</f>
        <v/>
      </c>
      <c r="O164" s="208">
        <f>BF164*$AS164</f>
        <v/>
      </c>
      <c r="P164" s="208">
        <f>BG164*$AS164</f>
        <v/>
      </c>
      <c r="Q164" s="208">
        <f>BH164*$AS164</f>
        <v/>
      </c>
      <c r="R164" s="208">
        <f>BI164*$AS164</f>
        <v/>
      </c>
      <c r="S164" s="208">
        <f>BJ164*$AS164</f>
        <v/>
      </c>
      <c r="T164" s="208">
        <f>BK164*$AS164</f>
        <v/>
      </c>
      <c r="U164" s="208">
        <f>BL164*$AS164</f>
        <v/>
      </c>
      <c r="V164" s="208">
        <f>BM164*$AS164</f>
        <v/>
      </c>
      <c r="W164" s="208">
        <f>BN164*$AS164</f>
        <v/>
      </c>
      <c r="X164" s="208">
        <f>BO164*$AS164</f>
        <v/>
      </c>
      <c r="Y164" s="208">
        <f>BP164*$AS164</f>
        <v/>
      </c>
      <c r="Z164" s="208">
        <f>BQ164*$AS164</f>
        <v/>
      </c>
      <c r="AA164" s="208">
        <f>BR164*$AS164</f>
        <v/>
      </c>
      <c r="AB164" s="208">
        <f>BS164*$AS164</f>
        <v/>
      </c>
      <c r="AC164" s="208">
        <f>BT164*$AS164</f>
        <v/>
      </c>
      <c r="AD164" s="208">
        <f>BU164*$AS164</f>
        <v/>
      </c>
      <c r="AE164" s="208">
        <f>BV164*$AS164</f>
        <v/>
      </c>
      <c r="AF164" s="208">
        <f>BW164*$AS164</f>
        <v/>
      </c>
      <c r="AG164" s="208">
        <f>BX164*$AS164</f>
        <v/>
      </c>
      <c r="AH164" s="208">
        <f>BY164*$AS164</f>
        <v/>
      </c>
      <c r="AI164" s="208">
        <f>BZ164*$AS164</f>
        <v/>
      </c>
      <c r="AJ164" s="208">
        <f>CA164*$AS164</f>
        <v/>
      </c>
      <c r="AK164" s="208">
        <f>CB164*$AS164</f>
        <v/>
      </c>
      <c r="AL164" s="208">
        <f>CC164*$AS164</f>
        <v/>
      </c>
      <c r="AM164" s="208">
        <f>CD164*$AS164</f>
        <v/>
      </c>
      <c r="AN164" s="208">
        <f>CE164*$AS164</f>
        <v/>
      </c>
      <c r="AQ164" s="6" t="n">
        <v>2016</v>
      </c>
      <c r="AR164" s="6" t="inlineStr">
        <is>
          <t>Tra_EV_Batt-LFP_virgin_pack</t>
        </is>
      </c>
      <c r="AS164" s="6" t="n">
        <v>0.09</v>
      </c>
      <c r="AT164" s="6" t="inlineStr">
        <is>
          <t>Transport_EV_general</t>
        </is>
      </c>
      <c r="AU164" s="6" t="inlineStr">
        <is>
          <t>Back-loaded transport EV battery vintage curve based on historical EV deployment shape.</t>
        </is>
      </c>
      <c r="AV164">
        <f>AV143</f>
        <v/>
      </c>
      <c r="AW164">
        <f>AW143</f>
        <v/>
      </c>
      <c r="AX164">
        <f>AX143</f>
        <v/>
      </c>
      <c r="AY164">
        <f>AY143</f>
        <v/>
      </c>
      <c r="AZ164">
        <f>AZ143</f>
        <v/>
      </c>
      <c r="BA164">
        <f>BA143</f>
        <v/>
      </c>
      <c r="BB164">
        <f>BB143</f>
        <v/>
      </c>
      <c r="BC164">
        <f>BC143</f>
        <v/>
      </c>
      <c r="BD164">
        <f>BD143</f>
        <v/>
      </c>
      <c r="BE164">
        <f>BE143</f>
        <v/>
      </c>
      <c r="BF164">
        <f>BF143</f>
        <v/>
      </c>
      <c r="BG164">
        <f>BG143</f>
        <v/>
      </c>
      <c r="BH164">
        <f>BH143</f>
        <v/>
      </c>
      <c r="BI164">
        <f>BI143</f>
        <v/>
      </c>
      <c r="BJ164">
        <f>BJ143</f>
        <v/>
      </c>
      <c r="BK164">
        <f>BK143</f>
        <v/>
      </c>
      <c r="BL164">
        <f>BL143</f>
        <v/>
      </c>
      <c r="BM164">
        <f>BM143</f>
        <v/>
      </c>
      <c r="BN164">
        <f>BN143</f>
        <v/>
      </c>
      <c r="BO164">
        <f>BO143</f>
        <v/>
      </c>
      <c r="BP164">
        <f>BP143</f>
        <v/>
      </c>
      <c r="BQ164">
        <f>BQ143</f>
        <v/>
      </c>
      <c r="BR164">
        <f>BR143</f>
        <v/>
      </c>
      <c r="BS164">
        <f>BS143</f>
        <v/>
      </c>
      <c r="BT164">
        <f>BT143</f>
        <v/>
      </c>
      <c r="BU164">
        <f>BU143</f>
        <v/>
      </c>
      <c r="BV164">
        <f>BV143</f>
        <v/>
      </c>
      <c r="BW164">
        <f>BW143</f>
        <v/>
      </c>
      <c r="BX164">
        <f>BX143</f>
        <v/>
      </c>
      <c r="BY164">
        <f>BY143</f>
        <v/>
      </c>
      <c r="BZ164">
        <f>BZ143</f>
        <v/>
      </c>
      <c r="CA164">
        <f>CA143</f>
        <v/>
      </c>
      <c r="CB164">
        <f>CB143</f>
        <v/>
      </c>
      <c r="CC164">
        <f>CC143</f>
        <v/>
      </c>
      <c r="CD164">
        <f>CD143</f>
        <v/>
      </c>
      <c r="CE164">
        <f>CE143</f>
        <v/>
      </c>
      <c r="CG164" s="6" t="n">
        <v>2016</v>
      </c>
      <c r="CH164" s="6" t="inlineStr">
        <is>
          <t>Tra_EV_Batt-LFP_virgin_pack</t>
        </is>
      </c>
      <c r="CI164" s="6" t="n">
        <v>0.09</v>
      </c>
      <c r="CJ164" s="6" t="n">
        <v>0.15</v>
      </c>
      <c r="CK164" s="6" t="inlineStr">
        <is>
          <t>Transport_EV_global</t>
        </is>
      </c>
      <c r="CL164" s="6" t="inlineStr">
        <is>
          <t>Transport_EV_China</t>
        </is>
      </c>
      <c r="CM164" s="6" t="inlineStr">
        <is>
          <t>China transport EV curve is shifted earlier than the global curve to reflect earlier China EV/e-bus deployment in the 2010s.</t>
        </is>
      </c>
    </row>
    <row r="165" ht="14.5" customHeight="1" s="213">
      <c r="D165">
        <f>D164</f>
        <v/>
      </c>
      <c r="E165" t="inlineStr">
        <is>
          <t>Tra_EV_Batt-NMC622_virgin_pack</t>
        </is>
      </c>
      <c r="F165" s="208">
        <f>AW165*$AS165</f>
        <v/>
      </c>
      <c r="G165" s="208">
        <f>AX165*$AS165</f>
        <v/>
      </c>
      <c r="H165" s="208">
        <f>AY165*$AS165</f>
        <v/>
      </c>
      <c r="I165" s="208">
        <f>AZ165*$AS165</f>
        <v/>
      </c>
      <c r="J165" s="208">
        <f>BA165*$AS165</f>
        <v/>
      </c>
      <c r="K165" s="208">
        <f>BB165*$AS165</f>
        <v/>
      </c>
      <c r="L165" s="208">
        <f>BC165*$AS165</f>
        <v/>
      </c>
      <c r="M165" s="208">
        <f>BD165*$CI165</f>
        <v/>
      </c>
      <c r="N165" s="208">
        <f>BE165*$AS165</f>
        <v/>
      </c>
      <c r="O165" s="208">
        <f>BF165*$AS165</f>
        <v/>
      </c>
      <c r="P165" s="208">
        <f>BG165*$AS165</f>
        <v/>
      </c>
      <c r="Q165" s="208">
        <f>BH165*$AS165</f>
        <v/>
      </c>
      <c r="R165" s="208">
        <f>BI165*$AS165</f>
        <v/>
      </c>
      <c r="S165" s="208">
        <f>BJ165*$AS165</f>
        <v/>
      </c>
      <c r="T165" s="208">
        <f>BK165*$AS165</f>
        <v/>
      </c>
      <c r="U165" s="208">
        <f>BL165*$AS165</f>
        <v/>
      </c>
      <c r="V165" s="208">
        <f>BM165*$AS165</f>
        <v/>
      </c>
      <c r="W165" s="208">
        <f>BN165*$AS165</f>
        <v/>
      </c>
      <c r="X165" s="208">
        <f>BO165*$AS165</f>
        <v/>
      </c>
      <c r="Y165" s="208">
        <f>BP165*$AS165</f>
        <v/>
      </c>
      <c r="Z165" s="208">
        <f>BQ165*$AS165</f>
        <v/>
      </c>
      <c r="AA165" s="208">
        <f>BR165*$AS165</f>
        <v/>
      </c>
      <c r="AB165" s="208">
        <f>BS165*$AS165</f>
        <v/>
      </c>
      <c r="AC165" s="208">
        <f>BT165*$AS165</f>
        <v/>
      </c>
      <c r="AD165" s="208">
        <f>BU165*$AS165</f>
        <v/>
      </c>
      <c r="AE165" s="208">
        <f>BV165*$AS165</f>
        <v/>
      </c>
      <c r="AF165" s="208">
        <f>BW165*$AS165</f>
        <v/>
      </c>
      <c r="AG165" s="208">
        <f>BX165*$AS165</f>
        <v/>
      </c>
      <c r="AH165" s="208">
        <f>BY165*$AS165</f>
        <v/>
      </c>
      <c r="AI165" s="208">
        <f>BZ165*$AS165</f>
        <v/>
      </c>
      <c r="AJ165" s="208">
        <f>CA165*$AS165</f>
        <v/>
      </c>
      <c r="AK165" s="208">
        <f>CB165*$AS165</f>
        <v/>
      </c>
      <c r="AL165" s="208">
        <f>CC165*$AS165</f>
        <v/>
      </c>
      <c r="AM165" s="208">
        <f>CD165*$AS165</f>
        <v/>
      </c>
      <c r="AN165" s="208">
        <f>CE165*$AS165</f>
        <v/>
      </c>
      <c r="AQ165" s="6" t="n">
        <v>2016</v>
      </c>
      <c r="AR165" s="6" t="inlineStr">
        <is>
          <t>Tra_EV_Batt-NMC622_virgin_pack</t>
        </is>
      </c>
      <c r="AS165" s="6" t="n">
        <v>0.09</v>
      </c>
      <c r="AT165" s="6" t="inlineStr">
        <is>
          <t>Transport_EV_general</t>
        </is>
      </c>
      <c r="AU165" s="6" t="inlineStr">
        <is>
          <t>Back-loaded transport EV battery vintage curve based on historical EV deployment shape.</t>
        </is>
      </c>
      <c r="AV165">
        <f>AV144</f>
        <v/>
      </c>
      <c r="AW165">
        <f>AW144</f>
        <v/>
      </c>
      <c r="AX165">
        <f>AX144</f>
        <v/>
      </c>
      <c r="AY165">
        <f>AY144</f>
        <v/>
      </c>
      <c r="AZ165">
        <f>AZ144</f>
        <v/>
      </c>
      <c r="BA165">
        <f>BA144</f>
        <v/>
      </c>
      <c r="BB165">
        <f>BB144</f>
        <v/>
      </c>
      <c r="BC165">
        <f>BC144</f>
        <v/>
      </c>
      <c r="BD165">
        <f>BD144</f>
        <v/>
      </c>
      <c r="BE165">
        <f>BE144</f>
        <v/>
      </c>
      <c r="BF165">
        <f>BF144</f>
        <v/>
      </c>
      <c r="BG165">
        <f>BG144</f>
        <v/>
      </c>
      <c r="BH165">
        <f>BH144</f>
        <v/>
      </c>
      <c r="BI165">
        <f>BI144</f>
        <v/>
      </c>
      <c r="BJ165">
        <f>BJ144</f>
        <v/>
      </c>
      <c r="BK165">
        <f>BK144</f>
        <v/>
      </c>
      <c r="BL165">
        <f>BL144</f>
        <v/>
      </c>
      <c r="BM165">
        <f>BM144</f>
        <v/>
      </c>
      <c r="BN165">
        <f>BN144</f>
        <v/>
      </c>
      <c r="BO165">
        <f>BO144</f>
        <v/>
      </c>
      <c r="BP165">
        <f>BP144</f>
        <v/>
      </c>
      <c r="BQ165">
        <f>BQ144</f>
        <v/>
      </c>
      <c r="BR165">
        <f>BR144</f>
        <v/>
      </c>
      <c r="BS165">
        <f>BS144</f>
        <v/>
      </c>
      <c r="BT165">
        <f>BT144</f>
        <v/>
      </c>
      <c r="BU165">
        <f>BU144</f>
        <v/>
      </c>
      <c r="BV165">
        <f>BV144</f>
        <v/>
      </c>
      <c r="BW165">
        <f>BW144</f>
        <v/>
      </c>
      <c r="BX165">
        <f>BX144</f>
        <v/>
      </c>
      <c r="BY165">
        <f>BY144</f>
        <v/>
      </c>
      <c r="BZ165">
        <f>BZ144</f>
        <v/>
      </c>
      <c r="CA165">
        <f>CA144</f>
        <v/>
      </c>
      <c r="CB165">
        <f>CB144</f>
        <v/>
      </c>
      <c r="CC165">
        <f>CC144</f>
        <v/>
      </c>
      <c r="CD165">
        <f>CD144</f>
        <v/>
      </c>
      <c r="CE165">
        <f>CE144</f>
        <v/>
      </c>
      <c r="CG165" s="6" t="n">
        <v>2016</v>
      </c>
      <c r="CH165" s="6" t="inlineStr">
        <is>
          <t>Tra_EV_Batt-NMC622_virgin_pack</t>
        </is>
      </c>
      <c r="CI165" s="6" t="n">
        <v>0.09</v>
      </c>
      <c r="CJ165" s="6" t="n">
        <v>0.15</v>
      </c>
      <c r="CK165" s="6" t="inlineStr">
        <is>
          <t>Transport_EV_global</t>
        </is>
      </c>
      <c r="CL165" s="6" t="inlineStr">
        <is>
          <t>Transport_EV_China</t>
        </is>
      </c>
      <c r="CM165" s="6" t="inlineStr">
        <is>
          <t>China transport EV curve is shifted earlier than the global curve to reflect earlier China EV/e-bus deployment in the 2010s.</t>
        </is>
      </c>
    </row>
    <row r="166" ht="14.5" customHeight="1" s="213">
      <c r="D166">
        <f>D165</f>
        <v/>
      </c>
      <c r="E166" t="inlineStr">
        <is>
          <t>Tra_EV_Batt-NMC811_virgin_pack</t>
        </is>
      </c>
      <c r="F166" s="208">
        <f>AW166*$AS166</f>
        <v/>
      </c>
      <c r="G166" s="208">
        <f>AX166*$AS166</f>
        <v/>
      </c>
      <c r="H166" s="208">
        <f>AY166*$AS166</f>
        <v/>
      </c>
      <c r="I166" s="208">
        <f>AZ166*$AS166</f>
        <v/>
      </c>
      <c r="J166" s="208">
        <f>BA166*$AS166</f>
        <v/>
      </c>
      <c r="K166" s="208">
        <f>BB166*$AS166</f>
        <v/>
      </c>
      <c r="L166" s="208">
        <f>BC166*$AS166</f>
        <v/>
      </c>
      <c r="M166" s="208">
        <f>BD166*$CI166</f>
        <v/>
      </c>
      <c r="N166" s="208">
        <f>BE166*$AS166</f>
        <v/>
      </c>
      <c r="O166" s="208">
        <f>BF166*$AS166</f>
        <v/>
      </c>
      <c r="P166" s="208">
        <f>BG166*$AS166</f>
        <v/>
      </c>
      <c r="Q166" s="208">
        <f>BH166*$AS166</f>
        <v/>
      </c>
      <c r="R166" s="208">
        <f>BI166*$AS166</f>
        <v/>
      </c>
      <c r="S166" s="208">
        <f>BJ166*$AS166</f>
        <v/>
      </c>
      <c r="T166" s="208">
        <f>BK166*$AS166</f>
        <v/>
      </c>
      <c r="U166" s="208">
        <f>BL166*$AS166</f>
        <v/>
      </c>
      <c r="V166" s="208">
        <f>BM166*$AS166</f>
        <v/>
      </c>
      <c r="W166" s="208">
        <f>BN166*$AS166</f>
        <v/>
      </c>
      <c r="X166" s="208">
        <f>BO166*$AS166</f>
        <v/>
      </c>
      <c r="Y166" s="208">
        <f>BP166*$AS166</f>
        <v/>
      </c>
      <c r="Z166" s="208">
        <f>BQ166*$AS166</f>
        <v/>
      </c>
      <c r="AA166" s="208">
        <f>BR166*$AS166</f>
        <v/>
      </c>
      <c r="AB166" s="208">
        <f>BS166*$AS166</f>
        <v/>
      </c>
      <c r="AC166" s="208">
        <f>BT166*$AS166</f>
        <v/>
      </c>
      <c r="AD166" s="208">
        <f>BU166*$AS166</f>
        <v/>
      </c>
      <c r="AE166" s="208">
        <f>BV166*$AS166</f>
        <v/>
      </c>
      <c r="AF166" s="208">
        <f>BW166*$AS166</f>
        <v/>
      </c>
      <c r="AG166" s="208">
        <f>BX166*$AS166</f>
        <v/>
      </c>
      <c r="AH166" s="208">
        <f>BY166*$AS166</f>
        <v/>
      </c>
      <c r="AI166" s="208">
        <f>BZ166*$AS166</f>
        <v/>
      </c>
      <c r="AJ166" s="208">
        <f>CA166*$AS166</f>
        <v/>
      </c>
      <c r="AK166" s="208">
        <f>CB166*$AS166</f>
        <v/>
      </c>
      <c r="AL166" s="208">
        <f>CC166*$AS166</f>
        <v/>
      </c>
      <c r="AM166" s="208">
        <f>CD166*$AS166</f>
        <v/>
      </c>
      <c r="AN166" s="208">
        <f>CE166*$AS166</f>
        <v/>
      </c>
      <c r="AQ166" s="6" t="n">
        <v>2016</v>
      </c>
      <c r="AR166" s="6" t="inlineStr">
        <is>
          <t>Tra_EV_Batt-NMC811_virgin_pack</t>
        </is>
      </c>
      <c r="AS166" s="6" t="n">
        <v>0.09</v>
      </c>
      <c r="AT166" s="6" t="inlineStr">
        <is>
          <t>Transport_EV_general</t>
        </is>
      </c>
      <c r="AU166" s="6" t="inlineStr">
        <is>
          <t>Back-loaded transport EV battery vintage curve based on historical EV deployment shape.</t>
        </is>
      </c>
      <c r="AV166">
        <f>AV145</f>
        <v/>
      </c>
      <c r="AW166">
        <f>AW145</f>
        <v/>
      </c>
      <c r="AX166">
        <f>AX145</f>
        <v/>
      </c>
      <c r="AY166">
        <f>AY145</f>
        <v/>
      </c>
      <c r="AZ166">
        <f>AZ145</f>
        <v/>
      </c>
      <c r="BA166">
        <f>BA145</f>
        <v/>
      </c>
      <c r="BB166">
        <f>BB145</f>
        <v/>
      </c>
      <c r="BC166">
        <f>BC145</f>
        <v/>
      </c>
      <c r="BD166">
        <f>BD145</f>
        <v/>
      </c>
      <c r="BE166">
        <f>BE145</f>
        <v/>
      </c>
      <c r="BF166">
        <f>BF145</f>
        <v/>
      </c>
      <c r="BG166">
        <f>BG145</f>
        <v/>
      </c>
      <c r="BH166">
        <f>BH145</f>
        <v/>
      </c>
      <c r="BI166">
        <f>BI145</f>
        <v/>
      </c>
      <c r="BJ166">
        <f>BJ145</f>
        <v/>
      </c>
      <c r="BK166">
        <f>BK145</f>
        <v/>
      </c>
      <c r="BL166">
        <f>BL145</f>
        <v/>
      </c>
      <c r="BM166">
        <f>BM145</f>
        <v/>
      </c>
      <c r="BN166">
        <f>BN145</f>
        <v/>
      </c>
      <c r="BO166">
        <f>BO145</f>
        <v/>
      </c>
      <c r="BP166">
        <f>BP145</f>
        <v/>
      </c>
      <c r="BQ166">
        <f>BQ145</f>
        <v/>
      </c>
      <c r="BR166">
        <f>BR145</f>
        <v/>
      </c>
      <c r="BS166">
        <f>BS145</f>
        <v/>
      </c>
      <c r="BT166">
        <f>BT145</f>
        <v/>
      </c>
      <c r="BU166">
        <f>BU145</f>
        <v/>
      </c>
      <c r="BV166">
        <f>BV145</f>
        <v/>
      </c>
      <c r="BW166">
        <f>BW145</f>
        <v/>
      </c>
      <c r="BX166">
        <f>BX145</f>
        <v/>
      </c>
      <c r="BY166">
        <f>BY145</f>
        <v/>
      </c>
      <c r="BZ166">
        <f>BZ145</f>
        <v/>
      </c>
      <c r="CA166">
        <f>CA145</f>
        <v/>
      </c>
      <c r="CB166">
        <f>CB145</f>
        <v/>
      </c>
      <c r="CC166">
        <f>CC145</f>
        <v/>
      </c>
      <c r="CD166">
        <f>CD145</f>
        <v/>
      </c>
      <c r="CE166">
        <f>CE145</f>
        <v/>
      </c>
      <c r="CG166" s="6" t="n">
        <v>2016</v>
      </c>
      <c r="CH166" s="6" t="inlineStr">
        <is>
          <t>Tra_EV_Batt-NMC811_virgin_pack</t>
        </is>
      </c>
      <c r="CI166" s="6" t="n">
        <v>0.09</v>
      </c>
      <c r="CJ166" s="6" t="n">
        <v>0.15</v>
      </c>
      <c r="CK166" s="6" t="inlineStr">
        <is>
          <t>Transport_EV_global</t>
        </is>
      </c>
      <c r="CL166" s="6" t="inlineStr">
        <is>
          <t>Transport_EV_China</t>
        </is>
      </c>
      <c r="CM166" s="6" t="inlineStr">
        <is>
          <t>China transport EV curve is shifted earlier than the global curve to reflect earlier China EV/e-bus deployment in the 2010s.</t>
        </is>
      </c>
    </row>
    <row r="167" ht="14.5" customHeight="1" s="213">
      <c r="D167">
        <f>D166</f>
        <v/>
      </c>
      <c r="E167" t="inlineStr">
        <is>
          <t>Tra_EV_Batt-NMC532_virgin_pack</t>
        </is>
      </c>
      <c r="F167" s="208">
        <f>AW167*$AS167</f>
        <v/>
      </c>
      <c r="G167" s="208">
        <f>AX167*$AS167</f>
        <v/>
      </c>
      <c r="H167" s="208">
        <f>AY167*$AS167</f>
        <v/>
      </c>
      <c r="I167" s="208">
        <f>AZ167*$AS167</f>
        <v/>
      </c>
      <c r="J167" s="208">
        <f>BA167*$AS167</f>
        <v/>
      </c>
      <c r="K167" s="208">
        <f>BB167*$AS167</f>
        <v/>
      </c>
      <c r="L167" s="208">
        <f>BC167*$AS167</f>
        <v/>
      </c>
      <c r="M167" s="208">
        <f>BD167*$CI167</f>
        <v/>
      </c>
      <c r="N167" s="208">
        <f>BE167*$AS167</f>
        <v/>
      </c>
      <c r="O167" s="208">
        <f>BF167*$AS167</f>
        <v/>
      </c>
      <c r="P167" s="208">
        <f>BG167*$AS167</f>
        <v/>
      </c>
      <c r="Q167" s="208">
        <f>BH167*$AS167</f>
        <v/>
      </c>
      <c r="R167" s="208">
        <f>BI167*$AS167</f>
        <v/>
      </c>
      <c r="S167" s="208">
        <f>BJ167*$AS167</f>
        <v/>
      </c>
      <c r="T167" s="208">
        <f>BK167*$AS167</f>
        <v/>
      </c>
      <c r="U167" s="208">
        <f>BL167*$AS167</f>
        <v/>
      </c>
      <c r="V167" s="208">
        <f>BM167*$AS167</f>
        <v/>
      </c>
      <c r="W167" s="208">
        <f>BN167*$AS167</f>
        <v/>
      </c>
      <c r="X167" s="208">
        <f>BO167*$AS167</f>
        <v/>
      </c>
      <c r="Y167" s="208">
        <f>BP167*$AS167</f>
        <v/>
      </c>
      <c r="Z167" s="208">
        <f>BQ167*$AS167</f>
        <v/>
      </c>
      <c r="AA167" s="208">
        <f>BR167*$AS167</f>
        <v/>
      </c>
      <c r="AB167" s="208">
        <f>BS167*$AS167</f>
        <v/>
      </c>
      <c r="AC167" s="208">
        <f>BT167*$AS167</f>
        <v/>
      </c>
      <c r="AD167" s="208">
        <f>BU167*$AS167</f>
        <v/>
      </c>
      <c r="AE167" s="208">
        <f>BV167*$AS167</f>
        <v/>
      </c>
      <c r="AF167" s="208">
        <f>BW167*$AS167</f>
        <v/>
      </c>
      <c r="AG167" s="208">
        <f>BX167*$AS167</f>
        <v/>
      </c>
      <c r="AH167" s="208">
        <f>BY167*$AS167</f>
        <v/>
      </c>
      <c r="AI167" s="208">
        <f>BZ167*$AS167</f>
        <v/>
      </c>
      <c r="AJ167" s="208">
        <f>CA167*$AS167</f>
        <v/>
      </c>
      <c r="AK167" s="208">
        <f>CB167*$AS167</f>
        <v/>
      </c>
      <c r="AL167" s="208">
        <f>CC167*$AS167</f>
        <v/>
      </c>
      <c r="AM167" s="208">
        <f>CD167*$AS167</f>
        <v/>
      </c>
      <c r="AN167" s="208">
        <f>CE167*$AS167</f>
        <v/>
      </c>
      <c r="AQ167" s="6" t="n">
        <v>2016</v>
      </c>
      <c r="AR167" s="6" t="inlineStr">
        <is>
          <t>Tra_EV_Batt-NMC532_virgin_pack</t>
        </is>
      </c>
      <c r="AS167" s="6" t="n">
        <v>0.09</v>
      </c>
      <c r="AT167" s="6" t="inlineStr">
        <is>
          <t>Transport_EV_general</t>
        </is>
      </c>
      <c r="AU167" s="6" t="inlineStr">
        <is>
          <t>Back-loaded transport EV battery vintage curve based on historical EV deployment shape.</t>
        </is>
      </c>
      <c r="AV167">
        <f>AV146</f>
        <v/>
      </c>
      <c r="AW167">
        <f>AW146</f>
        <v/>
      </c>
      <c r="AX167">
        <f>AX146</f>
        <v/>
      </c>
      <c r="AY167">
        <f>AY146</f>
        <v/>
      </c>
      <c r="AZ167">
        <f>AZ146</f>
        <v/>
      </c>
      <c r="BA167">
        <f>BA146</f>
        <v/>
      </c>
      <c r="BB167">
        <f>BB146</f>
        <v/>
      </c>
      <c r="BC167">
        <f>BC146</f>
        <v/>
      </c>
      <c r="BD167">
        <f>BD146</f>
        <v/>
      </c>
      <c r="BE167">
        <f>BE146</f>
        <v/>
      </c>
      <c r="BF167">
        <f>BF146</f>
        <v/>
      </c>
      <c r="BG167">
        <f>BG146</f>
        <v/>
      </c>
      <c r="BH167">
        <f>BH146</f>
        <v/>
      </c>
      <c r="BI167">
        <f>BI146</f>
        <v/>
      </c>
      <c r="BJ167">
        <f>BJ146</f>
        <v/>
      </c>
      <c r="BK167">
        <f>BK146</f>
        <v/>
      </c>
      <c r="BL167">
        <f>BL146</f>
        <v/>
      </c>
      <c r="BM167">
        <f>BM146</f>
        <v/>
      </c>
      <c r="BN167">
        <f>BN146</f>
        <v/>
      </c>
      <c r="BO167">
        <f>BO146</f>
        <v/>
      </c>
      <c r="BP167">
        <f>BP146</f>
        <v/>
      </c>
      <c r="BQ167">
        <f>BQ146</f>
        <v/>
      </c>
      <c r="BR167">
        <f>BR146</f>
        <v/>
      </c>
      <c r="BS167">
        <f>BS146</f>
        <v/>
      </c>
      <c r="BT167">
        <f>BT146</f>
        <v/>
      </c>
      <c r="BU167">
        <f>BU146</f>
        <v/>
      </c>
      <c r="BV167">
        <f>BV146</f>
        <v/>
      </c>
      <c r="BW167">
        <f>BW146</f>
        <v/>
      </c>
      <c r="BX167">
        <f>BX146</f>
        <v/>
      </c>
      <c r="BY167">
        <f>BY146</f>
        <v/>
      </c>
      <c r="BZ167">
        <f>BZ146</f>
        <v/>
      </c>
      <c r="CA167">
        <f>CA146</f>
        <v/>
      </c>
      <c r="CB167">
        <f>CB146</f>
        <v/>
      </c>
      <c r="CC167">
        <f>CC146</f>
        <v/>
      </c>
      <c r="CD167">
        <f>CD146</f>
        <v/>
      </c>
      <c r="CE167">
        <f>CE146</f>
        <v/>
      </c>
      <c r="CG167" s="6" t="n">
        <v>2016</v>
      </c>
      <c r="CH167" s="6" t="inlineStr">
        <is>
          <t>Tra_EV_Batt-NMC532_virgin_pack</t>
        </is>
      </c>
      <c r="CI167" s="6" t="n">
        <v>0.09</v>
      </c>
      <c r="CJ167" s="6" t="n">
        <v>0.15</v>
      </c>
      <c r="CK167" s="6" t="inlineStr">
        <is>
          <t>Transport_EV_global</t>
        </is>
      </c>
      <c r="CL167" s="6" t="inlineStr">
        <is>
          <t>Transport_EV_China</t>
        </is>
      </c>
      <c r="CM167" s="6" t="inlineStr">
        <is>
          <t>China transport EV curve is shifted earlier than the global curve to reflect earlier China EV/e-bus deployment in the 2010s.</t>
        </is>
      </c>
    </row>
    <row r="168" ht="14.5" customHeight="1" s="213">
      <c r="D168">
        <f>D167</f>
        <v/>
      </c>
      <c r="E168" t="inlineStr">
        <is>
          <t>Tra_EV_Batt-NCA_virgin_pack</t>
        </is>
      </c>
      <c r="F168" s="208">
        <f>AW168*$AS168</f>
        <v/>
      </c>
      <c r="G168" s="208">
        <f>AX168*$AS168</f>
        <v/>
      </c>
      <c r="H168" s="208">
        <f>AY168*$AS168</f>
        <v/>
      </c>
      <c r="I168" s="208">
        <f>AZ168*$AS168</f>
        <v/>
      </c>
      <c r="J168" s="208">
        <f>BA168*$AS168</f>
        <v/>
      </c>
      <c r="K168" s="208">
        <f>BB168*$AS168</f>
        <v/>
      </c>
      <c r="L168" s="208">
        <f>BC168*$AS168</f>
        <v/>
      </c>
      <c r="M168" s="208">
        <f>BD168*$CI168</f>
        <v/>
      </c>
      <c r="N168" s="208">
        <f>BE168*$AS168</f>
        <v/>
      </c>
      <c r="O168" s="208">
        <f>BF168*$AS168</f>
        <v/>
      </c>
      <c r="P168" s="208">
        <f>BG168*$AS168</f>
        <v/>
      </c>
      <c r="Q168" s="208">
        <f>BH168*$AS168</f>
        <v/>
      </c>
      <c r="R168" s="208">
        <f>BI168*$AS168</f>
        <v/>
      </c>
      <c r="S168" s="208">
        <f>BJ168*$AS168</f>
        <v/>
      </c>
      <c r="T168" s="208">
        <f>BK168*$AS168</f>
        <v/>
      </c>
      <c r="U168" s="208">
        <f>BL168*$AS168</f>
        <v/>
      </c>
      <c r="V168" s="208">
        <f>BM168*$AS168</f>
        <v/>
      </c>
      <c r="W168" s="208">
        <f>BN168*$AS168</f>
        <v/>
      </c>
      <c r="X168" s="208">
        <f>BO168*$AS168</f>
        <v/>
      </c>
      <c r="Y168" s="208">
        <f>BP168*$AS168</f>
        <v/>
      </c>
      <c r="Z168" s="208">
        <f>BQ168*$AS168</f>
        <v/>
      </c>
      <c r="AA168" s="208">
        <f>BR168*$AS168</f>
        <v/>
      </c>
      <c r="AB168" s="208">
        <f>BS168*$AS168</f>
        <v/>
      </c>
      <c r="AC168" s="208">
        <f>BT168*$AS168</f>
        <v/>
      </c>
      <c r="AD168" s="208">
        <f>BU168*$AS168</f>
        <v/>
      </c>
      <c r="AE168" s="208">
        <f>BV168*$AS168</f>
        <v/>
      </c>
      <c r="AF168" s="208">
        <f>BW168*$AS168</f>
        <v/>
      </c>
      <c r="AG168" s="208">
        <f>BX168*$AS168</f>
        <v/>
      </c>
      <c r="AH168" s="208">
        <f>BY168*$AS168</f>
        <v/>
      </c>
      <c r="AI168" s="208">
        <f>BZ168*$AS168</f>
        <v/>
      </c>
      <c r="AJ168" s="208">
        <f>CA168*$AS168</f>
        <v/>
      </c>
      <c r="AK168" s="208">
        <f>CB168*$AS168</f>
        <v/>
      </c>
      <c r="AL168" s="208">
        <f>CC168*$AS168</f>
        <v/>
      </c>
      <c r="AM168" s="208">
        <f>CD168*$AS168</f>
        <v/>
      </c>
      <c r="AN168" s="208">
        <f>CE168*$AS168</f>
        <v/>
      </c>
      <c r="AQ168" s="6" t="n">
        <v>2016</v>
      </c>
      <c r="AR168" s="6" t="inlineStr">
        <is>
          <t>Tra_EV_Batt-NCA_virgin_pack</t>
        </is>
      </c>
      <c r="AS168" s="6" t="n">
        <v>0.09</v>
      </c>
      <c r="AT168" s="6" t="inlineStr">
        <is>
          <t>Transport_EV_general</t>
        </is>
      </c>
      <c r="AU168" s="6" t="inlineStr">
        <is>
          <t>Back-loaded transport EV battery vintage curve based on historical EV deployment shape.</t>
        </is>
      </c>
      <c r="AV168">
        <f>AV147</f>
        <v/>
      </c>
      <c r="AW168">
        <f>AW147</f>
        <v/>
      </c>
      <c r="AX168">
        <f>AX147</f>
        <v/>
      </c>
      <c r="AY168">
        <f>AY147</f>
        <v/>
      </c>
      <c r="AZ168">
        <f>AZ147</f>
        <v/>
      </c>
      <c r="BA168">
        <f>BA147</f>
        <v/>
      </c>
      <c r="BB168">
        <f>BB147</f>
        <v/>
      </c>
      <c r="BC168">
        <f>BC147</f>
        <v/>
      </c>
      <c r="BD168">
        <f>BD147</f>
        <v/>
      </c>
      <c r="BE168">
        <f>BE147</f>
        <v/>
      </c>
      <c r="BF168">
        <f>BF147</f>
        <v/>
      </c>
      <c r="BG168">
        <f>BG147</f>
        <v/>
      </c>
      <c r="BH168">
        <f>BH147</f>
        <v/>
      </c>
      <c r="BI168">
        <f>BI147</f>
        <v/>
      </c>
      <c r="BJ168">
        <f>BJ147</f>
        <v/>
      </c>
      <c r="BK168">
        <f>BK147</f>
        <v/>
      </c>
      <c r="BL168">
        <f>BL147</f>
        <v/>
      </c>
      <c r="BM168">
        <f>BM147</f>
        <v/>
      </c>
      <c r="BN168">
        <f>BN147</f>
        <v/>
      </c>
      <c r="BO168">
        <f>BO147</f>
        <v/>
      </c>
      <c r="BP168">
        <f>BP147</f>
        <v/>
      </c>
      <c r="BQ168">
        <f>BQ147</f>
        <v/>
      </c>
      <c r="BR168">
        <f>BR147</f>
        <v/>
      </c>
      <c r="BS168">
        <f>BS147</f>
        <v/>
      </c>
      <c r="BT168">
        <f>BT147</f>
        <v/>
      </c>
      <c r="BU168">
        <f>BU147</f>
        <v/>
      </c>
      <c r="BV168">
        <f>BV147</f>
        <v/>
      </c>
      <c r="BW168">
        <f>BW147</f>
        <v/>
      </c>
      <c r="BX168">
        <f>BX147</f>
        <v/>
      </c>
      <c r="BY168">
        <f>BY147</f>
        <v/>
      </c>
      <c r="BZ168">
        <f>BZ147</f>
        <v/>
      </c>
      <c r="CA168">
        <f>CA147</f>
        <v/>
      </c>
      <c r="CB168">
        <f>CB147</f>
        <v/>
      </c>
      <c r="CC168">
        <f>CC147</f>
        <v/>
      </c>
      <c r="CD168">
        <f>CD147</f>
        <v/>
      </c>
      <c r="CE168">
        <f>CE147</f>
        <v/>
      </c>
      <c r="CG168" s="6" t="n">
        <v>2016</v>
      </c>
      <c r="CH168" s="6" t="inlineStr">
        <is>
          <t>Tra_EV_Batt-NCA_virgin_pack</t>
        </is>
      </c>
      <c r="CI168" s="6" t="n">
        <v>0.09</v>
      </c>
      <c r="CJ168" s="6" t="n">
        <v>0.15</v>
      </c>
      <c r="CK168" s="6" t="inlineStr">
        <is>
          <t>Transport_EV_global</t>
        </is>
      </c>
      <c r="CL168" s="6" t="inlineStr">
        <is>
          <t>Transport_EV_China</t>
        </is>
      </c>
      <c r="CM168" s="6" t="inlineStr">
        <is>
          <t>China transport EV curve is shifted earlier than the global curve to reflect earlier China EV/e-bus deployment in the 2010s.</t>
        </is>
      </c>
    </row>
    <row r="169" ht="14.5" customHeight="1" s="213">
      <c r="D169">
        <f>D168</f>
        <v/>
      </c>
      <c r="E169" t="inlineStr">
        <is>
          <t>Tra_EV_Batt-LMO_virgin_pack</t>
        </is>
      </c>
      <c r="F169" s="208">
        <f>AW169*$AS169</f>
        <v/>
      </c>
      <c r="G169" s="208">
        <f>AX169*$AS169</f>
        <v/>
      </c>
      <c r="H169" s="208">
        <f>AY169*$AS169</f>
        <v/>
      </c>
      <c r="I169" s="208">
        <f>AZ169*$AS169</f>
        <v/>
      </c>
      <c r="J169" s="208">
        <f>BA169*$AS169</f>
        <v/>
      </c>
      <c r="K169" s="208">
        <f>BB169*$AS169</f>
        <v/>
      </c>
      <c r="L169" s="208">
        <f>BC169*$AS169</f>
        <v/>
      </c>
      <c r="M169" s="208">
        <f>BD169*$CI169</f>
        <v/>
      </c>
      <c r="N169" s="208">
        <f>BE169*$AS169</f>
        <v/>
      </c>
      <c r="O169" s="208">
        <f>BF169*$AS169</f>
        <v/>
      </c>
      <c r="P169" s="208">
        <f>BG169*$AS169</f>
        <v/>
      </c>
      <c r="Q169" s="208">
        <f>BH169*$AS169</f>
        <v/>
      </c>
      <c r="R169" s="208">
        <f>BI169*$AS169</f>
        <v/>
      </c>
      <c r="S169" s="208">
        <f>BJ169*$AS169</f>
        <v/>
      </c>
      <c r="T169" s="208">
        <f>BK169*$AS169</f>
        <v/>
      </c>
      <c r="U169" s="208">
        <f>BL169*$AS169</f>
        <v/>
      </c>
      <c r="V169" s="208">
        <f>BM169*$AS169</f>
        <v/>
      </c>
      <c r="W169" s="208">
        <f>BN169*$AS169</f>
        <v/>
      </c>
      <c r="X169" s="208">
        <f>BO169*$AS169</f>
        <v/>
      </c>
      <c r="Y169" s="208">
        <f>BP169*$AS169</f>
        <v/>
      </c>
      <c r="Z169" s="208">
        <f>BQ169*$AS169</f>
        <v/>
      </c>
      <c r="AA169" s="208">
        <f>BR169*$AS169</f>
        <v/>
      </c>
      <c r="AB169" s="208">
        <f>BS169*$AS169</f>
        <v/>
      </c>
      <c r="AC169" s="208">
        <f>BT169*$AS169</f>
        <v/>
      </c>
      <c r="AD169" s="208">
        <f>BU169*$AS169</f>
        <v/>
      </c>
      <c r="AE169" s="208">
        <f>BV169*$AS169</f>
        <v/>
      </c>
      <c r="AF169" s="208">
        <f>BW169*$AS169</f>
        <v/>
      </c>
      <c r="AG169" s="208">
        <f>BX169*$AS169</f>
        <v/>
      </c>
      <c r="AH169" s="208">
        <f>BY169*$AS169</f>
        <v/>
      </c>
      <c r="AI169" s="208">
        <f>BZ169*$AS169</f>
        <v/>
      </c>
      <c r="AJ169" s="208">
        <f>CA169*$AS169</f>
        <v/>
      </c>
      <c r="AK169" s="208">
        <f>CB169*$AS169</f>
        <v/>
      </c>
      <c r="AL169" s="208">
        <f>CC169*$AS169</f>
        <v/>
      </c>
      <c r="AM169" s="208">
        <f>CD169*$AS169</f>
        <v/>
      </c>
      <c r="AN169" s="208">
        <f>CE169*$AS169</f>
        <v/>
      </c>
      <c r="AQ169" s="6" t="n">
        <v>2016</v>
      </c>
      <c r="AR169" s="6" t="inlineStr">
        <is>
          <t>Tra_EV_Batt-LMO_virgin_pack</t>
        </is>
      </c>
      <c r="AS169" s="6" t="n">
        <v>0.09</v>
      </c>
      <c r="AT169" s="6" t="inlineStr">
        <is>
          <t>Transport_EV_general</t>
        </is>
      </c>
      <c r="AU169" s="6" t="inlineStr">
        <is>
          <t>Back-loaded transport EV battery vintage curve based on historical EV deployment shape.</t>
        </is>
      </c>
      <c r="AV169">
        <f>AV148</f>
        <v/>
      </c>
      <c r="AW169">
        <f>AW148</f>
        <v/>
      </c>
      <c r="AX169">
        <f>AX148</f>
        <v/>
      </c>
      <c r="AY169">
        <f>AY148</f>
        <v/>
      </c>
      <c r="AZ169">
        <f>AZ148</f>
        <v/>
      </c>
      <c r="BA169">
        <f>BA148</f>
        <v/>
      </c>
      <c r="BB169">
        <f>BB148</f>
        <v/>
      </c>
      <c r="BC169">
        <f>BC148</f>
        <v/>
      </c>
      <c r="BD169">
        <f>BD148</f>
        <v/>
      </c>
      <c r="BE169">
        <f>BE148</f>
        <v/>
      </c>
      <c r="BF169">
        <f>BF148</f>
        <v/>
      </c>
      <c r="BG169">
        <f>BG148</f>
        <v/>
      </c>
      <c r="BH169">
        <f>BH148</f>
        <v/>
      </c>
      <c r="BI169">
        <f>BI148</f>
        <v/>
      </c>
      <c r="BJ169">
        <f>BJ148</f>
        <v/>
      </c>
      <c r="BK169">
        <f>BK148</f>
        <v/>
      </c>
      <c r="BL169">
        <f>BL148</f>
        <v/>
      </c>
      <c r="BM169">
        <f>BM148</f>
        <v/>
      </c>
      <c r="BN169">
        <f>BN148</f>
        <v/>
      </c>
      <c r="BO169">
        <f>BO148</f>
        <v/>
      </c>
      <c r="BP169">
        <f>BP148</f>
        <v/>
      </c>
      <c r="BQ169">
        <f>BQ148</f>
        <v/>
      </c>
      <c r="BR169">
        <f>BR148</f>
        <v/>
      </c>
      <c r="BS169">
        <f>BS148</f>
        <v/>
      </c>
      <c r="BT169">
        <f>BT148</f>
        <v/>
      </c>
      <c r="BU169">
        <f>BU148</f>
        <v/>
      </c>
      <c r="BV169">
        <f>BV148</f>
        <v/>
      </c>
      <c r="BW169">
        <f>BW148</f>
        <v/>
      </c>
      <c r="BX169">
        <f>BX148</f>
        <v/>
      </c>
      <c r="BY169">
        <f>BY148</f>
        <v/>
      </c>
      <c r="BZ169">
        <f>BZ148</f>
        <v/>
      </c>
      <c r="CA169">
        <f>CA148</f>
        <v/>
      </c>
      <c r="CB169">
        <f>CB148</f>
        <v/>
      </c>
      <c r="CC169">
        <f>CC148</f>
        <v/>
      </c>
      <c r="CD169">
        <f>CD148</f>
        <v/>
      </c>
      <c r="CE169">
        <f>CE148</f>
        <v/>
      </c>
      <c r="CG169" s="6" t="n">
        <v>2016</v>
      </c>
      <c r="CH169" s="6" t="inlineStr">
        <is>
          <t>Tra_EV_Batt-LMO_virgin_pack</t>
        </is>
      </c>
      <c r="CI169" s="6" t="n">
        <v>0.09</v>
      </c>
      <c r="CJ169" s="6" t="n">
        <v>0.15</v>
      </c>
      <c r="CK169" s="6" t="inlineStr">
        <is>
          <t>Transport_EV_global</t>
        </is>
      </c>
      <c r="CL169" s="6" t="inlineStr">
        <is>
          <t>Transport_EV_China</t>
        </is>
      </c>
      <c r="CM169" s="6" t="inlineStr">
        <is>
          <t>China transport EV curve is shifted earlier than the global curve to reflect earlier China EV/e-bus deployment in the 2010s.</t>
        </is>
      </c>
    </row>
    <row r="170" ht="14.5" customHeight="1" s="213">
      <c r="D170">
        <f>D169</f>
        <v/>
      </c>
      <c r="E170" t="inlineStr">
        <is>
          <t>Tra_EV_Batt-NMC111_virgin_pack</t>
        </is>
      </c>
      <c r="F170" s="208">
        <f>AW170*$AS170</f>
        <v/>
      </c>
      <c r="G170" s="208">
        <f>AX170*$AS170</f>
        <v/>
      </c>
      <c r="H170" s="208">
        <f>AY170*$AS170</f>
        <v/>
      </c>
      <c r="I170" s="208">
        <f>AZ170*$AS170</f>
        <v/>
      </c>
      <c r="J170" s="208">
        <f>BA170*$AS170</f>
        <v/>
      </c>
      <c r="K170" s="208">
        <f>BB170*$AS170</f>
        <v/>
      </c>
      <c r="L170" s="208">
        <f>BC170*$AS170</f>
        <v/>
      </c>
      <c r="M170" s="208">
        <f>BD170*$CI170</f>
        <v/>
      </c>
      <c r="N170" s="208">
        <f>BE170*$AS170</f>
        <v/>
      </c>
      <c r="O170" s="208">
        <f>BF170*$AS170</f>
        <v/>
      </c>
      <c r="P170" s="208">
        <f>BG170*$AS170</f>
        <v/>
      </c>
      <c r="Q170" s="208">
        <f>BH170*$AS170</f>
        <v/>
      </c>
      <c r="R170" s="208">
        <f>BI170*$AS170</f>
        <v/>
      </c>
      <c r="S170" s="208">
        <f>BJ170*$AS170</f>
        <v/>
      </c>
      <c r="T170" s="208">
        <f>BK170*$AS170</f>
        <v/>
      </c>
      <c r="U170" s="208">
        <f>BL170*$AS170</f>
        <v/>
      </c>
      <c r="V170" s="208">
        <f>BM170*$AS170</f>
        <v/>
      </c>
      <c r="W170" s="208">
        <f>BN170*$AS170</f>
        <v/>
      </c>
      <c r="X170" s="208">
        <f>BO170*$AS170</f>
        <v/>
      </c>
      <c r="Y170" s="208">
        <f>BP170*$AS170</f>
        <v/>
      </c>
      <c r="Z170" s="208">
        <f>BQ170*$AS170</f>
        <v/>
      </c>
      <c r="AA170" s="208">
        <f>BR170*$AS170</f>
        <v/>
      </c>
      <c r="AB170" s="208">
        <f>BS170*$AS170</f>
        <v/>
      </c>
      <c r="AC170" s="208">
        <f>BT170*$AS170</f>
        <v/>
      </c>
      <c r="AD170" s="208">
        <f>BU170*$AS170</f>
        <v/>
      </c>
      <c r="AE170" s="208">
        <f>BV170*$AS170</f>
        <v/>
      </c>
      <c r="AF170" s="208">
        <f>BW170*$AS170</f>
        <v/>
      </c>
      <c r="AG170" s="208">
        <f>BX170*$AS170</f>
        <v/>
      </c>
      <c r="AH170" s="208">
        <f>BY170*$AS170</f>
        <v/>
      </c>
      <c r="AI170" s="208">
        <f>BZ170*$AS170</f>
        <v/>
      </c>
      <c r="AJ170" s="208">
        <f>CA170*$AS170</f>
        <v/>
      </c>
      <c r="AK170" s="208">
        <f>CB170*$AS170</f>
        <v/>
      </c>
      <c r="AL170" s="208">
        <f>CC170*$AS170</f>
        <v/>
      </c>
      <c r="AM170" s="208">
        <f>CD170*$AS170</f>
        <v/>
      </c>
      <c r="AN170" s="208">
        <f>CE170*$AS170</f>
        <v/>
      </c>
      <c r="AQ170" s="6" t="n">
        <v>2016</v>
      </c>
      <c r="AR170" s="6" t="inlineStr">
        <is>
          <t>Tra_EV_Batt-NMC111_virgin_pack</t>
        </is>
      </c>
      <c r="AS170" s="6" t="n">
        <v>0.09</v>
      </c>
      <c r="AT170" s="6" t="inlineStr">
        <is>
          <t>Transport_EV_general</t>
        </is>
      </c>
      <c r="AU170" s="6" t="inlineStr">
        <is>
          <t>Back-loaded transport EV battery vintage curve based on historical EV deployment shape.</t>
        </is>
      </c>
      <c r="AV170">
        <f>AV149</f>
        <v/>
      </c>
      <c r="AW170">
        <f>AW149</f>
        <v/>
      </c>
      <c r="AX170">
        <f>AX149</f>
        <v/>
      </c>
      <c r="AY170">
        <f>AY149</f>
        <v/>
      </c>
      <c r="AZ170">
        <f>AZ149</f>
        <v/>
      </c>
      <c r="BA170">
        <f>BA149</f>
        <v/>
      </c>
      <c r="BB170">
        <f>BB149</f>
        <v/>
      </c>
      <c r="BC170">
        <f>BC149</f>
        <v/>
      </c>
      <c r="BD170">
        <f>BD149</f>
        <v/>
      </c>
      <c r="BE170">
        <f>BE149</f>
        <v/>
      </c>
      <c r="BF170">
        <f>BF149</f>
        <v/>
      </c>
      <c r="BG170">
        <f>BG149</f>
        <v/>
      </c>
      <c r="BH170">
        <f>BH149</f>
        <v/>
      </c>
      <c r="BI170">
        <f>BI149</f>
        <v/>
      </c>
      <c r="BJ170">
        <f>BJ149</f>
        <v/>
      </c>
      <c r="BK170">
        <f>BK149</f>
        <v/>
      </c>
      <c r="BL170">
        <f>BL149</f>
        <v/>
      </c>
      <c r="BM170">
        <f>BM149</f>
        <v/>
      </c>
      <c r="BN170">
        <f>BN149</f>
        <v/>
      </c>
      <c r="BO170">
        <f>BO149</f>
        <v/>
      </c>
      <c r="BP170">
        <f>BP149</f>
        <v/>
      </c>
      <c r="BQ170">
        <f>BQ149</f>
        <v/>
      </c>
      <c r="BR170">
        <f>BR149</f>
        <v/>
      </c>
      <c r="BS170">
        <f>BS149</f>
        <v/>
      </c>
      <c r="BT170">
        <f>BT149</f>
        <v/>
      </c>
      <c r="BU170">
        <f>BU149</f>
        <v/>
      </c>
      <c r="BV170">
        <f>BV149</f>
        <v/>
      </c>
      <c r="BW170">
        <f>BW149</f>
        <v/>
      </c>
      <c r="BX170">
        <f>BX149</f>
        <v/>
      </c>
      <c r="BY170">
        <f>BY149</f>
        <v/>
      </c>
      <c r="BZ170">
        <f>BZ149</f>
        <v/>
      </c>
      <c r="CA170">
        <f>CA149</f>
        <v/>
      </c>
      <c r="CB170">
        <f>CB149</f>
        <v/>
      </c>
      <c r="CC170">
        <f>CC149</f>
        <v/>
      </c>
      <c r="CD170">
        <f>CD149</f>
        <v/>
      </c>
      <c r="CE170">
        <f>CE149</f>
        <v/>
      </c>
      <c r="CG170" s="6" t="n">
        <v>2016</v>
      </c>
      <c r="CH170" s="6" t="inlineStr">
        <is>
          <t>Tra_EV_Batt-NMC111_virgin_pack</t>
        </is>
      </c>
      <c r="CI170" s="6" t="n">
        <v>0.09</v>
      </c>
      <c r="CJ170" s="6" t="n">
        <v>0.15</v>
      </c>
      <c r="CK170" s="6" t="inlineStr">
        <is>
          <t>Transport_EV_global</t>
        </is>
      </c>
      <c r="CL170" s="6" t="inlineStr">
        <is>
          <t>Transport_EV_China</t>
        </is>
      </c>
      <c r="CM170" s="6" t="inlineStr">
        <is>
          <t>China transport EV curve is shifted earlier than the global curve to reflect earlier China EV/e-bus deployment in the 2010s.</t>
        </is>
      </c>
    </row>
    <row r="171" ht="14.5" customHeight="1" s="213">
      <c r="D171" t="n">
        <v>2022</v>
      </c>
      <c r="E171" t="inlineStr">
        <is>
          <t>MINBatMaterials_LI</t>
        </is>
      </c>
      <c r="F171" s="208">
        <f>AW171*$AS171</f>
        <v/>
      </c>
      <c r="G171" s="208">
        <f>AX171*$AS171</f>
        <v/>
      </c>
      <c r="H171" s="208">
        <f>AY171*$AS171</f>
        <v/>
      </c>
      <c r="I171" s="208">
        <f>AZ171*$AS171</f>
        <v/>
      </c>
      <c r="J171" s="208">
        <f>BA171*$AS171</f>
        <v/>
      </c>
      <c r="K171" s="208">
        <f>BB171*$AS171</f>
        <v/>
      </c>
      <c r="L171" s="208">
        <f>BC171*$AS171</f>
        <v/>
      </c>
      <c r="M171" s="208">
        <f>BD171*$CI171</f>
        <v/>
      </c>
      <c r="N171" s="208">
        <f>BE171*$AS171</f>
        <v/>
      </c>
      <c r="O171" s="208">
        <f>BF171*$AS171</f>
        <v/>
      </c>
      <c r="P171" s="208">
        <f>BG171*$AS171</f>
        <v/>
      </c>
      <c r="Q171" s="208">
        <f>BH171*$AS171</f>
        <v/>
      </c>
      <c r="R171" s="208">
        <f>BI171*$AS171</f>
        <v/>
      </c>
      <c r="S171" s="208">
        <f>BJ171*$AS171</f>
        <v/>
      </c>
      <c r="T171" s="208">
        <f>BK171*$AS171</f>
        <v/>
      </c>
      <c r="U171" s="208">
        <f>BL171*$AS171</f>
        <v/>
      </c>
      <c r="V171" s="208">
        <f>BM171*$AS171</f>
        <v/>
      </c>
      <c r="W171" s="208">
        <f>BN171*$AS171</f>
        <v/>
      </c>
      <c r="X171" s="208">
        <f>BO171*$AS171</f>
        <v/>
      </c>
      <c r="Y171" s="208">
        <f>BP171*$AS171</f>
        <v/>
      </c>
      <c r="Z171" s="208">
        <f>BQ171*$AS171</f>
        <v/>
      </c>
      <c r="AA171" s="208">
        <f>BR171*$AS171</f>
        <v/>
      </c>
      <c r="AB171" s="208">
        <f>BS171*$AS171</f>
        <v/>
      </c>
      <c r="AC171" s="208">
        <f>BT171*$AS171</f>
        <v/>
      </c>
      <c r="AD171" s="208">
        <f>BU171*$AS171</f>
        <v/>
      </c>
      <c r="AE171" s="208">
        <f>BV171*$AS171</f>
        <v/>
      </c>
      <c r="AF171" s="208">
        <f>BW171*$AS171</f>
        <v/>
      </c>
      <c r="AG171" s="208">
        <f>BX171*$AS171</f>
        <v/>
      </c>
      <c r="AH171" s="208">
        <f>BY171*$AS171</f>
        <v/>
      </c>
      <c r="AI171" s="208">
        <f>BZ171*$AS171</f>
        <v/>
      </c>
      <c r="AJ171" s="208">
        <f>CA171*$AS171</f>
        <v/>
      </c>
      <c r="AK171" s="208">
        <f>CB171*$AS171</f>
        <v/>
      </c>
      <c r="AL171" s="208">
        <f>CC171*$AS171</f>
        <v/>
      </c>
      <c r="AM171" s="208">
        <f>CD171*$AS171</f>
        <v/>
      </c>
      <c r="AN171" s="208">
        <f>CE171*$AS171</f>
        <v/>
      </c>
      <c r="AQ171" s="6" t="n">
        <v>2017</v>
      </c>
      <c r="AR171" s="6" t="inlineStr">
        <is>
          <t>MINBatMaterials_LI</t>
        </is>
      </c>
      <c r="AS171" s="6" t="n">
        <v>0.115</v>
      </c>
      <c r="AT171" s="6" t="inlineStr">
        <is>
          <t>Mining_facility_representative</t>
        </is>
      </c>
      <c r="AU171" s="6" t="inlineStr">
        <is>
          <t>Representative mining-capacity vintage curve; COB_direct treated as aggregate cobalt-production route including by-product routes.</t>
        </is>
      </c>
      <c r="AV171">
        <f>AV150</f>
        <v/>
      </c>
      <c r="AW171">
        <f>AW150</f>
        <v/>
      </c>
      <c r="AX171">
        <f>AX150</f>
        <v/>
      </c>
      <c r="AY171">
        <f>AY150</f>
        <v/>
      </c>
      <c r="AZ171">
        <f>AZ150</f>
        <v/>
      </c>
      <c r="BA171">
        <f>BA150</f>
        <v/>
      </c>
      <c r="BB171">
        <f>BB150</f>
        <v/>
      </c>
      <c r="BC171">
        <f>BC150</f>
        <v/>
      </c>
      <c r="BD171">
        <f>BD150</f>
        <v/>
      </c>
      <c r="BE171">
        <f>BE150</f>
        <v/>
      </c>
      <c r="BF171">
        <f>BF150</f>
        <v/>
      </c>
      <c r="BG171">
        <f>BG150</f>
        <v/>
      </c>
      <c r="BH171">
        <f>BH150</f>
        <v/>
      </c>
      <c r="BI171">
        <f>BI150</f>
        <v/>
      </c>
      <c r="BJ171">
        <f>BJ150</f>
        <v/>
      </c>
      <c r="BK171">
        <f>BK150</f>
        <v/>
      </c>
      <c r="BL171">
        <f>BL150</f>
        <v/>
      </c>
      <c r="BM171">
        <f>BM150</f>
        <v/>
      </c>
      <c r="BN171">
        <f>BN150</f>
        <v/>
      </c>
      <c r="BO171">
        <f>BO150</f>
        <v/>
      </c>
      <c r="BP171">
        <f>BP150</f>
        <v/>
      </c>
      <c r="BQ171">
        <f>BQ150</f>
        <v/>
      </c>
      <c r="BR171">
        <f>BR150</f>
        <v/>
      </c>
      <c r="BS171">
        <f>BS150</f>
        <v/>
      </c>
      <c r="BT171">
        <f>BT150</f>
        <v/>
      </c>
      <c r="BU171">
        <f>BU150</f>
        <v/>
      </c>
      <c r="BV171">
        <f>BV150</f>
        <v/>
      </c>
      <c r="BW171">
        <f>BW150</f>
        <v/>
      </c>
      <c r="BX171">
        <f>BX150</f>
        <v/>
      </c>
      <c r="BY171">
        <f>BY150</f>
        <v/>
      </c>
      <c r="BZ171">
        <f>BZ150</f>
        <v/>
      </c>
      <c r="CA171">
        <f>CA150</f>
        <v/>
      </c>
      <c r="CB171">
        <f>CB150</f>
        <v/>
      </c>
      <c r="CC171">
        <f>CC150</f>
        <v/>
      </c>
      <c r="CD171">
        <f>CD150</f>
        <v/>
      </c>
      <c r="CE171">
        <f>CE150</f>
        <v/>
      </c>
      <c r="CG171" s="6" t="n">
        <v>2017</v>
      </c>
      <c r="CH171" s="6" t="inlineStr">
        <is>
          <t>MINBatMaterials_LI</t>
        </is>
      </c>
      <c r="CI171" s="6" t="n">
        <v>0.115</v>
      </c>
      <c r="CJ171" s="6" t="n">
        <v>0.115</v>
      </c>
      <c r="CK171" s="6" t="inlineStr">
        <is>
          <t>Mining_facility_representative</t>
        </is>
      </c>
      <c r="CL171" s="6" t="inlineStr">
        <is>
          <t>Mining_facility_representative</t>
        </is>
      </c>
      <c r="CM171" s="6" t="inlineStr">
        <is>
          <t>Mining curve kept the same for China; COB_direct treated as aggregate cobalt-production route including by-product routes.</t>
        </is>
      </c>
    </row>
    <row r="172" ht="14.5" customHeight="1" s="213">
      <c r="D172">
        <f>D171</f>
        <v/>
      </c>
      <c r="E172" t="inlineStr">
        <is>
          <t>MINBatMaterials_NI</t>
        </is>
      </c>
      <c r="F172" s="208">
        <f>AW172*$AS172</f>
        <v/>
      </c>
      <c r="G172" s="208">
        <f>AX172*$AS172</f>
        <v/>
      </c>
      <c r="H172" s="208">
        <f>AY172*$AS172</f>
        <v/>
      </c>
      <c r="I172" s="208">
        <f>AZ172*$AS172</f>
        <v/>
      </c>
      <c r="J172" s="208">
        <f>BA172*$AS172</f>
        <v/>
      </c>
      <c r="K172" s="208">
        <f>BB172*$AS172</f>
        <v/>
      </c>
      <c r="L172" s="208">
        <f>BC172*$AS172</f>
        <v/>
      </c>
      <c r="M172" s="208">
        <f>BD172*$CI172</f>
        <v/>
      </c>
      <c r="N172" s="208">
        <f>BE172*$AS172</f>
        <v/>
      </c>
      <c r="O172" s="208">
        <f>BF172*$AS172</f>
        <v/>
      </c>
      <c r="P172" s="208">
        <f>BG172*$AS172</f>
        <v/>
      </c>
      <c r="Q172" s="208">
        <f>BH172*$AS172</f>
        <v/>
      </c>
      <c r="R172" s="208">
        <f>BI172*$AS172</f>
        <v/>
      </c>
      <c r="S172" s="208">
        <f>BJ172*$AS172</f>
        <v/>
      </c>
      <c r="T172" s="208">
        <f>BK172*$AS172</f>
        <v/>
      </c>
      <c r="U172" s="208">
        <f>BL172*$AS172</f>
        <v/>
      </c>
      <c r="V172" s="208">
        <f>BM172*$AS172</f>
        <v/>
      </c>
      <c r="W172" s="208">
        <f>BN172*$AS172</f>
        <v/>
      </c>
      <c r="X172" s="208">
        <f>BO172*$AS172</f>
        <v/>
      </c>
      <c r="Y172" s="208">
        <f>BP172*$AS172</f>
        <v/>
      </c>
      <c r="Z172" s="208">
        <f>BQ172*$AS172</f>
        <v/>
      </c>
      <c r="AA172" s="208">
        <f>BR172*$AS172</f>
        <v/>
      </c>
      <c r="AB172" s="208">
        <f>BS172*$AS172</f>
        <v/>
      </c>
      <c r="AC172" s="208">
        <f>BT172*$AS172</f>
        <v/>
      </c>
      <c r="AD172" s="208">
        <f>BU172*$AS172</f>
        <v/>
      </c>
      <c r="AE172" s="208">
        <f>BV172*$AS172</f>
        <v/>
      </c>
      <c r="AF172" s="208">
        <f>BW172*$AS172</f>
        <v/>
      </c>
      <c r="AG172" s="208">
        <f>BX172*$AS172</f>
        <v/>
      </c>
      <c r="AH172" s="208">
        <f>BY172*$AS172</f>
        <v/>
      </c>
      <c r="AI172" s="208">
        <f>BZ172*$AS172</f>
        <v/>
      </c>
      <c r="AJ172" s="208">
        <f>CA172*$AS172</f>
        <v/>
      </c>
      <c r="AK172" s="208">
        <f>CB172*$AS172</f>
        <v/>
      </c>
      <c r="AL172" s="208">
        <f>CC172*$AS172</f>
        <v/>
      </c>
      <c r="AM172" s="208">
        <f>CD172*$AS172</f>
        <v/>
      </c>
      <c r="AN172" s="208">
        <f>CE172*$AS172</f>
        <v/>
      </c>
      <c r="AQ172" s="6" t="n">
        <v>2017</v>
      </c>
      <c r="AR172" s="6" t="inlineStr">
        <is>
          <t>MINBatMaterials_NI</t>
        </is>
      </c>
      <c r="AS172" s="6" t="n">
        <v>0.115</v>
      </c>
      <c r="AT172" s="6" t="inlineStr">
        <is>
          <t>Mining_facility_representative</t>
        </is>
      </c>
      <c r="AU172" s="6" t="inlineStr">
        <is>
          <t>Representative mining-capacity vintage curve; COB_direct treated as aggregate cobalt-production route including by-product routes.</t>
        </is>
      </c>
      <c r="AV172">
        <f>AV151</f>
        <v/>
      </c>
      <c r="AW172">
        <f>AW151</f>
        <v/>
      </c>
      <c r="AX172">
        <f>AX151</f>
        <v/>
      </c>
      <c r="AY172">
        <f>AY151</f>
        <v/>
      </c>
      <c r="AZ172">
        <f>AZ151</f>
        <v/>
      </c>
      <c r="BA172">
        <f>BA151</f>
        <v/>
      </c>
      <c r="BB172">
        <f>BB151</f>
        <v/>
      </c>
      <c r="BC172">
        <f>BC151</f>
        <v/>
      </c>
      <c r="BD172">
        <f>BD151</f>
        <v/>
      </c>
      <c r="BE172">
        <f>BE151</f>
        <v/>
      </c>
      <c r="BF172">
        <f>BF151</f>
        <v/>
      </c>
      <c r="BG172">
        <f>BG151</f>
        <v/>
      </c>
      <c r="BH172">
        <f>BH151</f>
        <v/>
      </c>
      <c r="BI172">
        <f>BI151</f>
        <v/>
      </c>
      <c r="BJ172">
        <f>BJ151</f>
        <v/>
      </c>
      <c r="BK172">
        <f>BK151</f>
        <v/>
      </c>
      <c r="BL172">
        <f>BL151</f>
        <v/>
      </c>
      <c r="BM172">
        <f>BM151</f>
        <v/>
      </c>
      <c r="BN172">
        <f>BN151</f>
        <v/>
      </c>
      <c r="BO172">
        <f>BO151</f>
        <v/>
      </c>
      <c r="BP172">
        <f>BP151</f>
        <v/>
      </c>
      <c r="BQ172">
        <f>BQ151</f>
        <v/>
      </c>
      <c r="BR172">
        <f>BR151</f>
        <v/>
      </c>
      <c r="BS172">
        <f>BS151</f>
        <v/>
      </c>
      <c r="BT172">
        <f>BT151</f>
        <v/>
      </c>
      <c r="BU172">
        <f>BU151</f>
        <v/>
      </c>
      <c r="BV172">
        <f>BV151</f>
        <v/>
      </c>
      <c r="BW172">
        <f>BW151</f>
        <v/>
      </c>
      <c r="BX172">
        <f>BX151</f>
        <v/>
      </c>
      <c r="BY172">
        <f>BY151</f>
        <v/>
      </c>
      <c r="BZ172">
        <f>BZ151</f>
        <v/>
      </c>
      <c r="CA172">
        <f>CA151</f>
        <v/>
      </c>
      <c r="CB172">
        <f>CB151</f>
        <v/>
      </c>
      <c r="CC172">
        <f>CC151</f>
        <v/>
      </c>
      <c r="CD172">
        <f>CD151</f>
        <v/>
      </c>
      <c r="CE172">
        <f>CE151</f>
        <v/>
      </c>
      <c r="CG172" s="6" t="n">
        <v>2017</v>
      </c>
      <c r="CH172" s="6" t="inlineStr">
        <is>
          <t>MINBatMaterials_NI</t>
        </is>
      </c>
      <c r="CI172" s="6" t="n">
        <v>0.115</v>
      </c>
      <c r="CJ172" s="6" t="n">
        <v>0.115</v>
      </c>
      <c r="CK172" s="6" t="inlineStr">
        <is>
          <t>Mining_facility_representative</t>
        </is>
      </c>
      <c r="CL172" s="6" t="inlineStr">
        <is>
          <t>Mining_facility_representative</t>
        </is>
      </c>
      <c r="CM172" s="6" t="inlineStr">
        <is>
          <t>Mining curve kept the same for China; COB_direct treated as aggregate cobalt-production route including by-product routes.</t>
        </is>
      </c>
    </row>
    <row r="173" ht="16" customHeight="1" s="213">
      <c r="D173">
        <f>D172</f>
        <v/>
      </c>
      <c r="E173" s="66" t="inlineStr">
        <is>
          <t>MINBatMaterials_COB_direct</t>
        </is>
      </c>
      <c r="F173" s="208">
        <f>AW173*$AS173</f>
        <v/>
      </c>
      <c r="G173" s="208">
        <f>AX173*$AS173</f>
        <v/>
      </c>
      <c r="H173" s="208">
        <f>AY173*$AS173</f>
        <v/>
      </c>
      <c r="I173" s="208">
        <f>AZ173*$AS173</f>
        <v/>
      </c>
      <c r="J173" s="208">
        <f>BA173*$AS173</f>
        <v/>
      </c>
      <c r="K173" s="208">
        <f>BB173*$AS173</f>
        <v/>
      </c>
      <c r="L173" s="208">
        <f>BC173*$AS173</f>
        <v/>
      </c>
      <c r="M173" s="208">
        <f>BD173*$CI173</f>
        <v/>
      </c>
      <c r="N173" s="208">
        <f>BE173*$AS173</f>
        <v/>
      </c>
      <c r="O173" s="208">
        <f>BF173*$AS173</f>
        <v/>
      </c>
      <c r="P173" s="208">
        <f>BG173*$AS173</f>
        <v/>
      </c>
      <c r="Q173" s="208">
        <f>BH173*$AS173</f>
        <v/>
      </c>
      <c r="R173" s="208">
        <f>BI173*$AS173</f>
        <v/>
      </c>
      <c r="S173" s="208">
        <f>BJ173*$AS173</f>
        <v/>
      </c>
      <c r="T173" s="208">
        <f>BK173*$AS173</f>
        <v/>
      </c>
      <c r="U173" s="208">
        <f>BL173*$AS173</f>
        <v/>
      </c>
      <c r="V173" s="208">
        <f>BM173*$AS173</f>
        <v/>
      </c>
      <c r="W173" s="208">
        <f>BN173*$AS173</f>
        <v/>
      </c>
      <c r="X173" s="208">
        <f>BO173*$AS173</f>
        <v/>
      </c>
      <c r="Y173" s="208">
        <f>BP173*$AS173</f>
        <v/>
      </c>
      <c r="Z173" s="208">
        <f>BQ173*$AS173</f>
        <v/>
      </c>
      <c r="AA173" s="208">
        <f>BR173*$AS173</f>
        <v/>
      </c>
      <c r="AB173" s="208">
        <f>BS173*$AS173</f>
        <v/>
      </c>
      <c r="AC173" s="208">
        <f>BT173*$AS173</f>
        <v/>
      </c>
      <c r="AD173" s="208">
        <f>BU173*$AS173</f>
        <v/>
      </c>
      <c r="AE173" s="208">
        <f>BV173*$AS173</f>
        <v/>
      </c>
      <c r="AF173" s="208">
        <f>BW173*$AS173</f>
        <v/>
      </c>
      <c r="AG173" s="208">
        <f>BX173*$AS173</f>
        <v/>
      </c>
      <c r="AH173" s="208">
        <f>BY173*$AS173</f>
        <v/>
      </c>
      <c r="AI173" s="208">
        <f>BZ173*$AS173</f>
        <v/>
      </c>
      <c r="AJ173" s="208">
        <f>CA173*$AS173</f>
        <v/>
      </c>
      <c r="AK173" s="208">
        <f>CB173*$AS173</f>
        <v/>
      </c>
      <c r="AL173" s="208">
        <f>CC173*$AS173</f>
        <v/>
      </c>
      <c r="AM173" s="208">
        <f>CD173*$AS173</f>
        <v/>
      </c>
      <c r="AN173" s="208">
        <f>CE173*$AS173</f>
        <v/>
      </c>
      <c r="AQ173" s="6" t="n">
        <v>2017</v>
      </c>
      <c r="AR173" s="6" t="inlineStr">
        <is>
          <t>MINBatMaterials_COB_direct</t>
        </is>
      </c>
      <c r="AS173" s="6" t="n">
        <v>0.115</v>
      </c>
      <c r="AT173" s="6" t="inlineStr">
        <is>
          <t>Mining_facility_representative</t>
        </is>
      </c>
      <c r="AU173" s="6" t="inlineStr">
        <is>
          <t>Representative mining-capacity vintage curve; COB_direct treated as aggregate cobalt-production route including by-product routes.</t>
        </is>
      </c>
      <c r="AV173">
        <f>AV152</f>
        <v/>
      </c>
      <c r="AW173">
        <f>AW152</f>
        <v/>
      </c>
      <c r="AX173">
        <f>AX152</f>
        <v/>
      </c>
      <c r="AY173">
        <f>AY152</f>
        <v/>
      </c>
      <c r="AZ173">
        <f>AZ152</f>
        <v/>
      </c>
      <c r="BA173">
        <f>BA152</f>
        <v/>
      </c>
      <c r="BB173">
        <f>BB152</f>
        <v/>
      </c>
      <c r="BC173">
        <f>BC152</f>
        <v/>
      </c>
      <c r="BD173">
        <f>BD152</f>
        <v/>
      </c>
      <c r="BE173">
        <f>BE152</f>
        <v/>
      </c>
      <c r="BF173">
        <f>BF152</f>
        <v/>
      </c>
      <c r="BG173">
        <f>BG152</f>
        <v/>
      </c>
      <c r="BH173">
        <f>BH152</f>
        <v/>
      </c>
      <c r="BI173">
        <f>BI152</f>
        <v/>
      </c>
      <c r="BJ173">
        <f>BJ152</f>
        <v/>
      </c>
      <c r="BK173">
        <f>BK152</f>
        <v/>
      </c>
      <c r="BL173">
        <f>BL152</f>
        <v/>
      </c>
      <c r="BM173">
        <f>BM152</f>
        <v/>
      </c>
      <c r="BN173">
        <f>BN152</f>
        <v/>
      </c>
      <c r="BO173">
        <f>BO152</f>
        <v/>
      </c>
      <c r="BP173">
        <f>BP152</f>
        <v/>
      </c>
      <c r="BQ173">
        <f>BQ152</f>
        <v/>
      </c>
      <c r="BR173">
        <f>BR152</f>
        <v/>
      </c>
      <c r="BS173">
        <f>BS152</f>
        <v/>
      </c>
      <c r="BT173">
        <f>BT152</f>
        <v/>
      </c>
      <c r="BU173">
        <f>BU152</f>
        <v/>
      </c>
      <c r="BV173">
        <f>BV152</f>
        <v/>
      </c>
      <c r="BW173">
        <f>BW152</f>
        <v/>
      </c>
      <c r="BX173">
        <f>BX152</f>
        <v/>
      </c>
      <c r="BY173">
        <f>BY152</f>
        <v/>
      </c>
      <c r="BZ173">
        <f>BZ152</f>
        <v/>
      </c>
      <c r="CA173">
        <f>CA152</f>
        <v/>
      </c>
      <c r="CB173">
        <f>CB152</f>
        <v/>
      </c>
      <c r="CC173">
        <f>CC152</f>
        <v/>
      </c>
      <c r="CD173">
        <f>CD152</f>
        <v/>
      </c>
      <c r="CE173">
        <f>CE152</f>
        <v/>
      </c>
      <c r="CG173" s="6" t="n">
        <v>2017</v>
      </c>
      <c r="CH173" s="6" t="inlineStr">
        <is>
          <t>MINBatMaterials_COB_direct</t>
        </is>
      </c>
      <c r="CI173" s="6" t="n">
        <v>0.115</v>
      </c>
      <c r="CJ173" s="6" t="n">
        <v>0.115</v>
      </c>
      <c r="CK173" s="6" t="inlineStr">
        <is>
          <t>Mining_facility_representative</t>
        </is>
      </c>
      <c r="CL173" s="6" t="inlineStr">
        <is>
          <t>Mining_facility_representative</t>
        </is>
      </c>
      <c r="CM173" s="6" t="inlineStr">
        <is>
          <t>Mining curve kept the same for China; COB_direct treated as aggregate cobalt-production route including by-product routes.</t>
        </is>
      </c>
    </row>
    <row r="174" ht="14.5" customHeight="1" s="213">
      <c r="D174">
        <f>D173</f>
        <v/>
      </c>
      <c r="E174" t="inlineStr">
        <is>
          <t>MINBatMaterials_MN</t>
        </is>
      </c>
      <c r="F174" s="208">
        <f>AW174*$AS174</f>
        <v/>
      </c>
      <c r="G174" s="208">
        <f>AX174*$AS174</f>
        <v/>
      </c>
      <c r="H174" s="208">
        <f>AY174*$AS174</f>
        <v/>
      </c>
      <c r="I174" s="208">
        <f>AZ174*$AS174</f>
        <v/>
      </c>
      <c r="J174" s="208">
        <f>BA174*$AS174</f>
        <v/>
      </c>
      <c r="K174" s="208">
        <f>BB174*$AS174</f>
        <v/>
      </c>
      <c r="L174" s="208">
        <f>BC174*$AS174</f>
        <v/>
      </c>
      <c r="M174" s="208">
        <f>BD174*$CI174</f>
        <v/>
      </c>
      <c r="N174" s="208">
        <f>BE174*$AS174</f>
        <v/>
      </c>
      <c r="O174" s="208">
        <f>BF174*$AS174</f>
        <v/>
      </c>
      <c r="P174" s="208">
        <f>BG174*$AS174</f>
        <v/>
      </c>
      <c r="Q174" s="208">
        <f>BH174*$AS174</f>
        <v/>
      </c>
      <c r="R174" s="208">
        <f>BI174*$AS174</f>
        <v/>
      </c>
      <c r="S174" s="208">
        <f>BJ174*$AS174</f>
        <v/>
      </c>
      <c r="T174" s="208">
        <f>BK174*$AS174</f>
        <v/>
      </c>
      <c r="U174" s="208">
        <f>BL174*$AS174</f>
        <v/>
      </c>
      <c r="V174" s="208">
        <f>BM174*$AS174</f>
        <v/>
      </c>
      <c r="W174" s="208">
        <f>BN174*$AS174</f>
        <v/>
      </c>
      <c r="X174" s="208">
        <f>BO174*$AS174</f>
        <v/>
      </c>
      <c r="Y174" s="208">
        <f>BP174*$AS174</f>
        <v/>
      </c>
      <c r="Z174" s="208">
        <f>BQ174*$AS174</f>
        <v/>
      </c>
      <c r="AA174" s="208">
        <f>BR174*$AS174</f>
        <v/>
      </c>
      <c r="AB174" s="208">
        <f>BS174*$AS174</f>
        <v/>
      </c>
      <c r="AC174" s="208">
        <f>BT174*$AS174</f>
        <v/>
      </c>
      <c r="AD174" s="208">
        <f>BU174*$AS174</f>
        <v/>
      </c>
      <c r="AE174" s="208">
        <f>BV174*$AS174</f>
        <v/>
      </c>
      <c r="AF174" s="208">
        <f>BW174*$AS174</f>
        <v/>
      </c>
      <c r="AG174" s="208">
        <f>BX174*$AS174</f>
        <v/>
      </c>
      <c r="AH174" s="208">
        <f>BY174*$AS174</f>
        <v/>
      </c>
      <c r="AI174" s="208">
        <f>BZ174*$AS174</f>
        <v/>
      </c>
      <c r="AJ174" s="208">
        <f>CA174*$AS174</f>
        <v/>
      </c>
      <c r="AK174" s="208">
        <f>CB174*$AS174</f>
        <v/>
      </c>
      <c r="AL174" s="208">
        <f>CC174*$AS174</f>
        <v/>
      </c>
      <c r="AM174" s="208">
        <f>CD174*$AS174</f>
        <v/>
      </c>
      <c r="AN174" s="208">
        <f>CE174*$AS174</f>
        <v/>
      </c>
      <c r="AQ174" s="6" t="n">
        <v>2017</v>
      </c>
      <c r="AR174" s="6" t="inlineStr">
        <is>
          <t>MINBatMaterials_MN</t>
        </is>
      </c>
      <c r="AS174" s="6" t="n">
        <v>0.115</v>
      </c>
      <c r="AT174" s="6" t="inlineStr">
        <is>
          <t>Mining_facility_representative</t>
        </is>
      </c>
      <c r="AU174" s="6" t="inlineStr">
        <is>
          <t>Representative mining-capacity vintage curve; COB_direct treated as aggregate cobalt-production route including by-product routes.</t>
        </is>
      </c>
      <c r="AV174">
        <f>AV153</f>
        <v/>
      </c>
      <c r="AW174">
        <f>AW153</f>
        <v/>
      </c>
      <c r="AX174">
        <f>AX153</f>
        <v/>
      </c>
      <c r="AY174">
        <f>AY153</f>
        <v/>
      </c>
      <c r="AZ174">
        <f>AZ153</f>
        <v/>
      </c>
      <c r="BA174">
        <f>BA153</f>
        <v/>
      </c>
      <c r="BB174">
        <f>BB153</f>
        <v/>
      </c>
      <c r="BC174">
        <f>BC153</f>
        <v/>
      </c>
      <c r="BD174">
        <f>BD153</f>
        <v/>
      </c>
      <c r="BE174">
        <f>BE153</f>
        <v/>
      </c>
      <c r="BF174">
        <f>BF153</f>
        <v/>
      </c>
      <c r="BG174">
        <f>BG153</f>
        <v/>
      </c>
      <c r="BH174">
        <f>BH153</f>
        <v/>
      </c>
      <c r="BI174">
        <f>BI153</f>
        <v/>
      </c>
      <c r="BJ174">
        <f>BJ153</f>
        <v/>
      </c>
      <c r="BK174">
        <f>BK153</f>
        <v/>
      </c>
      <c r="BL174">
        <f>BL153</f>
        <v/>
      </c>
      <c r="BM174">
        <f>BM153</f>
        <v/>
      </c>
      <c r="BN174">
        <f>BN153</f>
        <v/>
      </c>
      <c r="BO174">
        <f>BO153</f>
        <v/>
      </c>
      <c r="BP174">
        <f>BP153</f>
        <v/>
      </c>
      <c r="BQ174">
        <f>BQ153</f>
        <v/>
      </c>
      <c r="BR174">
        <f>BR153</f>
        <v/>
      </c>
      <c r="BS174">
        <f>BS153</f>
        <v/>
      </c>
      <c r="BT174">
        <f>BT153</f>
        <v/>
      </c>
      <c r="BU174">
        <f>BU153</f>
        <v/>
      </c>
      <c r="BV174">
        <f>BV153</f>
        <v/>
      </c>
      <c r="BW174">
        <f>BW153</f>
        <v/>
      </c>
      <c r="BX174">
        <f>BX153</f>
        <v/>
      </c>
      <c r="BY174">
        <f>BY153</f>
        <v/>
      </c>
      <c r="BZ174">
        <f>BZ153</f>
        <v/>
      </c>
      <c r="CA174">
        <f>CA153</f>
        <v/>
      </c>
      <c r="CB174">
        <f>CB153</f>
        <v/>
      </c>
      <c r="CC174">
        <f>CC153</f>
        <v/>
      </c>
      <c r="CD174">
        <f>CD153</f>
        <v/>
      </c>
      <c r="CE174">
        <f>CE153</f>
        <v/>
      </c>
      <c r="CG174" s="6" t="n">
        <v>2017</v>
      </c>
      <c r="CH174" s="6" t="inlineStr">
        <is>
          <t>MINBatMaterials_MN</t>
        </is>
      </c>
      <c r="CI174" s="6" t="n">
        <v>0.115</v>
      </c>
      <c r="CJ174" s="6" t="n">
        <v>0.115</v>
      </c>
      <c r="CK174" s="6" t="inlineStr">
        <is>
          <t>Mining_facility_representative</t>
        </is>
      </c>
      <c r="CL174" s="6" t="inlineStr">
        <is>
          <t>Mining_facility_representative</t>
        </is>
      </c>
      <c r="CM174" s="6" t="inlineStr">
        <is>
          <t>Mining curve kept the same for China; COB_direct treated as aggregate cobalt-production route including by-product routes.</t>
        </is>
      </c>
    </row>
    <row r="175" ht="14.5" customHeight="1" s="213">
      <c r="D175">
        <f>D174</f>
        <v/>
      </c>
      <c r="E175" t="inlineStr">
        <is>
          <t>MINBatMaterials_AL</t>
        </is>
      </c>
      <c r="F175" s="208">
        <f>AW175*$AS175</f>
        <v/>
      </c>
      <c r="G175" s="208">
        <f>AX175*$AS175</f>
        <v/>
      </c>
      <c r="H175" s="208">
        <f>AY175*$AS175</f>
        <v/>
      </c>
      <c r="I175" s="208">
        <f>AZ175*$AS175</f>
        <v/>
      </c>
      <c r="J175" s="208">
        <f>BA175*$AS175</f>
        <v/>
      </c>
      <c r="K175" s="208">
        <f>BB175*$AS175</f>
        <v/>
      </c>
      <c r="L175" s="208">
        <f>BC175*$AS175</f>
        <v/>
      </c>
      <c r="M175" s="208">
        <f>BD175*$CI175</f>
        <v/>
      </c>
      <c r="N175" s="208">
        <f>BE175*$AS175</f>
        <v/>
      </c>
      <c r="O175" s="208">
        <f>BF175*$AS175</f>
        <v/>
      </c>
      <c r="P175" s="208">
        <f>BG175*$AS175</f>
        <v/>
      </c>
      <c r="Q175" s="208">
        <f>BH175*$AS175</f>
        <v/>
      </c>
      <c r="R175" s="208">
        <f>BI175*$AS175</f>
        <v/>
      </c>
      <c r="S175" s="208">
        <f>BJ175*$AS175</f>
        <v/>
      </c>
      <c r="T175" s="208">
        <f>BK175*$AS175</f>
        <v/>
      </c>
      <c r="U175" s="208">
        <f>BL175*$AS175</f>
        <v/>
      </c>
      <c r="V175" s="208">
        <f>BM175*$AS175</f>
        <v/>
      </c>
      <c r="W175" s="208">
        <f>BN175*$AS175</f>
        <v/>
      </c>
      <c r="X175" s="208">
        <f>BO175*$AS175</f>
        <v/>
      </c>
      <c r="Y175" s="208">
        <f>BP175*$AS175</f>
        <v/>
      </c>
      <c r="Z175" s="208">
        <f>BQ175*$AS175</f>
        <v/>
      </c>
      <c r="AA175" s="208">
        <f>BR175*$AS175</f>
        <v/>
      </c>
      <c r="AB175" s="208">
        <f>BS175*$AS175</f>
        <v/>
      </c>
      <c r="AC175" s="208">
        <f>BT175*$AS175</f>
        <v/>
      </c>
      <c r="AD175" s="208">
        <f>BU175*$AS175</f>
        <v/>
      </c>
      <c r="AE175" s="208">
        <f>BV175*$AS175</f>
        <v/>
      </c>
      <c r="AF175" s="208">
        <f>BW175*$AS175</f>
        <v/>
      </c>
      <c r="AG175" s="208">
        <f>BX175*$AS175</f>
        <v/>
      </c>
      <c r="AH175" s="208">
        <f>BY175*$AS175</f>
        <v/>
      </c>
      <c r="AI175" s="208">
        <f>BZ175*$AS175</f>
        <v/>
      </c>
      <c r="AJ175" s="208">
        <f>CA175*$AS175</f>
        <v/>
      </c>
      <c r="AK175" s="208">
        <f>CB175*$AS175</f>
        <v/>
      </c>
      <c r="AL175" s="208">
        <f>CC175*$AS175</f>
        <v/>
      </c>
      <c r="AM175" s="208">
        <f>CD175*$AS175</f>
        <v/>
      </c>
      <c r="AN175" s="208">
        <f>CE175*$AS175</f>
        <v/>
      </c>
      <c r="AQ175" s="6" t="n">
        <v>2017</v>
      </c>
      <c r="AR175" s="6" t="inlineStr">
        <is>
          <t>MINBatMaterials_AL</t>
        </is>
      </c>
      <c r="AS175" s="6" t="n">
        <v>0.115</v>
      </c>
      <c r="AT175" s="6" t="inlineStr">
        <is>
          <t>Mining_facility_representative</t>
        </is>
      </c>
      <c r="AU175" s="6" t="inlineStr">
        <is>
          <t>Representative mining-capacity vintage curve; COB_direct treated as aggregate cobalt-production route including by-product routes.</t>
        </is>
      </c>
      <c r="AV175">
        <f>AV154</f>
        <v/>
      </c>
      <c r="AW175">
        <f>AW154</f>
        <v/>
      </c>
      <c r="AX175">
        <f>AX154</f>
        <v/>
      </c>
      <c r="AY175">
        <f>AY154</f>
        <v/>
      </c>
      <c r="AZ175">
        <f>AZ154</f>
        <v/>
      </c>
      <c r="BA175">
        <f>BA154</f>
        <v/>
      </c>
      <c r="BB175">
        <f>BB154</f>
        <v/>
      </c>
      <c r="BC175">
        <f>BC154</f>
        <v/>
      </c>
      <c r="BD175">
        <f>BD154</f>
        <v/>
      </c>
      <c r="BE175">
        <f>BE154</f>
        <v/>
      </c>
      <c r="BF175">
        <f>BF154</f>
        <v/>
      </c>
      <c r="BG175">
        <f>BG154</f>
        <v/>
      </c>
      <c r="BH175">
        <f>BH154</f>
        <v/>
      </c>
      <c r="BI175">
        <f>BI154</f>
        <v/>
      </c>
      <c r="BJ175">
        <f>BJ154</f>
        <v/>
      </c>
      <c r="BK175">
        <f>BK154</f>
        <v/>
      </c>
      <c r="BL175">
        <f>BL154</f>
        <v/>
      </c>
      <c r="BM175">
        <f>BM154</f>
        <v/>
      </c>
      <c r="BN175">
        <f>BN154</f>
        <v/>
      </c>
      <c r="BO175">
        <f>BO154</f>
        <v/>
      </c>
      <c r="BP175">
        <f>BP154</f>
        <v/>
      </c>
      <c r="BQ175">
        <f>BQ154</f>
        <v/>
      </c>
      <c r="BR175">
        <f>BR154</f>
        <v/>
      </c>
      <c r="BS175">
        <f>BS154</f>
        <v/>
      </c>
      <c r="BT175">
        <f>BT154</f>
        <v/>
      </c>
      <c r="BU175">
        <f>BU154</f>
        <v/>
      </c>
      <c r="BV175">
        <f>BV154</f>
        <v/>
      </c>
      <c r="BW175">
        <f>BW154</f>
        <v/>
      </c>
      <c r="BX175">
        <f>BX154</f>
        <v/>
      </c>
      <c r="BY175">
        <f>BY154</f>
        <v/>
      </c>
      <c r="BZ175">
        <f>BZ154</f>
        <v/>
      </c>
      <c r="CA175">
        <f>CA154</f>
        <v/>
      </c>
      <c r="CB175">
        <f>CB154</f>
        <v/>
      </c>
      <c r="CC175">
        <f>CC154</f>
        <v/>
      </c>
      <c r="CD175">
        <f>CD154</f>
        <v/>
      </c>
      <c r="CE175">
        <f>CE154</f>
        <v/>
      </c>
      <c r="CG175" s="6" t="n">
        <v>2017</v>
      </c>
      <c r="CH175" s="6" t="inlineStr">
        <is>
          <t>MINBatMaterials_AL</t>
        </is>
      </c>
      <c r="CI175" s="6" t="n">
        <v>0.115</v>
      </c>
      <c r="CJ175" s="6" t="n">
        <v>0.115</v>
      </c>
      <c r="CK175" s="6" t="inlineStr">
        <is>
          <t>Mining_facility_representative</t>
        </is>
      </c>
      <c r="CL175" s="6" t="inlineStr">
        <is>
          <t>Mining_facility_representative</t>
        </is>
      </c>
      <c r="CM175" s="6" t="inlineStr">
        <is>
          <t>Mining curve kept the same for China; COB_direct treated as aggregate cobalt-production route including by-product routes.</t>
        </is>
      </c>
    </row>
    <row r="176" ht="14.5" customHeight="1" s="213">
      <c r="D176">
        <f>D175</f>
        <v/>
      </c>
      <c r="E176" t="inlineStr">
        <is>
          <t>MINBatMaterials_COP</t>
        </is>
      </c>
      <c r="F176" s="208">
        <f>AW176*$AS176</f>
        <v/>
      </c>
      <c r="G176" s="208">
        <f>AX176*$AS176</f>
        <v/>
      </c>
      <c r="H176" s="208">
        <f>AY176*$AS176</f>
        <v/>
      </c>
      <c r="I176" s="208">
        <f>AZ176*$AS176</f>
        <v/>
      </c>
      <c r="J176" s="208">
        <f>BA176*$AS176</f>
        <v/>
      </c>
      <c r="K176" s="208">
        <f>BB176*$AS176</f>
        <v/>
      </c>
      <c r="L176" s="208">
        <f>BC176*$AS176</f>
        <v/>
      </c>
      <c r="M176" s="208">
        <f>BD176*$CI176</f>
        <v/>
      </c>
      <c r="N176" s="208">
        <f>BE176*$AS176</f>
        <v/>
      </c>
      <c r="O176" s="208">
        <f>BF176*$AS176</f>
        <v/>
      </c>
      <c r="P176" s="208">
        <f>BG176*$AS176</f>
        <v/>
      </c>
      <c r="Q176" s="208">
        <f>BH176*$AS176</f>
        <v/>
      </c>
      <c r="R176" s="208">
        <f>BI176*$AS176</f>
        <v/>
      </c>
      <c r="S176" s="208">
        <f>BJ176*$AS176</f>
        <v/>
      </c>
      <c r="T176" s="208">
        <f>BK176*$AS176</f>
        <v/>
      </c>
      <c r="U176" s="208">
        <f>BL176*$AS176</f>
        <v/>
      </c>
      <c r="V176" s="208">
        <f>BM176*$AS176</f>
        <v/>
      </c>
      <c r="W176" s="208">
        <f>BN176*$AS176</f>
        <v/>
      </c>
      <c r="X176" s="208">
        <f>BO176*$AS176</f>
        <v/>
      </c>
      <c r="Y176" s="208">
        <f>BP176*$AS176</f>
        <v/>
      </c>
      <c r="Z176" s="208">
        <f>BQ176*$AS176</f>
        <v/>
      </c>
      <c r="AA176" s="208">
        <f>BR176*$AS176</f>
        <v/>
      </c>
      <c r="AB176" s="208">
        <f>BS176*$AS176</f>
        <v/>
      </c>
      <c r="AC176" s="208">
        <f>BT176*$AS176</f>
        <v/>
      </c>
      <c r="AD176" s="208">
        <f>BU176*$AS176</f>
        <v/>
      </c>
      <c r="AE176" s="208">
        <f>BV176*$AS176</f>
        <v/>
      </c>
      <c r="AF176" s="208">
        <f>BW176*$AS176</f>
        <v/>
      </c>
      <c r="AG176" s="208">
        <f>BX176*$AS176</f>
        <v/>
      </c>
      <c r="AH176" s="208">
        <f>BY176*$AS176</f>
        <v/>
      </c>
      <c r="AI176" s="208">
        <f>BZ176*$AS176</f>
        <v/>
      </c>
      <c r="AJ176" s="208">
        <f>CA176*$AS176</f>
        <v/>
      </c>
      <c r="AK176" s="208">
        <f>CB176*$AS176</f>
        <v/>
      </c>
      <c r="AL176" s="208">
        <f>CC176*$AS176</f>
        <v/>
      </c>
      <c r="AM176" s="208">
        <f>CD176*$AS176</f>
        <v/>
      </c>
      <c r="AN176" s="208">
        <f>CE176*$AS176</f>
        <v/>
      </c>
      <c r="AQ176" s="6" t="n">
        <v>2017</v>
      </c>
      <c r="AR176" s="6" t="inlineStr">
        <is>
          <t>MINBatMaterials_COP</t>
        </is>
      </c>
      <c r="AS176" s="6" t="n">
        <v>0.115</v>
      </c>
      <c r="AT176" s="6" t="inlineStr">
        <is>
          <t>Mining_facility_representative</t>
        </is>
      </c>
      <c r="AU176" s="6" t="inlineStr">
        <is>
          <t>Representative mining-capacity vintage curve; COB_direct treated as aggregate cobalt-production route including by-product routes.</t>
        </is>
      </c>
      <c r="AV176">
        <f>AV155</f>
        <v/>
      </c>
      <c r="AW176">
        <f>AW155</f>
        <v/>
      </c>
      <c r="AX176">
        <f>AX155</f>
        <v/>
      </c>
      <c r="AY176">
        <f>AY155</f>
        <v/>
      </c>
      <c r="AZ176">
        <f>AZ155</f>
        <v/>
      </c>
      <c r="BA176">
        <f>BA155</f>
        <v/>
      </c>
      <c r="BB176">
        <f>BB155</f>
        <v/>
      </c>
      <c r="BC176">
        <f>BC155</f>
        <v/>
      </c>
      <c r="BD176">
        <f>BD155</f>
        <v/>
      </c>
      <c r="BE176">
        <f>BE155</f>
        <v/>
      </c>
      <c r="BF176">
        <f>BF155</f>
        <v/>
      </c>
      <c r="BG176">
        <f>BG155</f>
        <v/>
      </c>
      <c r="BH176">
        <f>BH155</f>
        <v/>
      </c>
      <c r="BI176">
        <f>BI155</f>
        <v/>
      </c>
      <c r="BJ176">
        <f>BJ155</f>
        <v/>
      </c>
      <c r="BK176">
        <f>BK155</f>
        <v/>
      </c>
      <c r="BL176">
        <f>BL155</f>
        <v/>
      </c>
      <c r="BM176">
        <f>BM155</f>
        <v/>
      </c>
      <c r="BN176">
        <f>BN155</f>
        <v/>
      </c>
      <c r="BO176">
        <f>BO155</f>
        <v/>
      </c>
      <c r="BP176">
        <f>BP155</f>
        <v/>
      </c>
      <c r="BQ176">
        <f>BQ155</f>
        <v/>
      </c>
      <c r="BR176">
        <f>BR155</f>
        <v/>
      </c>
      <c r="BS176">
        <f>BS155</f>
        <v/>
      </c>
      <c r="BT176">
        <f>BT155</f>
        <v/>
      </c>
      <c r="BU176">
        <f>BU155</f>
        <v/>
      </c>
      <c r="BV176">
        <f>BV155</f>
        <v/>
      </c>
      <c r="BW176">
        <f>BW155</f>
        <v/>
      </c>
      <c r="BX176">
        <f>BX155</f>
        <v/>
      </c>
      <c r="BY176">
        <f>BY155</f>
        <v/>
      </c>
      <c r="BZ176">
        <f>BZ155</f>
        <v/>
      </c>
      <c r="CA176">
        <f>CA155</f>
        <v/>
      </c>
      <c r="CB176">
        <f>CB155</f>
        <v/>
      </c>
      <c r="CC176">
        <f>CC155</f>
        <v/>
      </c>
      <c r="CD176">
        <f>CD155</f>
        <v/>
      </c>
      <c r="CE176">
        <f>CE155</f>
        <v/>
      </c>
      <c r="CG176" s="6" t="n">
        <v>2017</v>
      </c>
      <c r="CH176" s="6" t="inlineStr">
        <is>
          <t>MINBatMaterials_COP</t>
        </is>
      </c>
      <c r="CI176" s="6" t="n">
        <v>0.115</v>
      </c>
      <c r="CJ176" s="6" t="n">
        <v>0.115</v>
      </c>
      <c r="CK176" s="6" t="inlineStr">
        <is>
          <t>Mining_facility_representative</t>
        </is>
      </c>
      <c r="CL176" s="6" t="inlineStr">
        <is>
          <t>Mining_facility_representative</t>
        </is>
      </c>
      <c r="CM176" s="6" t="inlineStr">
        <is>
          <t>Mining curve kept the same for China; COB_direct treated as aggregate cobalt-production route including by-product routes.</t>
        </is>
      </c>
    </row>
    <row r="177" ht="14.5" customHeight="1" s="213">
      <c r="D177">
        <f>D176</f>
        <v/>
      </c>
      <c r="E177" t="inlineStr">
        <is>
          <t>MINBatMaterials_GR</t>
        </is>
      </c>
      <c r="F177" s="208">
        <f>AW177*$AS177</f>
        <v/>
      </c>
      <c r="G177" s="208">
        <f>AX177*$AS177</f>
        <v/>
      </c>
      <c r="H177" s="208">
        <f>AY177*$AS177</f>
        <v/>
      </c>
      <c r="I177" s="208">
        <f>AZ177*$AS177</f>
        <v/>
      </c>
      <c r="J177" s="208">
        <f>BA177*$AS177</f>
        <v/>
      </c>
      <c r="K177" s="208">
        <f>BB177*$AS177</f>
        <v/>
      </c>
      <c r="L177" s="208">
        <f>BC177*$AS177</f>
        <v/>
      </c>
      <c r="M177" s="208">
        <f>BD177*$CI177</f>
        <v/>
      </c>
      <c r="N177" s="208">
        <f>BE177*$AS177</f>
        <v/>
      </c>
      <c r="O177" s="208">
        <f>BF177*$AS177</f>
        <v/>
      </c>
      <c r="P177" s="208">
        <f>BG177*$AS177</f>
        <v/>
      </c>
      <c r="Q177" s="208">
        <f>BH177*$AS177</f>
        <v/>
      </c>
      <c r="R177" s="208">
        <f>BI177*$AS177</f>
        <v/>
      </c>
      <c r="S177" s="208">
        <f>BJ177*$AS177</f>
        <v/>
      </c>
      <c r="T177" s="208">
        <f>BK177*$AS177</f>
        <v/>
      </c>
      <c r="U177" s="208">
        <f>BL177*$AS177</f>
        <v/>
      </c>
      <c r="V177" s="208">
        <f>BM177*$AS177</f>
        <v/>
      </c>
      <c r="W177" s="208">
        <f>BN177*$AS177</f>
        <v/>
      </c>
      <c r="X177" s="208">
        <f>BO177*$AS177</f>
        <v/>
      </c>
      <c r="Y177" s="208">
        <f>BP177*$AS177</f>
        <v/>
      </c>
      <c r="Z177" s="208">
        <f>BQ177*$AS177</f>
        <v/>
      </c>
      <c r="AA177" s="208">
        <f>BR177*$AS177</f>
        <v/>
      </c>
      <c r="AB177" s="208">
        <f>BS177*$AS177</f>
        <v/>
      </c>
      <c r="AC177" s="208">
        <f>BT177*$AS177</f>
        <v/>
      </c>
      <c r="AD177" s="208">
        <f>BU177*$AS177</f>
        <v/>
      </c>
      <c r="AE177" s="208">
        <f>BV177*$AS177</f>
        <v/>
      </c>
      <c r="AF177" s="208">
        <f>BW177*$AS177</f>
        <v/>
      </c>
      <c r="AG177" s="208">
        <f>BX177*$AS177</f>
        <v/>
      </c>
      <c r="AH177" s="208">
        <f>BY177*$AS177</f>
        <v/>
      </c>
      <c r="AI177" s="208">
        <f>BZ177*$AS177</f>
        <v/>
      </c>
      <c r="AJ177" s="208">
        <f>CA177*$AS177</f>
        <v/>
      </c>
      <c r="AK177" s="208">
        <f>CB177*$AS177</f>
        <v/>
      </c>
      <c r="AL177" s="208">
        <f>CC177*$AS177</f>
        <v/>
      </c>
      <c r="AM177" s="208">
        <f>CD177*$AS177</f>
        <v/>
      </c>
      <c r="AN177" s="208">
        <f>CE177*$AS177</f>
        <v/>
      </c>
      <c r="AQ177" s="6" t="n">
        <v>2017</v>
      </c>
      <c r="AR177" s="6" t="inlineStr">
        <is>
          <t>MINBatMaterials_GR</t>
        </is>
      </c>
      <c r="AS177" s="6" t="n">
        <v>0.115</v>
      </c>
      <c r="AT177" s="6" t="inlineStr">
        <is>
          <t>Mining_facility_representative</t>
        </is>
      </c>
      <c r="AU177" s="6" t="inlineStr">
        <is>
          <t>Representative mining-capacity vintage curve; COB_direct treated as aggregate cobalt-production route including by-product routes.</t>
        </is>
      </c>
      <c r="AV177">
        <f>AV156</f>
        <v/>
      </c>
      <c r="AW177">
        <f>AW156</f>
        <v/>
      </c>
      <c r="AX177">
        <f>AX156</f>
        <v/>
      </c>
      <c r="AY177">
        <f>AY156</f>
        <v/>
      </c>
      <c r="AZ177">
        <f>AZ156</f>
        <v/>
      </c>
      <c r="BA177">
        <f>BA156</f>
        <v/>
      </c>
      <c r="BB177">
        <f>BB156</f>
        <v/>
      </c>
      <c r="BC177">
        <f>BC156</f>
        <v/>
      </c>
      <c r="BD177">
        <f>BD156</f>
        <v/>
      </c>
      <c r="BE177">
        <f>BE156</f>
        <v/>
      </c>
      <c r="BF177">
        <f>BF156</f>
        <v/>
      </c>
      <c r="BG177">
        <f>BG156</f>
        <v/>
      </c>
      <c r="BH177">
        <f>BH156</f>
        <v/>
      </c>
      <c r="BI177">
        <f>BI156</f>
        <v/>
      </c>
      <c r="BJ177">
        <f>BJ156</f>
        <v/>
      </c>
      <c r="BK177">
        <f>BK156</f>
        <v/>
      </c>
      <c r="BL177">
        <f>BL156</f>
        <v/>
      </c>
      <c r="BM177">
        <f>BM156</f>
        <v/>
      </c>
      <c r="BN177">
        <f>BN156</f>
        <v/>
      </c>
      <c r="BO177">
        <f>BO156</f>
        <v/>
      </c>
      <c r="BP177">
        <f>BP156</f>
        <v/>
      </c>
      <c r="BQ177">
        <f>BQ156</f>
        <v/>
      </c>
      <c r="BR177">
        <f>BR156</f>
        <v/>
      </c>
      <c r="BS177">
        <f>BS156</f>
        <v/>
      </c>
      <c r="BT177">
        <f>BT156</f>
        <v/>
      </c>
      <c r="BU177">
        <f>BU156</f>
        <v/>
      </c>
      <c r="BV177">
        <f>BV156</f>
        <v/>
      </c>
      <c r="BW177">
        <f>BW156</f>
        <v/>
      </c>
      <c r="BX177">
        <f>BX156</f>
        <v/>
      </c>
      <c r="BY177">
        <f>BY156</f>
        <v/>
      </c>
      <c r="BZ177">
        <f>BZ156</f>
        <v/>
      </c>
      <c r="CA177">
        <f>CA156</f>
        <v/>
      </c>
      <c r="CB177">
        <f>CB156</f>
        <v/>
      </c>
      <c r="CC177">
        <f>CC156</f>
        <v/>
      </c>
      <c r="CD177">
        <f>CD156</f>
        <v/>
      </c>
      <c r="CE177">
        <f>CE156</f>
        <v/>
      </c>
      <c r="CG177" s="6" t="n">
        <v>2017</v>
      </c>
      <c r="CH177" s="6" t="inlineStr">
        <is>
          <t>MINBatMaterials_GR</t>
        </is>
      </c>
      <c r="CI177" s="6" t="n">
        <v>0.115</v>
      </c>
      <c r="CJ177" s="6" t="n">
        <v>0.115</v>
      </c>
      <c r="CK177" s="6" t="inlineStr">
        <is>
          <t>Mining_facility_representative</t>
        </is>
      </c>
      <c r="CL177" s="6" t="inlineStr">
        <is>
          <t>Mining_facility_representative</t>
        </is>
      </c>
      <c r="CM177" s="6" t="inlineStr">
        <is>
          <t>Mining curve kept the same for China; COB_direct treated as aggregate cobalt-production route including by-product routes.</t>
        </is>
      </c>
    </row>
    <row r="178" ht="14.5" customHeight="1" s="213">
      <c r="D178" t="n">
        <v>2017</v>
      </c>
      <c r="E178" t="inlineStr">
        <is>
          <t>Tra_EV_Batt-LFP_virgin</t>
        </is>
      </c>
      <c r="F178" s="208">
        <f>AW178*$AS178</f>
        <v/>
      </c>
      <c r="G178" s="208">
        <f>AX178*$AS178</f>
        <v/>
      </c>
      <c r="H178" s="208">
        <f>AY178*$AS178</f>
        <v/>
      </c>
      <c r="I178" s="208">
        <f>AZ178*$AS178</f>
        <v/>
      </c>
      <c r="J178" s="208">
        <f>BA178*$AS178</f>
        <v/>
      </c>
      <c r="K178" s="208">
        <f>BB178*$AS178</f>
        <v/>
      </c>
      <c r="L178" s="208">
        <f>BC178*$AS178</f>
        <v/>
      </c>
      <c r="M178" s="208">
        <f>BD178*$CI178</f>
        <v/>
      </c>
      <c r="N178" s="208">
        <f>BE178*$AS178</f>
        <v/>
      </c>
      <c r="O178" s="208">
        <f>BF178*$AS178</f>
        <v/>
      </c>
      <c r="P178" s="208">
        <f>BG178*$AS178</f>
        <v/>
      </c>
      <c r="Q178" s="208">
        <f>BH178*$AS178</f>
        <v/>
      </c>
      <c r="R178" s="208">
        <f>BI178*$AS178</f>
        <v/>
      </c>
      <c r="S178" s="208">
        <f>BJ178*$AS178</f>
        <v/>
      </c>
      <c r="T178" s="208">
        <f>BK178*$AS178</f>
        <v/>
      </c>
      <c r="U178" s="208">
        <f>BL178*$AS178</f>
        <v/>
      </c>
      <c r="V178" s="208">
        <f>BM178*$AS178</f>
        <v/>
      </c>
      <c r="W178" s="208">
        <f>BN178*$AS178</f>
        <v/>
      </c>
      <c r="X178" s="208">
        <f>BO178*$AS178</f>
        <v/>
      </c>
      <c r="Y178" s="208">
        <f>BP178*$AS178</f>
        <v/>
      </c>
      <c r="Z178" s="208">
        <f>BQ178*$AS178</f>
        <v/>
      </c>
      <c r="AA178" s="208">
        <f>BR178*$AS178</f>
        <v/>
      </c>
      <c r="AB178" s="208">
        <f>BS178*$AS178</f>
        <v/>
      </c>
      <c r="AC178" s="208">
        <f>BT178*$AS178</f>
        <v/>
      </c>
      <c r="AD178" s="208">
        <f>BU178*$AS178</f>
        <v/>
      </c>
      <c r="AE178" s="208">
        <f>BV178*$AS178</f>
        <v/>
      </c>
      <c r="AF178" s="208">
        <f>BW178*$AS178</f>
        <v/>
      </c>
      <c r="AG178" s="208">
        <f>BX178*$AS178</f>
        <v/>
      </c>
      <c r="AH178" s="208">
        <f>BY178*$AS178</f>
        <v/>
      </c>
      <c r="AI178" s="208">
        <f>BZ178*$AS178</f>
        <v/>
      </c>
      <c r="AJ178" s="208">
        <f>CA178*$AS178</f>
        <v/>
      </c>
      <c r="AK178" s="208">
        <f>CB178*$AS178</f>
        <v/>
      </c>
      <c r="AL178" s="208">
        <f>CC178*$AS178</f>
        <v/>
      </c>
      <c r="AM178" s="208">
        <f>CD178*$AS178</f>
        <v/>
      </c>
      <c r="AN178" s="208">
        <f>CE178*$AS178</f>
        <v/>
      </c>
      <c r="AQ178" s="6" t="n">
        <v>2017</v>
      </c>
      <c r="AR178" s="6" t="inlineStr">
        <is>
          <t>Tra_EV_Batt-LFP_virgin</t>
        </is>
      </c>
      <c r="AS178" s="6" t="n">
        <v>0.163</v>
      </c>
      <c r="AT178" s="6" t="inlineStr">
        <is>
          <t>Transport_EV_general</t>
        </is>
      </c>
      <c r="AU178" s="6" t="inlineStr">
        <is>
          <t>Back-loaded transport EV battery vintage curve based on historical EV deployment shape.</t>
        </is>
      </c>
      <c r="AV178">
        <f>AV157</f>
        <v/>
      </c>
      <c r="AW178">
        <f>AW157</f>
        <v/>
      </c>
      <c r="AX178">
        <f>AX157</f>
        <v/>
      </c>
      <c r="AY178">
        <f>AY157</f>
        <v/>
      </c>
      <c r="AZ178">
        <f>AZ157</f>
        <v/>
      </c>
      <c r="BA178">
        <f>BA157</f>
        <v/>
      </c>
      <c r="BB178">
        <f>BB157</f>
        <v/>
      </c>
      <c r="BC178">
        <f>BC157</f>
        <v/>
      </c>
      <c r="BD178">
        <f>BD157</f>
        <v/>
      </c>
      <c r="BE178">
        <f>BE157</f>
        <v/>
      </c>
      <c r="BF178">
        <f>BF157</f>
        <v/>
      </c>
      <c r="BG178">
        <f>BG157</f>
        <v/>
      </c>
      <c r="BH178">
        <f>BH157</f>
        <v/>
      </c>
      <c r="BI178">
        <f>BI157</f>
        <v/>
      </c>
      <c r="BJ178">
        <f>BJ157</f>
        <v/>
      </c>
      <c r="BK178">
        <f>BK157</f>
        <v/>
      </c>
      <c r="BL178">
        <f>BL157</f>
        <v/>
      </c>
      <c r="BM178">
        <f>BM157</f>
        <v/>
      </c>
      <c r="BN178">
        <f>BN157</f>
        <v/>
      </c>
      <c r="BO178">
        <f>BO157</f>
        <v/>
      </c>
      <c r="BP178">
        <f>BP157</f>
        <v/>
      </c>
      <c r="BQ178">
        <f>BQ157</f>
        <v/>
      </c>
      <c r="BR178">
        <f>BR157</f>
        <v/>
      </c>
      <c r="BS178">
        <f>BS157</f>
        <v/>
      </c>
      <c r="BT178">
        <f>BT157</f>
        <v/>
      </c>
      <c r="BU178">
        <f>BU157</f>
        <v/>
      </c>
      <c r="BV178">
        <f>BV157</f>
        <v/>
      </c>
      <c r="BW178">
        <f>BW157</f>
        <v/>
      </c>
      <c r="BX178">
        <f>BX157</f>
        <v/>
      </c>
      <c r="BY178">
        <f>BY157</f>
        <v/>
      </c>
      <c r="BZ178">
        <f>BZ157</f>
        <v/>
      </c>
      <c r="CA178">
        <f>CA157</f>
        <v/>
      </c>
      <c r="CB178">
        <f>CB157</f>
        <v/>
      </c>
      <c r="CC178">
        <f>CC157</f>
        <v/>
      </c>
      <c r="CD178">
        <f>CD157</f>
        <v/>
      </c>
      <c r="CE178">
        <f>CE157</f>
        <v/>
      </c>
      <c r="CG178" s="6" t="n">
        <v>2017</v>
      </c>
      <c r="CH178" s="6" t="inlineStr">
        <is>
          <t>Tra_EV_Batt-LFP_virgin</t>
        </is>
      </c>
      <c r="CI178" s="6" t="n">
        <v>0.163</v>
      </c>
      <c r="CJ178" s="6" t="n">
        <v>0.22</v>
      </c>
      <c r="CK178" s="6" t="inlineStr">
        <is>
          <t>Transport_EV_global</t>
        </is>
      </c>
      <c r="CL178" s="6" t="inlineStr">
        <is>
          <t>Transport_EV_China</t>
        </is>
      </c>
      <c r="CM178" s="6" t="inlineStr">
        <is>
          <t>China transport EV curve is shifted earlier than the global curve to reflect earlier China EV/e-bus deployment in the 2010s.</t>
        </is>
      </c>
    </row>
    <row r="179" ht="14.5" customHeight="1" s="213">
      <c r="D179">
        <f>D178</f>
        <v/>
      </c>
      <c r="E179" t="inlineStr">
        <is>
          <t>Tra_EV_Batt-NMC622_virgin</t>
        </is>
      </c>
      <c r="F179" s="208">
        <f>AW179*$AS179</f>
        <v/>
      </c>
      <c r="G179" s="208">
        <f>AX179*$AS179</f>
        <v/>
      </c>
      <c r="H179" s="208">
        <f>AY179*$AS179</f>
        <v/>
      </c>
      <c r="I179" s="208">
        <f>AZ179*$AS179</f>
        <v/>
      </c>
      <c r="J179" s="208">
        <f>BA179*$AS179</f>
        <v/>
      </c>
      <c r="K179" s="208">
        <f>BB179*$AS179</f>
        <v/>
      </c>
      <c r="L179" s="208">
        <f>BC179*$AS179</f>
        <v/>
      </c>
      <c r="M179" s="208">
        <f>BD179*$CI179</f>
        <v/>
      </c>
      <c r="N179" s="208">
        <f>BE179*$AS179</f>
        <v/>
      </c>
      <c r="O179" s="208">
        <f>BF179*$AS179</f>
        <v/>
      </c>
      <c r="P179" s="208">
        <f>BG179*$AS179</f>
        <v/>
      </c>
      <c r="Q179" s="208">
        <f>BH179*$AS179</f>
        <v/>
      </c>
      <c r="R179" s="208">
        <f>BI179*$AS179</f>
        <v/>
      </c>
      <c r="S179" s="208">
        <f>BJ179*$AS179</f>
        <v/>
      </c>
      <c r="T179" s="208">
        <f>BK179*$AS179</f>
        <v/>
      </c>
      <c r="U179" s="208">
        <f>BL179*$AS179</f>
        <v/>
      </c>
      <c r="V179" s="208">
        <f>BM179*$AS179</f>
        <v/>
      </c>
      <c r="W179" s="208">
        <f>BN179*$AS179</f>
        <v/>
      </c>
      <c r="X179" s="208">
        <f>BO179*$AS179</f>
        <v/>
      </c>
      <c r="Y179" s="208">
        <f>BP179*$AS179</f>
        <v/>
      </c>
      <c r="Z179" s="208">
        <f>BQ179*$AS179</f>
        <v/>
      </c>
      <c r="AA179" s="208">
        <f>BR179*$AS179</f>
        <v/>
      </c>
      <c r="AB179" s="208">
        <f>BS179*$AS179</f>
        <v/>
      </c>
      <c r="AC179" s="208">
        <f>BT179*$AS179</f>
        <v/>
      </c>
      <c r="AD179" s="208">
        <f>BU179*$AS179</f>
        <v/>
      </c>
      <c r="AE179" s="208">
        <f>BV179*$AS179</f>
        <v/>
      </c>
      <c r="AF179" s="208">
        <f>BW179*$AS179</f>
        <v/>
      </c>
      <c r="AG179" s="208">
        <f>BX179*$AS179</f>
        <v/>
      </c>
      <c r="AH179" s="208">
        <f>BY179*$AS179</f>
        <v/>
      </c>
      <c r="AI179" s="208">
        <f>BZ179*$AS179</f>
        <v/>
      </c>
      <c r="AJ179" s="208">
        <f>CA179*$AS179</f>
        <v/>
      </c>
      <c r="AK179" s="208">
        <f>CB179*$AS179</f>
        <v/>
      </c>
      <c r="AL179" s="208">
        <f>CC179*$AS179</f>
        <v/>
      </c>
      <c r="AM179" s="208">
        <f>CD179*$AS179</f>
        <v/>
      </c>
      <c r="AN179" s="208">
        <f>CE179*$AS179</f>
        <v/>
      </c>
      <c r="AQ179" s="6" t="n">
        <v>2017</v>
      </c>
      <c r="AR179" s="6" t="inlineStr">
        <is>
          <t>Tra_EV_Batt-NMC622_virgin</t>
        </is>
      </c>
      <c r="AS179" s="6" t="n">
        <v>0.163</v>
      </c>
      <c r="AT179" s="6" t="inlineStr">
        <is>
          <t>Transport_EV_general</t>
        </is>
      </c>
      <c r="AU179" s="6" t="inlineStr">
        <is>
          <t>Back-loaded transport EV battery vintage curve based on historical EV deployment shape.</t>
        </is>
      </c>
      <c r="AV179">
        <f>AV158</f>
        <v/>
      </c>
      <c r="AW179">
        <f>AW158</f>
        <v/>
      </c>
      <c r="AX179">
        <f>AX158</f>
        <v/>
      </c>
      <c r="AY179">
        <f>AY158</f>
        <v/>
      </c>
      <c r="AZ179">
        <f>AZ158</f>
        <v/>
      </c>
      <c r="BA179">
        <f>BA158</f>
        <v/>
      </c>
      <c r="BB179">
        <f>BB158</f>
        <v/>
      </c>
      <c r="BC179">
        <f>BC158</f>
        <v/>
      </c>
      <c r="BD179">
        <f>BD158</f>
        <v/>
      </c>
      <c r="BE179">
        <f>BE158</f>
        <v/>
      </c>
      <c r="BF179">
        <f>BF158</f>
        <v/>
      </c>
      <c r="BG179">
        <f>BG158</f>
        <v/>
      </c>
      <c r="BH179">
        <f>BH158</f>
        <v/>
      </c>
      <c r="BI179">
        <f>BI158</f>
        <v/>
      </c>
      <c r="BJ179">
        <f>BJ158</f>
        <v/>
      </c>
      <c r="BK179">
        <f>BK158</f>
        <v/>
      </c>
      <c r="BL179">
        <f>BL158</f>
        <v/>
      </c>
      <c r="BM179">
        <f>BM158</f>
        <v/>
      </c>
      <c r="BN179">
        <f>BN158</f>
        <v/>
      </c>
      <c r="BO179">
        <f>BO158</f>
        <v/>
      </c>
      <c r="BP179">
        <f>BP158</f>
        <v/>
      </c>
      <c r="BQ179">
        <f>BQ158</f>
        <v/>
      </c>
      <c r="BR179">
        <f>BR158</f>
        <v/>
      </c>
      <c r="BS179">
        <f>BS158</f>
        <v/>
      </c>
      <c r="BT179">
        <f>BT158</f>
        <v/>
      </c>
      <c r="BU179">
        <f>BU158</f>
        <v/>
      </c>
      <c r="BV179">
        <f>BV158</f>
        <v/>
      </c>
      <c r="BW179">
        <f>BW158</f>
        <v/>
      </c>
      <c r="BX179">
        <f>BX158</f>
        <v/>
      </c>
      <c r="BY179">
        <f>BY158</f>
        <v/>
      </c>
      <c r="BZ179">
        <f>BZ158</f>
        <v/>
      </c>
      <c r="CA179">
        <f>CA158</f>
        <v/>
      </c>
      <c r="CB179">
        <f>CB158</f>
        <v/>
      </c>
      <c r="CC179">
        <f>CC158</f>
        <v/>
      </c>
      <c r="CD179">
        <f>CD158</f>
        <v/>
      </c>
      <c r="CE179">
        <f>CE158</f>
        <v/>
      </c>
      <c r="CG179" s="6" t="n">
        <v>2017</v>
      </c>
      <c r="CH179" s="6" t="inlineStr">
        <is>
          <t>Tra_EV_Batt-NMC622_virgin</t>
        </is>
      </c>
      <c r="CI179" s="6" t="n">
        <v>0.163</v>
      </c>
      <c r="CJ179" s="6" t="n">
        <v>0.22</v>
      </c>
      <c r="CK179" s="6" t="inlineStr">
        <is>
          <t>Transport_EV_global</t>
        </is>
      </c>
      <c r="CL179" s="6" t="inlineStr">
        <is>
          <t>Transport_EV_China</t>
        </is>
      </c>
      <c r="CM179" s="6" t="inlineStr">
        <is>
          <t>China transport EV curve is shifted earlier than the global curve to reflect earlier China EV/e-bus deployment in the 2010s.</t>
        </is>
      </c>
    </row>
    <row r="180" ht="14.5" customHeight="1" s="213">
      <c r="D180">
        <f>D179</f>
        <v/>
      </c>
      <c r="E180" t="inlineStr">
        <is>
          <t>Tra_EV_Batt-NMC811_virgin</t>
        </is>
      </c>
      <c r="F180" s="208">
        <f>AW180*$AS180</f>
        <v/>
      </c>
      <c r="G180" s="208">
        <f>AX180*$AS180</f>
        <v/>
      </c>
      <c r="H180" s="208">
        <f>AY180*$AS180</f>
        <v/>
      </c>
      <c r="I180" s="208">
        <f>AZ180*$AS180</f>
        <v/>
      </c>
      <c r="J180" s="208">
        <f>BA180*$AS180</f>
        <v/>
      </c>
      <c r="K180" s="208">
        <f>BB180*$AS180</f>
        <v/>
      </c>
      <c r="L180" s="208">
        <f>BC180*$AS180</f>
        <v/>
      </c>
      <c r="M180" s="208">
        <f>BD180*$CI180</f>
        <v/>
      </c>
      <c r="N180" s="208">
        <f>BE180*$AS180</f>
        <v/>
      </c>
      <c r="O180" s="208">
        <f>BF180*$AS180</f>
        <v/>
      </c>
      <c r="P180" s="208">
        <f>BG180*$AS180</f>
        <v/>
      </c>
      <c r="Q180" s="208">
        <f>BH180*$AS180</f>
        <v/>
      </c>
      <c r="R180" s="208">
        <f>BI180*$AS180</f>
        <v/>
      </c>
      <c r="S180" s="208">
        <f>BJ180*$AS180</f>
        <v/>
      </c>
      <c r="T180" s="208">
        <f>BK180*$AS180</f>
        <v/>
      </c>
      <c r="U180" s="208">
        <f>BL180*$AS180</f>
        <v/>
      </c>
      <c r="V180" s="208">
        <f>BM180*$AS180</f>
        <v/>
      </c>
      <c r="W180" s="208">
        <f>BN180*$AS180</f>
        <v/>
      </c>
      <c r="X180" s="208">
        <f>BO180*$AS180</f>
        <v/>
      </c>
      <c r="Y180" s="208">
        <f>BP180*$AS180</f>
        <v/>
      </c>
      <c r="Z180" s="208">
        <f>BQ180*$AS180</f>
        <v/>
      </c>
      <c r="AA180" s="208">
        <f>BR180*$AS180</f>
        <v/>
      </c>
      <c r="AB180" s="208">
        <f>BS180*$AS180</f>
        <v/>
      </c>
      <c r="AC180" s="208">
        <f>BT180*$AS180</f>
        <v/>
      </c>
      <c r="AD180" s="208">
        <f>BU180*$AS180</f>
        <v/>
      </c>
      <c r="AE180" s="208">
        <f>BV180*$AS180</f>
        <v/>
      </c>
      <c r="AF180" s="208">
        <f>BW180*$AS180</f>
        <v/>
      </c>
      <c r="AG180" s="208">
        <f>BX180*$AS180</f>
        <v/>
      </c>
      <c r="AH180" s="208">
        <f>BY180*$AS180</f>
        <v/>
      </c>
      <c r="AI180" s="208">
        <f>BZ180*$AS180</f>
        <v/>
      </c>
      <c r="AJ180" s="208">
        <f>CA180*$AS180</f>
        <v/>
      </c>
      <c r="AK180" s="208">
        <f>CB180*$AS180</f>
        <v/>
      </c>
      <c r="AL180" s="208">
        <f>CC180*$AS180</f>
        <v/>
      </c>
      <c r="AM180" s="208">
        <f>CD180*$AS180</f>
        <v/>
      </c>
      <c r="AN180" s="208">
        <f>CE180*$AS180</f>
        <v/>
      </c>
      <c r="AQ180" s="6" t="n">
        <v>2017</v>
      </c>
      <c r="AR180" s="6" t="inlineStr">
        <is>
          <t>Tra_EV_Batt-NMC811_virgin</t>
        </is>
      </c>
      <c r="AS180" s="6" t="n">
        <v>0.163</v>
      </c>
      <c r="AT180" s="6" t="inlineStr">
        <is>
          <t>Transport_EV_general</t>
        </is>
      </c>
      <c r="AU180" s="6" t="inlineStr">
        <is>
          <t>Back-loaded transport EV battery vintage curve based on historical EV deployment shape.</t>
        </is>
      </c>
      <c r="AV180">
        <f>AV159</f>
        <v/>
      </c>
      <c r="AW180">
        <f>AW159</f>
        <v/>
      </c>
      <c r="AX180">
        <f>AX159</f>
        <v/>
      </c>
      <c r="AY180">
        <f>AY159</f>
        <v/>
      </c>
      <c r="AZ180">
        <f>AZ159</f>
        <v/>
      </c>
      <c r="BA180">
        <f>BA159</f>
        <v/>
      </c>
      <c r="BB180">
        <f>BB159</f>
        <v/>
      </c>
      <c r="BC180">
        <f>BC159</f>
        <v/>
      </c>
      <c r="BD180">
        <f>BD159</f>
        <v/>
      </c>
      <c r="BE180">
        <f>BE159</f>
        <v/>
      </c>
      <c r="BF180">
        <f>BF159</f>
        <v/>
      </c>
      <c r="BG180">
        <f>BG159</f>
        <v/>
      </c>
      <c r="BH180">
        <f>BH159</f>
        <v/>
      </c>
      <c r="BI180">
        <f>BI159</f>
        <v/>
      </c>
      <c r="BJ180">
        <f>BJ159</f>
        <v/>
      </c>
      <c r="BK180">
        <f>BK159</f>
        <v/>
      </c>
      <c r="BL180">
        <f>BL159</f>
        <v/>
      </c>
      <c r="BM180">
        <f>BM159</f>
        <v/>
      </c>
      <c r="BN180">
        <f>BN159</f>
        <v/>
      </c>
      <c r="BO180">
        <f>BO159</f>
        <v/>
      </c>
      <c r="BP180">
        <f>BP159</f>
        <v/>
      </c>
      <c r="BQ180">
        <f>BQ159</f>
        <v/>
      </c>
      <c r="BR180">
        <f>BR159</f>
        <v/>
      </c>
      <c r="BS180">
        <f>BS159</f>
        <v/>
      </c>
      <c r="BT180">
        <f>BT159</f>
        <v/>
      </c>
      <c r="BU180">
        <f>BU159</f>
        <v/>
      </c>
      <c r="BV180">
        <f>BV159</f>
        <v/>
      </c>
      <c r="BW180">
        <f>BW159</f>
        <v/>
      </c>
      <c r="BX180">
        <f>BX159</f>
        <v/>
      </c>
      <c r="BY180">
        <f>BY159</f>
        <v/>
      </c>
      <c r="BZ180">
        <f>BZ159</f>
        <v/>
      </c>
      <c r="CA180">
        <f>CA159</f>
        <v/>
      </c>
      <c r="CB180">
        <f>CB159</f>
        <v/>
      </c>
      <c r="CC180">
        <f>CC159</f>
        <v/>
      </c>
      <c r="CD180">
        <f>CD159</f>
        <v/>
      </c>
      <c r="CE180">
        <f>CE159</f>
        <v/>
      </c>
      <c r="CG180" s="6" t="n">
        <v>2017</v>
      </c>
      <c r="CH180" s="6" t="inlineStr">
        <is>
          <t>Tra_EV_Batt-NMC811_virgin</t>
        </is>
      </c>
      <c r="CI180" s="6" t="n">
        <v>0.163</v>
      </c>
      <c r="CJ180" s="6" t="n">
        <v>0.22</v>
      </c>
      <c r="CK180" s="6" t="inlineStr">
        <is>
          <t>Transport_EV_global</t>
        </is>
      </c>
      <c r="CL180" s="6" t="inlineStr">
        <is>
          <t>Transport_EV_China</t>
        </is>
      </c>
      <c r="CM180" s="6" t="inlineStr">
        <is>
          <t>China transport EV curve is shifted earlier than the global curve to reflect earlier China EV/e-bus deployment in the 2010s.</t>
        </is>
      </c>
    </row>
    <row r="181" ht="14.5" customHeight="1" s="213">
      <c r="D181">
        <f>D180</f>
        <v/>
      </c>
      <c r="E181" t="inlineStr">
        <is>
          <t>Tra_EV_Batt-NMC532_virgin</t>
        </is>
      </c>
      <c r="F181" s="208">
        <f>AW181*$AS181</f>
        <v/>
      </c>
      <c r="G181" s="208">
        <f>AX181*$AS181</f>
        <v/>
      </c>
      <c r="H181" s="208">
        <f>AY181*$AS181</f>
        <v/>
      </c>
      <c r="I181" s="208">
        <f>AZ181*$AS181</f>
        <v/>
      </c>
      <c r="J181" s="208">
        <f>BA181*$AS181</f>
        <v/>
      </c>
      <c r="K181" s="208">
        <f>BB181*$AS181</f>
        <v/>
      </c>
      <c r="L181" s="208">
        <f>BC181*$AS181</f>
        <v/>
      </c>
      <c r="M181" s="208">
        <f>BD181*$CI181</f>
        <v/>
      </c>
      <c r="N181" s="208">
        <f>BE181*$AS181</f>
        <v/>
      </c>
      <c r="O181" s="208">
        <f>BF181*$AS181</f>
        <v/>
      </c>
      <c r="P181" s="208">
        <f>BG181*$AS181</f>
        <v/>
      </c>
      <c r="Q181" s="208">
        <f>BH181*$AS181</f>
        <v/>
      </c>
      <c r="R181" s="208">
        <f>BI181*$AS181</f>
        <v/>
      </c>
      <c r="S181" s="208">
        <f>BJ181*$AS181</f>
        <v/>
      </c>
      <c r="T181" s="208">
        <f>BK181*$AS181</f>
        <v/>
      </c>
      <c r="U181" s="208">
        <f>BL181*$AS181</f>
        <v/>
      </c>
      <c r="V181" s="208">
        <f>BM181*$AS181</f>
        <v/>
      </c>
      <c r="W181" s="208">
        <f>BN181*$AS181</f>
        <v/>
      </c>
      <c r="X181" s="208">
        <f>BO181*$AS181</f>
        <v/>
      </c>
      <c r="Y181" s="208">
        <f>BP181*$AS181</f>
        <v/>
      </c>
      <c r="Z181" s="208">
        <f>BQ181*$AS181</f>
        <v/>
      </c>
      <c r="AA181" s="208">
        <f>BR181*$AS181</f>
        <v/>
      </c>
      <c r="AB181" s="208">
        <f>BS181*$AS181</f>
        <v/>
      </c>
      <c r="AC181" s="208">
        <f>BT181*$AS181</f>
        <v/>
      </c>
      <c r="AD181" s="208">
        <f>BU181*$AS181</f>
        <v/>
      </c>
      <c r="AE181" s="208">
        <f>BV181*$AS181</f>
        <v/>
      </c>
      <c r="AF181" s="208">
        <f>BW181*$AS181</f>
        <v/>
      </c>
      <c r="AG181" s="208">
        <f>BX181*$AS181</f>
        <v/>
      </c>
      <c r="AH181" s="208">
        <f>BY181*$AS181</f>
        <v/>
      </c>
      <c r="AI181" s="208">
        <f>BZ181*$AS181</f>
        <v/>
      </c>
      <c r="AJ181" s="208">
        <f>CA181*$AS181</f>
        <v/>
      </c>
      <c r="AK181" s="208">
        <f>CB181*$AS181</f>
        <v/>
      </c>
      <c r="AL181" s="208">
        <f>CC181*$AS181</f>
        <v/>
      </c>
      <c r="AM181" s="208">
        <f>CD181*$AS181</f>
        <v/>
      </c>
      <c r="AN181" s="208">
        <f>CE181*$AS181</f>
        <v/>
      </c>
      <c r="AQ181" s="6" t="n">
        <v>2017</v>
      </c>
      <c r="AR181" s="6" t="inlineStr">
        <is>
          <t>Tra_EV_Batt-NMC532_virgin</t>
        </is>
      </c>
      <c r="AS181" s="6" t="n">
        <v>0.163</v>
      </c>
      <c r="AT181" s="6" t="inlineStr">
        <is>
          <t>Transport_EV_general</t>
        </is>
      </c>
      <c r="AU181" s="6" t="inlineStr">
        <is>
          <t>Back-loaded transport EV battery vintage curve based on historical EV deployment shape.</t>
        </is>
      </c>
      <c r="AV181">
        <f>AV160</f>
        <v/>
      </c>
      <c r="AW181">
        <f>AW160</f>
        <v/>
      </c>
      <c r="AX181">
        <f>AX160</f>
        <v/>
      </c>
      <c r="AY181">
        <f>AY160</f>
        <v/>
      </c>
      <c r="AZ181">
        <f>AZ160</f>
        <v/>
      </c>
      <c r="BA181">
        <f>BA160</f>
        <v/>
      </c>
      <c r="BB181">
        <f>BB160</f>
        <v/>
      </c>
      <c r="BC181">
        <f>BC160</f>
        <v/>
      </c>
      <c r="BD181">
        <f>BD160</f>
        <v/>
      </c>
      <c r="BE181">
        <f>BE160</f>
        <v/>
      </c>
      <c r="BF181">
        <f>BF160</f>
        <v/>
      </c>
      <c r="BG181">
        <f>BG160</f>
        <v/>
      </c>
      <c r="BH181">
        <f>BH160</f>
        <v/>
      </c>
      <c r="BI181">
        <f>BI160</f>
        <v/>
      </c>
      <c r="BJ181">
        <f>BJ160</f>
        <v/>
      </c>
      <c r="BK181">
        <f>BK160</f>
        <v/>
      </c>
      <c r="BL181">
        <f>BL160</f>
        <v/>
      </c>
      <c r="BM181">
        <f>BM160</f>
        <v/>
      </c>
      <c r="BN181">
        <f>BN160</f>
        <v/>
      </c>
      <c r="BO181">
        <f>BO160</f>
        <v/>
      </c>
      <c r="BP181">
        <f>BP160</f>
        <v/>
      </c>
      <c r="BQ181">
        <f>BQ160</f>
        <v/>
      </c>
      <c r="BR181">
        <f>BR160</f>
        <v/>
      </c>
      <c r="BS181">
        <f>BS160</f>
        <v/>
      </c>
      <c r="BT181">
        <f>BT160</f>
        <v/>
      </c>
      <c r="BU181">
        <f>BU160</f>
        <v/>
      </c>
      <c r="BV181">
        <f>BV160</f>
        <v/>
      </c>
      <c r="BW181">
        <f>BW160</f>
        <v/>
      </c>
      <c r="BX181">
        <f>BX160</f>
        <v/>
      </c>
      <c r="BY181">
        <f>BY160</f>
        <v/>
      </c>
      <c r="BZ181">
        <f>BZ160</f>
        <v/>
      </c>
      <c r="CA181">
        <f>CA160</f>
        <v/>
      </c>
      <c r="CB181">
        <f>CB160</f>
        <v/>
      </c>
      <c r="CC181">
        <f>CC160</f>
        <v/>
      </c>
      <c r="CD181">
        <f>CD160</f>
        <v/>
      </c>
      <c r="CE181">
        <f>CE160</f>
        <v/>
      </c>
      <c r="CG181" s="6" t="n">
        <v>2017</v>
      </c>
      <c r="CH181" s="6" t="inlineStr">
        <is>
          <t>Tra_EV_Batt-NMC532_virgin</t>
        </is>
      </c>
      <c r="CI181" s="6" t="n">
        <v>0.163</v>
      </c>
      <c r="CJ181" s="6" t="n">
        <v>0.22</v>
      </c>
      <c r="CK181" s="6" t="inlineStr">
        <is>
          <t>Transport_EV_global</t>
        </is>
      </c>
      <c r="CL181" s="6" t="inlineStr">
        <is>
          <t>Transport_EV_China</t>
        </is>
      </c>
      <c r="CM181" s="6" t="inlineStr">
        <is>
          <t>China transport EV curve is shifted earlier than the global curve to reflect earlier China EV/e-bus deployment in the 2010s.</t>
        </is>
      </c>
    </row>
    <row r="182" ht="14.5" customHeight="1" s="213">
      <c r="D182">
        <f>D181</f>
        <v/>
      </c>
      <c r="E182" t="inlineStr">
        <is>
          <t>Tra_EV_Batt-NCA_virgin</t>
        </is>
      </c>
      <c r="F182" s="208">
        <f>AW182*$AS182</f>
        <v/>
      </c>
      <c r="G182" s="208">
        <f>AX182*$AS182</f>
        <v/>
      </c>
      <c r="H182" s="208">
        <f>AY182*$AS182</f>
        <v/>
      </c>
      <c r="I182" s="208">
        <f>AZ182*$AS182</f>
        <v/>
      </c>
      <c r="J182" s="208">
        <f>BA182*$AS182</f>
        <v/>
      </c>
      <c r="K182" s="208">
        <f>BB182*$AS182</f>
        <v/>
      </c>
      <c r="L182" s="208">
        <f>BC182*$AS182</f>
        <v/>
      </c>
      <c r="M182" s="208">
        <f>BD182*$CI182</f>
        <v/>
      </c>
      <c r="N182" s="208">
        <f>BE182*$AS182</f>
        <v/>
      </c>
      <c r="O182" s="208">
        <f>BF182*$AS182</f>
        <v/>
      </c>
      <c r="P182" s="208">
        <f>BG182*$AS182</f>
        <v/>
      </c>
      <c r="Q182" s="208">
        <f>BH182*$AS182</f>
        <v/>
      </c>
      <c r="R182" s="208">
        <f>BI182*$AS182</f>
        <v/>
      </c>
      <c r="S182" s="208">
        <f>BJ182*$AS182</f>
        <v/>
      </c>
      <c r="T182" s="208">
        <f>BK182*$AS182</f>
        <v/>
      </c>
      <c r="U182" s="208">
        <f>BL182*$AS182</f>
        <v/>
      </c>
      <c r="V182" s="208">
        <f>BM182*$AS182</f>
        <v/>
      </c>
      <c r="W182" s="208">
        <f>BN182*$AS182</f>
        <v/>
      </c>
      <c r="X182" s="208">
        <f>BO182*$AS182</f>
        <v/>
      </c>
      <c r="Y182" s="208">
        <f>BP182*$AS182</f>
        <v/>
      </c>
      <c r="Z182" s="208">
        <f>BQ182*$AS182</f>
        <v/>
      </c>
      <c r="AA182" s="208">
        <f>BR182*$AS182</f>
        <v/>
      </c>
      <c r="AB182" s="208">
        <f>BS182*$AS182</f>
        <v/>
      </c>
      <c r="AC182" s="208">
        <f>BT182*$AS182</f>
        <v/>
      </c>
      <c r="AD182" s="208">
        <f>BU182*$AS182</f>
        <v/>
      </c>
      <c r="AE182" s="208">
        <f>BV182*$AS182</f>
        <v/>
      </c>
      <c r="AF182" s="208">
        <f>BW182*$AS182</f>
        <v/>
      </c>
      <c r="AG182" s="208">
        <f>BX182*$AS182</f>
        <v/>
      </c>
      <c r="AH182" s="208">
        <f>BY182*$AS182</f>
        <v/>
      </c>
      <c r="AI182" s="208">
        <f>BZ182*$AS182</f>
        <v/>
      </c>
      <c r="AJ182" s="208">
        <f>CA182*$AS182</f>
        <v/>
      </c>
      <c r="AK182" s="208">
        <f>CB182*$AS182</f>
        <v/>
      </c>
      <c r="AL182" s="208">
        <f>CC182*$AS182</f>
        <v/>
      </c>
      <c r="AM182" s="208">
        <f>CD182*$AS182</f>
        <v/>
      </c>
      <c r="AN182" s="208">
        <f>CE182*$AS182</f>
        <v/>
      </c>
      <c r="AQ182" s="6" t="n">
        <v>2017</v>
      </c>
      <c r="AR182" s="6" t="inlineStr">
        <is>
          <t>Tra_EV_Batt-NCA_virgin</t>
        </is>
      </c>
      <c r="AS182" s="6" t="n">
        <v>0.163</v>
      </c>
      <c r="AT182" s="6" t="inlineStr">
        <is>
          <t>Transport_EV_general</t>
        </is>
      </c>
      <c r="AU182" s="6" t="inlineStr">
        <is>
          <t>Back-loaded transport EV battery vintage curve based on historical EV deployment shape.</t>
        </is>
      </c>
      <c r="AV182">
        <f>AV161</f>
        <v/>
      </c>
      <c r="AW182">
        <f>AW161</f>
        <v/>
      </c>
      <c r="AX182">
        <f>AX161</f>
        <v/>
      </c>
      <c r="AY182">
        <f>AY161</f>
        <v/>
      </c>
      <c r="AZ182">
        <f>AZ161</f>
        <v/>
      </c>
      <c r="BA182">
        <f>BA161</f>
        <v/>
      </c>
      <c r="BB182">
        <f>BB161</f>
        <v/>
      </c>
      <c r="BC182">
        <f>BC161</f>
        <v/>
      </c>
      <c r="BD182">
        <f>BD161</f>
        <v/>
      </c>
      <c r="BE182">
        <f>BE161</f>
        <v/>
      </c>
      <c r="BF182">
        <f>BF161</f>
        <v/>
      </c>
      <c r="BG182">
        <f>BG161</f>
        <v/>
      </c>
      <c r="BH182">
        <f>BH161</f>
        <v/>
      </c>
      <c r="BI182">
        <f>BI161</f>
        <v/>
      </c>
      <c r="BJ182">
        <f>BJ161</f>
        <v/>
      </c>
      <c r="BK182">
        <f>BK161</f>
        <v/>
      </c>
      <c r="BL182">
        <f>BL161</f>
        <v/>
      </c>
      <c r="BM182">
        <f>BM161</f>
        <v/>
      </c>
      <c r="BN182">
        <f>BN161</f>
        <v/>
      </c>
      <c r="BO182">
        <f>BO161</f>
        <v/>
      </c>
      <c r="BP182">
        <f>BP161</f>
        <v/>
      </c>
      <c r="BQ182">
        <f>BQ161</f>
        <v/>
      </c>
      <c r="BR182">
        <f>BR161</f>
        <v/>
      </c>
      <c r="BS182">
        <f>BS161</f>
        <v/>
      </c>
      <c r="BT182">
        <f>BT161</f>
        <v/>
      </c>
      <c r="BU182">
        <f>BU161</f>
        <v/>
      </c>
      <c r="BV182">
        <f>BV161</f>
        <v/>
      </c>
      <c r="BW182">
        <f>BW161</f>
        <v/>
      </c>
      <c r="BX182">
        <f>BX161</f>
        <v/>
      </c>
      <c r="BY182">
        <f>BY161</f>
        <v/>
      </c>
      <c r="BZ182">
        <f>BZ161</f>
        <v/>
      </c>
      <c r="CA182">
        <f>CA161</f>
        <v/>
      </c>
      <c r="CB182">
        <f>CB161</f>
        <v/>
      </c>
      <c r="CC182">
        <f>CC161</f>
        <v/>
      </c>
      <c r="CD182">
        <f>CD161</f>
        <v/>
      </c>
      <c r="CE182">
        <f>CE161</f>
        <v/>
      </c>
      <c r="CG182" s="6" t="n">
        <v>2017</v>
      </c>
      <c r="CH182" s="6" t="inlineStr">
        <is>
          <t>Tra_EV_Batt-NCA_virgin</t>
        </is>
      </c>
      <c r="CI182" s="6" t="n">
        <v>0.163</v>
      </c>
      <c r="CJ182" s="6" t="n">
        <v>0.22</v>
      </c>
      <c r="CK182" s="6" t="inlineStr">
        <is>
          <t>Transport_EV_global</t>
        </is>
      </c>
      <c r="CL182" s="6" t="inlineStr">
        <is>
          <t>Transport_EV_China</t>
        </is>
      </c>
      <c r="CM182" s="6" t="inlineStr">
        <is>
          <t>China transport EV curve is shifted earlier than the global curve to reflect earlier China EV/e-bus deployment in the 2010s.</t>
        </is>
      </c>
    </row>
    <row r="183" ht="14.5" customHeight="1" s="213">
      <c r="D183">
        <f>D182</f>
        <v/>
      </c>
      <c r="E183" t="inlineStr">
        <is>
          <t>Tra_EV_Batt-LMO_virgin</t>
        </is>
      </c>
      <c r="F183" s="208">
        <f>AW183*$AS183</f>
        <v/>
      </c>
      <c r="G183" s="208">
        <f>AX183*$AS183</f>
        <v/>
      </c>
      <c r="H183" s="208">
        <f>AY183*$AS183</f>
        <v/>
      </c>
      <c r="I183" s="208">
        <f>AZ183*$AS183</f>
        <v/>
      </c>
      <c r="J183" s="208">
        <f>BA183*$AS183</f>
        <v/>
      </c>
      <c r="K183" s="208">
        <f>BB183*$AS183</f>
        <v/>
      </c>
      <c r="L183" s="208">
        <f>BC183*$AS183</f>
        <v/>
      </c>
      <c r="M183" s="208">
        <f>BD183*$CI183</f>
        <v/>
      </c>
      <c r="N183" s="208">
        <f>BE183*$AS183</f>
        <v/>
      </c>
      <c r="O183" s="208">
        <f>BF183*$AS183</f>
        <v/>
      </c>
      <c r="P183" s="208">
        <f>BG183*$AS183</f>
        <v/>
      </c>
      <c r="Q183" s="208">
        <f>BH183*$AS183</f>
        <v/>
      </c>
      <c r="R183" s="208">
        <f>BI183*$AS183</f>
        <v/>
      </c>
      <c r="S183" s="208">
        <f>BJ183*$AS183</f>
        <v/>
      </c>
      <c r="T183" s="208">
        <f>BK183*$AS183</f>
        <v/>
      </c>
      <c r="U183" s="208">
        <f>BL183*$AS183</f>
        <v/>
      </c>
      <c r="V183" s="208">
        <f>BM183*$AS183</f>
        <v/>
      </c>
      <c r="W183" s="208">
        <f>BN183*$AS183</f>
        <v/>
      </c>
      <c r="X183" s="208">
        <f>BO183*$AS183</f>
        <v/>
      </c>
      <c r="Y183" s="208">
        <f>BP183*$AS183</f>
        <v/>
      </c>
      <c r="Z183" s="208">
        <f>BQ183*$AS183</f>
        <v/>
      </c>
      <c r="AA183" s="208">
        <f>BR183*$AS183</f>
        <v/>
      </c>
      <c r="AB183" s="208">
        <f>BS183*$AS183</f>
        <v/>
      </c>
      <c r="AC183" s="208">
        <f>BT183*$AS183</f>
        <v/>
      </c>
      <c r="AD183" s="208">
        <f>BU183*$AS183</f>
        <v/>
      </c>
      <c r="AE183" s="208">
        <f>BV183*$AS183</f>
        <v/>
      </c>
      <c r="AF183" s="208">
        <f>BW183*$AS183</f>
        <v/>
      </c>
      <c r="AG183" s="208">
        <f>BX183*$AS183</f>
        <v/>
      </c>
      <c r="AH183" s="208">
        <f>BY183*$AS183</f>
        <v/>
      </c>
      <c r="AI183" s="208">
        <f>BZ183*$AS183</f>
        <v/>
      </c>
      <c r="AJ183" s="208">
        <f>CA183*$AS183</f>
        <v/>
      </c>
      <c r="AK183" s="208">
        <f>CB183*$AS183</f>
        <v/>
      </c>
      <c r="AL183" s="208">
        <f>CC183*$AS183</f>
        <v/>
      </c>
      <c r="AM183" s="208">
        <f>CD183*$AS183</f>
        <v/>
      </c>
      <c r="AN183" s="208">
        <f>CE183*$AS183</f>
        <v/>
      </c>
      <c r="AQ183" s="6" t="n">
        <v>2017</v>
      </c>
      <c r="AR183" s="6" t="inlineStr">
        <is>
          <t>Tra_EV_Batt-LMO_virgin</t>
        </is>
      </c>
      <c r="AS183" s="6" t="n">
        <v>0.163</v>
      </c>
      <c r="AT183" s="6" t="inlineStr">
        <is>
          <t>Transport_EV_general</t>
        </is>
      </c>
      <c r="AU183" s="6" t="inlineStr">
        <is>
          <t>Back-loaded transport EV battery vintage curve based on historical EV deployment shape.</t>
        </is>
      </c>
      <c r="AV183">
        <f>AV162</f>
        <v/>
      </c>
      <c r="AW183">
        <f>AW162</f>
        <v/>
      </c>
      <c r="AX183">
        <f>AX162</f>
        <v/>
      </c>
      <c r="AY183">
        <f>AY162</f>
        <v/>
      </c>
      <c r="AZ183">
        <f>AZ162</f>
        <v/>
      </c>
      <c r="BA183">
        <f>BA162</f>
        <v/>
      </c>
      <c r="BB183">
        <f>BB162</f>
        <v/>
      </c>
      <c r="BC183">
        <f>BC162</f>
        <v/>
      </c>
      <c r="BD183">
        <f>BD162</f>
        <v/>
      </c>
      <c r="BE183">
        <f>BE162</f>
        <v/>
      </c>
      <c r="BF183">
        <f>BF162</f>
        <v/>
      </c>
      <c r="BG183">
        <f>BG162</f>
        <v/>
      </c>
      <c r="BH183">
        <f>BH162</f>
        <v/>
      </c>
      <c r="BI183">
        <f>BI162</f>
        <v/>
      </c>
      <c r="BJ183">
        <f>BJ162</f>
        <v/>
      </c>
      <c r="BK183">
        <f>BK162</f>
        <v/>
      </c>
      <c r="BL183">
        <f>BL162</f>
        <v/>
      </c>
      <c r="BM183">
        <f>BM162</f>
        <v/>
      </c>
      <c r="BN183">
        <f>BN162</f>
        <v/>
      </c>
      <c r="BO183">
        <f>BO162</f>
        <v/>
      </c>
      <c r="BP183">
        <f>BP162</f>
        <v/>
      </c>
      <c r="BQ183">
        <f>BQ162</f>
        <v/>
      </c>
      <c r="BR183">
        <f>BR162</f>
        <v/>
      </c>
      <c r="BS183">
        <f>BS162</f>
        <v/>
      </c>
      <c r="BT183">
        <f>BT162</f>
        <v/>
      </c>
      <c r="BU183">
        <f>BU162</f>
        <v/>
      </c>
      <c r="BV183">
        <f>BV162</f>
        <v/>
      </c>
      <c r="BW183">
        <f>BW162</f>
        <v/>
      </c>
      <c r="BX183">
        <f>BX162</f>
        <v/>
      </c>
      <c r="BY183">
        <f>BY162</f>
        <v/>
      </c>
      <c r="BZ183">
        <f>BZ162</f>
        <v/>
      </c>
      <c r="CA183">
        <f>CA162</f>
        <v/>
      </c>
      <c r="CB183">
        <f>CB162</f>
        <v/>
      </c>
      <c r="CC183">
        <f>CC162</f>
        <v/>
      </c>
      <c r="CD183">
        <f>CD162</f>
        <v/>
      </c>
      <c r="CE183">
        <f>CE162</f>
        <v/>
      </c>
      <c r="CG183" s="6" t="n">
        <v>2017</v>
      </c>
      <c r="CH183" s="6" t="inlineStr">
        <is>
          <t>Tra_EV_Batt-LMO_virgin</t>
        </is>
      </c>
      <c r="CI183" s="6" t="n">
        <v>0.163</v>
      </c>
      <c r="CJ183" s="6" t="n">
        <v>0.22</v>
      </c>
      <c r="CK183" s="6" t="inlineStr">
        <is>
          <t>Transport_EV_global</t>
        </is>
      </c>
      <c r="CL183" s="6" t="inlineStr">
        <is>
          <t>Transport_EV_China</t>
        </is>
      </c>
      <c r="CM183" s="6" t="inlineStr">
        <is>
          <t>China transport EV curve is shifted earlier than the global curve to reflect earlier China EV/e-bus deployment in the 2010s.</t>
        </is>
      </c>
    </row>
    <row r="184" ht="14.5" customHeight="1" s="213">
      <c r="D184">
        <f>D183</f>
        <v/>
      </c>
      <c r="E184" t="inlineStr">
        <is>
          <t>Tra_EV_Batt-NMC111_virgin</t>
        </is>
      </c>
      <c r="F184" s="208">
        <f>AW184*$AS184</f>
        <v/>
      </c>
      <c r="G184" s="208">
        <f>AX184*$AS184</f>
        <v/>
      </c>
      <c r="H184" s="208">
        <f>AY184*$AS184</f>
        <v/>
      </c>
      <c r="I184" s="208">
        <f>AZ184*$AS184</f>
        <v/>
      </c>
      <c r="J184" s="208">
        <f>BA184*$AS184</f>
        <v/>
      </c>
      <c r="K184" s="208">
        <f>BB184*$AS184</f>
        <v/>
      </c>
      <c r="L184" s="208">
        <f>BC184*$AS184</f>
        <v/>
      </c>
      <c r="M184" s="208">
        <f>BD184*$CI184</f>
        <v/>
      </c>
      <c r="N184" s="208">
        <f>BE184*$AS184</f>
        <v/>
      </c>
      <c r="O184" s="208">
        <f>BF184*$AS184</f>
        <v/>
      </c>
      <c r="P184" s="208">
        <f>BG184*$AS184</f>
        <v/>
      </c>
      <c r="Q184" s="208">
        <f>BH184*$AS184</f>
        <v/>
      </c>
      <c r="R184" s="208">
        <f>BI184*$AS184</f>
        <v/>
      </c>
      <c r="S184" s="208">
        <f>BJ184*$AS184</f>
        <v/>
      </c>
      <c r="T184" s="208">
        <f>BK184*$AS184</f>
        <v/>
      </c>
      <c r="U184" s="208">
        <f>BL184*$AS184</f>
        <v/>
      </c>
      <c r="V184" s="208">
        <f>BM184*$AS184</f>
        <v/>
      </c>
      <c r="W184" s="208">
        <f>BN184*$AS184</f>
        <v/>
      </c>
      <c r="X184" s="208">
        <f>BO184*$AS184</f>
        <v/>
      </c>
      <c r="Y184" s="208">
        <f>BP184*$AS184</f>
        <v/>
      </c>
      <c r="Z184" s="208">
        <f>BQ184*$AS184</f>
        <v/>
      </c>
      <c r="AA184" s="208">
        <f>BR184*$AS184</f>
        <v/>
      </c>
      <c r="AB184" s="208">
        <f>BS184*$AS184</f>
        <v/>
      </c>
      <c r="AC184" s="208">
        <f>BT184*$AS184</f>
        <v/>
      </c>
      <c r="AD184" s="208">
        <f>BU184*$AS184</f>
        <v/>
      </c>
      <c r="AE184" s="208">
        <f>BV184*$AS184</f>
        <v/>
      </c>
      <c r="AF184" s="208">
        <f>BW184*$AS184</f>
        <v/>
      </c>
      <c r="AG184" s="208">
        <f>BX184*$AS184</f>
        <v/>
      </c>
      <c r="AH184" s="208">
        <f>BY184*$AS184</f>
        <v/>
      </c>
      <c r="AI184" s="208">
        <f>BZ184*$AS184</f>
        <v/>
      </c>
      <c r="AJ184" s="208">
        <f>CA184*$AS184</f>
        <v/>
      </c>
      <c r="AK184" s="208">
        <f>CB184*$AS184</f>
        <v/>
      </c>
      <c r="AL184" s="208">
        <f>CC184*$AS184</f>
        <v/>
      </c>
      <c r="AM184" s="208">
        <f>CD184*$AS184</f>
        <v/>
      </c>
      <c r="AN184" s="208">
        <f>CE184*$AS184</f>
        <v/>
      </c>
      <c r="AQ184" s="6" t="n">
        <v>2017</v>
      </c>
      <c r="AR184" s="6" t="inlineStr">
        <is>
          <t>Tra_EV_Batt-NMC111_virgin</t>
        </is>
      </c>
      <c r="AS184" s="6" t="n">
        <v>0.163</v>
      </c>
      <c r="AT184" s="6" t="inlineStr">
        <is>
          <t>Transport_EV_general</t>
        </is>
      </c>
      <c r="AU184" s="6" t="inlineStr">
        <is>
          <t>Back-loaded transport EV battery vintage curve based on historical EV deployment shape.</t>
        </is>
      </c>
      <c r="AV184">
        <f>AV163</f>
        <v/>
      </c>
      <c r="AW184">
        <f>AW163</f>
        <v/>
      </c>
      <c r="AX184">
        <f>AX163</f>
        <v/>
      </c>
      <c r="AY184">
        <f>AY163</f>
        <v/>
      </c>
      <c r="AZ184">
        <f>AZ163</f>
        <v/>
      </c>
      <c r="BA184">
        <f>BA163</f>
        <v/>
      </c>
      <c r="BB184">
        <f>BB163</f>
        <v/>
      </c>
      <c r="BC184">
        <f>BC163</f>
        <v/>
      </c>
      <c r="BD184">
        <f>BD163</f>
        <v/>
      </c>
      <c r="BE184">
        <f>BE163</f>
        <v/>
      </c>
      <c r="BF184">
        <f>BF163</f>
        <v/>
      </c>
      <c r="BG184">
        <f>BG163</f>
        <v/>
      </c>
      <c r="BH184">
        <f>BH163</f>
        <v/>
      </c>
      <c r="BI184">
        <f>BI163</f>
        <v/>
      </c>
      <c r="BJ184">
        <f>BJ163</f>
        <v/>
      </c>
      <c r="BK184">
        <f>BK163</f>
        <v/>
      </c>
      <c r="BL184">
        <f>BL163</f>
        <v/>
      </c>
      <c r="BM184">
        <f>BM163</f>
        <v/>
      </c>
      <c r="BN184">
        <f>BN163</f>
        <v/>
      </c>
      <c r="BO184">
        <f>BO163</f>
        <v/>
      </c>
      <c r="BP184">
        <f>BP163</f>
        <v/>
      </c>
      <c r="BQ184">
        <f>BQ163</f>
        <v/>
      </c>
      <c r="BR184">
        <f>BR163</f>
        <v/>
      </c>
      <c r="BS184">
        <f>BS163</f>
        <v/>
      </c>
      <c r="BT184">
        <f>BT163</f>
        <v/>
      </c>
      <c r="BU184">
        <f>BU163</f>
        <v/>
      </c>
      <c r="BV184">
        <f>BV163</f>
        <v/>
      </c>
      <c r="BW184">
        <f>BW163</f>
        <v/>
      </c>
      <c r="BX184">
        <f>BX163</f>
        <v/>
      </c>
      <c r="BY184">
        <f>BY163</f>
        <v/>
      </c>
      <c r="BZ184">
        <f>BZ163</f>
        <v/>
      </c>
      <c r="CA184">
        <f>CA163</f>
        <v/>
      </c>
      <c r="CB184">
        <f>CB163</f>
        <v/>
      </c>
      <c r="CC184">
        <f>CC163</f>
        <v/>
      </c>
      <c r="CD184">
        <f>CD163</f>
        <v/>
      </c>
      <c r="CE184">
        <f>CE163</f>
        <v/>
      </c>
      <c r="CG184" s="6" t="n">
        <v>2017</v>
      </c>
      <c r="CH184" s="6" t="inlineStr">
        <is>
          <t>Tra_EV_Batt-NMC111_virgin</t>
        </is>
      </c>
      <c r="CI184" s="6" t="n">
        <v>0.163</v>
      </c>
      <c r="CJ184" s="6" t="n">
        <v>0.22</v>
      </c>
      <c r="CK184" s="6" t="inlineStr">
        <is>
          <t>Transport_EV_global</t>
        </is>
      </c>
      <c r="CL184" s="6" t="inlineStr">
        <is>
          <t>Transport_EV_China</t>
        </is>
      </c>
      <c r="CM184" s="6" t="inlineStr">
        <is>
          <t>China transport EV curve is shifted earlier than the global curve to reflect earlier China EV/e-bus deployment in the 2010s.</t>
        </is>
      </c>
    </row>
    <row r="185" ht="14.5" customHeight="1" s="213">
      <c r="D185">
        <f>D184</f>
        <v/>
      </c>
      <c r="E185" t="inlineStr">
        <is>
          <t>Tra_EV_Batt-LFP_virgin_pack</t>
        </is>
      </c>
      <c r="F185" s="208">
        <f>AW185*$AS185</f>
        <v/>
      </c>
      <c r="G185" s="208">
        <f>AX185*$AS185</f>
        <v/>
      </c>
      <c r="H185" s="208">
        <f>AY185*$AS185</f>
        <v/>
      </c>
      <c r="I185" s="208">
        <f>AZ185*$AS185</f>
        <v/>
      </c>
      <c r="J185" s="208">
        <f>BA185*$AS185</f>
        <v/>
      </c>
      <c r="K185" s="208">
        <f>BB185*$AS185</f>
        <v/>
      </c>
      <c r="L185" s="208">
        <f>BC185*$AS185</f>
        <v/>
      </c>
      <c r="M185" s="208">
        <f>BD185*$CI185</f>
        <v/>
      </c>
      <c r="N185" s="208">
        <f>BE185*$AS185</f>
        <v/>
      </c>
      <c r="O185" s="208">
        <f>BF185*$AS185</f>
        <v/>
      </c>
      <c r="P185" s="208">
        <f>BG185*$AS185</f>
        <v/>
      </c>
      <c r="Q185" s="208">
        <f>BH185*$AS185</f>
        <v/>
      </c>
      <c r="R185" s="208">
        <f>BI185*$AS185</f>
        <v/>
      </c>
      <c r="S185" s="208">
        <f>BJ185*$AS185</f>
        <v/>
      </c>
      <c r="T185" s="208">
        <f>BK185*$AS185</f>
        <v/>
      </c>
      <c r="U185" s="208">
        <f>BL185*$AS185</f>
        <v/>
      </c>
      <c r="V185" s="208">
        <f>BM185*$AS185</f>
        <v/>
      </c>
      <c r="W185" s="208">
        <f>BN185*$AS185</f>
        <v/>
      </c>
      <c r="X185" s="208">
        <f>BO185*$AS185</f>
        <v/>
      </c>
      <c r="Y185" s="208">
        <f>BP185*$AS185</f>
        <v/>
      </c>
      <c r="Z185" s="208">
        <f>BQ185*$AS185</f>
        <v/>
      </c>
      <c r="AA185" s="208">
        <f>BR185*$AS185</f>
        <v/>
      </c>
      <c r="AB185" s="208">
        <f>BS185*$AS185</f>
        <v/>
      </c>
      <c r="AC185" s="208">
        <f>BT185*$AS185</f>
        <v/>
      </c>
      <c r="AD185" s="208">
        <f>BU185*$AS185</f>
        <v/>
      </c>
      <c r="AE185" s="208">
        <f>BV185*$AS185</f>
        <v/>
      </c>
      <c r="AF185" s="208">
        <f>BW185*$AS185</f>
        <v/>
      </c>
      <c r="AG185" s="208">
        <f>BX185*$AS185</f>
        <v/>
      </c>
      <c r="AH185" s="208">
        <f>BY185*$AS185</f>
        <v/>
      </c>
      <c r="AI185" s="208">
        <f>BZ185*$AS185</f>
        <v/>
      </c>
      <c r="AJ185" s="208">
        <f>CA185*$AS185</f>
        <v/>
      </c>
      <c r="AK185" s="208">
        <f>CB185*$AS185</f>
        <v/>
      </c>
      <c r="AL185" s="208">
        <f>CC185*$AS185</f>
        <v/>
      </c>
      <c r="AM185" s="208">
        <f>CD185*$AS185</f>
        <v/>
      </c>
      <c r="AN185" s="208">
        <f>CE185*$AS185</f>
        <v/>
      </c>
      <c r="AQ185" s="6" t="n">
        <v>2017</v>
      </c>
      <c r="AR185" s="6" t="inlineStr">
        <is>
          <t>Tra_EV_Batt-LFP_virgin_pack</t>
        </is>
      </c>
      <c r="AS185" s="6" t="n">
        <v>0.163</v>
      </c>
      <c r="AT185" s="6" t="inlineStr">
        <is>
          <t>Transport_EV_general</t>
        </is>
      </c>
      <c r="AU185" s="6" t="inlineStr">
        <is>
          <t>Back-loaded transport EV battery vintage curve based on historical EV deployment shape.</t>
        </is>
      </c>
      <c r="AV185">
        <f>AV164</f>
        <v/>
      </c>
      <c r="AW185">
        <f>AW164</f>
        <v/>
      </c>
      <c r="AX185">
        <f>AX164</f>
        <v/>
      </c>
      <c r="AY185">
        <f>AY164</f>
        <v/>
      </c>
      <c r="AZ185">
        <f>AZ164</f>
        <v/>
      </c>
      <c r="BA185">
        <f>BA164</f>
        <v/>
      </c>
      <c r="BB185">
        <f>BB164</f>
        <v/>
      </c>
      <c r="BC185">
        <f>BC164</f>
        <v/>
      </c>
      <c r="BD185">
        <f>BD164</f>
        <v/>
      </c>
      <c r="BE185">
        <f>BE164</f>
        <v/>
      </c>
      <c r="BF185">
        <f>BF164</f>
        <v/>
      </c>
      <c r="BG185">
        <f>BG164</f>
        <v/>
      </c>
      <c r="BH185">
        <f>BH164</f>
        <v/>
      </c>
      <c r="BI185">
        <f>BI164</f>
        <v/>
      </c>
      <c r="BJ185">
        <f>BJ164</f>
        <v/>
      </c>
      <c r="BK185">
        <f>BK164</f>
        <v/>
      </c>
      <c r="BL185">
        <f>BL164</f>
        <v/>
      </c>
      <c r="BM185">
        <f>BM164</f>
        <v/>
      </c>
      <c r="BN185">
        <f>BN164</f>
        <v/>
      </c>
      <c r="BO185">
        <f>BO164</f>
        <v/>
      </c>
      <c r="BP185">
        <f>BP164</f>
        <v/>
      </c>
      <c r="BQ185">
        <f>BQ164</f>
        <v/>
      </c>
      <c r="BR185">
        <f>BR164</f>
        <v/>
      </c>
      <c r="BS185">
        <f>BS164</f>
        <v/>
      </c>
      <c r="BT185">
        <f>BT164</f>
        <v/>
      </c>
      <c r="BU185">
        <f>BU164</f>
        <v/>
      </c>
      <c r="BV185">
        <f>BV164</f>
        <v/>
      </c>
      <c r="BW185">
        <f>BW164</f>
        <v/>
      </c>
      <c r="BX185">
        <f>BX164</f>
        <v/>
      </c>
      <c r="BY185">
        <f>BY164</f>
        <v/>
      </c>
      <c r="BZ185">
        <f>BZ164</f>
        <v/>
      </c>
      <c r="CA185">
        <f>CA164</f>
        <v/>
      </c>
      <c r="CB185">
        <f>CB164</f>
        <v/>
      </c>
      <c r="CC185">
        <f>CC164</f>
        <v/>
      </c>
      <c r="CD185">
        <f>CD164</f>
        <v/>
      </c>
      <c r="CE185">
        <f>CE164</f>
        <v/>
      </c>
      <c r="CG185" s="6" t="n">
        <v>2017</v>
      </c>
      <c r="CH185" s="6" t="inlineStr">
        <is>
          <t>Tra_EV_Batt-LFP_virgin_pack</t>
        </is>
      </c>
      <c r="CI185" s="6" t="n">
        <v>0.163</v>
      </c>
      <c r="CJ185" s="6" t="n">
        <v>0.22</v>
      </c>
      <c r="CK185" s="6" t="inlineStr">
        <is>
          <t>Transport_EV_global</t>
        </is>
      </c>
      <c r="CL185" s="6" t="inlineStr">
        <is>
          <t>Transport_EV_China</t>
        </is>
      </c>
      <c r="CM185" s="6" t="inlineStr">
        <is>
          <t>China transport EV curve is shifted earlier than the global curve to reflect earlier China EV/e-bus deployment in the 2010s.</t>
        </is>
      </c>
    </row>
    <row r="186" ht="14.5" customHeight="1" s="213">
      <c r="D186">
        <f>D185</f>
        <v/>
      </c>
      <c r="E186" t="inlineStr">
        <is>
          <t>Tra_EV_Batt-NMC622_virgin_pack</t>
        </is>
      </c>
      <c r="F186" s="208">
        <f>AW186*$AS186</f>
        <v/>
      </c>
      <c r="G186" s="208">
        <f>AX186*$AS186</f>
        <v/>
      </c>
      <c r="H186" s="208">
        <f>AY186*$AS186</f>
        <v/>
      </c>
      <c r="I186" s="208">
        <f>AZ186*$AS186</f>
        <v/>
      </c>
      <c r="J186" s="208">
        <f>BA186*$AS186</f>
        <v/>
      </c>
      <c r="K186" s="208">
        <f>BB186*$AS186</f>
        <v/>
      </c>
      <c r="L186" s="208">
        <f>BC186*$AS186</f>
        <v/>
      </c>
      <c r="M186" s="208">
        <f>BD186*$CI186</f>
        <v/>
      </c>
      <c r="N186" s="208">
        <f>BE186*$AS186</f>
        <v/>
      </c>
      <c r="O186" s="208">
        <f>BF186*$AS186</f>
        <v/>
      </c>
      <c r="P186" s="208">
        <f>BG186*$AS186</f>
        <v/>
      </c>
      <c r="Q186" s="208">
        <f>BH186*$AS186</f>
        <v/>
      </c>
      <c r="R186" s="208">
        <f>BI186*$AS186</f>
        <v/>
      </c>
      <c r="S186" s="208">
        <f>BJ186*$AS186</f>
        <v/>
      </c>
      <c r="T186" s="208">
        <f>BK186*$AS186</f>
        <v/>
      </c>
      <c r="U186" s="208">
        <f>BL186*$AS186</f>
        <v/>
      </c>
      <c r="V186" s="208">
        <f>BM186*$AS186</f>
        <v/>
      </c>
      <c r="W186" s="208">
        <f>BN186*$AS186</f>
        <v/>
      </c>
      <c r="X186" s="208">
        <f>BO186*$AS186</f>
        <v/>
      </c>
      <c r="Y186" s="208">
        <f>BP186*$AS186</f>
        <v/>
      </c>
      <c r="Z186" s="208">
        <f>BQ186*$AS186</f>
        <v/>
      </c>
      <c r="AA186" s="208">
        <f>BR186*$AS186</f>
        <v/>
      </c>
      <c r="AB186" s="208">
        <f>BS186*$AS186</f>
        <v/>
      </c>
      <c r="AC186" s="208">
        <f>BT186*$AS186</f>
        <v/>
      </c>
      <c r="AD186" s="208">
        <f>BU186*$AS186</f>
        <v/>
      </c>
      <c r="AE186" s="208">
        <f>BV186*$AS186</f>
        <v/>
      </c>
      <c r="AF186" s="208">
        <f>BW186*$AS186</f>
        <v/>
      </c>
      <c r="AG186" s="208">
        <f>BX186*$AS186</f>
        <v/>
      </c>
      <c r="AH186" s="208">
        <f>BY186*$AS186</f>
        <v/>
      </c>
      <c r="AI186" s="208">
        <f>BZ186*$AS186</f>
        <v/>
      </c>
      <c r="AJ186" s="208">
        <f>CA186*$AS186</f>
        <v/>
      </c>
      <c r="AK186" s="208">
        <f>CB186*$AS186</f>
        <v/>
      </c>
      <c r="AL186" s="208">
        <f>CC186*$AS186</f>
        <v/>
      </c>
      <c r="AM186" s="208">
        <f>CD186*$AS186</f>
        <v/>
      </c>
      <c r="AN186" s="208">
        <f>CE186*$AS186</f>
        <v/>
      </c>
      <c r="AQ186" s="6" t="n">
        <v>2017</v>
      </c>
      <c r="AR186" s="6" t="inlineStr">
        <is>
          <t>Tra_EV_Batt-NMC622_virgin_pack</t>
        </is>
      </c>
      <c r="AS186" s="6" t="n">
        <v>0.163</v>
      </c>
      <c r="AT186" s="6" t="inlineStr">
        <is>
          <t>Transport_EV_general</t>
        </is>
      </c>
      <c r="AU186" s="6" t="inlineStr">
        <is>
          <t>Back-loaded transport EV battery vintage curve based on historical EV deployment shape.</t>
        </is>
      </c>
      <c r="AV186">
        <f>AV165</f>
        <v/>
      </c>
      <c r="AW186">
        <f>AW165</f>
        <v/>
      </c>
      <c r="AX186">
        <f>AX165</f>
        <v/>
      </c>
      <c r="AY186">
        <f>AY165</f>
        <v/>
      </c>
      <c r="AZ186">
        <f>AZ165</f>
        <v/>
      </c>
      <c r="BA186">
        <f>BA165</f>
        <v/>
      </c>
      <c r="BB186">
        <f>BB165</f>
        <v/>
      </c>
      <c r="BC186">
        <f>BC165</f>
        <v/>
      </c>
      <c r="BD186">
        <f>BD165</f>
        <v/>
      </c>
      <c r="BE186">
        <f>BE165</f>
        <v/>
      </c>
      <c r="BF186">
        <f>BF165</f>
        <v/>
      </c>
      <c r="BG186">
        <f>BG165</f>
        <v/>
      </c>
      <c r="BH186">
        <f>BH165</f>
        <v/>
      </c>
      <c r="BI186">
        <f>BI165</f>
        <v/>
      </c>
      <c r="BJ186">
        <f>BJ165</f>
        <v/>
      </c>
      <c r="BK186">
        <f>BK165</f>
        <v/>
      </c>
      <c r="BL186">
        <f>BL165</f>
        <v/>
      </c>
      <c r="BM186">
        <f>BM165</f>
        <v/>
      </c>
      <c r="BN186">
        <f>BN165</f>
        <v/>
      </c>
      <c r="BO186">
        <f>BO165</f>
        <v/>
      </c>
      <c r="BP186">
        <f>BP165</f>
        <v/>
      </c>
      <c r="BQ186">
        <f>BQ165</f>
        <v/>
      </c>
      <c r="BR186">
        <f>BR165</f>
        <v/>
      </c>
      <c r="BS186">
        <f>BS165</f>
        <v/>
      </c>
      <c r="BT186">
        <f>BT165</f>
        <v/>
      </c>
      <c r="BU186">
        <f>BU165</f>
        <v/>
      </c>
      <c r="BV186">
        <f>BV165</f>
        <v/>
      </c>
      <c r="BW186">
        <f>BW165</f>
        <v/>
      </c>
      <c r="BX186">
        <f>BX165</f>
        <v/>
      </c>
      <c r="BY186">
        <f>BY165</f>
        <v/>
      </c>
      <c r="BZ186">
        <f>BZ165</f>
        <v/>
      </c>
      <c r="CA186">
        <f>CA165</f>
        <v/>
      </c>
      <c r="CB186">
        <f>CB165</f>
        <v/>
      </c>
      <c r="CC186">
        <f>CC165</f>
        <v/>
      </c>
      <c r="CD186">
        <f>CD165</f>
        <v/>
      </c>
      <c r="CE186">
        <f>CE165</f>
        <v/>
      </c>
      <c r="CG186" s="6" t="n">
        <v>2017</v>
      </c>
      <c r="CH186" s="6" t="inlineStr">
        <is>
          <t>Tra_EV_Batt-NMC622_virgin_pack</t>
        </is>
      </c>
      <c r="CI186" s="6" t="n">
        <v>0.163</v>
      </c>
      <c r="CJ186" s="6" t="n">
        <v>0.22</v>
      </c>
      <c r="CK186" s="6" t="inlineStr">
        <is>
          <t>Transport_EV_global</t>
        </is>
      </c>
      <c r="CL186" s="6" t="inlineStr">
        <is>
          <t>Transport_EV_China</t>
        </is>
      </c>
      <c r="CM186" s="6" t="inlineStr">
        <is>
          <t>China transport EV curve is shifted earlier than the global curve to reflect earlier China EV/e-bus deployment in the 2010s.</t>
        </is>
      </c>
    </row>
    <row r="187" ht="14.5" customHeight="1" s="213">
      <c r="D187">
        <f>D186</f>
        <v/>
      </c>
      <c r="E187" t="inlineStr">
        <is>
          <t>Tra_EV_Batt-NMC811_virgin_pack</t>
        </is>
      </c>
      <c r="F187" s="208">
        <f>AW187*$AS187</f>
        <v/>
      </c>
      <c r="G187" s="208">
        <f>AX187*$AS187</f>
        <v/>
      </c>
      <c r="H187" s="208">
        <f>AY187*$AS187</f>
        <v/>
      </c>
      <c r="I187" s="208">
        <f>AZ187*$AS187</f>
        <v/>
      </c>
      <c r="J187" s="208">
        <f>BA187*$AS187</f>
        <v/>
      </c>
      <c r="K187" s="208">
        <f>BB187*$AS187</f>
        <v/>
      </c>
      <c r="L187" s="208">
        <f>BC187*$AS187</f>
        <v/>
      </c>
      <c r="M187" s="208">
        <f>BD187*$CI187</f>
        <v/>
      </c>
      <c r="N187" s="208">
        <f>BE187*$AS187</f>
        <v/>
      </c>
      <c r="O187" s="208">
        <f>BF187*$AS187</f>
        <v/>
      </c>
      <c r="P187" s="208">
        <f>BG187*$AS187</f>
        <v/>
      </c>
      <c r="Q187" s="208">
        <f>BH187*$AS187</f>
        <v/>
      </c>
      <c r="R187" s="208">
        <f>BI187*$AS187</f>
        <v/>
      </c>
      <c r="S187" s="208">
        <f>BJ187*$AS187</f>
        <v/>
      </c>
      <c r="T187" s="208">
        <f>BK187*$AS187</f>
        <v/>
      </c>
      <c r="U187" s="208">
        <f>BL187*$AS187</f>
        <v/>
      </c>
      <c r="V187" s="208">
        <f>BM187*$AS187</f>
        <v/>
      </c>
      <c r="W187" s="208">
        <f>BN187*$AS187</f>
        <v/>
      </c>
      <c r="X187" s="208">
        <f>BO187*$AS187</f>
        <v/>
      </c>
      <c r="Y187" s="208">
        <f>BP187*$AS187</f>
        <v/>
      </c>
      <c r="Z187" s="208">
        <f>BQ187*$AS187</f>
        <v/>
      </c>
      <c r="AA187" s="208">
        <f>BR187*$AS187</f>
        <v/>
      </c>
      <c r="AB187" s="208">
        <f>BS187*$AS187</f>
        <v/>
      </c>
      <c r="AC187" s="208">
        <f>BT187*$AS187</f>
        <v/>
      </c>
      <c r="AD187" s="208">
        <f>BU187*$AS187</f>
        <v/>
      </c>
      <c r="AE187" s="208">
        <f>BV187*$AS187</f>
        <v/>
      </c>
      <c r="AF187" s="208">
        <f>BW187*$AS187</f>
        <v/>
      </c>
      <c r="AG187" s="208">
        <f>BX187*$AS187</f>
        <v/>
      </c>
      <c r="AH187" s="208">
        <f>BY187*$AS187</f>
        <v/>
      </c>
      <c r="AI187" s="208">
        <f>BZ187*$AS187</f>
        <v/>
      </c>
      <c r="AJ187" s="208">
        <f>CA187*$AS187</f>
        <v/>
      </c>
      <c r="AK187" s="208">
        <f>CB187*$AS187</f>
        <v/>
      </c>
      <c r="AL187" s="208">
        <f>CC187*$AS187</f>
        <v/>
      </c>
      <c r="AM187" s="208">
        <f>CD187*$AS187</f>
        <v/>
      </c>
      <c r="AN187" s="208">
        <f>CE187*$AS187</f>
        <v/>
      </c>
      <c r="AQ187" s="6" t="n">
        <v>2017</v>
      </c>
      <c r="AR187" s="6" t="inlineStr">
        <is>
          <t>Tra_EV_Batt-NMC811_virgin_pack</t>
        </is>
      </c>
      <c r="AS187" s="6" t="n">
        <v>0.163</v>
      </c>
      <c r="AT187" s="6" t="inlineStr">
        <is>
          <t>Transport_EV_general</t>
        </is>
      </c>
      <c r="AU187" s="6" t="inlineStr">
        <is>
          <t>Back-loaded transport EV battery vintage curve based on historical EV deployment shape.</t>
        </is>
      </c>
      <c r="AV187">
        <f>AV166</f>
        <v/>
      </c>
      <c r="AW187">
        <f>AW166</f>
        <v/>
      </c>
      <c r="AX187">
        <f>AX166</f>
        <v/>
      </c>
      <c r="AY187">
        <f>AY166</f>
        <v/>
      </c>
      <c r="AZ187">
        <f>AZ166</f>
        <v/>
      </c>
      <c r="BA187">
        <f>BA166</f>
        <v/>
      </c>
      <c r="BB187">
        <f>BB166</f>
        <v/>
      </c>
      <c r="BC187">
        <f>BC166</f>
        <v/>
      </c>
      <c r="BD187">
        <f>BD166</f>
        <v/>
      </c>
      <c r="BE187">
        <f>BE166</f>
        <v/>
      </c>
      <c r="BF187">
        <f>BF166</f>
        <v/>
      </c>
      <c r="BG187">
        <f>BG166</f>
        <v/>
      </c>
      <c r="BH187">
        <f>BH166</f>
        <v/>
      </c>
      <c r="BI187">
        <f>BI166</f>
        <v/>
      </c>
      <c r="BJ187">
        <f>BJ166</f>
        <v/>
      </c>
      <c r="BK187">
        <f>BK166</f>
        <v/>
      </c>
      <c r="BL187">
        <f>BL166</f>
        <v/>
      </c>
      <c r="BM187">
        <f>BM166</f>
        <v/>
      </c>
      <c r="BN187">
        <f>BN166</f>
        <v/>
      </c>
      <c r="BO187">
        <f>BO166</f>
        <v/>
      </c>
      <c r="BP187">
        <f>BP166</f>
        <v/>
      </c>
      <c r="BQ187">
        <f>BQ166</f>
        <v/>
      </c>
      <c r="BR187">
        <f>BR166</f>
        <v/>
      </c>
      <c r="BS187">
        <f>BS166</f>
        <v/>
      </c>
      <c r="BT187">
        <f>BT166</f>
        <v/>
      </c>
      <c r="BU187">
        <f>BU166</f>
        <v/>
      </c>
      <c r="BV187">
        <f>BV166</f>
        <v/>
      </c>
      <c r="BW187">
        <f>BW166</f>
        <v/>
      </c>
      <c r="BX187">
        <f>BX166</f>
        <v/>
      </c>
      <c r="BY187">
        <f>BY166</f>
        <v/>
      </c>
      <c r="BZ187">
        <f>BZ166</f>
        <v/>
      </c>
      <c r="CA187">
        <f>CA166</f>
        <v/>
      </c>
      <c r="CB187">
        <f>CB166</f>
        <v/>
      </c>
      <c r="CC187">
        <f>CC166</f>
        <v/>
      </c>
      <c r="CD187">
        <f>CD166</f>
        <v/>
      </c>
      <c r="CE187">
        <f>CE166</f>
        <v/>
      </c>
      <c r="CG187" s="6" t="n">
        <v>2017</v>
      </c>
      <c r="CH187" s="6" t="inlineStr">
        <is>
          <t>Tra_EV_Batt-NMC811_virgin_pack</t>
        </is>
      </c>
      <c r="CI187" s="6" t="n">
        <v>0.163</v>
      </c>
      <c r="CJ187" s="6" t="n">
        <v>0.22</v>
      </c>
      <c r="CK187" s="6" t="inlineStr">
        <is>
          <t>Transport_EV_global</t>
        </is>
      </c>
      <c r="CL187" s="6" t="inlineStr">
        <is>
          <t>Transport_EV_China</t>
        </is>
      </c>
      <c r="CM187" s="6" t="inlineStr">
        <is>
          <t>China transport EV curve is shifted earlier than the global curve to reflect earlier China EV/e-bus deployment in the 2010s.</t>
        </is>
      </c>
    </row>
    <row r="188" ht="14.5" customHeight="1" s="213">
      <c r="D188">
        <f>D187</f>
        <v/>
      </c>
      <c r="E188" t="inlineStr">
        <is>
          <t>Tra_EV_Batt-NMC532_virgin_pack</t>
        </is>
      </c>
      <c r="F188" s="208">
        <f>AW188*$AS188</f>
        <v/>
      </c>
      <c r="G188" s="208">
        <f>AX188*$AS188</f>
        <v/>
      </c>
      <c r="H188" s="208">
        <f>AY188*$AS188</f>
        <v/>
      </c>
      <c r="I188" s="208">
        <f>AZ188*$AS188</f>
        <v/>
      </c>
      <c r="J188" s="208">
        <f>BA188*$AS188</f>
        <v/>
      </c>
      <c r="K188" s="208">
        <f>BB188*$AS188</f>
        <v/>
      </c>
      <c r="L188" s="208">
        <f>BC188*$AS188</f>
        <v/>
      </c>
      <c r="M188" s="208">
        <f>BD188*$CI188</f>
        <v/>
      </c>
      <c r="N188" s="208">
        <f>BE188*$AS188</f>
        <v/>
      </c>
      <c r="O188" s="208">
        <f>BF188*$AS188</f>
        <v/>
      </c>
      <c r="P188" s="208">
        <f>BG188*$AS188</f>
        <v/>
      </c>
      <c r="Q188" s="208">
        <f>BH188*$AS188</f>
        <v/>
      </c>
      <c r="R188" s="208">
        <f>BI188*$AS188</f>
        <v/>
      </c>
      <c r="S188" s="208">
        <f>BJ188*$AS188</f>
        <v/>
      </c>
      <c r="T188" s="208">
        <f>BK188*$AS188</f>
        <v/>
      </c>
      <c r="U188" s="208">
        <f>BL188*$AS188</f>
        <v/>
      </c>
      <c r="V188" s="208">
        <f>BM188*$AS188</f>
        <v/>
      </c>
      <c r="W188" s="208">
        <f>BN188*$AS188</f>
        <v/>
      </c>
      <c r="X188" s="208">
        <f>BO188*$AS188</f>
        <v/>
      </c>
      <c r="Y188" s="208">
        <f>BP188*$AS188</f>
        <v/>
      </c>
      <c r="Z188" s="208">
        <f>BQ188*$AS188</f>
        <v/>
      </c>
      <c r="AA188" s="208">
        <f>BR188*$AS188</f>
        <v/>
      </c>
      <c r="AB188" s="208">
        <f>BS188*$AS188</f>
        <v/>
      </c>
      <c r="AC188" s="208">
        <f>BT188*$AS188</f>
        <v/>
      </c>
      <c r="AD188" s="208">
        <f>BU188*$AS188</f>
        <v/>
      </c>
      <c r="AE188" s="208">
        <f>BV188*$AS188</f>
        <v/>
      </c>
      <c r="AF188" s="208">
        <f>BW188*$AS188</f>
        <v/>
      </c>
      <c r="AG188" s="208">
        <f>BX188*$AS188</f>
        <v/>
      </c>
      <c r="AH188" s="208">
        <f>BY188*$AS188</f>
        <v/>
      </c>
      <c r="AI188" s="208">
        <f>BZ188*$AS188</f>
        <v/>
      </c>
      <c r="AJ188" s="208">
        <f>CA188*$AS188</f>
        <v/>
      </c>
      <c r="AK188" s="208">
        <f>CB188*$AS188</f>
        <v/>
      </c>
      <c r="AL188" s="208">
        <f>CC188*$AS188</f>
        <v/>
      </c>
      <c r="AM188" s="208">
        <f>CD188*$AS188</f>
        <v/>
      </c>
      <c r="AN188" s="208">
        <f>CE188*$AS188</f>
        <v/>
      </c>
      <c r="AQ188" s="6" t="n">
        <v>2017</v>
      </c>
      <c r="AR188" s="6" t="inlineStr">
        <is>
          <t>Tra_EV_Batt-NMC532_virgin_pack</t>
        </is>
      </c>
      <c r="AS188" s="6" t="n">
        <v>0.163</v>
      </c>
      <c r="AT188" s="6" t="inlineStr">
        <is>
          <t>Transport_EV_general</t>
        </is>
      </c>
      <c r="AU188" s="6" t="inlineStr">
        <is>
          <t>Back-loaded transport EV battery vintage curve based on historical EV deployment shape.</t>
        </is>
      </c>
      <c r="AV188">
        <f>AV167</f>
        <v/>
      </c>
      <c r="AW188">
        <f>AW167</f>
        <v/>
      </c>
      <c r="AX188">
        <f>AX167</f>
        <v/>
      </c>
      <c r="AY188">
        <f>AY167</f>
        <v/>
      </c>
      <c r="AZ188">
        <f>AZ167</f>
        <v/>
      </c>
      <c r="BA188">
        <f>BA167</f>
        <v/>
      </c>
      <c r="BB188">
        <f>BB167</f>
        <v/>
      </c>
      <c r="BC188">
        <f>BC167</f>
        <v/>
      </c>
      <c r="BD188">
        <f>BD167</f>
        <v/>
      </c>
      <c r="BE188">
        <f>BE167</f>
        <v/>
      </c>
      <c r="BF188">
        <f>BF167</f>
        <v/>
      </c>
      <c r="BG188">
        <f>BG167</f>
        <v/>
      </c>
      <c r="BH188">
        <f>BH167</f>
        <v/>
      </c>
      <c r="BI188">
        <f>BI167</f>
        <v/>
      </c>
      <c r="BJ188">
        <f>BJ167</f>
        <v/>
      </c>
      <c r="BK188">
        <f>BK167</f>
        <v/>
      </c>
      <c r="BL188">
        <f>BL167</f>
        <v/>
      </c>
      <c r="BM188">
        <f>BM167</f>
        <v/>
      </c>
      <c r="BN188">
        <f>BN167</f>
        <v/>
      </c>
      <c r="BO188">
        <f>BO167</f>
        <v/>
      </c>
      <c r="BP188">
        <f>BP167</f>
        <v/>
      </c>
      <c r="BQ188">
        <f>BQ167</f>
        <v/>
      </c>
      <c r="BR188">
        <f>BR167</f>
        <v/>
      </c>
      <c r="BS188">
        <f>BS167</f>
        <v/>
      </c>
      <c r="BT188">
        <f>BT167</f>
        <v/>
      </c>
      <c r="BU188">
        <f>BU167</f>
        <v/>
      </c>
      <c r="BV188">
        <f>BV167</f>
        <v/>
      </c>
      <c r="BW188">
        <f>BW167</f>
        <v/>
      </c>
      <c r="BX188">
        <f>BX167</f>
        <v/>
      </c>
      <c r="BY188">
        <f>BY167</f>
        <v/>
      </c>
      <c r="BZ188">
        <f>BZ167</f>
        <v/>
      </c>
      <c r="CA188">
        <f>CA167</f>
        <v/>
      </c>
      <c r="CB188">
        <f>CB167</f>
        <v/>
      </c>
      <c r="CC188">
        <f>CC167</f>
        <v/>
      </c>
      <c r="CD188">
        <f>CD167</f>
        <v/>
      </c>
      <c r="CE188">
        <f>CE167</f>
        <v/>
      </c>
      <c r="CG188" s="6" t="n">
        <v>2017</v>
      </c>
      <c r="CH188" s="6" t="inlineStr">
        <is>
          <t>Tra_EV_Batt-NMC532_virgin_pack</t>
        </is>
      </c>
      <c r="CI188" s="6" t="n">
        <v>0.163</v>
      </c>
      <c r="CJ188" s="6" t="n">
        <v>0.22</v>
      </c>
      <c r="CK188" s="6" t="inlineStr">
        <is>
          <t>Transport_EV_global</t>
        </is>
      </c>
      <c r="CL188" s="6" t="inlineStr">
        <is>
          <t>Transport_EV_China</t>
        </is>
      </c>
      <c r="CM188" s="6" t="inlineStr">
        <is>
          <t>China transport EV curve is shifted earlier than the global curve to reflect earlier China EV/e-bus deployment in the 2010s.</t>
        </is>
      </c>
    </row>
    <row r="189" ht="14.5" customHeight="1" s="213">
      <c r="D189">
        <f>D188</f>
        <v/>
      </c>
      <c r="E189" t="inlineStr">
        <is>
          <t>Tra_EV_Batt-NCA_virgin_pack</t>
        </is>
      </c>
      <c r="F189" s="208">
        <f>AW189*$AS189</f>
        <v/>
      </c>
      <c r="G189" s="208">
        <f>AX189*$AS189</f>
        <v/>
      </c>
      <c r="H189" s="208">
        <f>AY189*$AS189</f>
        <v/>
      </c>
      <c r="I189" s="208">
        <f>AZ189*$AS189</f>
        <v/>
      </c>
      <c r="J189" s="208">
        <f>BA189*$AS189</f>
        <v/>
      </c>
      <c r="K189" s="208">
        <f>BB189*$AS189</f>
        <v/>
      </c>
      <c r="L189" s="208">
        <f>BC189*$AS189</f>
        <v/>
      </c>
      <c r="M189" s="208">
        <f>BD189*$CI189</f>
        <v/>
      </c>
      <c r="N189" s="208">
        <f>BE189*$AS189</f>
        <v/>
      </c>
      <c r="O189" s="208">
        <f>BF189*$AS189</f>
        <v/>
      </c>
      <c r="P189" s="208">
        <f>BG189*$AS189</f>
        <v/>
      </c>
      <c r="Q189" s="208">
        <f>BH189*$AS189</f>
        <v/>
      </c>
      <c r="R189" s="208">
        <f>BI189*$AS189</f>
        <v/>
      </c>
      <c r="S189" s="208">
        <f>BJ189*$AS189</f>
        <v/>
      </c>
      <c r="T189" s="208">
        <f>BK189*$AS189</f>
        <v/>
      </c>
      <c r="U189" s="208">
        <f>BL189*$AS189</f>
        <v/>
      </c>
      <c r="V189" s="208">
        <f>BM189*$AS189</f>
        <v/>
      </c>
      <c r="W189" s="208">
        <f>BN189*$AS189</f>
        <v/>
      </c>
      <c r="X189" s="208">
        <f>BO189*$AS189</f>
        <v/>
      </c>
      <c r="Y189" s="208">
        <f>BP189*$AS189</f>
        <v/>
      </c>
      <c r="Z189" s="208">
        <f>BQ189*$AS189</f>
        <v/>
      </c>
      <c r="AA189" s="208">
        <f>BR189*$AS189</f>
        <v/>
      </c>
      <c r="AB189" s="208">
        <f>BS189*$AS189</f>
        <v/>
      </c>
      <c r="AC189" s="208">
        <f>BT189*$AS189</f>
        <v/>
      </c>
      <c r="AD189" s="208">
        <f>BU189*$AS189</f>
        <v/>
      </c>
      <c r="AE189" s="208">
        <f>BV189*$AS189</f>
        <v/>
      </c>
      <c r="AF189" s="208">
        <f>BW189*$AS189</f>
        <v/>
      </c>
      <c r="AG189" s="208">
        <f>BX189*$AS189</f>
        <v/>
      </c>
      <c r="AH189" s="208">
        <f>BY189*$AS189</f>
        <v/>
      </c>
      <c r="AI189" s="208">
        <f>BZ189*$AS189</f>
        <v/>
      </c>
      <c r="AJ189" s="208">
        <f>CA189*$AS189</f>
        <v/>
      </c>
      <c r="AK189" s="208">
        <f>CB189*$AS189</f>
        <v/>
      </c>
      <c r="AL189" s="208">
        <f>CC189*$AS189</f>
        <v/>
      </c>
      <c r="AM189" s="208">
        <f>CD189*$AS189</f>
        <v/>
      </c>
      <c r="AN189" s="208">
        <f>CE189*$AS189</f>
        <v/>
      </c>
      <c r="AQ189" s="6" t="n">
        <v>2017</v>
      </c>
      <c r="AR189" s="6" t="inlineStr">
        <is>
          <t>Tra_EV_Batt-NCA_virgin_pack</t>
        </is>
      </c>
      <c r="AS189" s="6" t="n">
        <v>0.163</v>
      </c>
      <c r="AT189" s="6" t="inlineStr">
        <is>
          <t>Transport_EV_general</t>
        </is>
      </c>
      <c r="AU189" s="6" t="inlineStr">
        <is>
          <t>Back-loaded transport EV battery vintage curve based on historical EV deployment shape.</t>
        </is>
      </c>
      <c r="AV189">
        <f>AV168</f>
        <v/>
      </c>
      <c r="AW189">
        <f>AW168</f>
        <v/>
      </c>
      <c r="AX189">
        <f>AX168</f>
        <v/>
      </c>
      <c r="AY189">
        <f>AY168</f>
        <v/>
      </c>
      <c r="AZ189">
        <f>AZ168</f>
        <v/>
      </c>
      <c r="BA189">
        <f>BA168</f>
        <v/>
      </c>
      <c r="BB189">
        <f>BB168</f>
        <v/>
      </c>
      <c r="BC189">
        <f>BC168</f>
        <v/>
      </c>
      <c r="BD189">
        <f>BD168</f>
        <v/>
      </c>
      <c r="BE189">
        <f>BE168</f>
        <v/>
      </c>
      <c r="BF189">
        <f>BF168</f>
        <v/>
      </c>
      <c r="BG189">
        <f>BG168</f>
        <v/>
      </c>
      <c r="BH189">
        <f>BH168</f>
        <v/>
      </c>
      <c r="BI189">
        <f>BI168</f>
        <v/>
      </c>
      <c r="BJ189">
        <f>BJ168</f>
        <v/>
      </c>
      <c r="BK189">
        <f>BK168</f>
        <v/>
      </c>
      <c r="BL189">
        <f>BL168</f>
        <v/>
      </c>
      <c r="BM189">
        <f>BM168</f>
        <v/>
      </c>
      <c r="BN189">
        <f>BN168</f>
        <v/>
      </c>
      <c r="BO189">
        <f>BO168</f>
        <v/>
      </c>
      <c r="BP189">
        <f>BP168</f>
        <v/>
      </c>
      <c r="BQ189">
        <f>BQ168</f>
        <v/>
      </c>
      <c r="BR189">
        <f>BR168</f>
        <v/>
      </c>
      <c r="BS189">
        <f>BS168</f>
        <v/>
      </c>
      <c r="BT189">
        <f>BT168</f>
        <v/>
      </c>
      <c r="BU189">
        <f>BU168</f>
        <v/>
      </c>
      <c r="BV189">
        <f>BV168</f>
        <v/>
      </c>
      <c r="BW189">
        <f>BW168</f>
        <v/>
      </c>
      <c r="BX189">
        <f>BX168</f>
        <v/>
      </c>
      <c r="BY189">
        <f>BY168</f>
        <v/>
      </c>
      <c r="BZ189">
        <f>BZ168</f>
        <v/>
      </c>
      <c r="CA189">
        <f>CA168</f>
        <v/>
      </c>
      <c r="CB189">
        <f>CB168</f>
        <v/>
      </c>
      <c r="CC189">
        <f>CC168</f>
        <v/>
      </c>
      <c r="CD189">
        <f>CD168</f>
        <v/>
      </c>
      <c r="CE189">
        <f>CE168</f>
        <v/>
      </c>
      <c r="CG189" s="6" t="n">
        <v>2017</v>
      </c>
      <c r="CH189" s="6" t="inlineStr">
        <is>
          <t>Tra_EV_Batt-NCA_virgin_pack</t>
        </is>
      </c>
      <c r="CI189" s="6" t="n">
        <v>0.163</v>
      </c>
      <c r="CJ189" s="6" t="n">
        <v>0.22</v>
      </c>
      <c r="CK189" s="6" t="inlineStr">
        <is>
          <t>Transport_EV_global</t>
        </is>
      </c>
      <c r="CL189" s="6" t="inlineStr">
        <is>
          <t>Transport_EV_China</t>
        </is>
      </c>
      <c r="CM189" s="6" t="inlineStr">
        <is>
          <t>China transport EV curve is shifted earlier than the global curve to reflect earlier China EV/e-bus deployment in the 2010s.</t>
        </is>
      </c>
    </row>
    <row r="190" ht="14.5" customHeight="1" s="213">
      <c r="D190">
        <f>D189</f>
        <v/>
      </c>
      <c r="E190" t="inlineStr">
        <is>
          <t>Tra_EV_Batt-LMO_virgin_pack</t>
        </is>
      </c>
      <c r="F190" s="208">
        <f>AW190*$AS190</f>
        <v/>
      </c>
      <c r="G190" s="208">
        <f>AX190*$AS190</f>
        <v/>
      </c>
      <c r="H190" s="208">
        <f>AY190*$AS190</f>
        <v/>
      </c>
      <c r="I190" s="208">
        <f>AZ190*$AS190</f>
        <v/>
      </c>
      <c r="J190" s="208">
        <f>BA190*$AS190</f>
        <v/>
      </c>
      <c r="K190" s="208">
        <f>BB190*$AS190</f>
        <v/>
      </c>
      <c r="L190" s="208">
        <f>BC190*$AS190</f>
        <v/>
      </c>
      <c r="M190" s="208">
        <f>BD190*$CI190</f>
        <v/>
      </c>
      <c r="N190" s="208">
        <f>BE190*$AS190</f>
        <v/>
      </c>
      <c r="O190" s="208">
        <f>BF190*$AS190</f>
        <v/>
      </c>
      <c r="P190" s="208">
        <f>BG190*$AS190</f>
        <v/>
      </c>
      <c r="Q190" s="208">
        <f>BH190*$AS190</f>
        <v/>
      </c>
      <c r="R190" s="208">
        <f>BI190*$AS190</f>
        <v/>
      </c>
      <c r="S190" s="208">
        <f>BJ190*$AS190</f>
        <v/>
      </c>
      <c r="T190" s="208">
        <f>BK190*$AS190</f>
        <v/>
      </c>
      <c r="U190" s="208">
        <f>BL190*$AS190</f>
        <v/>
      </c>
      <c r="V190" s="208">
        <f>BM190*$AS190</f>
        <v/>
      </c>
      <c r="W190" s="208">
        <f>BN190*$AS190</f>
        <v/>
      </c>
      <c r="X190" s="208">
        <f>BO190*$AS190</f>
        <v/>
      </c>
      <c r="Y190" s="208">
        <f>BP190*$AS190</f>
        <v/>
      </c>
      <c r="Z190" s="208">
        <f>BQ190*$AS190</f>
        <v/>
      </c>
      <c r="AA190" s="208">
        <f>BR190*$AS190</f>
        <v/>
      </c>
      <c r="AB190" s="208">
        <f>BS190*$AS190</f>
        <v/>
      </c>
      <c r="AC190" s="208">
        <f>BT190*$AS190</f>
        <v/>
      </c>
      <c r="AD190" s="208">
        <f>BU190*$AS190</f>
        <v/>
      </c>
      <c r="AE190" s="208">
        <f>BV190*$AS190</f>
        <v/>
      </c>
      <c r="AF190" s="208">
        <f>BW190*$AS190</f>
        <v/>
      </c>
      <c r="AG190" s="208">
        <f>BX190*$AS190</f>
        <v/>
      </c>
      <c r="AH190" s="208">
        <f>BY190*$AS190</f>
        <v/>
      </c>
      <c r="AI190" s="208">
        <f>BZ190*$AS190</f>
        <v/>
      </c>
      <c r="AJ190" s="208">
        <f>CA190*$AS190</f>
        <v/>
      </c>
      <c r="AK190" s="208">
        <f>CB190*$AS190</f>
        <v/>
      </c>
      <c r="AL190" s="208">
        <f>CC190*$AS190</f>
        <v/>
      </c>
      <c r="AM190" s="208">
        <f>CD190*$AS190</f>
        <v/>
      </c>
      <c r="AN190" s="208">
        <f>CE190*$AS190</f>
        <v/>
      </c>
      <c r="AQ190" s="6" t="n">
        <v>2017</v>
      </c>
      <c r="AR190" s="6" t="inlineStr">
        <is>
          <t>Tra_EV_Batt-LMO_virgin_pack</t>
        </is>
      </c>
      <c r="AS190" s="6" t="n">
        <v>0.163</v>
      </c>
      <c r="AT190" s="6" t="inlineStr">
        <is>
          <t>Transport_EV_general</t>
        </is>
      </c>
      <c r="AU190" s="6" t="inlineStr">
        <is>
          <t>Back-loaded transport EV battery vintage curve based on historical EV deployment shape.</t>
        </is>
      </c>
      <c r="AV190">
        <f>AV169</f>
        <v/>
      </c>
      <c r="AW190">
        <f>AW169</f>
        <v/>
      </c>
      <c r="AX190">
        <f>AX169</f>
        <v/>
      </c>
      <c r="AY190">
        <f>AY169</f>
        <v/>
      </c>
      <c r="AZ190">
        <f>AZ169</f>
        <v/>
      </c>
      <c r="BA190">
        <f>BA169</f>
        <v/>
      </c>
      <c r="BB190">
        <f>BB169</f>
        <v/>
      </c>
      <c r="BC190">
        <f>BC169</f>
        <v/>
      </c>
      <c r="BD190">
        <f>BD169</f>
        <v/>
      </c>
      <c r="BE190">
        <f>BE169</f>
        <v/>
      </c>
      <c r="BF190">
        <f>BF169</f>
        <v/>
      </c>
      <c r="BG190">
        <f>BG169</f>
        <v/>
      </c>
      <c r="BH190">
        <f>BH169</f>
        <v/>
      </c>
      <c r="BI190">
        <f>BI169</f>
        <v/>
      </c>
      <c r="BJ190">
        <f>BJ169</f>
        <v/>
      </c>
      <c r="BK190">
        <f>BK169</f>
        <v/>
      </c>
      <c r="BL190">
        <f>BL169</f>
        <v/>
      </c>
      <c r="BM190">
        <f>BM169</f>
        <v/>
      </c>
      <c r="BN190">
        <f>BN169</f>
        <v/>
      </c>
      <c r="BO190">
        <f>BO169</f>
        <v/>
      </c>
      <c r="BP190">
        <f>BP169</f>
        <v/>
      </c>
      <c r="BQ190">
        <f>BQ169</f>
        <v/>
      </c>
      <c r="BR190">
        <f>BR169</f>
        <v/>
      </c>
      <c r="BS190">
        <f>BS169</f>
        <v/>
      </c>
      <c r="BT190">
        <f>BT169</f>
        <v/>
      </c>
      <c r="BU190">
        <f>BU169</f>
        <v/>
      </c>
      <c r="BV190">
        <f>BV169</f>
        <v/>
      </c>
      <c r="BW190">
        <f>BW169</f>
        <v/>
      </c>
      <c r="BX190">
        <f>BX169</f>
        <v/>
      </c>
      <c r="BY190">
        <f>BY169</f>
        <v/>
      </c>
      <c r="BZ190">
        <f>BZ169</f>
        <v/>
      </c>
      <c r="CA190">
        <f>CA169</f>
        <v/>
      </c>
      <c r="CB190">
        <f>CB169</f>
        <v/>
      </c>
      <c r="CC190">
        <f>CC169</f>
        <v/>
      </c>
      <c r="CD190">
        <f>CD169</f>
        <v/>
      </c>
      <c r="CE190">
        <f>CE169</f>
        <v/>
      </c>
      <c r="CG190" s="6" t="n">
        <v>2017</v>
      </c>
      <c r="CH190" s="6" t="inlineStr">
        <is>
          <t>Tra_EV_Batt-LMO_virgin_pack</t>
        </is>
      </c>
      <c r="CI190" s="6" t="n">
        <v>0.163</v>
      </c>
      <c r="CJ190" s="6" t="n">
        <v>0.22</v>
      </c>
      <c r="CK190" s="6" t="inlineStr">
        <is>
          <t>Transport_EV_global</t>
        </is>
      </c>
      <c r="CL190" s="6" t="inlineStr">
        <is>
          <t>Transport_EV_China</t>
        </is>
      </c>
      <c r="CM190" s="6" t="inlineStr">
        <is>
          <t>China transport EV curve is shifted earlier than the global curve to reflect earlier China EV/e-bus deployment in the 2010s.</t>
        </is>
      </c>
    </row>
    <row r="191" ht="14.5" customHeight="1" s="213">
      <c r="D191">
        <f>D190</f>
        <v/>
      </c>
      <c r="E191" t="inlineStr">
        <is>
          <t>Tra_EV_Batt-NMC111_virgin_pack</t>
        </is>
      </c>
      <c r="F191" s="208">
        <f>AW191*$AS191</f>
        <v/>
      </c>
      <c r="G191" s="208">
        <f>AX191*$AS191</f>
        <v/>
      </c>
      <c r="H191" s="208">
        <f>AY191*$AS191</f>
        <v/>
      </c>
      <c r="I191" s="208">
        <f>AZ191*$AS191</f>
        <v/>
      </c>
      <c r="J191" s="208">
        <f>BA191*$AS191</f>
        <v/>
      </c>
      <c r="K191" s="208">
        <f>BB191*$AS191</f>
        <v/>
      </c>
      <c r="L191" s="208">
        <f>BC191*$AS191</f>
        <v/>
      </c>
      <c r="M191" s="208">
        <f>BD191*$CI191</f>
        <v/>
      </c>
      <c r="N191" s="208">
        <f>BE191*$AS191</f>
        <v/>
      </c>
      <c r="O191" s="208">
        <f>BF191*$AS191</f>
        <v/>
      </c>
      <c r="P191" s="208">
        <f>BG191*$AS191</f>
        <v/>
      </c>
      <c r="Q191" s="208">
        <f>BH191*$AS191</f>
        <v/>
      </c>
      <c r="R191" s="208">
        <f>BI191*$AS191</f>
        <v/>
      </c>
      <c r="S191" s="208">
        <f>BJ191*$AS191</f>
        <v/>
      </c>
      <c r="T191" s="208">
        <f>BK191*$AS191</f>
        <v/>
      </c>
      <c r="U191" s="208">
        <f>BL191*$AS191</f>
        <v/>
      </c>
      <c r="V191" s="208">
        <f>BM191*$AS191</f>
        <v/>
      </c>
      <c r="W191" s="208">
        <f>BN191*$AS191</f>
        <v/>
      </c>
      <c r="X191" s="208">
        <f>BO191*$AS191</f>
        <v/>
      </c>
      <c r="Y191" s="208">
        <f>BP191*$AS191</f>
        <v/>
      </c>
      <c r="Z191" s="208">
        <f>BQ191*$AS191</f>
        <v/>
      </c>
      <c r="AA191" s="208">
        <f>BR191*$AS191</f>
        <v/>
      </c>
      <c r="AB191" s="208">
        <f>BS191*$AS191</f>
        <v/>
      </c>
      <c r="AC191" s="208">
        <f>BT191*$AS191</f>
        <v/>
      </c>
      <c r="AD191" s="208">
        <f>BU191*$AS191</f>
        <v/>
      </c>
      <c r="AE191" s="208">
        <f>BV191*$AS191</f>
        <v/>
      </c>
      <c r="AF191" s="208">
        <f>BW191*$AS191</f>
        <v/>
      </c>
      <c r="AG191" s="208">
        <f>BX191*$AS191</f>
        <v/>
      </c>
      <c r="AH191" s="208">
        <f>BY191*$AS191</f>
        <v/>
      </c>
      <c r="AI191" s="208">
        <f>BZ191*$AS191</f>
        <v/>
      </c>
      <c r="AJ191" s="208">
        <f>CA191*$AS191</f>
        <v/>
      </c>
      <c r="AK191" s="208">
        <f>CB191*$AS191</f>
        <v/>
      </c>
      <c r="AL191" s="208">
        <f>CC191*$AS191</f>
        <v/>
      </c>
      <c r="AM191" s="208">
        <f>CD191*$AS191</f>
        <v/>
      </c>
      <c r="AN191" s="208">
        <f>CE191*$AS191</f>
        <v/>
      </c>
      <c r="AQ191" s="6" t="n">
        <v>2017</v>
      </c>
      <c r="AR191" s="6" t="inlineStr">
        <is>
          <t>Tra_EV_Batt-NMC111_virgin_pack</t>
        </is>
      </c>
      <c r="AS191" s="6" t="n">
        <v>0.163</v>
      </c>
      <c r="AT191" s="6" t="inlineStr">
        <is>
          <t>Transport_EV_general</t>
        </is>
      </c>
      <c r="AU191" s="6" t="inlineStr">
        <is>
          <t>Back-loaded transport EV battery vintage curve based on historical EV deployment shape.</t>
        </is>
      </c>
      <c r="AV191">
        <f>AV170</f>
        <v/>
      </c>
      <c r="AW191">
        <f>AW170</f>
        <v/>
      </c>
      <c r="AX191">
        <f>AX170</f>
        <v/>
      </c>
      <c r="AY191">
        <f>AY170</f>
        <v/>
      </c>
      <c r="AZ191">
        <f>AZ170</f>
        <v/>
      </c>
      <c r="BA191">
        <f>BA170</f>
        <v/>
      </c>
      <c r="BB191">
        <f>BB170</f>
        <v/>
      </c>
      <c r="BC191">
        <f>BC170</f>
        <v/>
      </c>
      <c r="BD191">
        <f>BD170</f>
        <v/>
      </c>
      <c r="BE191">
        <f>BE170</f>
        <v/>
      </c>
      <c r="BF191">
        <f>BF170</f>
        <v/>
      </c>
      <c r="BG191">
        <f>BG170</f>
        <v/>
      </c>
      <c r="BH191">
        <f>BH170</f>
        <v/>
      </c>
      <c r="BI191">
        <f>BI170</f>
        <v/>
      </c>
      <c r="BJ191">
        <f>BJ170</f>
        <v/>
      </c>
      <c r="BK191">
        <f>BK170</f>
        <v/>
      </c>
      <c r="BL191">
        <f>BL170</f>
        <v/>
      </c>
      <c r="BM191">
        <f>BM170</f>
        <v/>
      </c>
      <c r="BN191">
        <f>BN170</f>
        <v/>
      </c>
      <c r="BO191">
        <f>BO170</f>
        <v/>
      </c>
      <c r="BP191">
        <f>BP170</f>
        <v/>
      </c>
      <c r="BQ191">
        <f>BQ170</f>
        <v/>
      </c>
      <c r="BR191">
        <f>BR170</f>
        <v/>
      </c>
      <c r="BS191">
        <f>BS170</f>
        <v/>
      </c>
      <c r="BT191">
        <f>BT170</f>
        <v/>
      </c>
      <c r="BU191">
        <f>BU170</f>
        <v/>
      </c>
      <c r="BV191">
        <f>BV170</f>
        <v/>
      </c>
      <c r="BW191">
        <f>BW170</f>
        <v/>
      </c>
      <c r="BX191">
        <f>BX170</f>
        <v/>
      </c>
      <c r="BY191">
        <f>BY170</f>
        <v/>
      </c>
      <c r="BZ191">
        <f>BZ170</f>
        <v/>
      </c>
      <c r="CA191">
        <f>CA170</f>
        <v/>
      </c>
      <c r="CB191">
        <f>CB170</f>
        <v/>
      </c>
      <c r="CC191">
        <f>CC170</f>
        <v/>
      </c>
      <c r="CD191">
        <f>CD170</f>
        <v/>
      </c>
      <c r="CE191">
        <f>CE170</f>
        <v/>
      </c>
      <c r="CG191" s="6" t="n">
        <v>2017</v>
      </c>
      <c r="CH191" s="6" t="inlineStr">
        <is>
          <t>Tra_EV_Batt-NMC111_virgin_pack</t>
        </is>
      </c>
      <c r="CI191" s="6" t="n">
        <v>0.163</v>
      </c>
      <c r="CJ191" s="6" t="n">
        <v>0.22</v>
      </c>
      <c r="CK191" s="6" t="inlineStr">
        <is>
          <t>Transport_EV_global</t>
        </is>
      </c>
      <c r="CL191" s="6" t="inlineStr">
        <is>
          <t>Transport_EV_China</t>
        </is>
      </c>
      <c r="CM191" s="6" t="inlineStr">
        <is>
          <t>China transport EV curve is shifted earlier than the global curve to reflect earlier China EV/e-bus deployment in the 2010s.</t>
        </is>
      </c>
    </row>
    <row r="192" ht="14.5" customHeight="1" s="213">
      <c r="D192" t="n">
        <v>2023</v>
      </c>
      <c r="E192" t="inlineStr">
        <is>
          <t>MINBatMaterials_LI</t>
        </is>
      </c>
      <c r="F192" s="208">
        <f>AW192*$AS192</f>
        <v/>
      </c>
      <c r="G192" s="208">
        <f>AX192*$AS192</f>
        <v/>
      </c>
      <c r="H192" s="208">
        <f>AY192*$AS192</f>
        <v/>
      </c>
      <c r="I192" s="208">
        <f>AZ192*$AS192</f>
        <v/>
      </c>
      <c r="J192" s="208">
        <f>BA192*$AS192</f>
        <v/>
      </c>
      <c r="K192" s="208">
        <f>BB192*$AS192</f>
        <v/>
      </c>
      <c r="L192" s="208">
        <f>BC192*$AS192</f>
        <v/>
      </c>
      <c r="M192" s="208">
        <f>BD192*$CI192</f>
        <v/>
      </c>
      <c r="N192" s="208">
        <f>BE192*$AS192</f>
        <v/>
      </c>
      <c r="O192" s="208">
        <f>BF192*$AS192</f>
        <v/>
      </c>
      <c r="P192" s="208">
        <f>BG192*$AS192</f>
        <v/>
      </c>
      <c r="Q192" s="208">
        <f>BH192*$AS192</f>
        <v/>
      </c>
      <c r="R192" s="208">
        <f>BI192*$AS192</f>
        <v/>
      </c>
      <c r="S192" s="208">
        <f>BJ192*$AS192</f>
        <v/>
      </c>
      <c r="T192" s="208">
        <f>BK192*$AS192</f>
        <v/>
      </c>
      <c r="U192" s="208">
        <f>BL192*$AS192</f>
        <v/>
      </c>
      <c r="V192" s="208">
        <f>BM192*$AS192</f>
        <v/>
      </c>
      <c r="W192" s="208">
        <f>BN192*$AS192</f>
        <v/>
      </c>
      <c r="X192" s="208">
        <f>BO192*$AS192</f>
        <v/>
      </c>
      <c r="Y192" s="208">
        <f>BP192*$AS192</f>
        <v/>
      </c>
      <c r="Z192" s="208">
        <f>BQ192*$AS192</f>
        <v/>
      </c>
      <c r="AA192" s="208">
        <f>BR192*$AS192</f>
        <v/>
      </c>
      <c r="AB192" s="208">
        <f>BS192*$AS192</f>
        <v/>
      </c>
      <c r="AC192" s="208">
        <f>BT192*$AS192</f>
        <v/>
      </c>
      <c r="AD192" s="208">
        <f>BU192*$AS192</f>
        <v/>
      </c>
      <c r="AE192" s="208">
        <f>BV192*$AS192</f>
        <v/>
      </c>
      <c r="AF192" s="208">
        <f>BW192*$AS192</f>
        <v/>
      </c>
      <c r="AG192" s="208">
        <f>BX192*$AS192</f>
        <v/>
      </c>
      <c r="AH192" s="208">
        <f>BY192*$AS192</f>
        <v/>
      </c>
      <c r="AI192" s="208">
        <f>BZ192*$AS192</f>
        <v/>
      </c>
      <c r="AJ192" s="208">
        <f>CA192*$AS192</f>
        <v/>
      </c>
      <c r="AK192" s="208">
        <f>CB192*$AS192</f>
        <v/>
      </c>
      <c r="AL192" s="208">
        <f>CC192*$AS192</f>
        <v/>
      </c>
      <c r="AM192" s="208">
        <f>CD192*$AS192</f>
        <v/>
      </c>
      <c r="AN192" s="208">
        <f>CE192*$AS192</f>
        <v/>
      </c>
      <c r="AQ192" s="6" t="n">
        <v>2018</v>
      </c>
      <c r="AR192" s="6" t="inlineStr">
        <is>
          <t>MINBatMaterials_LI</t>
        </is>
      </c>
      <c r="AS192" s="6" t="n">
        <v>0.135</v>
      </c>
      <c r="AT192" s="6" t="inlineStr">
        <is>
          <t>Mining_facility_representative</t>
        </is>
      </c>
      <c r="AU192" s="6" t="inlineStr">
        <is>
          <t>Representative mining-capacity vintage curve; COB_direct treated as aggregate cobalt-production route including by-product routes.</t>
        </is>
      </c>
      <c r="AV192">
        <f>AV171</f>
        <v/>
      </c>
      <c r="AW192">
        <f>AW171</f>
        <v/>
      </c>
      <c r="AX192">
        <f>AX171</f>
        <v/>
      </c>
      <c r="AY192">
        <f>AY171</f>
        <v/>
      </c>
      <c r="AZ192">
        <f>AZ171</f>
        <v/>
      </c>
      <c r="BA192">
        <f>BA171</f>
        <v/>
      </c>
      <c r="BB192">
        <f>BB171</f>
        <v/>
      </c>
      <c r="BC192">
        <f>BC171</f>
        <v/>
      </c>
      <c r="BD192">
        <f>BD171</f>
        <v/>
      </c>
      <c r="BE192">
        <f>BE171</f>
        <v/>
      </c>
      <c r="BF192">
        <f>BF171</f>
        <v/>
      </c>
      <c r="BG192">
        <f>BG171</f>
        <v/>
      </c>
      <c r="BH192">
        <f>BH171</f>
        <v/>
      </c>
      <c r="BI192">
        <f>BI171</f>
        <v/>
      </c>
      <c r="BJ192">
        <f>BJ171</f>
        <v/>
      </c>
      <c r="BK192">
        <f>BK171</f>
        <v/>
      </c>
      <c r="BL192">
        <f>BL171</f>
        <v/>
      </c>
      <c r="BM192">
        <f>BM171</f>
        <v/>
      </c>
      <c r="BN192">
        <f>BN171</f>
        <v/>
      </c>
      <c r="BO192">
        <f>BO171</f>
        <v/>
      </c>
      <c r="BP192">
        <f>BP171</f>
        <v/>
      </c>
      <c r="BQ192">
        <f>BQ171</f>
        <v/>
      </c>
      <c r="BR192">
        <f>BR171</f>
        <v/>
      </c>
      <c r="BS192">
        <f>BS171</f>
        <v/>
      </c>
      <c r="BT192">
        <f>BT171</f>
        <v/>
      </c>
      <c r="BU192">
        <f>BU171</f>
        <v/>
      </c>
      <c r="BV192">
        <f>BV171</f>
        <v/>
      </c>
      <c r="BW192">
        <f>BW171</f>
        <v/>
      </c>
      <c r="BX192">
        <f>BX171</f>
        <v/>
      </c>
      <c r="BY192">
        <f>BY171</f>
        <v/>
      </c>
      <c r="BZ192">
        <f>BZ171</f>
        <v/>
      </c>
      <c r="CA192">
        <f>CA171</f>
        <v/>
      </c>
      <c r="CB192">
        <f>CB171</f>
        <v/>
      </c>
      <c r="CC192">
        <f>CC171</f>
        <v/>
      </c>
      <c r="CD192">
        <f>CD171</f>
        <v/>
      </c>
      <c r="CE192">
        <f>CE171</f>
        <v/>
      </c>
      <c r="CG192" s="6" t="n">
        <v>2018</v>
      </c>
      <c r="CH192" s="6" t="inlineStr">
        <is>
          <t>MINBatMaterials_LI</t>
        </is>
      </c>
      <c r="CI192" s="6" t="n">
        <v>0.135</v>
      </c>
      <c r="CJ192" s="6" t="n">
        <v>0.135</v>
      </c>
      <c r="CK192" s="6" t="inlineStr">
        <is>
          <t>Mining_facility_representative</t>
        </is>
      </c>
      <c r="CL192" s="6" t="inlineStr">
        <is>
          <t>Mining_facility_representative</t>
        </is>
      </c>
      <c r="CM192" s="6" t="inlineStr">
        <is>
          <t>Mining curve kept the same for China; COB_direct treated as aggregate cobalt-production route including by-product routes.</t>
        </is>
      </c>
    </row>
    <row r="193" ht="14.5" customHeight="1" s="213">
      <c r="D193">
        <f>D192</f>
        <v/>
      </c>
      <c r="E193" t="inlineStr">
        <is>
          <t>MINBatMaterials_NI</t>
        </is>
      </c>
      <c r="F193" s="208">
        <f>AW193*$AS193</f>
        <v/>
      </c>
      <c r="G193" s="208">
        <f>AX193*$AS193</f>
        <v/>
      </c>
      <c r="H193" s="208">
        <f>AY193*$AS193</f>
        <v/>
      </c>
      <c r="I193" s="208">
        <f>AZ193*$AS193</f>
        <v/>
      </c>
      <c r="J193" s="208">
        <f>BA193*$AS193</f>
        <v/>
      </c>
      <c r="K193" s="208">
        <f>BB193*$AS193</f>
        <v/>
      </c>
      <c r="L193" s="208">
        <f>BC193*$AS193</f>
        <v/>
      </c>
      <c r="M193" s="208">
        <f>BD193*$CI193</f>
        <v/>
      </c>
      <c r="N193" s="208">
        <f>BE193*$AS193</f>
        <v/>
      </c>
      <c r="O193" s="208">
        <f>BF193*$AS193</f>
        <v/>
      </c>
      <c r="P193" s="208">
        <f>BG193*$AS193</f>
        <v/>
      </c>
      <c r="Q193" s="208">
        <f>BH193*$AS193</f>
        <v/>
      </c>
      <c r="R193" s="208">
        <f>BI193*$AS193</f>
        <v/>
      </c>
      <c r="S193" s="208">
        <f>BJ193*$AS193</f>
        <v/>
      </c>
      <c r="T193" s="208">
        <f>BK193*$AS193</f>
        <v/>
      </c>
      <c r="U193" s="208">
        <f>BL193*$AS193</f>
        <v/>
      </c>
      <c r="V193" s="208">
        <f>BM193*$AS193</f>
        <v/>
      </c>
      <c r="W193" s="208">
        <f>BN193*$AS193</f>
        <v/>
      </c>
      <c r="X193" s="208">
        <f>BO193*$AS193</f>
        <v/>
      </c>
      <c r="Y193" s="208">
        <f>BP193*$AS193</f>
        <v/>
      </c>
      <c r="Z193" s="208">
        <f>BQ193*$AS193</f>
        <v/>
      </c>
      <c r="AA193" s="208">
        <f>BR193*$AS193</f>
        <v/>
      </c>
      <c r="AB193" s="208">
        <f>BS193*$AS193</f>
        <v/>
      </c>
      <c r="AC193" s="208">
        <f>BT193*$AS193</f>
        <v/>
      </c>
      <c r="AD193" s="208">
        <f>BU193*$AS193</f>
        <v/>
      </c>
      <c r="AE193" s="208">
        <f>BV193*$AS193</f>
        <v/>
      </c>
      <c r="AF193" s="208">
        <f>BW193*$AS193</f>
        <v/>
      </c>
      <c r="AG193" s="208">
        <f>BX193*$AS193</f>
        <v/>
      </c>
      <c r="AH193" s="208">
        <f>BY193*$AS193</f>
        <v/>
      </c>
      <c r="AI193" s="208">
        <f>BZ193*$AS193</f>
        <v/>
      </c>
      <c r="AJ193" s="208">
        <f>CA193*$AS193</f>
        <v/>
      </c>
      <c r="AK193" s="208">
        <f>CB193*$AS193</f>
        <v/>
      </c>
      <c r="AL193" s="208">
        <f>CC193*$AS193</f>
        <v/>
      </c>
      <c r="AM193" s="208">
        <f>CD193*$AS193</f>
        <v/>
      </c>
      <c r="AN193" s="208">
        <f>CE193*$AS193</f>
        <v/>
      </c>
      <c r="AQ193" s="6" t="n">
        <v>2018</v>
      </c>
      <c r="AR193" s="6" t="inlineStr">
        <is>
          <t>MINBatMaterials_NI</t>
        </is>
      </c>
      <c r="AS193" s="6" t="n">
        <v>0.135</v>
      </c>
      <c r="AT193" s="6" t="inlineStr">
        <is>
          <t>Mining_facility_representative</t>
        </is>
      </c>
      <c r="AU193" s="6" t="inlineStr">
        <is>
          <t>Representative mining-capacity vintage curve; COB_direct treated as aggregate cobalt-production route including by-product routes.</t>
        </is>
      </c>
      <c r="AV193">
        <f>AV172</f>
        <v/>
      </c>
      <c r="AW193">
        <f>AW172</f>
        <v/>
      </c>
      <c r="AX193">
        <f>AX172</f>
        <v/>
      </c>
      <c r="AY193">
        <f>AY172</f>
        <v/>
      </c>
      <c r="AZ193">
        <f>AZ172</f>
        <v/>
      </c>
      <c r="BA193">
        <f>BA172</f>
        <v/>
      </c>
      <c r="BB193">
        <f>BB172</f>
        <v/>
      </c>
      <c r="BC193">
        <f>BC172</f>
        <v/>
      </c>
      <c r="BD193">
        <f>BD172</f>
        <v/>
      </c>
      <c r="BE193">
        <f>BE172</f>
        <v/>
      </c>
      <c r="BF193">
        <f>BF172</f>
        <v/>
      </c>
      <c r="BG193">
        <f>BG172</f>
        <v/>
      </c>
      <c r="BH193">
        <f>BH172</f>
        <v/>
      </c>
      <c r="BI193">
        <f>BI172</f>
        <v/>
      </c>
      <c r="BJ193">
        <f>BJ172</f>
        <v/>
      </c>
      <c r="BK193">
        <f>BK172</f>
        <v/>
      </c>
      <c r="BL193">
        <f>BL172</f>
        <v/>
      </c>
      <c r="BM193">
        <f>BM172</f>
        <v/>
      </c>
      <c r="BN193">
        <f>BN172</f>
        <v/>
      </c>
      <c r="BO193">
        <f>BO172</f>
        <v/>
      </c>
      <c r="BP193">
        <f>BP172</f>
        <v/>
      </c>
      <c r="BQ193">
        <f>BQ172</f>
        <v/>
      </c>
      <c r="BR193">
        <f>BR172</f>
        <v/>
      </c>
      <c r="BS193">
        <f>BS172</f>
        <v/>
      </c>
      <c r="BT193">
        <f>BT172</f>
        <v/>
      </c>
      <c r="BU193">
        <f>BU172</f>
        <v/>
      </c>
      <c r="BV193">
        <f>BV172</f>
        <v/>
      </c>
      <c r="BW193">
        <f>BW172</f>
        <v/>
      </c>
      <c r="BX193">
        <f>BX172</f>
        <v/>
      </c>
      <c r="BY193">
        <f>BY172</f>
        <v/>
      </c>
      <c r="BZ193">
        <f>BZ172</f>
        <v/>
      </c>
      <c r="CA193">
        <f>CA172</f>
        <v/>
      </c>
      <c r="CB193">
        <f>CB172</f>
        <v/>
      </c>
      <c r="CC193">
        <f>CC172</f>
        <v/>
      </c>
      <c r="CD193">
        <f>CD172</f>
        <v/>
      </c>
      <c r="CE193">
        <f>CE172</f>
        <v/>
      </c>
      <c r="CG193" s="6" t="n">
        <v>2018</v>
      </c>
      <c r="CH193" s="6" t="inlineStr">
        <is>
          <t>MINBatMaterials_NI</t>
        </is>
      </c>
      <c r="CI193" s="6" t="n">
        <v>0.135</v>
      </c>
      <c r="CJ193" s="6" t="n">
        <v>0.135</v>
      </c>
      <c r="CK193" s="6" t="inlineStr">
        <is>
          <t>Mining_facility_representative</t>
        </is>
      </c>
      <c r="CL193" s="6" t="inlineStr">
        <is>
          <t>Mining_facility_representative</t>
        </is>
      </c>
      <c r="CM193" s="6" t="inlineStr">
        <is>
          <t>Mining curve kept the same for China; COB_direct treated as aggregate cobalt-production route including by-product routes.</t>
        </is>
      </c>
    </row>
    <row r="194" ht="16" customHeight="1" s="213">
      <c r="D194">
        <f>D193</f>
        <v/>
      </c>
      <c r="E194" s="66" t="inlineStr">
        <is>
          <t>MINBatMaterials_COB_direct</t>
        </is>
      </c>
      <c r="F194" s="208">
        <f>AW194*$AS194</f>
        <v/>
      </c>
      <c r="G194" s="208">
        <f>AX194*$AS194</f>
        <v/>
      </c>
      <c r="H194" s="208">
        <f>AY194*$AS194</f>
        <v/>
      </c>
      <c r="I194" s="208">
        <f>AZ194*$AS194</f>
        <v/>
      </c>
      <c r="J194" s="208">
        <f>BA194*$AS194</f>
        <v/>
      </c>
      <c r="K194" s="208">
        <f>BB194*$AS194</f>
        <v/>
      </c>
      <c r="L194" s="208">
        <f>BC194*$AS194</f>
        <v/>
      </c>
      <c r="M194" s="208">
        <f>BD194*$CI194</f>
        <v/>
      </c>
      <c r="N194" s="208">
        <f>BE194*$AS194</f>
        <v/>
      </c>
      <c r="O194" s="208">
        <f>BF194*$AS194</f>
        <v/>
      </c>
      <c r="P194" s="208">
        <f>BG194*$AS194</f>
        <v/>
      </c>
      <c r="Q194" s="208">
        <f>BH194*$AS194</f>
        <v/>
      </c>
      <c r="R194" s="208">
        <f>BI194*$AS194</f>
        <v/>
      </c>
      <c r="S194" s="208">
        <f>BJ194*$AS194</f>
        <v/>
      </c>
      <c r="T194" s="208">
        <f>BK194*$AS194</f>
        <v/>
      </c>
      <c r="U194" s="208">
        <f>BL194*$AS194</f>
        <v/>
      </c>
      <c r="V194" s="208">
        <f>BM194*$AS194</f>
        <v/>
      </c>
      <c r="W194" s="208">
        <f>BN194*$AS194</f>
        <v/>
      </c>
      <c r="X194" s="208">
        <f>BO194*$AS194</f>
        <v/>
      </c>
      <c r="Y194" s="208">
        <f>BP194*$AS194</f>
        <v/>
      </c>
      <c r="Z194" s="208">
        <f>BQ194*$AS194</f>
        <v/>
      </c>
      <c r="AA194" s="208">
        <f>BR194*$AS194</f>
        <v/>
      </c>
      <c r="AB194" s="208">
        <f>BS194*$AS194</f>
        <v/>
      </c>
      <c r="AC194" s="208">
        <f>BT194*$AS194</f>
        <v/>
      </c>
      <c r="AD194" s="208">
        <f>BU194*$AS194</f>
        <v/>
      </c>
      <c r="AE194" s="208">
        <f>BV194*$AS194</f>
        <v/>
      </c>
      <c r="AF194" s="208">
        <f>BW194*$AS194</f>
        <v/>
      </c>
      <c r="AG194" s="208">
        <f>BX194*$AS194</f>
        <v/>
      </c>
      <c r="AH194" s="208">
        <f>BY194*$AS194</f>
        <v/>
      </c>
      <c r="AI194" s="208">
        <f>BZ194*$AS194</f>
        <v/>
      </c>
      <c r="AJ194" s="208">
        <f>CA194*$AS194</f>
        <v/>
      </c>
      <c r="AK194" s="208">
        <f>CB194*$AS194</f>
        <v/>
      </c>
      <c r="AL194" s="208">
        <f>CC194*$AS194</f>
        <v/>
      </c>
      <c r="AM194" s="208">
        <f>CD194*$AS194</f>
        <v/>
      </c>
      <c r="AN194" s="208">
        <f>CE194*$AS194</f>
        <v/>
      </c>
      <c r="AQ194" s="6" t="n">
        <v>2018</v>
      </c>
      <c r="AR194" s="6" t="inlineStr">
        <is>
          <t>MINBatMaterials_COB_direct</t>
        </is>
      </c>
      <c r="AS194" s="6" t="n">
        <v>0.135</v>
      </c>
      <c r="AT194" s="6" t="inlineStr">
        <is>
          <t>Mining_facility_representative</t>
        </is>
      </c>
      <c r="AU194" s="6" t="inlineStr">
        <is>
          <t>Representative mining-capacity vintage curve; COB_direct treated as aggregate cobalt-production route including by-product routes.</t>
        </is>
      </c>
      <c r="AV194">
        <f>AV173</f>
        <v/>
      </c>
      <c r="AW194">
        <f>AW173</f>
        <v/>
      </c>
      <c r="AX194">
        <f>AX173</f>
        <v/>
      </c>
      <c r="AY194">
        <f>AY173</f>
        <v/>
      </c>
      <c r="AZ194">
        <f>AZ173</f>
        <v/>
      </c>
      <c r="BA194">
        <f>BA173</f>
        <v/>
      </c>
      <c r="BB194">
        <f>BB173</f>
        <v/>
      </c>
      <c r="BC194">
        <f>BC173</f>
        <v/>
      </c>
      <c r="BD194">
        <f>BD173</f>
        <v/>
      </c>
      <c r="BE194">
        <f>BE173</f>
        <v/>
      </c>
      <c r="BF194">
        <f>BF173</f>
        <v/>
      </c>
      <c r="BG194">
        <f>BG173</f>
        <v/>
      </c>
      <c r="BH194">
        <f>BH173</f>
        <v/>
      </c>
      <c r="BI194">
        <f>BI173</f>
        <v/>
      </c>
      <c r="BJ194">
        <f>BJ173</f>
        <v/>
      </c>
      <c r="BK194">
        <f>BK173</f>
        <v/>
      </c>
      <c r="BL194">
        <f>BL173</f>
        <v/>
      </c>
      <c r="BM194">
        <f>BM173</f>
        <v/>
      </c>
      <c r="BN194">
        <f>BN173</f>
        <v/>
      </c>
      <c r="BO194">
        <f>BO173</f>
        <v/>
      </c>
      <c r="BP194">
        <f>BP173</f>
        <v/>
      </c>
      <c r="BQ194">
        <f>BQ173</f>
        <v/>
      </c>
      <c r="BR194">
        <f>BR173</f>
        <v/>
      </c>
      <c r="BS194">
        <f>BS173</f>
        <v/>
      </c>
      <c r="BT194">
        <f>BT173</f>
        <v/>
      </c>
      <c r="BU194">
        <f>BU173</f>
        <v/>
      </c>
      <c r="BV194">
        <f>BV173</f>
        <v/>
      </c>
      <c r="BW194">
        <f>BW173</f>
        <v/>
      </c>
      <c r="BX194">
        <f>BX173</f>
        <v/>
      </c>
      <c r="BY194">
        <f>BY173</f>
        <v/>
      </c>
      <c r="BZ194">
        <f>BZ173</f>
        <v/>
      </c>
      <c r="CA194">
        <f>CA173</f>
        <v/>
      </c>
      <c r="CB194">
        <f>CB173</f>
        <v/>
      </c>
      <c r="CC194">
        <f>CC173</f>
        <v/>
      </c>
      <c r="CD194">
        <f>CD173</f>
        <v/>
      </c>
      <c r="CE194">
        <f>CE173</f>
        <v/>
      </c>
      <c r="CG194" s="6" t="n">
        <v>2018</v>
      </c>
      <c r="CH194" s="6" t="inlineStr">
        <is>
          <t>MINBatMaterials_COB_direct</t>
        </is>
      </c>
      <c r="CI194" s="6" t="n">
        <v>0.135</v>
      </c>
      <c r="CJ194" s="6" t="n">
        <v>0.135</v>
      </c>
      <c r="CK194" s="6" t="inlineStr">
        <is>
          <t>Mining_facility_representative</t>
        </is>
      </c>
      <c r="CL194" s="6" t="inlineStr">
        <is>
          <t>Mining_facility_representative</t>
        </is>
      </c>
      <c r="CM194" s="6" t="inlineStr">
        <is>
          <t>Mining curve kept the same for China; COB_direct treated as aggregate cobalt-production route including by-product routes.</t>
        </is>
      </c>
    </row>
    <row r="195" ht="14.5" customHeight="1" s="213">
      <c r="D195">
        <f>D194</f>
        <v/>
      </c>
      <c r="E195" t="inlineStr">
        <is>
          <t>MINBatMaterials_MN</t>
        </is>
      </c>
      <c r="F195" s="208">
        <f>AW195*$AS195</f>
        <v/>
      </c>
      <c r="G195" s="208">
        <f>AX195*$AS195</f>
        <v/>
      </c>
      <c r="H195" s="208">
        <f>AY195*$AS195</f>
        <v/>
      </c>
      <c r="I195" s="208">
        <f>AZ195*$AS195</f>
        <v/>
      </c>
      <c r="J195" s="208">
        <f>BA195*$AS195</f>
        <v/>
      </c>
      <c r="K195" s="208">
        <f>BB195*$AS195</f>
        <v/>
      </c>
      <c r="L195" s="208">
        <f>BC195*$AS195</f>
        <v/>
      </c>
      <c r="M195" s="208">
        <f>BD195*$CI195</f>
        <v/>
      </c>
      <c r="N195" s="208">
        <f>BE195*$AS195</f>
        <v/>
      </c>
      <c r="O195" s="208">
        <f>BF195*$AS195</f>
        <v/>
      </c>
      <c r="P195" s="208">
        <f>BG195*$AS195</f>
        <v/>
      </c>
      <c r="Q195" s="208">
        <f>BH195*$AS195</f>
        <v/>
      </c>
      <c r="R195" s="208">
        <f>BI195*$AS195</f>
        <v/>
      </c>
      <c r="S195" s="208">
        <f>BJ195*$AS195</f>
        <v/>
      </c>
      <c r="T195" s="208">
        <f>BK195*$AS195</f>
        <v/>
      </c>
      <c r="U195" s="208">
        <f>BL195*$AS195</f>
        <v/>
      </c>
      <c r="V195" s="208">
        <f>BM195*$AS195</f>
        <v/>
      </c>
      <c r="W195" s="208">
        <f>BN195*$AS195</f>
        <v/>
      </c>
      <c r="X195" s="208">
        <f>BO195*$AS195</f>
        <v/>
      </c>
      <c r="Y195" s="208">
        <f>BP195*$AS195</f>
        <v/>
      </c>
      <c r="Z195" s="208">
        <f>BQ195*$AS195</f>
        <v/>
      </c>
      <c r="AA195" s="208">
        <f>BR195*$AS195</f>
        <v/>
      </c>
      <c r="AB195" s="208">
        <f>BS195*$AS195</f>
        <v/>
      </c>
      <c r="AC195" s="208">
        <f>BT195*$AS195</f>
        <v/>
      </c>
      <c r="AD195" s="208">
        <f>BU195*$AS195</f>
        <v/>
      </c>
      <c r="AE195" s="208">
        <f>BV195*$AS195</f>
        <v/>
      </c>
      <c r="AF195" s="208">
        <f>BW195*$AS195</f>
        <v/>
      </c>
      <c r="AG195" s="208">
        <f>BX195*$AS195</f>
        <v/>
      </c>
      <c r="AH195" s="208">
        <f>BY195*$AS195</f>
        <v/>
      </c>
      <c r="AI195" s="208">
        <f>BZ195*$AS195</f>
        <v/>
      </c>
      <c r="AJ195" s="208">
        <f>CA195*$AS195</f>
        <v/>
      </c>
      <c r="AK195" s="208">
        <f>CB195*$AS195</f>
        <v/>
      </c>
      <c r="AL195" s="208">
        <f>CC195*$AS195</f>
        <v/>
      </c>
      <c r="AM195" s="208">
        <f>CD195*$AS195</f>
        <v/>
      </c>
      <c r="AN195" s="208">
        <f>CE195*$AS195</f>
        <v/>
      </c>
      <c r="AQ195" s="6" t="n">
        <v>2018</v>
      </c>
      <c r="AR195" s="6" t="inlineStr">
        <is>
          <t>MINBatMaterials_MN</t>
        </is>
      </c>
      <c r="AS195" s="6" t="n">
        <v>0.135</v>
      </c>
      <c r="AT195" s="6" t="inlineStr">
        <is>
          <t>Mining_facility_representative</t>
        </is>
      </c>
      <c r="AU195" s="6" t="inlineStr">
        <is>
          <t>Representative mining-capacity vintage curve; COB_direct treated as aggregate cobalt-production route including by-product routes.</t>
        </is>
      </c>
      <c r="AV195">
        <f>AV174</f>
        <v/>
      </c>
      <c r="AW195">
        <f>AW174</f>
        <v/>
      </c>
      <c r="AX195">
        <f>AX174</f>
        <v/>
      </c>
      <c r="AY195">
        <f>AY174</f>
        <v/>
      </c>
      <c r="AZ195">
        <f>AZ174</f>
        <v/>
      </c>
      <c r="BA195">
        <f>BA174</f>
        <v/>
      </c>
      <c r="BB195">
        <f>BB174</f>
        <v/>
      </c>
      <c r="BC195">
        <f>BC174</f>
        <v/>
      </c>
      <c r="BD195">
        <f>BD174</f>
        <v/>
      </c>
      <c r="BE195">
        <f>BE174</f>
        <v/>
      </c>
      <c r="BF195">
        <f>BF174</f>
        <v/>
      </c>
      <c r="BG195">
        <f>BG174</f>
        <v/>
      </c>
      <c r="BH195">
        <f>BH174</f>
        <v/>
      </c>
      <c r="BI195">
        <f>BI174</f>
        <v/>
      </c>
      <c r="BJ195">
        <f>BJ174</f>
        <v/>
      </c>
      <c r="BK195">
        <f>BK174</f>
        <v/>
      </c>
      <c r="BL195">
        <f>BL174</f>
        <v/>
      </c>
      <c r="BM195">
        <f>BM174</f>
        <v/>
      </c>
      <c r="BN195">
        <f>BN174</f>
        <v/>
      </c>
      <c r="BO195">
        <f>BO174</f>
        <v/>
      </c>
      <c r="BP195">
        <f>BP174</f>
        <v/>
      </c>
      <c r="BQ195">
        <f>BQ174</f>
        <v/>
      </c>
      <c r="BR195">
        <f>BR174</f>
        <v/>
      </c>
      <c r="BS195">
        <f>BS174</f>
        <v/>
      </c>
      <c r="BT195">
        <f>BT174</f>
        <v/>
      </c>
      <c r="BU195">
        <f>BU174</f>
        <v/>
      </c>
      <c r="BV195">
        <f>BV174</f>
        <v/>
      </c>
      <c r="BW195">
        <f>BW174</f>
        <v/>
      </c>
      <c r="BX195">
        <f>BX174</f>
        <v/>
      </c>
      <c r="BY195">
        <f>BY174</f>
        <v/>
      </c>
      <c r="BZ195">
        <f>BZ174</f>
        <v/>
      </c>
      <c r="CA195">
        <f>CA174</f>
        <v/>
      </c>
      <c r="CB195">
        <f>CB174</f>
        <v/>
      </c>
      <c r="CC195">
        <f>CC174</f>
        <v/>
      </c>
      <c r="CD195">
        <f>CD174</f>
        <v/>
      </c>
      <c r="CE195">
        <f>CE174</f>
        <v/>
      </c>
      <c r="CG195" s="6" t="n">
        <v>2018</v>
      </c>
      <c r="CH195" s="6" t="inlineStr">
        <is>
          <t>MINBatMaterials_MN</t>
        </is>
      </c>
      <c r="CI195" s="6" t="n">
        <v>0.135</v>
      </c>
      <c r="CJ195" s="6" t="n">
        <v>0.135</v>
      </c>
      <c r="CK195" s="6" t="inlineStr">
        <is>
          <t>Mining_facility_representative</t>
        </is>
      </c>
      <c r="CL195" s="6" t="inlineStr">
        <is>
          <t>Mining_facility_representative</t>
        </is>
      </c>
      <c r="CM195" s="6" t="inlineStr">
        <is>
          <t>Mining curve kept the same for China; COB_direct treated as aggregate cobalt-production route including by-product routes.</t>
        </is>
      </c>
    </row>
    <row r="196" ht="14.5" customHeight="1" s="213">
      <c r="D196">
        <f>D195</f>
        <v/>
      </c>
      <c r="E196" t="inlineStr">
        <is>
          <t>MINBatMaterials_AL</t>
        </is>
      </c>
      <c r="F196" s="208">
        <f>AW196*$AS196</f>
        <v/>
      </c>
      <c r="G196" s="208">
        <f>AX196*$AS196</f>
        <v/>
      </c>
      <c r="H196" s="208">
        <f>AY196*$AS196</f>
        <v/>
      </c>
      <c r="I196" s="208">
        <f>AZ196*$AS196</f>
        <v/>
      </c>
      <c r="J196" s="208">
        <f>BA196*$AS196</f>
        <v/>
      </c>
      <c r="K196" s="208">
        <f>BB196*$AS196</f>
        <v/>
      </c>
      <c r="L196" s="208">
        <f>BC196*$AS196</f>
        <v/>
      </c>
      <c r="M196" s="208">
        <f>BD196*$CI196</f>
        <v/>
      </c>
      <c r="N196" s="208">
        <f>BE196*$AS196</f>
        <v/>
      </c>
      <c r="O196" s="208">
        <f>BF196*$AS196</f>
        <v/>
      </c>
      <c r="P196" s="208">
        <f>BG196*$AS196</f>
        <v/>
      </c>
      <c r="Q196" s="208">
        <f>BH196*$AS196</f>
        <v/>
      </c>
      <c r="R196" s="208">
        <f>BI196*$AS196</f>
        <v/>
      </c>
      <c r="S196" s="208">
        <f>BJ196*$AS196</f>
        <v/>
      </c>
      <c r="T196" s="208">
        <f>BK196*$AS196</f>
        <v/>
      </c>
      <c r="U196" s="208">
        <f>BL196*$AS196</f>
        <v/>
      </c>
      <c r="V196" s="208">
        <f>BM196*$AS196</f>
        <v/>
      </c>
      <c r="W196" s="208">
        <f>BN196*$AS196</f>
        <v/>
      </c>
      <c r="X196" s="208">
        <f>BO196*$AS196</f>
        <v/>
      </c>
      <c r="Y196" s="208">
        <f>BP196*$AS196</f>
        <v/>
      </c>
      <c r="Z196" s="208">
        <f>BQ196*$AS196</f>
        <v/>
      </c>
      <c r="AA196" s="208">
        <f>BR196*$AS196</f>
        <v/>
      </c>
      <c r="AB196" s="208">
        <f>BS196*$AS196</f>
        <v/>
      </c>
      <c r="AC196" s="208">
        <f>BT196*$AS196</f>
        <v/>
      </c>
      <c r="AD196" s="208">
        <f>BU196*$AS196</f>
        <v/>
      </c>
      <c r="AE196" s="208">
        <f>BV196*$AS196</f>
        <v/>
      </c>
      <c r="AF196" s="208">
        <f>BW196*$AS196</f>
        <v/>
      </c>
      <c r="AG196" s="208">
        <f>BX196*$AS196</f>
        <v/>
      </c>
      <c r="AH196" s="208">
        <f>BY196*$AS196</f>
        <v/>
      </c>
      <c r="AI196" s="208">
        <f>BZ196*$AS196</f>
        <v/>
      </c>
      <c r="AJ196" s="208">
        <f>CA196*$AS196</f>
        <v/>
      </c>
      <c r="AK196" s="208">
        <f>CB196*$AS196</f>
        <v/>
      </c>
      <c r="AL196" s="208">
        <f>CC196*$AS196</f>
        <v/>
      </c>
      <c r="AM196" s="208">
        <f>CD196*$AS196</f>
        <v/>
      </c>
      <c r="AN196" s="208">
        <f>CE196*$AS196</f>
        <v/>
      </c>
      <c r="AQ196" s="6" t="n">
        <v>2018</v>
      </c>
      <c r="AR196" s="6" t="inlineStr">
        <is>
          <t>MINBatMaterials_AL</t>
        </is>
      </c>
      <c r="AS196" s="6" t="n">
        <v>0.135</v>
      </c>
      <c r="AT196" s="6" t="inlineStr">
        <is>
          <t>Mining_facility_representative</t>
        </is>
      </c>
      <c r="AU196" s="6" t="inlineStr">
        <is>
          <t>Representative mining-capacity vintage curve; COB_direct treated as aggregate cobalt-production route including by-product routes.</t>
        </is>
      </c>
      <c r="AV196">
        <f>AV175</f>
        <v/>
      </c>
      <c r="AW196">
        <f>AW175</f>
        <v/>
      </c>
      <c r="AX196">
        <f>AX175</f>
        <v/>
      </c>
      <c r="AY196">
        <f>AY175</f>
        <v/>
      </c>
      <c r="AZ196">
        <f>AZ175</f>
        <v/>
      </c>
      <c r="BA196">
        <f>BA175</f>
        <v/>
      </c>
      <c r="BB196">
        <f>BB175</f>
        <v/>
      </c>
      <c r="BC196">
        <f>BC175</f>
        <v/>
      </c>
      <c r="BD196">
        <f>BD175</f>
        <v/>
      </c>
      <c r="BE196">
        <f>BE175</f>
        <v/>
      </c>
      <c r="BF196">
        <f>BF175</f>
        <v/>
      </c>
      <c r="BG196">
        <f>BG175</f>
        <v/>
      </c>
      <c r="BH196">
        <f>BH175</f>
        <v/>
      </c>
      <c r="BI196">
        <f>BI175</f>
        <v/>
      </c>
      <c r="BJ196">
        <f>BJ175</f>
        <v/>
      </c>
      <c r="BK196">
        <f>BK175</f>
        <v/>
      </c>
      <c r="BL196">
        <f>BL175</f>
        <v/>
      </c>
      <c r="BM196">
        <f>BM175</f>
        <v/>
      </c>
      <c r="BN196">
        <f>BN175</f>
        <v/>
      </c>
      <c r="BO196">
        <f>BO175</f>
        <v/>
      </c>
      <c r="BP196">
        <f>BP175</f>
        <v/>
      </c>
      <c r="BQ196">
        <f>BQ175</f>
        <v/>
      </c>
      <c r="BR196">
        <f>BR175</f>
        <v/>
      </c>
      <c r="BS196">
        <f>BS175</f>
        <v/>
      </c>
      <c r="BT196">
        <f>BT175</f>
        <v/>
      </c>
      <c r="BU196">
        <f>BU175</f>
        <v/>
      </c>
      <c r="BV196">
        <f>BV175</f>
        <v/>
      </c>
      <c r="BW196">
        <f>BW175</f>
        <v/>
      </c>
      <c r="BX196">
        <f>BX175</f>
        <v/>
      </c>
      <c r="BY196">
        <f>BY175</f>
        <v/>
      </c>
      <c r="BZ196">
        <f>BZ175</f>
        <v/>
      </c>
      <c r="CA196">
        <f>CA175</f>
        <v/>
      </c>
      <c r="CB196">
        <f>CB175</f>
        <v/>
      </c>
      <c r="CC196">
        <f>CC175</f>
        <v/>
      </c>
      <c r="CD196">
        <f>CD175</f>
        <v/>
      </c>
      <c r="CE196">
        <f>CE175</f>
        <v/>
      </c>
      <c r="CG196" s="6" t="n">
        <v>2018</v>
      </c>
      <c r="CH196" s="6" t="inlineStr">
        <is>
          <t>MINBatMaterials_AL</t>
        </is>
      </c>
      <c r="CI196" s="6" t="n">
        <v>0.135</v>
      </c>
      <c r="CJ196" s="6" t="n">
        <v>0.135</v>
      </c>
      <c r="CK196" s="6" t="inlineStr">
        <is>
          <t>Mining_facility_representative</t>
        </is>
      </c>
      <c r="CL196" s="6" t="inlineStr">
        <is>
          <t>Mining_facility_representative</t>
        </is>
      </c>
      <c r="CM196" s="6" t="inlineStr">
        <is>
          <t>Mining curve kept the same for China; COB_direct treated as aggregate cobalt-production route including by-product routes.</t>
        </is>
      </c>
    </row>
    <row r="197" ht="14.5" customHeight="1" s="213">
      <c r="D197">
        <f>D196</f>
        <v/>
      </c>
      <c r="E197" t="inlineStr">
        <is>
          <t>MINBatMaterials_COP</t>
        </is>
      </c>
      <c r="F197" s="208">
        <f>AW197*$AS197</f>
        <v/>
      </c>
      <c r="G197" s="208">
        <f>AX197*$AS197</f>
        <v/>
      </c>
      <c r="H197" s="208">
        <f>AY197*$AS197</f>
        <v/>
      </c>
      <c r="I197" s="208">
        <f>AZ197*$AS197</f>
        <v/>
      </c>
      <c r="J197" s="208">
        <f>BA197*$AS197</f>
        <v/>
      </c>
      <c r="K197" s="208">
        <f>BB197*$AS197</f>
        <v/>
      </c>
      <c r="L197" s="208">
        <f>BC197*$AS197</f>
        <v/>
      </c>
      <c r="M197" s="208">
        <f>BD197*$CI197</f>
        <v/>
      </c>
      <c r="N197" s="208">
        <f>BE197*$AS197</f>
        <v/>
      </c>
      <c r="O197" s="208">
        <f>BF197*$AS197</f>
        <v/>
      </c>
      <c r="P197" s="208">
        <f>BG197*$AS197</f>
        <v/>
      </c>
      <c r="Q197" s="208">
        <f>BH197*$AS197</f>
        <v/>
      </c>
      <c r="R197" s="208">
        <f>BI197*$AS197</f>
        <v/>
      </c>
      <c r="S197" s="208">
        <f>BJ197*$AS197</f>
        <v/>
      </c>
      <c r="T197" s="208">
        <f>BK197*$AS197</f>
        <v/>
      </c>
      <c r="U197" s="208">
        <f>BL197*$AS197</f>
        <v/>
      </c>
      <c r="V197" s="208">
        <f>BM197*$AS197</f>
        <v/>
      </c>
      <c r="W197" s="208">
        <f>BN197*$AS197</f>
        <v/>
      </c>
      <c r="X197" s="208">
        <f>BO197*$AS197</f>
        <v/>
      </c>
      <c r="Y197" s="208">
        <f>BP197*$AS197</f>
        <v/>
      </c>
      <c r="Z197" s="208">
        <f>BQ197*$AS197</f>
        <v/>
      </c>
      <c r="AA197" s="208">
        <f>BR197*$AS197</f>
        <v/>
      </c>
      <c r="AB197" s="208">
        <f>BS197*$AS197</f>
        <v/>
      </c>
      <c r="AC197" s="208">
        <f>BT197*$AS197</f>
        <v/>
      </c>
      <c r="AD197" s="208">
        <f>BU197*$AS197</f>
        <v/>
      </c>
      <c r="AE197" s="208">
        <f>BV197*$AS197</f>
        <v/>
      </c>
      <c r="AF197" s="208">
        <f>BW197*$AS197</f>
        <v/>
      </c>
      <c r="AG197" s="208">
        <f>BX197*$AS197</f>
        <v/>
      </c>
      <c r="AH197" s="208">
        <f>BY197*$AS197</f>
        <v/>
      </c>
      <c r="AI197" s="208">
        <f>BZ197*$AS197</f>
        <v/>
      </c>
      <c r="AJ197" s="208">
        <f>CA197*$AS197</f>
        <v/>
      </c>
      <c r="AK197" s="208">
        <f>CB197*$AS197</f>
        <v/>
      </c>
      <c r="AL197" s="208">
        <f>CC197*$AS197</f>
        <v/>
      </c>
      <c r="AM197" s="208">
        <f>CD197*$AS197</f>
        <v/>
      </c>
      <c r="AN197" s="208">
        <f>CE197*$AS197</f>
        <v/>
      </c>
      <c r="AQ197" s="6" t="n">
        <v>2018</v>
      </c>
      <c r="AR197" s="6" t="inlineStr">
        <is>
          <t>MINBatMaterials_COP</t>
        </is>
      </c>
      <c r="AS197" s="6" t="n">
        <v>0.135</v>
      </c>
      <c r="AT197" s="6" t="inlineStr">
        <is>
          <t>Mining_facility_representative</t>
        </is>
      </c>
      <c r="AU197" s="6" t="inlineStr">
        <is>
          <t>Representative mining-capacity vintage curve; COB_direct treated as aggregate cobalt-production route including by-product routes.</t>
        </is>
      </c>
      <c r="AV197">
        <f>AV176</f>
        <v/>
      </c>
      <c r="AW197">
        <f>AW176</f>
        <v/>
      </c>
      <c r="AX197">
        <f>AX176</f>
        <v/>
      </c>
      <c r="AY197">
        <f>AY176</f>
        <v/>
      </c>
      <c r="AZ197">
        <f>AZ176</f>
        <v/>
      </c>
      <c r="BA197">
        <f>BA176</f>
        <v/>
      </c>
      <c r="BB197">
        <f>BB176</f>
        <v/>
      </c>
      <c r="BC197">
        <f>BC176</f>
        <v/>
      </c>
      <c r="BD197">
        <f>BD176</f>
        <v/>
      </c>
      <c r="BE197">
        <f>BE176</f>
        <v/>
      </c>
      <c r="BF197">
        <f>BF176</f>
        <v/>
      </c>
      <c r="BG197">
        <f>BG176</f>
        <v/>
      </c>
      <c r="BH197">
        <f>BH176</f>
        <v/>
      </c>
      <c r="BI197">
        <f>BI176</f>
        <v/>
      </c>
      <c r="BJ197">
        <f>BJ176</f>
        <v/>
      </c>
      <c r="BK197">
        <f>BK176</f>
        <v/>
      </c>
      <c r="BL197">
        <f>BL176</f>
        <v/>
      </c>
      <c r="BM197">
        <f>BM176</f>
        <v/>
      </c>
      <c r="BN197">
        <f>BN176</f>
        <v/>
      </c>
      <c r="BO197">
        <f>BO176</f>
        <v/>
      </c>
      <c r="BP197">
        <f>BP176</f>
        <v/>
      </c>
      <c r="BQ197">
        <f>BQ176</f>
        <v/>
      </c>
      <c r="BR197">
        <f>BR176</f>
        <v/>
      </c>
      <c r="BS197">
        <f>BS176</f>
        <v/>
      </c>
      <c r="BT197">
        <f>BT176</f>
        <v/>
      </c>
      <c r="BU197">
        <f>BU176</f>
        <v/>
      </c>
      <c r="BV197">
        <f>BV176</f>
        <v/>
      </c>
      <c r="BW197">
        <f>BW176</f>
        <v/>
      </c>
      <c r="BX197">
        <f>BX176</f>
        <v/>
      </c>
      <c r="BY197">
        <f>BY176</f>
        <v/>
      </c>
      <c r="BZ197">
        <f>BZ176</f>
        <v/>
      </c>
      <c r="CA197">
        <f>CA176</f>
        <v/>
      </c>
      <c r="CB197">
        <f>CB176</f>
        <v/>
      </c>
      <c r="CC197">
        <f>CC176</f>
        <v/>
      </c>
      <c r="CD197">
        <f>CD176</f>
        <v/>
      </c>
      <c r="CE197">
        <f>CE176</f>
        <v/>
      </c>
      <c r="CG197" s="6" t="n">
        <v>2018</v>
      </c>
      <c r="CH197" s="6" t="inlineStr">
        <is>
          <t>MINBatMaterials_COP</t>
        </is>
      </c>
      <c r="CI197" s="6" t="n">
        <v>0.135</v>
      </c>
      <c r="CJ197" s="6" t="n">
        <v>0.135</v>
      </c>
      <c r="CK197" s="6" t="inlineStr">
        <is>
          <t>Mining_facility_representative</t>
        </is>
      </c>
      <c r="CL197" s="6" t="inlineStr">
        <is>
          <t>Mining_facility_representative</t>
        </is>
      </c>
      <c r="CM197" s="6" t="inlineStr">
        <is>
          <t>Mining curve kept the same for China; COB_direct treated as aggregate cobalt-production route including by-product routes.</t>
        </is>
      </c>
    </row>
    <row r="198" ht="14.5" customHeight="1" s="213">
      <c r="D198">
        <f>D197</f>
        <v/>
      </c>
      <c r="E198" t="inlineStr">
        <is>
          <t>MINBatMaterials_GR</t>
        </is>
      </c>
      <c r="F198" s="208">
        <f>AW198*$AS198</f>
        <v/>
      </c>
      <c r="G198" s="208">
        <f>AX198*$AS198</f>
        <v/>
      </c>
      <c r="H198" s="208">
        <f>AY198*$AS198</f>
        <v/>
      </c>
      <c r="I198" s="208">
        <f>AZ198*$AS198</f>
        <v/>
      </c>
      <c r="J198" s="208">
        <f>BA198*$AS198</f>
        <v/>
      </c>
      <c r="K198" s="208">
        <f>BB198*$AS198</f>
        <v/>
      </c>
      <c r="L198" s="208">
        <f>BC198*$AS198</f>
        <v/>
      </c>
      <c r="M198" s="208">
        <f>BD198*$CI198</f>
        <v/>
      </c>
      <c r="N198" s="208">
        <f>BE198*$AS198</f>
        <v/>
      </c>
      <c r="O198" s="208">
        <f>BF198*$AS198</f>
        <v/>
      </c>
      <c r="P198" s="208">
        <f>BG198*$AS198</f>
        <v/>
      </c>
      <c r="Q198" s="208">
        <f>BH198*$AS198</f>
        <v/>
      </c>
      <c r="R198" s="208">
        <f>BI198*$AS198</f>
        <v/>
      </c>
      <c r="S198" s="208">
        <f>BJ198*$AS198</f>
        <v/>
      </c>
      <c r="T198" s="208">
        <f>BK198*$AS198</f>
        <v/>
      </c>
      <c r="U198" s="208">
        <f>BL198*$AS198</f>
        <v/>
      </c>
      <c r="V198" s="208">
        <f>BM198*$AS198</f>
        <v/>
      </c>
      <c r="W198" s="208">
        <f>BN198*$AS198</f>
        <v/>
      </c>
      <c r="X198" s="208">
        <f>BO198*$AS198</f>
        <v/>
      </c>
      <c r="Y198" s="208">
        <f>BP198*$AS198</f>
        <v/>
      </c>
      <c r="Z198" s="208">
        <f>BQ198*$AS198</f>
        <v/>
      </c>
      <c r="AA198" s="208">
        <f>BR198*$AS198</f>
        <v/>
      </c>
      <c r="AB198" s="208">
        <f>BS198*$AS198</f>
        <v/>
      </c>
      <c r="AC198" s="208">
        <f>BT198*$AS198</f>
        <v/>
      </c>
      <c r="AD198" s="208">
        <f>BU198*$AS198</f>
        <v/>
      </c>
      <c r="AE198" s="208">
        <f>BV198*$AS198</f>
        <v/>
      </c>
      <c r="AF198" s="208">
        <f>BW198*$AS198</f>
        <v/>
      </c>
      <c r="AG198" s="208">
        <f>BX198*$AS198</f>
        <v/>
      </c>
      <c r="AH198" s="208">
        <f>BY198*$AS198</f>
        <v/>
      </c>
      <c r="AI198" s="208">
        <f>BZ198*$AS198</f>
        <v/>
      </c>
      <c r="AJ198" s="208">
        <f>CA198*$AS198</f>
        <v/>
      </c>
      <c r="AK198" s="208">
        <f>CB198*$AS198</f>
        <v/>
      </c>
      <c r="AL198" s="208">
        <f>CC198*$AS198</f>
        <v/>
      </c>
      <c r="AM198" s="208">
        <f>CD198*$AS198</f>
        <v/>
      </c>
      <c r="AN198" s="208">
        <f>CE198*$AS198</f>
        <v/>
      </c>
      <c r="AQ198" s="6" t="n">
        <v>2018</v>
      </c>
      <c r="AR198" s="6" t="inlineStr">
        <is>
          <t>MINBatMaterials_GR</t>
        </is>
      </c>
      <c r="AS198" s="6" t="n">
        <v>0.135</v>
      </c>
      <c r="AT198" s="6" t="inlineStr">
        <is>
          <t>Mining_facility_representative</t>
        </is>
      </c>
      <c r="AU198" s="6" t="inlineStr">
        <is>
          <t>Representative mining-capacity vintage curve; COB_direct treated as aggregate cobalt-production route including by-product routes.</t>
        </is>
      </c>
      <c r="AV198">
        <f>AV177</f>
        <v/>
      </c>
      <c r="AW198">
        <f>AW177</f>
        <v/>
      </c>
      <c r="AX198">
        <f>AX177</f>
        <v/>
      </c>
      <c r="AY198">
        <f>AY177</f>
        <v/>
      </c>
      <c r="AZ198">
        <f>AZ177</f>
        <v/>
      </c>
      <c r="BA198">
        <f>BA177</f>
        <v/>
      </c>
      <c r="BB198">
        <f>BB177</f>
        <v/>
      </c>
      <c r="BC198">
        <f>BC177</f>
        <v/>
      </c>
      <c r="BD198">
        <f>BD177</f>
        <v/>
      </c>
      <c r="BE198">
        <f>BE177</f>
        <v/>
      </c>
      <c r="BF198">
        <f>BF177</f>
        <v/>
      </c>
      <c r="BG198">
        <f>BG177</f>
        <v/>
      </c>
      <c r="BH198">
        <f>BH177</f>
        <v/>
      </c>
      <c r="BI198">
        <f>BI177</f>
        <v/>
      </c>
      <c r="BJ198">
        <f>BJ177</f>
        <v/>
      </c>
      <c r="BK198">
        <f>BK177</f>
        <v/>
      </c>
      <c r="BL198">
        <f>BL177</f>
        <v/>
      </c>
      <c r="BM198">
        <f>BM177</f>
        <v/>
      </c>
      <c r="BN198">
        <f>BN177</f>
        <v/>
      </c>
      <c r="BO198">
        <f>BO177</f>
        <v/>
      </c>
      <c r="BP198">
        <f>BP177</f>
        <v/>
      </c>
      <c r="BQ198">
        <f>BQ177</f>
        <v/>
      </c>
      <c r="BR198">
        <f>BR177</f>
        <v/>
      </c>
      <c r="BS198">
        <f>BS177</f>
        <v/>
      </c>
      <c r="BT198">
        <f>BT177</f>
        <v/>
      </c>
      <c r="BU198">
        <f>BU177</f>
        <v/>
      </c>
      <c r="BV198">
        <f>BV177</f>
        <v/>
      </c>
      <c r="BW198">
        <f>BW177</f>
        <v/>
      </c>
      <c r="BX198">
        <f>BX177</f>
        <v/>
      </c>
      <c r="BY198">
        <f>BY177</f>
        <v/>
      </c>
      <c r="BZ198">
        <f>BZ177</f>
        <v/>
      </c>
      <c r="CA198">
        <f>CA177</f>
        <v/>
      </c>
      <c r="CB198">
        <f>CB177</f>
        <v/>
      </c>
      <c r="CC198">
        <f>CC177</f>
        <v/>
      </c>
      <c r="CD198">
        <f>CD177</f>
        <v/>
      </c>
      <c r="CE198">
        <f>CE177</f>
        <v/>
      </c>
      <c r="CG198" s="6" t="n">
        <v>2018</v>
      </c>
      <c r="CH198" s="6" t="inlineStr">
        <is>
          <t>MINBatMaterials_GR</t>
        </is>
      </c>
      <c r="CI198" s="6" t="n">
        <v>0.135</v>
      </c>
      <c r="CJ198" s="6" t="n">
        <v>0.135</v>
      </c>
      <c r="CK198" s="6" t="inlineStr">
        <is>
          <t>Mining_facility_representative</t>
        </is>
      </c>
      <c r="CL198" s="6" t="inlineStr">
        <is>
          <t>Mining_facility_representative</t>
        </is>
      </c>
      <c r="CM198" s="6" t="inlineStr">
        <is>
          <t>Mining curve kept the same for China; COB_direct treated as aggregate cobalt-production route including by-product routes.</t>
        </is>
      </c>
    </row>
    <row r="199" ht="14.5" customHeight="1" s="213">
      <c r="D199" t="n">
        <v>2018</v>
      </c>
      <c r="E199" t="inlineStr">
        <is>
          <t>Tra_EV_Batt-LFP_virgin</t>
        </is>
      </c>
      <c r="F199" s="208">
        <f>AW199*$AS199</f>
        <v/>
      </c>
      <c r="G199" s="208">
        <f>AX199*$AS199</f>
        <v/>
      </c>
      <c r="H199" s="208">
        <f>AY199*$AS199</f>
        <v/>
      </c>
      <c r="I199" s="208">
        <f>AZ199*$AS199</f>
        <v/>
      </c>
      <c r="J199" s="208">
        <f>BA199*$AS199</f>
        <v/>
      </c>
      <c r="K199" s="208">
        <f>BB199*$AS199</f>
        <v/>
      </c>
      <c r="L199" s="208">
        <f>BC199*$AS199</f>
        <v/>
      </c>
      <c r="M199" s="208">
        <f>BD199*$CI199</f>
        <v/>
      </c>
      <c r="N199" s="208">
        <f>BE199*$AS199</f>
        <v/>
      </c>
      <c r="O199" s="208">
        <f>BF199*$AS199</f>
        <v/>
      </c>
      <c r="P199" s="208">
        <f>BG199*$AS199</f>
        <v/>
      </c>
      <c r="Q199" s="208">
        <f>BH199*$AS199</f>
        <v/>
      </c>
      <c r="R199" s="208">
        <f>BI199*$AS199</f>
        <v/>
      </c>
      <c r="S199" s="208">
        <f>BJ199*$AS199</f>
        <v/>
      </c>
      <c r="T199" s="208">
        <f>BK199*$AS199</f>
        <v/>
      </c>
      <c r="U199" s="208">
        <f>BL199*$AS199</f>
        <v/>
      </c>
      <c r="V199" s="208">
        <f>BM199*$AS199</f>
        <v/>
      </c>
      <c r="W199" s="208">
        <f>BN199*$AS199</f>
        <v/>
      </c>
      <c r="X199" s="208">
        <f>BO199*$AS199</f>
        <v/>
      </c>
      <c r="Y199" s="208">
        <f>BP199*$AS199</f>
        <v/>
      </c>
      <c r="Z199" s="208">
        <f>BQ199*$AS199</f>
        <v/>
      </c>
      <c r="AA199" s="208">
        <f>BR199*$AS199</f>
        <v/>
      </c>
      <c r="AB199" s="208">
        <f>BS199*$AS199</f>
        <v/>
      </c>
      <c r="AC199" s="208">
        <f>BT199*$AS199</f>
        <v/>
      </c>
      <c r="AD199" s="208">
        <f>BU199*$AS199</f>
        <v/>
      </c>
      <c r="AE199" s="208">
        <f>BV199*$AS199</f>
        <v/>
      </c>
      <c r="AF199" s="208">
        <f>BW199*$AS199</f>
        <v/>
      </c>
      <c r="AG199" s="208">
        <f>BX199*$AS199</f>
        <v/>
      </c>
      <c r="AH199" s="208">
        <f>BY199*$AS199</f>
        <v/>
      </c>
      <c r="AI199" s="208">
        <f>BZ199*$AS199</f>
        <v/>
      </c>
      <c r="AJ199" s="208">
        <f>CA199*$AS199</f>
        <v/>
      </c>
      <c r="AK199" s="208">
        <f>CB199*$AS199</f>
        <v/>
      </c>
      <c r="AL199" s="208">
        <f>CC199*$AS199</f>
        <v/>
      </c>
      <c r="AM199" s="208">
        <f>CD199*$AS199</f>
        <v/>
      </c>
      <c r="AN199" s="208">
        <f>CE199*$AS199</f>
        <v/>
      </c>
      <c r="AQ199" s="6" t="n">
        <v>2018</v>
      </c>
      <c r="AR199" s="6" t="inlineStr">
        <is>
          <t>Tra_EV_Batt-LFP_virgin</t>
        </is>
      </c>
      <c r="AS199" s="6" t="n">
        <v>0.301</v>
      </c>
      <c r="AT199" s="6" t="inlineStr">
        <is>
          <t>Transport_EV_general</t>
        </is>
      </c>
      <c r="AU199" s="6" t="inlineStr">
        <is>
          <t>Back-loaded transport EV battery vintage curve based on historical EV deployment shape.</t>
        </is>
      </c>
      <c r="AV199">
        <f>AV178</f>
        <v/>
      </c>
      <c r="AW199">
        <f>AW178</f>
        <v/>
      </c>
      <c r="AX199">
        <f>AX178</f>
        <v/>
      </c>
      <c r="AY199">
        <f>AY178</f>
        <v/>
      </c>
      <c r="AZ199">
        <f>AZ178</f>
        <v/>
      </c>
      <c r="BA199">
        <f>BA178</f>
        <v/>
      </c>
      <c r="BB199">
        <f>BB178</f>
        <v/>
      </c>
      <c r="BC199">
        <f>BC178</f>
        <v/>
      </c>
      <c r="BD199">
        <f>BD178</f>
        <v/>
      </c>
      <c r="BE199">
        <f>BE178</f>
        <v/>
      </c>
      <c r="BF199">
        <f>BF178</f>
        <v/>
      </c>
      <c r="BG199">
        <f>BG178</f>
        <v/>
      </c>
      <c r="BH199">
        <f>BH178</f>
        <v/>
      </c>
      <c r="BI199">
        <f>BI178</f>
        <v/>
      </c>
      <c r="BJ199">
        <f>BJ178</f>
        <v/>
      </c>
      <c r="BK199">
        <f>BK178</f>
        <v/>
      </c>
      <c r="BL199">
        <f>BL178</f>
        <v/>
      </c>
      <c r="BM199">
        <f>BM178</f>
        <v/>
      </c>
      <c r="BN199">
        <f>BN178</f>
        <v/>
      </c>
      <c r="BO199">
        <f>BO178</f>
        <v/>
      </c>
      <c r="BP199">
        <f>BP178</f>
        <v/>
      </c>
      <c r="BQ199">
        <f>BQ178</f>
        <v/>
      </c>
      <c r="BR199">
        <f>BR178</f>
        <v/>
      </c>
      <c r="BS199">
        <f>BS178</f>
        <v/>
      </c>
      <c r="BT199">
        <f>BT178</f>
        <v/>
      </c>
      <c r="BU199">
        <f>BU178</f>
        <v/>
      </c>
      <c r="BV199">
        <f>BV178</f>
        <v/>
      </c>
      <c r="BW199">
        <f>BW178</f>
        <v/>
      </c>
      <c r="BX199">
        <f>BX178</f>
        <v/>
      </c>
      <c r="BY199">
        <f>BY178</f>
        <v/>
      </c>
      <c r="BZ199">
        <f>BZ178</f>
        <v/>
      </c>
      <c r="CA199">
        <f>CA178</f>
        <v/>
      </c>
      <c r="CB199">
        <f>CB178</f>
        <v/>
      </c>
      <c r="CC199">
        <f>CC178</f>
        <v/>
      </c>
      <c r="CD199">
        <f>CD178</f>
        <v/>
      </c>
      <c r="CE199">
        <f>CE178</f>
        <v/>
      </c>
      <c r="CG199" s="6" t="n">
        <v>2018</v>
      </c>
      <c r="CH199" s="6" t="inlineStr">
        <is>
          <t>Tra_EV_Batt-LFP_virgin</t>
        </is>
      </c>
      <c r="CI199" s="6" t="n">
        <v>0.301</v>
      </c>
      <c r="CJ199" s="6" t="n">
        <v>0.26</v>
      </c>
      <c r="CK199" s="6" t="inlineStr">
        <is>
          <t>Transport_EV_global</t>
        </is>
      </c>
      <c r="CL199" s="6" t="inlineStr">
        <is>
          <t>Transport_EV_China</t>
        </is>
      </c>
      <c r="CM199" s="6" t="inlineStr">
        <is>
          <t>China transport EV curve is shifted earlier than the global curve to reflect earlier China EV/e-bus deployment in the 2010s.</t>
        </is>
      </c>
    </row>
    <row r="200" ht="14.5" customHeight="1" s="213">
      <c r="D200">
        <f>D199</f>
        <v/>
      </c>
      <c r="E200" t="inlineStr">
        <is>
          <t>Tra_EV_Batt-NMC622_virgin</t>
        </is>
      </c>
      <c r="F200" s="208">
        <f>AW200*$AS200</f>
        <v/>
      </c>
      <c r="G200" s="208">
        <f>AX200*$AS200</f>
        <v/>
      </c>
      <c r="H200" s="208">
        <f>AY200*$AS200</f>
        <v/>
      </c>
      <c r="I200" s="208">
        <f>AZ200*$AS200</f>
        <v/>
      </c>
      <c r="J200" s="208">
        <f>BA200*$AS200</f>
        <v/>
      </c>
      <c r="K200" s="208">
        <f>BB200*$AS200</f>
        <v/>
      </c>
      <c r="L200" s="208">
        <f>BC200*$AS200</f>
        <v/>
      </c>
      <c r="M200" s="208">
        <f>BD200*$CI200</f>
        <v/>
      </c>
      <c r="N200" s="208">
        <f>BE200*$AS200</f>
        <v/>
      </c>
      <c r="O200" s="208">
        <f>BF200*$AS200</f>
        <v/>
      </c>
      <c r="P200" s="208">
        <f>BG200*$AS200</f>
        <v/>
      </c>
      <c r="Q200" s="208">
        <f>BH200*$AS200</f>
        <v/>
      </c>
      <c r="R200" s="208">
        <f>BI200*$AS200</f>
        <v/>
      </c>
      <c r="S200" s="208">
        <f>BJ200*$AS200</f>
        <v/>
      </c>
      <c r="T200" s="208">
        <f>BK200*$AS200</f>
        <v/>
      </c>
      <c r="U200" s="208">
        <f>BL200*$AS200</f>
        <v/>
      </c>
      <c r="V200" s="208">
        <f>BM200*$AS200</f>
        <v/>
      </c>
      <c r="W200" s="208">
        <f>BN200*$AS200</f>
        <v/>
      </c>
      <c r="X200" s="208">
        <f>BO200*$AS200</f>
        <v/>
      </c>
      <c r="Y200" s="208">
        <f>BP200*$AS200</f>
        <v/>
      </c>
      <c r="Z200" s="208">
        <f>BQ200*$AS200</f>
        <v/>
      </c>
      <c r="AA200" s="208">
        <f>BR200*$AS200</f>
        <v/>
      </c>
      <c r="AB200" s="208">
        <f>BS200*$AS200</f>
        <v/>
      </c>
      <c r="AC200" s="208">
        <f>BT200*$AS200</f>
        <v/>
      </c>
      <c r="AD200" s="208">
        <f>BU200*$AS200</f>
        <v/>
      </c>
      <c r="AE200" s="208">
        <f>BV200*$AS200</f>
        <v/>
      </c>
      <c r="AF200" s="208">
        <f>BW200*$AS200</f>
        <v/>
      </c>
      <c r="AG200" s="208">
        <f>BX200*$AS200</f>
        <v/>
      </c>
      <c r="AH200" s="208">
        <f>BY200*$AS200</f>
        <v/>
      </c>
      <c r="AI200" s="208">
        <f>BZ200*$AS200</f>
        <v/>
      </c>
      <c r="AJ200" s="208">
        <f>CA200*$AS200</f>
        <v/>
      </c>
      <c r="AK200" s="208">
        <f>CB200*$AS200</f>
        <v/>
      </c>
      <c r="AL200" s="208">
        <f>CC200*$AS200</f>
        <v/>
      </c>
      <c r="AM200" s="208">
        <f>CD200*$AS200</f>
        <v/>
      </c>
      <c r="AN200" s="208">
        <f>CE200*$AS200</f>
        <v/>
      </c>
      <c r="AQ200" s="6" t="n">
        <v>2018</v>
      </c>
      <c r="AR200" s="6" t="inlineStr">
        <is>
          <t>Tra_EV_Batt-NMC622_virgin</t>
        </is>
      </c>
      <c r="AS200" s="6" t="n">
        <v>0.301</v>
      </c>
      <c r="AT200" s="6" t="inlineStr">
        <is>
          <t>Transport_EV_general</t>
        </is>
      </c>
      <c r="AU200" s="6" t="inlineStr">
        <is>
          <t>Back-loaded transport EV battery vintage curve based on historical EV deployment shape.</t>
        </is>
      </c>
      <c r="AV200">
        <f>AV179</f>
        <v/>
      </c>
      <c r="AW200">
        <f>AW179</f>
        <v/>
      </c>
      <c r="AX200">
        <f>AX179</f>
        <v/>
      </c>
      <c r="AY200">
        <f>AY179</f>
        <v/>
      </c>
      <c r="AZ200">
        <f>AZ179</f>
        <v/>
      </c>
      <c r="BA200">
        <f>BA179</f>
        <v/>
      </c>
      <c r="BB200">
        <f>BB179</f>
        <v/>
      </c>
      <c r="BC200">
        <f>BC179</f>
        <v/>
      </c>
      <c r="BD200">
        <f>BD179</f>
        <v/>
      </c>
      <c r="BE200">
        <f>BE179</f>
        <v/>
      </c>
      <c r="BF200">
        <f>BF179</f>
        <v/>
      </c>
      <c r="BG200">
        <f>BG179</f>
        <v/>
      </c>
      <c r="BH200">
        <f>BH179</f>
        <v/>
      </c>
      <c r="BI200">
        <f>BI179</f>
        <v/>
      </c>
      <c r="BJ200">
        <f>BJ179</f>
        <v/>
      </c>
      <c r="BK200">
        <f>BK179</f>
        <v/>
      </c>
      <c r="BL200">
        <f>BL179</f>
        <v/>
      </c>
      <c r="BM200">
        <f>BM179</f>
        <v/>
      </c>
      <c r="BN200">
        <f>BN179</f>
        <v/>
      </c>
      <c r="BO200">
        <f>BO179</f>
        <v/>
      </c>
      <c r="BP200">
        <f>BP179</f>
        <v/>
      </c>
      <c r="BQ200">
        <f>BQ179</f>
        <v/>
      </c>
      <c r="BR200">
        <f>BR179</f>
        <v/>
      </c>
      <c r="BS200">
        <f>BS179</f>
        <v/>
      </c>
      <c r="BT200">
        <f>BT179</f>
        <v/>
      </c>
      <c r="BU200">
        <f>BU179</f>
        <v/>
      </c>
      <c r="BV200">
        <f>BV179</f>
        <v/>
      </c>
      <c r="BW200">
        <f>BW179</f>
        <v/>
      </c>
      <c r="BX200">
        <f>BX179</f>
        <v/>
      </c>
      <c r="BY200">
        <f>BY179</f>
        <v/>
      </c>
      <c r="BZ200">
        <f>BZ179</f>
        <v/>
      </c>
      <c r="CA200">
        <f>CA179</f>
        <v/>
      </c>
      <c r="CB200">
        <f>CB179</f>
        <v/>
      </c>
      <c r="CC200">
        <f>CC179</f>
        <v/>
      </c>
      <c r="CD200">
        <f>CD179</f>
        <v/>
      </c>
      <c r="CE200">
        <f>CE179</f>
        <v/>
      </c>
      <c r="CG200" s="6" t="n">
        <v>2018</v>
      </c>
      <c r="CH200" s="6" t="inlineStr">
        <is>
          <t>Tra_EV_Batt-NMC622_virgin</t>
        </is>
      </c>
      <c r="CI200" s="6" t="n">
        <v>0.301</v>
      </c>
      <c r="CJ200" s="6" t="n">
        <v>0.26</v>
      </c>
      <c r="CK200" s="6" t="inlineStr">
        <is>
          <t>Transport_EV_global</t>
        </is>
      </c>
      <c r="CL200" s="6" t="inlineStr">
        <is>
          <t>Transport_EV_China</t>
        </is>
      </c>
      <c r="CM200" s="6" t="inlineStr">
        <is>
          <t>China transport EV curve is shifted earlier than the global curve to reflect earlier China EV/e-bus deployment in the 2010s.</t>
        </is>
      </c>
    </row>
    <row r="201" ht="14.5" customHeight="1" s="213">
      <c r="D201">
        <f>D200</f>
        <v/>
      </c>
      <c r="E201" t="inlineStr">
        <is>
          <t>Tra_EV_Batt-NMC811_virgin</t>
        </is>
      </c>
      <c r="F201" s="208">
        <f>AW201*$AS201</f>
        <v/>
      </c>
      <c r="G201" s="208">
        <f>AX201*$AS201</f>
        <v/>
      </c>
      <c r="H201" s="208">
        <f>AY201*$AS201</f>
        <v/>
      </c>
      <c r="I201" s="208">
        <f>AZ201*$AS201</f>
        <v/>
      </c>
      <c r="J201" s="208">
        <f>BA201*$AS201</f>
        <v/>
      </c>
      <c r="K201" s="208">
        <f>BB201*$AS201</f>
        <v/>
      </c>
      <c r="L201" s="208">
        <f>BC201*$AS201</f>
        <v/>
      </c>
      <c r="M201" s="208">
        <f>BD201*$CI201</f>
        <v/>
      </c>
      <c r="N201" s="208">
        <f>BE201*$AS201</f>
        <v/>
      </c>
      <c r="O201" s="208">
        <f>BF201*$AS201</f>
        <v/>
      </c>
      <c r="P201" s="208">
        <f>BG201*$AS201</f>
        <v/>
      </c>
      <c r="Q201" s="208">
        <f>BH201*$AS201</f>
        <v/>
      </c>
      <c r="R201" s="208">
        <f>BI201*$AS201</f>
        <v/>
      </c>
      <c r="S201" s="208">
        <f>BJ201*$AS201</f>
        <v/>
      </c>
      <c r="T201" s="208">
        <f>BK201*$AS201</f>
        <v/>
      </c>
      <c r="U201" s="208">
        <f>BL201*$AS201</f>
        <v/>
      </c>
      <c r="V201" s="208">
        <f>BM201*$AS201</f>
        <v/>
      </c>
      <c r="W201" s="208">
        <f>BN201*$AS201</f>
        <v/>
      </c>
      <c r="X201" s="208">
        <f>BO201*$AS201</f>
        <v/>
      </c>
      <c r="Y201" s="208">
        <f>BP201*$AS201</f>
        <v/>
      </c>
      <c r="Z201" s="208">
        <f>BQ201*$AS201</f>
        <v/>
      </c>
      <c r="AA201" s="208">
        <f>BR201*$AS201</f>
        <v/>
      </c>
      <c r="AB201" s="208">
        <f>BS201*$AS201</f>
        <v/>
      </c>
      <c r="AC201" s="208">
        <f>BT201*$AS201</f>
        <v/>
      </c>
      <c r="AD201" s="208">
        <f>BU201*$AS201</f>
        <v/>
      </c>
      <c r="AE201" s="208">
        <f>BV201*$AS201</f>
        <v/>
      </c>
      <c r="AF201" s="208">
        <f>BW201*$AS201</f>
        <v/>
      </c>
      <c r="AG201" s="208">
        <f>BX201*$AS201</f>
        <v/>
      </c>
      <c r="AH201" s="208">
        <f>BY201*$AS201</f>
        <v/>
      </c>
      <c r="AI201" s="208">
        <f>BZ201*$AS201</f>
        <v/>
      </c>
      <c r="AJ201" s="208">
        <f>CA201*$AS201</f>
        <v/>
      </c>
      <c r="AK201" s="208">
        <f>CB201*$AS201</f>
        <v/>
      </c>
      <c r="AL201" s="208">
        <f>CC201*$AS201</f>
        <v/>
      </c>
      <c r="AM201" s="208">
        <f>CD201*$AS201</f>
        <v/>
      </c>
      <c r="AN201" s="208">
        <f>CE201*$AS201</f>
        <v/>
      </c>
      <c r="AQ201" s="6" t="n">
        <v>2018</v>
      </c>
      <c r="AR201" s="6" t="inlineStr">
        <is>
          <t>Tra_EV_Batt-NMC811_virgin</t>
        </is>
      </c>
      <c r="AS201" s="6" t="n">
        <v>0.301</v>
      </c>
      <c r="AT201" s="6" t="inlineStr">
        <is>
          <t>Transport_EV_general</t>
        </is>
      </c>
      <c r="AU201" s="6" t="inlineStr">
        <is>
          <t>Back-loaded transport EV battery vintage curve based on historical EV deployment shape.</t>
        </is>
      </c>
      <c r="AV201">
        <f>AV180</f>
        <v/>
      </c>
      <c r="AW201">
        <f>AW180</f>
        <v/>
      </c>
      <c r="AX201">
        <f>AX180</f>
        <v/>
      </c>
      <c r="AY201">
        <f>AY180</f>
        <v/>
      </c>
      <c r="AZ201">
        <f>AZ180</f>
        <v/>
      </c>
      <c r="BA201">
        <f>BA180</f>
        <v/>
      </c>
      <c r="BB201">
        <f>BB180</f>
        <v/>
      </c>
      <c r="BC201">
        <f>BC180</f>
        <v/>
      </c>
      <c r="BD201">
        <f>BD180</f>
        <v/>
      </c>
      <c r="BE201">
        <f>BE180</f>
        <v/>
      </c>
      <c r="BF201">
        <f>BF180</f>
        <v/>
      </c>
      <c r="BG201">
        <f>BG180</f>
        <v/>
      </c>
      <c r="BH201">
        <f>BH180</f>
        <v/>
      </c>
      <c r="BI201">
        <f>BI180</f>
        <v/>
      </c>
      <c r="BJ201">
        <f>BJ180</f>
        <v/>
      </c>
      <c r="BK201">
        <f>BK180</f>
        <v/>
      </c>
      <c r="BL201">
        <f>BL180</f>
        <v/>
      </c>
      <c r="BM201">
        <f>BM180</f>
        <v/>
      </c>
      <c r="BN201">
        <f>BN180</f>
        <v/>
      </c>
      <c r="BO201">
        <f>BO180</f>
        <v/>
      </c>
      <c r="BP201">
        <f>BP180</f>
        <v/>
      </c>
      <c r="BQ201">
        <f>BQ180</f>
        <v/>
      </c>
      <c r="BR201">
        <f>BR180</f>
        <v/>
      </c>
      <c r="BS201">
        <f>BS180</f>
        <v/>
      </c>
      <c r="BT201">
        <f>BT180</f>
        <v/>
      </c>
      <c r="BU201">
        <f>BU180</f>
        <v/>
      </c>
      <c r="BV201">
        <f>BV180</f>
        <v/>
      </c>
      <c r="BW201">
        <f>BW180</f>
        <v/>
      </c>
      <c r="BX201">
        <f>BX180</f>
        <v/>
      </c>
      <c r="BY201">
        <f>BY180</f>
        <v/>
      </c>
      <c r="BZ201">
        <f>BZ180</f>
        <v/>
      </c>
      <c r="CA201">
        <f>CA180</f>
        <v/>
      </c>
      <c r="CB201">
        <f>CB180</f>
        <v/>
      </c>
      <c r="CC201">
        <f>CC180</f>
        <v/>
      </c>
      <c r="CD201">
        <f>CD180</f>
        <v/>
      </c>
      <c r="CE201">
        <f>CE180</f>
        <v/>
      </c>
      <c r="CG201" s="6" t="n">
        <v>2018</v>
      </c>
      <c r="CH201" s="6" t="inlineStr">
        <is>
          <t>Tra_EV_Batt-NMC811_virgin</t>
        </is>
      </c>
      <c r="CI201" s="6" t="n">
        <v>0.301</v>
      </c>
      <c r="CJ201" s="6" t="n">
        <v>0.26</v>
      </c>
      <c r="CK201" s="6" t="inlineStr">
        <is>
          <t>Transport_EV_global</t>
        </is>
      </c>
      <c r="CL201" s="6" t="inlineStr">
        <is>
          <t>Transport_EV_China</t>
        </is>
      </c>
      <c r="CM201" s="6" t="inlineStr">
        <is>
          <t>China transport EV curve is shifted earlier than the global curve to reflect earlier China EV/e-bus deployment in the 2010s.</t>
        </is>
      </c>
    </row>
    <row r="202" ht="14.5" customHeight="1" s="213">
      <c r="D202">
        <f>D201</f>
        <v/>
      </c>
      <c r="E202" t="inlineStr">
        <is>
          <t>Tra_EV_Batt-NMC532_virgin</t>
        </is>
      </c>
      <c r="F202" s="208">
        <f>AW202*$AS202</f>
        <v/>
      </c>
      <c r="G202" s="208">
        <f>AX202*$AS202</f>
        <v/>
      </c>
      <c r="H202" s="208">
        <f>AY202*$AS202</f>
        <v/>
      </c>
      <c r="I202" s="208">
        <f>AZ202*$AS202</f>
        <v/>
      </c>
      <c r="J202" s="208">
        <f>BA202*$AS202</f>
        <v/>
      </c>
      <c r="K202" s="208">
        <f>BB202*$AS202</f>
        <v/>
      </c>
      <c r="L202" s="208">
        <f>BC202*$AS202</f>
        <v/>
      </c>
      <c r="M202" s="208">
        <f>BD202*$CI202</f>
        <v/>
      </c>
      <c r="N202" s="208">
        <f>BE202*$AS202</f>
        <v/>
      </c>
      <c r="O202" s="208">
        <f>BF202*$AS202</f>
        <v/>
      </c>
      <c r="P202" s="208">
        <f>BG202*$AS202</f>
        <v/>
      </c>
      <c r="Q202" s="208">
        <f>BH202*$AS202</f>
        <v/>
      </c>
      <c r="R202" s="208">
        <f>BI202*$AS202</f>
        <v/>
      </c>
      <c r="S202" s="208">
        <f>BJ202*$AS202</f>
        <v/>
      </c>
      <c r="T202" s="208">
        <f>BK202*$AS202</f>
        <v/>
      </c>
      <c r="U202" s="208">
        <f>BL202*$AS202</f>
        <v/>
      </c>
      <c r="V202" s="208">
        <f>BM202*$AS202</f>
        <v/>
      </c>
      <c r="W202" s="208">
        <f>BN202*$AS202</f>
        <v/>
      </c>
      <c r="X202" s="208">
        <f>BO202*$AS202</f>
        <v/>
      </c>
      <c r="Y202" s="208">
        <f>BP202*$AS202</f>
        <v/>
      </c>
      <c r="Z202" s="208">
        <f>BQ202*$AS202</f>
        <v/>
      </c>
      <c r="AA202" s="208">
        <f>BR202*$AS202</f>
        <v/>
      </c>
      <c r="AB202" s="208">
        <f>BS202*$AS202</f>
        <v/>
      </c>
      <c r="AC202" s="208">
        <f>BT202*$AS202</f>
        <v/>
      </c>
      <c r="AD202" s="208">
        <f>BU202*$AS202</f>
        <v/>
      </c>
      <c r="AE202" s="208">
        <f>BV202*$AS202</f>
        <v/>
      </c>
      <c r="AF202" s="208">
        <f>BW202*$AS202</f>
        <v/>
      </c>
      <c r="AG202" s="208">
        <f>BX202*$AS202</f>
        <v/>
      </c>
      <c r="AH202" s="208">
        <f>BY202*$AS202</f>
        <v/>
      </c>
      <c r="AI202" s="208">
        <f>BZ202*$AS202</f>
        <v/>
      </c>
      <c r="AJ202" s="208">
        <f>CA202*$AS202</f>
        <v/>
      </c>
      <c r="AK202" s="208">
        <f>CB202*$AS202</f>
        <v/>
      </c>
      <c r="AL202" s="208">
        <f>CC202*$AS202</f>
        <v/>
      </c>
      <c r="AM202" s="208">
        <f>CD202*$AS202</f>
        <v/>
      </c>
      <c r="AN202" s="208">
        <f>CE202*$AS202</f>
        <v/>
      </c>
      <c r="AQ202" s="6" t="n">
        <v>2018</v>
      </c>
      <c r="AR202" s="6" t="inlineStr">
        <is>
          <t>Tra_EV_Batt-NMC532_virgin</t>
        </is>
      </c>
      <c r="AS202" s="6" t="n">
        <v>0.301</v>
      </c>
      <c r="AT202" s="6" t="inlineStr">
        <is>
          <t>Transport_EV_general</t>
        </is>
      </c>
      <c r="AU202" s="6" t="inlineStr">
        <is>
          <t>Back-loaded transport EV battery vintage curve based on historical EV deployment shape.</t>
        </is>
      </c>
      <c r="AV202">
        <f>AV181</f>
        <v/>
      </c>
      <c r="AW202">
        <f>AW181</f>
        <v/>
      </c>
      <c r="AX202">
        <f>AX181</f>
        <v/>
      </c>
      <c r="AY202">
        <f>AY181</f>
        <v/>
      </c>
      <c r="AZ202">
        <f>AZ181</f>
        <v/>
      </c>
      <c r="BA202">
        <f>BA181</f>
        <v/>
      </c>
      <c r="BB202">
        <f>BB181</f>
        <v/>
      </c>
      <c r="BC202">
        <f>BC181</f>
        <v/>
      </c>
      <c r="BD202">
        <f>BD181</f>
        <v/>
      </c>
      <c r="BE202">
        <f>BE181</f>
        <v/>
      </c>
      <c r="BF202">
        <f>BF181</f>
        <v/>
      </c>
      <c r="BG202">
        <f>BG181</f>
        <v/>
      </c>
      <c r="BH202">
        <f>BH181</f>
        <v/>
      </c>
      <c r="BI202">
        <f>BI181</f>
        <v/>
      </c>
      <c r="BJ202">
        <f>BJ181</f>
        <v/>
      </c>
      <c r="BK202">
        <f>BK181</f>
        <v/>
      </c>
      <c r="BL202">
        <f>BL181</f>
        <v/>
      </c>
      <c r="BM202">
        <f>BM181</f>
        <v/>
      </c>
      <c r="BN202">
        <f>BN181</f>
        <v/>
      </c>
      <c r="BO202">
        <f>BO181</f>
        <v/>
      </c>
      <c r="BP202">
        <f>BP181</f>
        <v/>
      </c>
      <c r="BQ202">
        <f>BQ181</f>
        <v/>
      </c>
      <c r="BR202">
        <f>BR181</f>
        <v/>
      </c>
      <c r="BS202">
        <f>BS181</f>
        <v/>
      </c>
      <c r="BT202">
        <f>BT181</f>
        <v/>
      </c>
      <c r="BU202">
        <f>BU181</f>
        <v/>
      </c>
      <c r="BV202">
        <f>BV181</f>
        <v/>
      </c>
      <c r="BW202">
        <f>BW181</f>
        <v/>
      </c>
      <c r="BX202">
        <f>BX181</f>
        <v/>
      </c>
      <c r="BY202">
        <f>BY181</f>
        <v/>
      </c>
      <c r="BZ202">
        <f>BZ181</f>
        <v/>
      </c>
      <c r="CA202">
        <f>CA181</f>
        <v/>
      </c>
      <c r="CB202">
        <f>CB181</f>
        <v/>
      </c>
      <c r="CC202">
        <f>CC181</f>
        <v/>
      </c>
      <c r="CD202">
        <f>CD181</f>
        <v/>
      </c>
      <c r="CE202">
        <f>CE181</f>
        <v/>
      </c>
      <c r="CG202" s="6" t="n">
        <v>2018</v>
      </c>
      <c r="CH202" s="6" t="inlineStr">
        <is>
          <t>Tra_EV_Batt-NMC532_virgin</t>
        </is>
      </c>
      <c r="CI202" s="6" t="n">
        <v>0.301</v>
      </c>
      <c r="CJ202" s="6" t="n">
        <v>0.26</v>
      </c>
      <c r="CK202" s="6" t="inlineStr">
        <is>
          <t>Transport_EV_global</t>
        </is>
      </c>
      <c r="CL202" s="6" t="inlineStr">
        <is>
          <t>Transport_EV_China</t>
        </is>
      </c>
      <c r="CM202" s="6" t="inlineStr">
        <is>
          <t>China transport EV curve is shifted earlier than the global curve to reflect earlier China EV/e-bus deployment in the 2010s.</t>
        </is>
      </c>
    </row>
    <row r="203" ht="14.5" customHeight="1" s="213">
      <c r="D203">
        <f>D202</f>
        <v/>
      </c>
      <c r="E203" t="inlineStr">
        <is>
          <t>Tra_EV_Batt-NCA_virgin</t>
        </is>
      </c>
      <c r="F203" s="208">
        <f>AW203*$AS203</f>
        <v/>
      </c>
      <c r="G203" s="208">
        <f>AX203*$AS203</f>
        <v/>
      </c>
      <c r="H203" s="208">
        <f>AY203*$AS203</f>
        <v/>
      </c>
      <c r="I203" s="208">
        <f>AZ203*$AS203</f>
        <v/>
      </c>
      <c r="J203" s="208">
        <f>BA203*$AS203</f>
        <v/>
      </c>
      <c r="K203" s="208">
        <f>BB203*$AS203</f>
        <v/>
      </c>
      <c r="L203" s="208">
        <f>BC203*$AS203</f>
        <v/>
      </c>
      <c r="M203" s="208">
        <f>BD203*$CI203</f>
        <v/>
      </c>
      <c r="N203" s="208">
        <f>BE203*$AS203</f>
        <v/>
      </c>
      <c r="O203" s="208">
        <f>BF203*$AS203</f>
        <v/>
      </c>
      <c r="P203" s="208">
        <f>BG203*$AS203</f>
        <v/>
      </c>
      <c r="Q203" s="208">
        <f>BH203*$AS203</f>
        <v/>
      </c>
      <c r="R203" s="208">
        <f>BI203*$AS203</f>
        <v/>
      </c>
      <c r="S203" s="208">
        <f>BJ203*$AS203</f>
        <v/>
      </c>
      <c r="T203" s="208">
        <f>BK203*$AS203</f>
        <v/>
      </c>
      <c r="U203" s="208">
        <f>BL203*$AS203</f>
        <v/>
      </c>
      <c r="V203" s="208">
        <f>BM203*$AS203</f>
        <v/>
      </c>
      <c r="W203" s="208">
        <f>BN203*$AS203</f>
        <v/>
      </c>
      <c r="X203" s="208">
        <f>BO203*$AS203</f>
        <v/>
      </c>
      <c r="Y203" s="208">
        <f>BP203*$AS203</f>
        <v/>
      </c>
      <c r="Z203" s="208">
        <f>BQ203*$AS203</f>
        <v/>
      </c>
      <c r="AA203" s="208">
        <f>BR203*$AS203</f>
        <v/>
      </c>
      <c r="AB203" s="208">
        <f>BS203*$AS203</f>
        <v/>
      </c>
      <c r="AC203" s="208">
        <f>BT203*$AS203</f>
        <v/>
      </c>
      <c r="AD203" s="208">
        <f>BU203*$AS203</f>
        <v/>
      </c>
      <c r="AE203" s="208">
        <f>BV203*$AS203</f>
        <v/>
      </c>
      <c r="AF203" s="208">
        <f>BW203*$AS203</f>
        <v/>
      </c>
      <c r="AG203" s="208">
        <f>BX203*$AS203</f>
        <v/>
      </c>
      <c r="AH203" s="208">
        <f>BY203*$AS203</f>
        <v/>
      </c>
      <c r="AI203" s="208">
        <f>BZ203*$AS203</f>
        <v/>
      </c>
      <c r="AJ203" s="208">
        <f>CA203*$AS203</f>
        <v/>
      </c>
      <c r="AK203" s="208">
        <f>CB203*$AS203</f>
        <v/>
      </c>
      <c r="AL203" s="208">
        <f>CC203*$AS203</f>
        <v/>
      </c>
      <c r="AM203" s="208">
        <f>CD203*$AS203</f>
        <v/>
      </c>
      <c r="AN203" s="208">
        <f>CE203*$AS203</f>
        <v/>
      </c>
      <c r="AQ203" s="6" t="n">
        <v>2018</v>
      </c>
      <c r="AR203" s="6" t="inlineStr">
        <is>
          <t>Tra_EV_Batt-NCA_virgin</t>
        </is>
      </c>
      <c r="AS203" s="6" t="n">
        <v>0.301</v>
      </c>
      <c r="AT203" s="6" t="inlineStr">
        <is>
          <t>Transport_EV_general</t>
        </is>
      </c>
      <c r="AU203" s="6" t="inlineStr">
        <is>
          <t>Back-loaded transport EV battery vintage curve based on historical EV deployment shape.</t>
        </is>
      </c>
      <c r="AV203">
        <f>AV182</f>
        <v/>
      </c>
      <c r="AW203">
        <f>AW182</f>
        <v/>
      </c>
      <c r="AX203">
        <f>AX182</f>
        <v/>
      </c>
      <c r="AY203">
        <f>AY182</f>
        <v/>
      </c>
      <c r="AZ203">
        <f>AZ182</f>
        <v/>
      </c>
      <c r="BA203">
        <f>BA182</f>
        <v/>
      </c>
      <c r="BB203">
        <f>BB182</f>
        <v/>
      </c>
      <c r="BC203">
        <f>BC182</f>
        <v/>
      </c>
      <c r="BD203">
        <f>BD182</f>
        <v/>
      </c>
      <c r="BE203">
        <f>BE182</f>
        <v/>
      </c>
      <c r="BF203">
        <f>BF182</f>
        <v/>
      </c>
      <c r="BG203">
        <f>BG182</f>
        <v/>
      </c>
      <c r="BH203">
        <f>BH182</f>
        <v/>
      </c>
      <c r="BI203">
        <f>BI182</f>
        <v/>
      </c>
      <c r="BJ203">
        <f>BJ182</f>
        <v/>
      </c>
      <c r="BK203">
        <f>BK182</f>
        <v/>
      </c>
      <c r="BL203">
        <f>BL182</f>
        <v/>
      </c>
      <c r="BM203">
        <f>BM182</f>
        <v/>
      </c>
      <c r="BN203">
        <f>BN182</f>
        <v/>
      </c>
      <c r="BO203">
        <f>BO182</f>
        <v/>
      </c>
      <c r="BP203">
        <f>BP182</f>
        <v/>
      </c>
      <c r="BQ203">
        <f>BQ182</f>
        <v/>
      </c>
      <c r="BR203">
        <f>BR182</f>
        <v/>
      </c>
      <c r="BS203">
        <f>BS182</f>
        <v/>
      </c>
      <c r="BT203">
        <f>BT182</f>
        <v/>
      </c>
      <c r="BU203">
        <f>BU182</f>
        <v/>
      </c>
      <c r="BV203">
        <f>BV182</f>
        <v/>
      </c>
      <c r="BW203">
        <f>BW182</f>
        <v/>
      </c>
      <c r="BX203">
        <f>BX182</f>
        <v/>
      </c>
      <c r="BY203">
        <f>BY182</f>
        <v/>
      </c>
      <c r="BZ203">
        <f>BZ182</f>
        <v/>
      </c>
      <c r="CA203">
        <f>CA182</f>
        <v/>
      </c>
      <c r="CB203">
        <f>CB182</f>
        <v/>
      </c>
      <c r="CC203">
        <f>CC182</f>
        <v/>
      </c>
      <c r="CD203">
        <f>CD182</f>
        <v/>
      </c>
      <c r="CE203">
        <f>CE182</f>
        <v/>
      </c>
      <c r="CG203" s="6" t="n">
        <v>2018</v>
      </c>
      <c r="CH203" s="6" t="inlineStr">
        <is>
          <t>Tra_EV_Batt-NCA_virgin</t>
        </is>
      </c>
      <c r="CI203" s="6" t="n">
        <v>0.301</v>
      </c>
      <c r="CJ203" s="6" t="n">
        <v>0.26</v>
      </c>
      <c r="CK203" s="6" t="inlineStr">
        <is>
          <t>Transport_EV_global</t>
        </is>
      </c>
      <c r="CL203" s="6" t="inlineStr">
        <is>
          <t>Transport_EV_China</t>
        </is>
      </c>
      <c r="CM203" s="6" t="inlineStr">
        <is>
          <t>China transport EV curve is shifted earlier than the global curve to reflect earlier China EV/e-bus deployment in the 2010s.</t>
        </is>
      </c>
    </row>
    <row r="204" ht="14.5" customHeight="1" s="213">
      <c r="D204">
        <f>D203</f>
        <v/>
      </c>
      <c r="E204" t="inlineStr">
        <is>
          <t>Tra_EV_Batt-LMO_virgin</t>
        </is>
      </c>
      <c r="F204" s="208">
        <f>AW204*$AS204</f>
        <v/>
      </c>
      <c r="G204" s="208">
        <f>AX204*$AS204</f>
        <v/>
      </c>
      <c r="H204" s="208">
        <f>AY204*$AS204</f>
        <v/>
      </c>
      <c r="I204" s="208">
        <f>AZ204*$AS204</f>
        <v/>
      </c>
      <c r="J204" s="208">
        <f>BA204*$AS204</f>
        <v/>
      </c>
      <c r="K204" s="208">
        <f>BB204*$AS204</f>
        <v/>
      </c>
      <c r="L204" s="208">
        <f>BC204*$AS204</f>
        <v/>
      </c>
      <c r="M204" s="208">
        <f>BD204*$CI204</f>
        <v/>
      </c>
      <c r="N204" s="208">
        <f>BE204*$AS204</f>
        <v/>
      </c>
      <c r="O204" s="208">
        <f>BF204*$AS204</f>
        <v/>
      </c>
      <c r="P204" s="208">
        <f>BG204*$AS204</f>
        <v/>
      </c>
      <c r="Q204" s="208">
        <f>BH204*$AS204</f>
        <v/>
      </c>
      <c r="R204" s="208">
        <f>BI204*$AS204</f>
        <v/>
      </c>
      <c r="S204" s="208">
        <f>BJ204*$AS204</f>
        <v/>
      </c>
      <c r="T204" s="208">
        <f>BK204*$AS204</f>
        <v/>
      </c>
      <c r="U204" s="208">
        <f>BL204*$AS204</f>
        <v/>
      </c>
      <c r="V204" s="208">
        <f>BM204*$AS204</f>
        <v/>
      </c>
      <c r="W204" s="208">
        <f>BN204*$AS204</f>
        <v/>
      </c>
      <c r="X204" s="208">
        <f>BO204*$AS204</f>
        <v/>
      </c>
      <c r="Y204" s="208">
        <f>BP204*$AS204</f>
        <v/>
      </c>
      <c r="Z204" s="208">
        <f>BQ204*$AS204</f>
        <v/>
      </c>
      <c r="AA204" s="208">
        <f>BR204*$AS204</f>
        <v/>
      </c>
      <c r="AB204" s="208">
        <f>BS204*$AS204</f>
        <v/>
      </c>
      <c r="AC204" s="208">
        <f>BT204*$AS204</f>
        <v/>
      </c>
      <c r="AD204" s="208">
        <f>BU204*$AS204</f>
        <v/>
      </c>
      <c r="AE204" s="208">
        <f>BV204*$AS204</f>
        <v/>
      </c>
      <c r="AF204" s="208">
        <f>BW204*$AS204</f>
        <v/>
      </c>
      <c r="AG204" s="208">
        <f>BX204*$AS204</f>
        <v/>
      </c>
      <c r="AH204" s="208">
        <f>BY204*$AS204</f>
        <v/>
      </c>
      <c r="AI204" s="208">
        <f>BZ204*$AS204</f>
        <v/>
      </c>
      <c r="AJ204" s="208">
        <f>CA204*$AS204</f>
        <v/>
      </c>
      <c r="AK204" s="208">
        <f>CB204*$AS204</f>
        <v/>
      </c>
      <c r="AL204" s="208">
        <f>CC204*$AS204</f>
        <v/>
      </c>
      <c r="AM204" s="208">
        <f>CD204*$AS204</f>
        <v/>
      </c>
      <c r="AN204" s="208">
        <f>CE204*$AS204</f>
        <v/>
      </c>
      <c r="AQ204" s="6" t="n">
        <v>2018</v>
      </c>
      <c r="AR204" s="6" t="inlineStr">
        <is>
          <t>Tra_EV_Batt-LMO_virgin</t>
        </is>
      </c>
      <c r="AS204" s="6" t="n">
        <v>0.301</v>
      </c>
      <c r="AT204" s="6" t="inlineStr">
        <is>
          <t>Transport_EV_general</t>
        </is>
      </c>
      <c r="AU204" s="6" t="inlineStr">
        <is>
          <t>Back-loaded transport EV battery vintage curve based on historical EV deployment shape.</t>
        </is>
      </c>
      <c r="AV204">
        <f>AV183</f>
        <v/>
      </c>
      <c r="AW204">
        <f>AW183</f>
        <v/>
      </c>
      <c r="AX204">
        <f>AX183</f>
        <v/>
      </c>
      <c r="AY204">
        <f>AY183</f>
        <v/>
      </c>
      <c r="AZ204">
        <f>AZ183</f>
        <v/>
      </c>
      <c r="BA204">
        <f>BA183</f>
        <v/>
      </c>
      <c r="BB204">
        <f>BB183</f>
        <v/>
      </c>
      <c r="BC204">
        <f>BC183</f>
        <v/>
      </c>
      <c r="BD204">
        <f>BD183</f>
        <v/>
      </c>
      <c r="BE204">
        <f>BE183</f>
        <v/>
      </c>
      <c r="BF204">
        <f>BF183</f>
        <v/>
      </c>
      <c r="BG204">
        <f>BG183</f>
        <v/>
      </c>
      <c r="BH204">
        <f>BH183</f>
        <v/>
      </c>
      <c r="BI204">
        <f>BI183</f>
        <v/>
      </c>
      <c r="BJ204">
        <f>BJ183</f>
        <v/>
      </c>
      <c r="BK204">
        <f>BK183</f>
        <v/>
      </c>
      <c r="BL204">
        <f>BL183</f>
        <v/>
      </c>
      <c r="BM204">
        <f>BM183</f>
        <v/>
      </c>
      <c r="BN204">
        <f>BN183</f>
        <v/>
      </c>
      <c r="BO204">
        <f>BO183</f>
        <v/>
      </c>
      <c r="BP204">
        <f>BP183</f>
        <v/>
      </c>
      <c r="BQ204">
        <f>BQ183</f>
        <v/>
      </c>
      <c r="BR204">
        <f>BR183</f>
        <v/>
      </c>
      <c r="BS204">
        <f>BS183</f>
        <v/>
      </c>
      <c r="BT204">
        <f>BT183</f>
        <v/>
      </c>
      <c r="BU204">
        <f>BU183</f>
        <v/>
      </c>
      <c r="BV204">
        <f>BV183</f>
        <v/>
      </c>
      <c r="BW204">
        <f>BW183</f>
        <v/>
      </c>
      <c r="BX204">
        <f>BX183</f>
        <v/>
      </c>
      <c r="BY204">
        <f>BY183</f>
        <v/>
      </c>
      <c r="BZ204">
        <f>BZ183</f>
        <v/>
      </c>
      <c r="CA204">
        <f>CA183</f>
        <v/>
      </c>
      <c r="CB204">
        <f>CB183</f>
        <v/>
      </c>
      <c r="CC204">
        <f>CC183</f>
        <v/>
      </c>
      <c r="CD204">
        <f>CD183</f>
        <v/>
      </c>
      <c r="CE204">
        <f>CE183</f>
        <v/>
      </c>
      <c r="CG204" s="6" t="n">
        <v>2018</v>
      </c>
      <c r="CH204" s="6" t="inlineStr">
        <is>
          <t>Tra_EV_Batt-LMO_virgin</t>
        </is>
      </c>
      <c r="CI204" s="6" t="n">
        <v>0.301</v>
      </c>
      <c r="CJ204" s="6" t="n">
        <v>0.26</v>
      </c>
      <c r="CK204" s="6" t="inlineStr">
        <is>
          <t>Transport_EV_global</t>
        </is>
      </c>
      <c r="CL204" s="6" t="inlineStr">
        <is>
          <t>Transport_EV_China</t>
        </is>
      </c>
      <c r="CM204" s="6" t="inlineStr">
        <is>
          <t>China transport EV curve is shifted earlier than the global curve to reflect earlier China EV/e-bus deployment in the 2010s.</t>
        </is>
      </c>
    </row>
    <row r="205" ht="14.5" customHeight="1" s="213">
      <c r="D205">
        <f>D204</f>
        <v/>
      </c>
      <c r="E205" t="inlineStr">
        <is>
          <t>Tra_EV_Batt-NMC111_virgin</t>
        </is>
      </c>
      <c r="F205" s="208">
        <f>AW205*$AS205</f>
        <v/>
      </c>
      <c r="G205" s="208">
        <f>AX205*$AS205</f>
        <v/>
      </c>
      <c r="H205" s="208">
        <f>AY205*$AS205</f>
        <v/>
      </c>
      <c r="I205" s="208">
        <f>AZ205*$AS205</f>
        <v/>
      </c>
      <c r="J205" s="208">
        <f>BA205*$AS205</f>
        <v/>
      </c>
      <c r="K205" s="208">
        <f>BB205*$AS205</f>
        <v/>
      </c>
      <c r="L205" s="208">
        <f>BC205*$AS205</f>
        <v/>
      </c>
      <c r="M205" s="208">
        <f>BD205*$CI205</f>
        <v/>
      </c>
      <c r="N205" s="208">
        <f>BE205*$AS205</f>
        <v/>
      </c>
      <c r="O205" s="208">
        <f>BF205*$AS205</f>
        <v/>
      </c>
      <c r="P205" s="208">
        <f>BG205*$AS205</f>
        <v/>
      </c>
      <c r="Q205" s="208">
        <f>BH205*$AS205</f>
        <v/>
      </c>
      <c r="R205" s="208">
        <f>BI205*$AS205</f>
        <v/>
      </c>
      <c r="S205" s="208">
        <f>BJ205*$AS205</f>
        <v/>
      </c>
      <c r="T205" s="208">
        <f>BK205*$AS205</f>
        <v/>
      </c>
      <c r="U205" s="208">
        <f>BL205*$AS205</f>
        <v/>
      </c>
      <c r="V205" s="208">
        <f>BM205*$AS205</f>
        <v/>
      </c>
      <c r="W205" s="208">
        <f>BN205*$AS205</f>
        <v/>
      </c>
      <c r="X205" s="208">
        <f>BO205*$AS205</f>
        <v/>
      </c>
      <c r="Y205" s="208">
        <f>BP205*$AS205</f>
        <v/>
      </c>
      <c r="Z205" s="208">
        <f>BQ205*$AS205</f>
        <v/>
      </c>
      <c r="AA205" s="208">
        <f>BR205*$AS205</f>
        <v/>
      </c>
      <c r="AB205" s="208">
        <f>BS205*$AS205</f>
        <v/>
      </c>
      <c r="AC205" s="208">
        <f>BT205*$AS205</f>
        <v/>
      </c>
      <c r="AD205" s="208">
        <f>BU205*$AS205</f>
        <v/>
      </c>
      <c r="AE205" s="208">
        <f>BV205*$AS205</f>
        <v/>
      </c>
      <c r="AF205" s="208">
        <f>BW205*$AS205</f>
        <v/>
      </c>
      <c r="AG205" s="208">
        <f>BX205*$AS205</f>
        <v/>
      </c>
      <c r="AH205" s="208">
        <f>BY205*$AS205</f>
        <v/>
      </c>
      <c r="AI205" s="208">
        <f>BZ205*$AS205</f>
        <v/>
      </c>
      <c r="AJ205" s="208">
        <f>CA205*$AS205</f>
        <v/>
      </c>
      <c r="AK205" s="208">
        <f>CB205*$AS205</f>
        <v/>
      </c>
      <c r="AL205" s="208">
        <f>CC205*$AS205</f>
        <v/>
      </c>
      <c r="AM205" s="208">
        <f>CD205*$AS205</f>
        <v/>
      </c>
      <c r="AN205" s="208">
        <f>CE205*$AS205</f>
        <v/>
      </c>
      <c r="AQ205" s="6" t="n">
        <v>2018</v>
      </c>
      <c r="AR205" s="6" t="inlineStr">
        <is>
          <t>Tra_EV_Batt-NMC111_virgin</t>
        </is>
      </c>
      <c r="AS205" s="6" t="n">
        <v>0.301</v>
      </c>
      <c r="AT205" s="6" t="inlineStr">
        <is>
          <t>Transport_EV_general</t>
        </is>
      </c>
      <c r="AU205" s="6" t="inlineStr">
        <is>
          <t>Back-loaded transport EV battery vintage curve based on historical EV deployment shape.</t>
        </is>
      </c>
      <c r="AV205">
        <f>AV184</f>
        <v/>
      </c>
      <c r="AW205">
        <f>AW184</f>
        <v/>
      </c>
      <c r="AX205">
        <f>AX184</f>
        <v/>
      </c>
      <c r="AY205">
        <f>AY184</f>
        <v/>
      </c>
      <c r="AZ205">
        <f>AZ184</f>
        <v/>
      </c>
      <c r="BA205">
        <f>BA184</f>
        <v/>
      </c>
      <c r="BB205">
        <f>BB184</f>
        <v/>
      </c>
      <c r="BC205">
        <f>BC184</f>
        <v/>
      </c>
      <c r="BD205">
        <f>BD184</f>
        <v/>
      </c>
      <c r="BE205">
        <f>BE184</f>
        <v/>
      </c>
      <c r="BF205">
        <f>BF184</f>
        <v/>
      </c>
      <c r="BG205">
        <f>BG184</f>
        <v/>
      </c>
      <c r="BH205">
        <f>BH184</f>
        <v/>
      </c>
      <c r="BI205">
        <f>BI184</f>
        <v/>
      </c>
      <c r="BJ205">
        <f>BJ184</f>
        <v/>
      </c>
      <c r="BK205">
        <f>BK184</f>
        <v/>
      </c>
      <c r="BL205">
        <f>BL184</f>
        <v/>
      </c>
      <c r="BM205">
        <f>BM184</f>
        <v/>
      </c>
      <c r="BN205">
        <f>BN184</f>
        <v/>
      </c>
      <c r="BO205">
        <f>BO184</f>
        <v/>
      </c>
      <c r="BP205">
        <f>BP184</f>
        <v/>
      </c>
      <c r="BQ205">
        <f>BQ184</f>
        <v/>
      </c>
      <c r="BR205">
        <f>BR184</f>
        <v/>
      </c>
      <c r="BS205">
        <f>BS184</f>
        <v/>
      </c>
      <c r="BT205">
        <f>BT184</f>
        <v/>
      </c>
      <c r="BU205">
        <f>BU184</f>
        <v/>
      </c>
      <c r="BV205">
        <f>BV184</f>
        <v/>
      </c>
      <c r="BW205">
        <f>BW184</f>
        <v/>
      </c>
      <c r="BX205">
        <f>BX184</f>
        <v/>
      </c>
      <c r="BY205">
        <f>BY184</f>
        <v/>
      </c>
      <c r="BZ205">
        <f>BZ184</f>
        <v/>
      </c>
      <c r="CA205">
        <f>CA184</f>
        <v/>
      </c>
      <c r="CB205">
        <f>CB184</f>
        <v/>
      </c>
      <c r="CC205">
        <f>CC184</f>
        <v/>
      </c>
      <c r="CD205">
        <f>CD184</f>
        <v/>
      </c>
      <c r="CE205">
        <f>CE184</f>
        <v/>
      </c>
      <c r="CG205" s="6" t="n">
        <v>2018</v>
      </c>
      <c r="CH205" s="6" t="inlineStr">
        <is>
          <t>Tra_EV_Batt-NMC111_virgin</t>
        </is>
      </c>
      <c r="CI205" s="6" t="n">
        <v>0.301</v>
      </c>
      <c r="CJ205" s="6" t="n">
        <v>0.26</v>
      </c>
      <c r="CK205" s="6" t="inlineStr">
        <is>
          <t>Transport_EV_global</t>
        </is>
      </c>
      <c r="CL205" s="6" t="inlineStr">
        <is>
          <t>Transport_EV_China</t>
        </is>
      </c>
      <c r="CM205" s="6" t="inlineStr">
        <is>
          <t>China transport EV curve is shifted earlier than the global curve to reflect earlier China EV/e-bus deployment in the 2010s.</t>
        </is>
      </c>
    </row>
    <row r="206" ht="14.5" customHeight="1" s="213">
      <c r="D206">
        <f>D205</f>
        <v/>
      </c>
      <c r="E206" t="inlineStr">
        <is>
          <t>Tra_EV_Batt-LFP_virgin_pack</t>
        </is>
      </c>
      <c r="F206" s="208">
        <f>AW206*$AS206</f>
        <v/>
      </c>
      <c r="G206" s="208">
        <f>AX206*$AS206</f>
        <v/>
      </c>
      <c r="H206" s="208">
        <f>AY206*$AS206</f>
        <v/>
      </c>
      <c r="I206" s="208">
        <f>AZ206*$AS206</f>
        <v/>
      </c>
      <c r="J206" s="208">
        <f>BA206*$AS206</f>
        <v/>
      </c>
      <c r="K206" s="208">
        <f>BB206*$AS206</f>
        <v/>
      </c>
      <c r="L206" s="208">
        <f>BC206*$AS206</f>
        <v/>
      </c>
      <c r="M206" s="208">
        <f>BD206*$CI206</f>
        <v/>
      </c>
      <c r="N206" s="208">
        <f>BE206*$AS206</f>
        <v/>
      </c>
      <c r="O206" s="208">
        <f>BF206*$AS206</f>
        <v/>
      </c>
      <c r="P206" s="208">
        <f>BG206*$AS206</f>
        <v/>
      </c>
      <c r="Q206" s="208">
        <f>BH206*$AS206</f>
        <v/>
      </c>
      <c r="R206" s="208">
        <f>BI206*$AS206</f>
        <v/>
      </c>
      <c r="S206" s="208">
        <f>BJ206*$AS206</f>
        <v/>
      </c>
      <c r="T206" s="208">
        <f>BK206*$AS206</f>
        <v/>
      </c>
      <c r="U206" s="208">
        <f>BL206*$AS206</f>
        <v/>
      </c>
      <c r="V206" s="208">
        <f>BM206*$AS206</f>
        <v/>
      </c>
      <c r="W206" s="208">
        <f>BN206*$AS206</f>
        <v/>
      </c>
      <c r="X206" s="208">
        <f>BO206*$AS206</f>
        <v/>
      </c>
      <c r="Y206" s="208">
        <f>BP206*$AS206</f>
        <v/>
      </c>
      <c r="Z206" s="208">
        <f>BQ206*$AS206</f>
        <v/>
      </c>
      <c r="AA206" s="208">
        <f>BR206*$AS206</f>
        <v/>
      </c>
      <c r="AB206" s="208">
        <f>BS206*$AS206</f>
        <v/>
      </c>
      <c r="AC206" s="208">
        <f>BT206*$AS206</f>
        <v/>
      </c>
      <c r="AD206" s="208">
        <f>BU206*$AS206</f>
        <v/>
      </c>
      <c r="AE206" s="208">
        <f>BV206*$AS206</f>
        <v/>
      </c>
      <c r="AF206" s="208">
        <f>BW206*$AS206</f>
        <v/>
      </c>
      <c r="AG206" s="208">
        <f>BX206*$AS206</f>
        <v/>
      </c>
      <c r="AH206" s="208">
        <f>BY206*$AS206</f>
        <v/>
      </c>
      <c r="AI206" s="208">
        <f>BZ206*$AS206</f>
        <v/>
      </c>
      <c r="AJ206" s="208">
        <f>CA206*$AS206</f>
        <v/>
      </c>
      <c r="AK206" s="208">
        <f>CB206*$AS206</f>
        <v/>
      </c>
      <c r="AL206" s="208">
        <f>CC206*$AS206</f>
        <v/>
      </c>
      <c r="AM206" s="208">
        <f>CD206*$AS206</f>
        <v/>
      </c>
      <c r="AN206" s="208">
        <f>CE206*$AS206</f>
        <v/>
      </c>
      <c r="AQ206" s="6" t="n">
        <v>2018</v>
      </c>
      <c r="AR206" s="6" t="inlineStr">
        <is>
          <t>Tra_EV_Batt-LFP_virgin_pack</t>
        </is>
      </c>
      <c r="AS206" s="6" t="n">
        <v>0.301</v>
      </c>
      <c r="AT206" s="6" t="inlineStr">
        <is>
          <t>Transport_EV_general</t>
        </is>
      </c>
      <c r="AU206" s="6" t="inlineStr">
        <is>
          <t>Back-loaded transport EV battery vintage curve based on historical EV deployment shape.</t>
        </is>
      </c>
      <c r="AV206">
        <f>AV185</f>
        <v/>
      </c>
      <c r="AW206">
        <f>AW185</f>
        <v/>
      </c>
      <c r="AX206">
        <f>AX185</f>
        <v/>
      </c>
      <c r="AY206">
        <f>AY185</f>
        <v/>
      </c>
      <c r="AZ206">
        <f>AZ185</f>
        <v/>
      </c>
      <c r="BA206">
        <f>BA185</f>
        <v/>
      </c>
      <c r="BB206">
        <f>BB185</f>
        <v/>
      </c>
      <c r="BC206">
        <f>BC185</f>
        <v/>
      </c>
      <c r="BD206">
        <f>BD185</f>
        <v/>
      </c>
      <c r="BE206">
        <f>BE185</f>
        <v/>
      </c>
      <c r="BF206">
        <f>BF185</f>
        <v/>
      </c>
      <c r="BG206">
        <f>BG185</f>
        <v/>
      </c>
      <c r="BH206">
        <f>BH185</f>
        <v/>
      </c>
      <c r="BI206">
        <f>BI185</f>
        <v/>
      </c>
      <c r="BJ206">
        <f>BJ185</f>
        <v/>
      </c>
      <c r="BK206">
        <f>BK185</f>
        <v/>
      </c>
      <c r="BL206">
        <f>BL185</f>
        <v/>
      </c>
      <c r="BM206">
        <f>BM185</f>
        <v/>
      </c>
      <c r="BN206">
        <f>BN185</f>
        <v/>
      </c>
      <c r="BO206">
        <f>BO185</f>
        <v/>
      </c>
      <c r="BP206">
        <f>BP185</f>
        <v/>
      </c>
      <c r="BQ206">
        <f>BQ185</f>
        <v/>
      </c>
      <c r="BR206">
        <f>BR185</f>
        <v/>
      </c>
      <c r="BS206">
        <f>BS185</f>
        <v/>
      </c>
      <c r="BT206">
        <f>BT185</f>
        <v/>
      </c>
      <c r="BU206">
        <f>BU185</f>
        <v/>
      </c>
      <c r="BV206">
        <f>BV185</f>
        <v/>
      </c>
      <c r="BW206">
        <f>BW185</f>
        <v/>
      </c>
      <c r="BX206">
        <f>BX185</f>
        <v/>
      </c>
      <c r="BY206">
        <f>BY185</f>
        <v/>
      </c>
      <c r="BZ206">
        <f>BZ185</f>
        <v/>
      </c>
      <c r="CA206">
        <f>CA185</f>
        <v/>
      </c>
      <c r="CB206">
        <f>CB185</f>
        <v/>
      </c>
      <c r="CC206">
        <f>CC185</f>
        <v/>
      </c>
      <c r="CD206">
        <f>CD185</f>
        <v/>
      </c>
      <c r="CE206">
        <f>CE185</f>
        <v/>
      </c>
      <c r="CG206" s="6" t="n">
        <v>2018</v>
      </c>
      <c r="CH206" s="6" t="inlineStr">
        <is>
          <t>Tra_EV_Batt-LFP_virgin_pack</t>
        </is>
      </c>
      <c r="CI206" s="6" t="n">
        <v>0.301</v>
      </c>
      <c r="CJ206" s="6" t="n">
        <v>0.26</v>
      </c>
      <c r="CK206" s="6" t="inlineStr">
        <is>
          <t>Transport_EV_global</t>
        </is>
      </c>
      <c r="CL206" s="6" t="inlineStr">
        <is>
          <t>Transport_EV_China</t>
        </is>
      </c>
      <c r="CM206" s="6" t="inlineStr">
        <is>
          <t>China transport EV curve is shifted earlier than the global curve to reflect earlier China EV/e-bus deployment in the 2010s.</t>
        </is>
      </c>
    </row>
    <row r="207" ht="14.5" customHeight="1" s="213">
      <c r="D207">
        <f>D206</f>
        <v/>
      </c>
      <c r="E207" t="inlineStr">
        <is>
          <t>Tra_EV_Batt-NMC622_virgin_pack</t>
        </is>
      </c>
      <c r="F207" s="208">
        <f>AW207*$AS207</f>
        <v/>
      </c>
      <c r="G207" s="208">
        <f>AX207*$AS207</f>
        <v/>
      </c>
      <c r="H207" s="208">
        <f>AY207*$AS207</f>
        <v/>
      </c>
      <c r="I207" s="208">
        <f>AZ207*$AS207</f>
        <v/>
      </c>
      <c r="J207" s="208">
        <f>BA207*$AS207</f>
        <v/>
      </c>
      <c r="K207" s="208">
        <f>BB207*$AS207</f>
        <v/>
      </c>
      <c r="L207" s="208">
        <f>BC207*$AS207</f>
        <v/>
      </c>
      <c r="M207" s="208">
        <f>BD207*$CI207</f>
        <v/>
      </c>
      <c r="N207" s="208">
        <f>BE207*$AS207</f>
        <v/>
      </c>
      <c r="O207" s="208">
        <f>BF207*$AS207</f>
        <v/>
      </c>
      <c r="P207" s="208">
        <f>BG207*$AS207</f>
        <v/>
      </c>
      <c r="Q207" s="208">
        <f>BH207*$AS207</f>
        <v/>
      </c>
      <c r="R207" s="208">
        <f>BI207*$AS207</f>
        <v/>
      </c>
      <c r="S207" s="208">
        <f>BJ207*$AS207</f>
        <v/>
      </c>
      <c r="T207" s="208">
        <f>BK207*$AS207</f>
        <v/>
      </c>
      <c r="U207" s="208">
        <f>BL207*$AS207</f>
        <v/>
      </c>
      <c r="V207" s="208">
        <f>BM207*$AS207</f>
        <v/>
      </c>
      <c r="W207" s="208">
        <f>BN207*$AS207</f>
        <v/>
      </c>
      <c r="X207" s="208">
        <f>BO207*$AS207</f>
        <v/>
      </c>
      <c r="Y207" s="208">
        <f>BP207*$AS207</f>
        <v/>
      </c>
      <c r="Z207" s="208">
        <f>BQ207*$AS207</f>
        <v/>
      </c>
      <c r="AA207" s="208">
        <f>BR207*$AS207</f>
        <v/>
      </c>
      <c r="AB207" s="208">
        <f>BS207*$AS207</f>
        <v/>
      </c>
      <c r="AC207" s="208">
        <f>BT207*$AS207</f>
        <v/>
      </c>
      <c r="AD207" s="208">
        <f>BU207*$AS207</f>
        <v/>
      </c>
      <c r="AE207" s="208">
        <f>BV207*$AS207</f>
        <v/>
      </c>
      <c r="AF207" s="208">
        <f>BW207*$AS207</f>
        <v/>
      </c>
      <c r="AG207" s="208">
        <f>BX207*$AS207</f>
        <v/>
      </c>
      <c r="AH207" s="208">
        <f>BY207*$AS207</f>
        <v/>
      </c>
      <c r="AI207" s="208">
        <f>BZ207*$AS207</f>
        <v/>
      </c>
      <c r="AJ207" s="208">
        <f>CA207*$AS207</f>
        <v/>
      </c>
      <c r="AK207" s="208">
        <f>CB207*$AS207</f>
        <v/>
      </c>
      <c r="AL207" s="208">
        <f>CC207*$AS207</f>
        <v/>
      </c>
      <c r="AM207" s="208">
        <f>CD207*$AS207</f>
        <v/>
      </c>
      <c r="AN207" s="208">
        <f>CE207*$AS207</f>
        <v/>
      </c>
      <c r="AQ207" s="6" t="n">
        <v>2018</v>
      </c>
      <c r="AR207" s="6" t="inlineStr">
        <is>
          <t>Tra_EV_Batt-NMC622_virgin_pack</t>
        </is>
      </c>
      <c r="AS207" s="6" t="n">
        <v>0.301</v>
      </c>
      <c r="AT207" s="6" t="inlineStr">
        <is>
          <t>Transport_EV_general</t>
        </is>
      </c>
      <c r="AU207" s="6" t="inlineStr">
        <is>
          <t>Back-loaded transport EV battery vintage curve based on historical EV deployment shape.</t>
        </is>
      </c>
      <c r="AV207">
        <f>AV186</f>
        <v/>
      </c>
      <c r="AW207">
        <f>AW186</f>
        <v/>
      </c>
      <c r="AX207">
        <f>AX186</f>
        <v/>
      </c>
      <c r="AY207">
        <f>AY186</f>
        <v/>
      </c>
      <c r="AZ207">
        <f>AZ186</f>
        <v/>
      </c>
      <c r="BA207">
        <f>BA186</f>
        <v/>
      </c>
      <c r="BB207">
        <f>BB186</f>
        <v/>
      </c>
      <c r="BC207">
        <f>BC186</f>
        <v/>
      </c>
      <c r="BD207">
        <f>BD186</f>
        <v/>
      </c>
      <c r="BE207">
        <f>BE186</f>
        <v/>
      </c>
      <c r="BF207">
        <f>BF186</f>
        <v/>
      </c>
      <c r="BG207">
        <f>BG186</f>
        <v/>
      </c>
      <c r="BH207">
        <f>BH186</f>
        <v/>
      </c>
      <c r="BI207">
        <f>BI186</f>
        <v/>
      </c>
      <c r="BJ207">
        <f>BJ186</f>
        <v/>
      </c>
      <c r="BK207">
        <f>BK186</f>
        <v/>
      </c>
      <c r="BL207">
        <f>BL186</f>
        <v/>
      </c>
      <c r="BM207">
        <f>BM186</f>
        <v/>
      </c>
      <c r="BN207">
        <f>BN186</f>
        <v/>
      </c>
      <c r="BO207">
        <f>BO186</f>
        <v/>
      </c>
      <c r="BP207">
        <f>BP186</f>
        <v/>
      </c>
      <c r="BQ207">
        <f>BQ186</f>
        <v/>
      </c>
      <c r="BR207">
        <f>BR186</f>
        <v/>
      </c>
      <c r="BS207">
        <f>BS186</f>
        <v/>
      </c>
      <c r="BT207">
        <f>BT186</f>
        <v/>
      </c>
      <c r="BU207">
        <f>BU186</f>
        <v/>
      </c>
      <c r="BV207">
        <f>BV186</f>
        <v/>
      </c>
      <c r="BW207">
        <f>BW186</f>
        <v/>
      </c>
      <c r="BX207">
        <f>BX186</f>
        <v/>
      </c>
      <c r="BY207">
        <f>BY186</f>
        <v/>
      </c>
      <c r="BZ207">
        <f>BZ186</f>
        <v/>
      </c>
      <c r="CA207">
        <f>CA186</f>
        <v/>
      </c>
      <c r="CB207">
        <f>CB186</f>
        <v/>
      </c>
      <c r="CC207">
        <f>CC186</f>
        <v/>
      </c>
      <c r="CD207">
        <f>CD186</f>
        <v/>
      </c>
      <c r="CE207">
        <f>CE186</f>
        <v/>
      </c>
      <c r="CG207" s="6" t="n">
        <v>2018</v>
      </c>
      <c r="CH207" s="6" t="inlineStr">
        <is>
          <t>Tra_EV_Batt-NMC622_virgin_pack</t>
        </is>
      </c>
      <c r="CI207" s="6" t="n">
        <v>0.301</v>
      </c>
      <c r="CJ207" s="6" t="n">
        <v>0.26</v>
      </c>
      <c r="CK207" s="6" t="inlineStr">
        <is>
          <t>Transport_EV_global</t>
        </is>
      </c>
      <c r="CL207" s="6" t="inlineStr">
        <is>
          <t>Transport_EV_China</t>
        </is>
      </c>
      <c r="CM207" s="6" t="inlineStr">
        <is>
          <t>China transport EV curve is shifted earlier than the global curve to reflect earlier China EV/e-bus deployment in the 2010s.</t>
        </is>
      </c>
    </row>
    <row r="208" ht="14.5" customHeight="1" s="213">
      <c r="D208">
        <f>D207</f>
        <v/>
      </c>
      <c r="E208" t="inlineStr">
        <is>
          <t>Tra_EV_Batt-NMC811_virgin_pack</t>
        </is>
      </c>
      <c r="F208" s="208">
        <f>AW208*$AS208</f>
        <v/>
      </c>
      <c r="G208" s="208">
        <f>AX208*$AS208</f>
        <v/>
      </c>
      <c r="H208" s="208">
        <f>AY208*$AS208</f>
        <v/>
      </c>
      <c r="I208" s="208">
        <f>AZ208*$AS208</f>
        <v/>
      </c>
      <c r="J208" s="208">
        <f>BA208*$AS208</f>
        <v/>
      </c>
      <c r="K208" s="208">
        <f>BB208*$AS208</f>
        <v/>
      </c>
      <c r="L208" s="208">
        <f>BC208*$AS208</f>
        <v/>
      </c>
      <c r="M208" s="208">
        <f>BD208*$CI208</f>
        <v/>
      </c>
      <c r="N208" s="208">
        <f>BE208*$AS208</f>
        <v/>
      </c>
      <c r="O208" s="208">
        <f>BF208*$AS208</f>
        <v/>
      </c>
      <c r="P208" s="208">
        <f>BG208*$AS208</f>
        <v/>
      </c>
      <c r="Q208" s="208">
        <f>BH208*$AS208</f>
        <v/>
      </c>
      <c r="R208" s="208">
        <f>BI208*$AS208</f>
        <v/>
      </c>
      <c r="S208" s="208">
        <f>BJ208*$AS208</f>
        <v/>
      </c>
      <c r="T208" s="208">
        <f>BK208*$AS208</f>
        <v/>
      </c>
      <c r="U208" s="208">
        <f>BL208*$AS208</f>
        <v/>
      </c>
      <c r="V208" s="208">
        <f>BM208*$AS208</f>
        <v/>
      </c>
      <c r="W208" s="208">
        <f>BN208*$AS208</f>
        <v/>
      </c>
      <c r="X208" s="208">
        <f>BO208*$AS208</f>
        <v/>
      </c>
      <c r="Y208" s="208">
        <f>BP208*$AS208</f>
        <v/>
      </c>
      <c r="Z208" s="208">
        <f>BQ208*$AS208</f>
        <v/>
      </c>
      <c r="AA208" s="208">
        <f>BR208*$AS208</f>
        <v/>
      </c>
      <c r="AB208" s="208">
        <f>BS208*$AS208</f>
        <v/>
      </c>
      <c r="AC208" s="208">
        <f>BT208*$AS208</f>
        <v/>
      </c>
      <c r="AD208" s="208">
        <f>BU208*$AS208</f>
        <v/>
      </c>
      <c r="AE208" s="208">
        <f>BV208*$AS208</f>
        <v/>
      </c>
      <c r="AF208" s="208">
        <f>BW208*$AS208</f>
        <v/>
      </c>
      <c r="AG208" s="208">
        <f>BX208*$AS208</f>
        <v/>
      </c>
      <c r="AH208" s="208">
        <f>BY208*$AS208</f>
        <v/>
      </c>
      <c r="AI208" s="208">
        <f>BZ208*$AS208</f>
        <v/>
      </c>
      <c r="AJ208" s="208">
        <f>CA208*$AS208</f>
        <v/>
      </c>
      <c r="AK208" s="208">
        <f>CB208*$AS208</f>
        <v/>
      </c>
      <c r="AL208" s="208">
        <f>CC208*$AS208</f>
        <v/>
      </c>
      <c r="AM208" s="208">
        <f>CD208*$AS208</f>
        <v/>
      </c>
      <c r="AN208" s="208">
        <f>CE208*$AS208</f>
        <v/>
      </c>
      <c r="AQ208" s="6" t="n">
        <v>2018</v>
      </c>
      <c r="AR208" s="6" t="inlineStr">
        <is>
          <t>Tra_EV_Batt-NMC811_virgin_pack</t>
        </is>
      </c>
      <c r="AS208" s="6" t="n">
        <v>0.301</v>
      </c>
      <c r="AT208" s="6" t="inlineStr">
        <is>
          <t>Transport_EV_general</t>
        </is>
      </c>
      <c r="AU208" s="6" t="inlineStr">
        <is>
          <t>Back-loaded transport EV battery vintage curve based on historical EV deployment shape.</t>
        </is>
      </c>
      <c r="AV208">
        <f>AV187</f>
        <v/>
      </c>
      <c r="AW208">
        <f>AW187</f>
        <v/>
      </c>
      <c r="AX208">
        <f>AX187</f>
        <v/>
      </c>
      <c r="AY208">
        <f>AY187</f>
        <v/>
      </c>
      <c r="AZ208">
        <f>AZ187</f>
        <v/>
      </c>
      <c r="BA208">
        <f>BA187</f>
        <v/>
      </c>
      <c r="BB208">
        <f>BB187</f>
        <v/>
      </c>
      <c r="BC208">
        <f>BC187</f>
        <v/>
      </c>
      <c r="BD208">
        <f>BD187</f>
        <v/>
      </c>
      <c r="BE208">
        <f>BE187</f>
        <v/>
      </c>
      <c r="BF208">
        <f>BF187</f>
        <v/>
      </c>
      <c r="BG208">
        <f>BG187</f>
        <v/>
      </c>
      <c r="BH208">
        <f>BH187</f>
        <v/>
      </c>
      <c r="BI208">
        <f>BI187</f>
        <v/>
      </c>
      <c r="BJ208">
        <f>BJ187</f>
        <v/>
      </c>
      <c r="BK208">
        <f>BK187</f>
        <v/>
      </c>
      <c r="BL208">
        <f>BL187</f>
        <v/>
      </c>
      <c r="BM208">
        <f>BM187</f>
        <v/>
      </c>
      <c r="BN208">
        <f>BN187</f>
        <v/>
      </c>
      <c r="BO208">
        <f>BO187</f>
        <v/>
      </c>
      <c r="BP208">
        <f>BP187</f>
        <v/>
      </c>
      <c r="BQ208">
        <f>BQ187</f>
        <v/>
      </c>
      <c r="BR208">
        <f>BR187</f>
        <v/>
      </c>
      <c r="BS208">
        <f>BS187</f>
        <v/>
      </c>
      <c r="BT208">
        <f>BT187</f>
        <v/>
      </c>
      <c r="BU208">
        <f>BU187</f>
        <v/>
      </c>
      <c r="BV208">
        <f>BV187</f>
        <v/>
      </c>
      <c r="BW208">
        <f>BW187</f>
        <v/>
      </c>
      <c r="BX208">
        <f>BX187</f>
        <v/>
      </c>
      <c r="BY208">
        <f>BY187</f>
        <v/>
      </c>
      <c r="BZ208">
        <f>BZ187</f>
        <v/>
      </c>
      <c r="CA208">
        <f>CA187</f>
        <v/>
      </c>
      <c r="CB208">
        <f>CB187</f>
        <v/>
      </c>
      <c r="CC208">
        <f>CC187</f>
        <v/>
      </c>
      <c r="CD208">
        <f>CD187</f>
        <v/>
      </c>
      <c r="CE208">
        <f>CE187</f>
        <v/>
      </c>
      <c r="CG208" s="6" t="n">
        <v>2018</v>
      </c>
      <c r="CH208" s="6" t="inlineStr">
        <is>
          <t>Tra_EV_Batt-NMC811_virgin_pack</t>
        </is>
      </c>
      <c r="CI208" s="6" t="n">
        <v>0.301</v>
      </c>
      <c r="CJ208" s="6" t="n">
        <v>0.26</v>
      </c>
      <c r="CK208" s="6" t="inlineStr">
        <is>
          <t>Transport_EV_global</t>
        </is>
      </c>
      <c r="CL208" s="6" t="inlineStr">
        <is>
          <t>Transport_EV_China</t>
        </is>
      </c>
      <c r="CM208" s="6" t="inlineStr">
        <is>
          <t>China transport EV curve is shifted earlier than the global curve to reflect earlier China EV/e-bus deployment in the 2010s.</t>
        </is>
      </c>
    </row>
    <row r="209" ht="14.5" customHeight="1" s="213">
      <c r="D209">
        <f>D208</f>
        <v/>
      </c>
      <c r="E209" t="inlineStr">
        <is>
          <t>Tra_EV_Batt-NMC532_virgin_pack</t>
        </is>
      </c>
      <c r="F209" s="208">
        <f>AW209*$AS209</f>
        <v/>
      </c>
      <c r="G209" s="208">
        <f>AX209*$AS209</f>
        <v/>
      </c>
      <c r="H209" s="208">
        <f>AY209*$AS209</f>
        <v/>
      </c>
      <c r="I209" s="208">
        <f>AZ209*$AS209</f>
        <v/>
      </c>
      <c r="J209" s="208">
        <f>BA209*$AS209</f>
        <v/>
      </c>
      <c r="K209" s="208">
        <f>BB209*$AS209</f>
        <v/>
      </c>
      <c r="L209" s="208">
        <f>BC209*$AS209</f>
        <v/>
      </c>
      <c r="M209" s="208">
        <f>BD209*$CI209</f>
        <v/>
      </c>
      <c r="N209" s="208">
        <f>BE209*$AS209</f>
        <v/>
      </c>
      <c r="O209" s="208">
        <f>BF209*$AS209</f>
        <v/>
      </c>
      <c r="P209" s="208">
        <f>BG209*$AS209</f>
        <v/>
      </c>
      <c r="Q209" s="208">
        <f>BH209*$AS209</f>
        <v/>
      </c>
      <c r="R209" s="208">
        <f>BI209*$AS209</f>
        <v/>
      </c>
      <c r="S209" s="208">
        <f>BJ209*$AS209</f>
        <v/>
      </c>
      <c r="T209" s="208">
        <f>BK209*$AS209</f>
        <v/>
      </c>
      <c r="U209" s="208">
        <f>BL209*$AS209</f>
        <v/>
      </c>
      <c r="V209" s="208">
        <f>BM209*$AS209</f>
        <v/>
      </c>
      <c r="W209" s="208">
        <f>BN209*$AS209</f>
        <v/>
      </c>
      <c r="X209" s="208">
        <f>BO209*$AS209</f>
        <v/>
      </c>
      <c r="Y209" s="208">
        <f>BP209*$AS209</f>
        <v/>
      </c>
      <c r="Z209" s="208">
        <f>BQ209*$AS209</f>
        <v/>
      </c>
      <c r="AA209" s="208">
        <f>BR209*$AS209</f>
        <v/>
      </c>
      <c r="AB209" s="208">
        <f>BS209*$AS209</f>
        <v/>
      </c>
      <c r="AC209" s="208">
        <f>BT209*$AS209</f>
        <v/>
      </c>
      <c r="AD209" s="208">
        <f>BU209*$AS209</f>
        <v/>
      </c>
      <c r="AE209" s="208">
        <f>BV209*$AS209</f>
        <v/>
      </c>
      <c r="AF209" s="208">
        <f>BW209*$AS209</f>
        <v/>
      </c>
      <c r="AG209" s="208">
        <f>BX209*$AS209</f>
        <v/>
      </c>
      <c r="AH209" s="208">
        <f>BY209*$AS209</f>
        <v/>
      </c>
      <c r="AI209" s="208">
        <f>BZ209*$AS209</f>
        <v/>
      </c>
      <c r="AJ209" s="208">
        <f>CA209*$AS209</f>
        <v/>
      </c>
      <c r="AK209" s="208">
        <f>CB209*$AS209</f>
        <v/>
      </c>
      <c r="AL209" s="208">
        <f>CC209*$AS209</f>
        <v/>
      </c>
      <c r="AM209" s="208">
        <f>CD209*$AS209</f>
        <v/>
      </c>
      <c r="AN209" s="208">
        <f>CE209*$AS209</f>
        <v/>
      </c>
      <c r="AQ209" s="6" t="n">
        <v>2018</v>
      </c>
      <c r="AR209" s="6" t="inlineStr">
        <is>
          <t>Tra_EV_Batt-NMC532_virgin_pack</t>
        </is>
      </c>
      <c r="AS209" s="6" t="n">
        <v>0.301</v>
      </c>
      <c r="AT209" s="6" t="inlineStr">
        <is>
          <t>Transport_EV_general</t>
        </is>
      </c>
      <c r="AU209" s="6" t="inlineStr">
        <is>
          <t>Back-loaded transport EV battery vintage curve based on historical EV deployment shape.</t>
        </is>
      </c>
      <c r="AV209">
        <f>AV188</f>
        <v/>
      </c>
      <c r="AW209">
        <f>AW188</f>
        <v/>
      </c>
      <c r="AX209">
        <f>AX188</f>
        <v/>
      </c>
      <c r="AY209">
        <f>AY188</f>
        <v/>
      </c>
      <c r="AZ209">
        <f>AZ188</f>
        <v/>
      </c>
      <c r="BA209">
        <f>BA188</f>
        <v/>
      </c>
      <c r="BB209">
        <f>BB188</f>
        <v/>
      </c>
      <c r="BC209">
        <f>BC188</f>
        <v/>
      </c>
      <c r="BD209">
        <f>BD188</f>
        <v/>
      </c>
      <c r="BE209">
        <f>BE188</f>
        <v/>
      </c>
      <c r="BF209">
        <f>BF188</f>
        <v/>
      </c>
      <c r="BG209">
        <f>BG188</f>
        <v/>
      </c>
      <c r="BH209">
        <f>BH188</f>
        <v/>
      </c>
      <c r="BI209">
        <f>BI188</f>
        <v/>
      </c>
      <c r="BJ209">
        <f>BJ188</f>
        <v/>
      </c>
      <c r="BK209">
        <f>BK188</f>
        <v/>
      </c>
      <c r="BL209">
        <f>BL188</f>
        <v/>
      </c>
      <c r="BM209">
        <f>BM188</f>
        <v/>
      </c>
      <c r="BN209">
        <f>BN188</f>
        <v/>
      </c>
      <c r="BO209">
        <f>BO188</f>
        <v/>
      </c>
      <c r="BP209">
        <f>BP188</f>
        <v/>
      </c>
      <c r="BQ209">
        <f>BQ188</f>
        <v/>
      </c>
      <c r="BR209">
        <f>BR188</f>
        <v/>
      </c>
      <c r="BS209">
        <f>BS188</f>
        <v/>
      </c>
      <c r="BT209">
        <f>BT188</f>
        <v/>
      </c>
      <c r="BU209">
        <f>BU188</f>
        <v/>
      </c>
      <c r="BV209">
        <f>BV188</f>
        <v/>
      </c>
      <c r="BW209">
        <f>BW188</f>
        <v/>
      </c>
      <c r="BX209">
        <f>BX188</f>
        <v/>
      </c>
      <c r="BY209">
        <f>BY188</f>
        <v/>
      </c>
      <c r="BZ209">
        <f>BZ188</f>
        <v/>
      </c>
      <c r="CA209">
        <f>CA188</f>
        <v/>
      </c>
      <c r="CB209">
        <f>CB188</f>
        <v/>
      </c>
      <c r="CC209">
        <f>CC188</f>
        <v/>
      </c>
      <c r="CD209">
        <f>CD188</f>
        <v/>
      </c>
      <c r="CE209">
        <f>CE188</f>
        <v/>
      </c>
      <c r="CG209" s="6" t="n">
        <v>2018</v>
      </c>
      <c r="CH209" s="6" t="inlineStr">
        <is>
          <t>Tra_EV_Batt-NMC532_virgin_pack</t>
        </is>
      </c>
      <c r="CI209" s="6" t="n">
        <v>0.301</v>
      </c>
      <c r="CJ209" s="6" t="n">
        <v>0.26</v>
      </c>
      <c r="CK209" s="6" t="inlineStr">
        <is>
          <t>Transport_EV_global</t>
        </is>
      </c>
      <c r="CL209" s="6" t="inlineStr">
        <is>
          <t>Transport_EV_China</t>
        </is>
      </c>
      <c r="CM209" s="6" t="inlineStr">
        <is>
          <t>China transport EV curve is shifted earlier than the global curve to reflect earlier China EV/e-bus deployment in the 2010s.</t>
        </is>
      </c>
    </row>
    <row r="210" ht="14.5" customHeight="1" s="213">
      <c r="D210">
        <f>D209</f>
        <v/>
      </c>
      <c r="E210" t="inlineStr">
        <is>
          <t>Tra_EV_Batt-NCA_virgin_pack</t>
        </is>
      </c>
      <c r="F210" s="208">
        <f>AW210*$AS210</f>
        <v/>
      </c>
      <c r="G210" s="208">
        <f>AX210*$AS210</f>
        <v/>
      </c>
      <c r="H210" s="208">
        <f>AY210*$AS210</f>
        <v/>
      </c>
      <c r="I210" s="208">
        <f>AZ210*$AS210</f>
        <v/>
      </c>
      <c r="J210" s="208">
        <f>BA210*$AS210</f>
        <v/>
      </c>
      <c r="K210" s="208">
        <f>BB210*$AS210</f>
        <v/>
      </c>
      <c r="L210" s="208">
        <f>BC210*$AS210</f>
        <v/>
      </c>
      <c r="M210" s="208">
        <f>BD210*$CI210</f>
        <v/>
      </c>
      <c r="N210" s="208">
        <f>BE210*$AS210</f>
        <v/>
      </c>
      <c r="O210" s="208">
        <f>BF210*$AS210</f>
        <v/>
      </c>
      <c r="P210" s="208">
        <f>BG210*$AS210</f>
        <v/>
      </c>
      <c r="Q210" s="208">
        <f>BH210*$AS210</f>
        <v/>
      </c>
      <c r="R210" s="208">
        <f>BI210*$AS210</f>
        <v/>
      </c>
      <c r="S210" s="208">
        <f>BJ210*$AS210</f>
        <v/>
      </c>
      <c r="T210" s="208">
        <f>BK210*$AS210</f>
        <v/>
      </c>
      <c r="U210" s="208">
        <f>BL210*$AS210</f>
        <v/>
      </c>
      <c r="V210" s="208">
        <f>BM210*$AS210</f>
        <v/>
      </c>
      <c r="W210" s="208">
        <f>BN210*$AS210</f>
        <v/>
      </c>
      <c r="X210" s="208">
        <f>BO210*$AS210</f>
        <v/>
      </c>
      <c r="Y210" s="208">
        <f>BP210*$AS210</f>
        <v/>
      </c>
      <c r="Z210" s="208">
        <f>BQ210*$AS210</f>
        <v/>
      </c>
      <c r="AA210" s="208">
        <f>BR210*$AS210</f>
        <v/>
      </c>
      <c r="AB210" s="208">
        <f>BS210*$AS210</f>
        <v/>
      </c>
      <c r="AC210" s="208">
        <f>BT210*$AS210</f>
        <v/>
      </c>
      <c r="AD210" s="208">
        <f>BU210*$AS210</f>
        <v/>
      </c>
      <c r="AE210" s="208">
        <f>BV210*$AS210</f>
        <v/>
      </c>
      <c r="AF210" s="208">
        <f>BW210*$AS210</f>
        <v/>
      </c>
      <c r="AG210" s="208">
        <f>BX210*$AS210</f>
        <v/>
      </c>
      <c r="AH210" s="208">
        <f>BY210*$AS210</f>
        <v/>
      </c>
      <c r="AI210" s="208">
        <f>BZ210*$AS210</f>
        <v/>
      </c>
      <c r="AJ210" s="208">
        <f>CA210*$AS210</f>
        <v/>
      </c>
      <c r="AK210" s="208">
        <f>CB210*$AS210</f>
        <v/>
      </c>
      <c r="AL210" s="208">
        <f>CC210*$AS210</f>
        <v/>
      </c>
      <c r="AM210" s="208">
        <f>CD210*$AS210</f>
        <v/>
      </c>
      <c r="AN210" s="208">
        <f>CE210*$AS210</f>
        <v/>
      </c>
      <c r="AQ210" s="6" t="n">
        <v>2018</v>
      </c>
      <c r="AR210" s="6" t="inlineStr">
        <is>
          <t>Tra_EV_Batt-NCA_virgin_pack</t>
        </is>
      </c>
      <c r="AS210" s="6" t="n">
        <v>0.301</v>
      </c>
      <c r="AT210" s="6" t="inlineStr">
        <is>
          <t>Transport_EV_general</t>
        </is>
      </c>
      <c r="AU210" s="6" t="inlineStr">
        <is>
          <t>Back-loaded transport EV battery vintage curve based on historical EV deployment shape.</t>
        </is>
      </c>
      <c r="AV210">
        <f>AV189</f>
        <v/>
      </c>
      <c r="AW210">
        <f>AW189</f>
        <v/>
      </c>
      <c r="AX210">
        <f>AX189</f>
        <v/>
      </c>
      <c r="AY210">
        <f>AY189</f>
        <v/>
      </c>
      <c r="AZ210">
        <f>AZ189</f>
        <v/>
      </c>
      <c r="BA210">
        <f>BA189</f>
        <v/>
      </c>
      <c r="BB210">
        <f>BB189</f>
        <v/>
      </c>
      <c r="BC210">
        <f>BC189</f>
        <v/>
      </c>
      <c r="BD210">
        <f>BD189</f>
        <v/>
      </c>
      <c r="BE210">
        <f>BE189</f>
        <v/>
      </c>
      <c r="BF210">
        <f>BF189</f>
        <v/>
      </c>
      <c r="BG210">
        <f>BG189</f>
        <v/>
      </c>
      <c r="BH210">
        <f>BH189</f>
        <v/>
      </c>
      <c r="BI210">
        <f>BI189</f>
        <v/>
      </c>
      <c r="BJ210">
        <f>BJ189</f>
        <v/>
      </c>
      <c r="BK210">
        <f>BK189</f>
        <v/>
      </c>
      <c r="BL210">
        <f>BL189</f>
        <v/>
      </c>
      <c r="BM210">
        <f>BM189</f>
        <v/>
      </c>
      <c r="BN210">
        <f>BN189</f>
        <v/>
      </c>
      <c r="BO210">
        <f>BO189</f>
        <v/>
      </c>
      <c r="BP210">
        <f>BP189</f>
        <v/>
      </c>
      <c r="BQ210">
        <f>BQ189</f>
        <v/>
      </c>
      <c r="BR210">
        <f>BR189</f>
        <v/>
      </c>
      <c r="BS210">
        <f>BS189</f>
        <v/>
      </c>
      <c r="BT210">
        <f>BT189</f>
        <v/>
      </c>
      <c r="BU210">
        <f>BU189</f>
        <v/>
      </c>
      <c r="BV210">
        <f>BV189</f>
        <v/>
      </c>
      <c r="BW210">
        <f>BW189</f>
        <v/>
      </c>
      <c r="BX210">
        <f>BX189</f>
        <v/>
      </c>
      <c r="BY210">
        <f>BY189</f>
        <v/>
      </c>
      <c r="BZ210">
        <f>BZ189</f>
        <v/>
      </c>
      <c r="CA210">
        <f>CA189</f>
        <v/>
      </c>
      <c r="CB210">
        <f>CB189</f>
        <v/>
      </c>
      <c r="CC210">
        <f>CC189</f>
        <v/>
      </c>
      <c r="CD210">
        <f>CD189</f>
        <v/>
      </c>
      <c r="CE210">
        <f>CE189</f>
        <v/>
      </c>
      <c r="CG210" s="6" t="n">
        <v>2018</v>
      </c>
      <c r="CH210" s="6" t="inlineStr">
        <is>
          <t>Tra_EV_Batt-NCA_virgin_pack</t>
        </is>
      </c>
      <c r="CI210" s="6" t="n">
        <v>0.301</v>
      </c>
      <c r="CJ210" s="6" t="n">
        <v>0.26</v>
      </c>
      <c r="CK210" s="6" t="inlineStr">
        <is>
          <t>Transport_EV_global</t>
        </is>
      </c>
      <c r="CL210" s="6" t="inlineStr">
        <is>
          <t>Transport_EV_China</t>
        </is>
      </c>
      <c r="CM210" s="6" t="inlineStr">
        <is>
          <t>China transport EV curve is shifted earlier than the global curve to reflect earlier China EV/e-bus deployment in the 2010s.</t>
        </is>
      </c>
    </row>
    <row r="211" ht="14.5" customHeight="1" s="213">
      <c r="D211">
        <f>D210</f>
        <v/>
      </c>
      <c r="E211" t="inlineStr">
        <is>
          <t>Tra_EV_Batt-LMO_virgin_pack</t>
        </is>
      </c>
      <c r="F211" s="208">
        <f>AW211*$AS211</f>
        <v/>
      </c>
      <c r="G211" s="208">
        <f>AX211*$AS211</f>
        <v/>
      </c>
      <c r="H211" s="208">
        <f>AY211*$AS211</f>
        <v/>
      </c>
      <c r="I211" s="208">
        <f>AZ211*$AS211</f>
        <v/>
      </c>
      <c r="J211" s="208">
        <f>BA211*$AS211</f>
        <v/>
      </c>
      <c r="K211" s="208">
        <f>BB211*$AS211</f>
        <v/>
      </c>
      <c r="L211" s="208">
        <f>BC211*$AS211</f>
        <v/>
      </c>
      <c r="M211" s="208">
        <f>BD211*$CI211</f>
        <v/>
      </c>
      <c r="N211" s="208">
        <f>BE211*$AS211</f>
        <v/>
      </c>
      <c r="O211" s="208">
        <f>BF211*$AS211</f>
        <v/>
      </c>
      <c r="P211" s="208">
        <f>BG211*$AS211</f>
        <v/>
      </c>
      <c r="Q211" s="208">
        <f>BH211*$AS211</f>
        <v/>
      </c>
      <c r="R211" s="208">
        <f>BI211*$AS211</f>
        <v/>
      </c>
      <c r="S211" s="208">
        <f>BJ211*$AS211</f>
        <v/>
      </c>
      <c r="T211" s="208">
        <f>BK211*$AS211</f>
        <v/>
      </c>
      <c r="U211" s="208">
        <f>BL211*$AS211</f>
        <v/>
      </c>
      <c r="V211" s="208">
        <f>BM211*$AS211</f>
        <v/>
      </c>
      <c r="W211" s="208">
        <f>BN211*$AS211</f>
        <v/>
      </c>
      <c r="X211" s="208">
        <f>BO211*$AS211</f>
        <v/>
      </c>
      <c r="Y211" s="208">
        <f>BP211*$AS211</f>
        <v/>
      </c>
      <c r="Z211" s="208">
        <f>BQ211*$AS211</f>
        <v/>
      </c>
      <c r="AA211" s="208">
        <f>BR211*$AS211</f>
        <v/>
      </c>
      <c r="AB211" s="208">
        <f>BS211*$AS211</f>
        <v/>
      </c>
      <c r="AC211" s="208">
        <f>BT211*$AS211</f>
        <v/>
      </c>
      <c r="AD211" s="208">
        <f>BU211*$AS211</f>
        <v/>
      </c>
      <c r="AE211" s="208">
        <f>BV211*$AS211</f>
        <v/>
      </c>
      <c r="AF211" s="208">
        <f>BW211*$AS211</f>
        <v/>
      </c>
      <c r="AG211" s="208">
        <f>BX211*$AS211</f>
        <v/>
      </c>
      <c r="AH211" s="208">
        <f>BY211*$AS211</f>
        <v/>
      </c>
      <c r="AI211" s="208">
        <f>BZ211*$AS211</f>
        <v/>
      </c>
      <c r="AJ211" s="208">
        <f>CA211*$AS211</f>
        <v/>
      </c>
      <c r="AK211" s="208">
        <f>CB211*$AS211</f>
        <v/>
      </c>
      <c r="AL211" s="208">
        <f>CC211*$AS211</f>
        <v/>
      </c>
      <c r="AM211" s="208">
        <f>CD211*$AS211</f>
        <v/>
      </c>
      <c r="AN211" s="208">
        <f>CE211*$AS211</f>
        <v/>
      </c>
      <c r="AQ211" s="6" t="n">
        <v>2018</v>
      </c>
      <c r="AR211" s="6" t="inlineStr">
        <is>
          <t>Tra_EV_Batt-LMO_virgin_pack</t>
        </is>
      </c>
      <c r="AS211" s="6" t="n">
        <v>0.301</v>
      </c>
      <c r="AT211" s="6" t="inlineStr">
        <is>
          <t>Transport_EV_general</t>
        </is>
      </c>
      <c r="AU211" s="6" t="inlineStr">
        <is>
          <t>Back-loaded transport EV battery vintage curve based on historical EV deployment shape.</t>
        </is>
      </c>
      <c r="AV211">
        <f>AV190</f>
        <v/>
      </c>
      <c r="AW211">
        <f>AW190</f>
        <v/>
      </c>
      <c r="AX211">
        <f>AX190</f>
        <v/>
      </c>
      <c r="AY211">
        <f>AY190</f>
        <v/>
      </c>
      <c r="AZ211">
        <f>AZ190</f>
        <v/>
      </c>
      <c r="BA211">
        <f>BA190</f>
        <v/>
      </c>
      <c r="BB211">
        <f>BB190</f>
        <v/>
      </c>
      <c r="BC211">
        <f>BC190</f>
        <v/>
      </c>
      <c r="BD211">
        <f>BD190</f>
        <v/>
      </c>
      <c r="BE211">
        <f>BE190</f>
        <v/>
      </c>
      <c r="BF211">
        <f>BF190</f>
        <v/>
      </c>
      <c r="BG211">
        <f>BG190</f>
        <v/>
      </c>
      <c r="BH211">
        <f>BH190</f>
        <v/>
      </c>
      <c r="BI211">
        <f>BI190</f>
        <v/>
      </c>
      <c r="BJ211">
        <f>BJ190</f>
        <v/>
      </c>
      <c r="BK211">
        <f>BK190</f>
        <v/>
      </c>
      <c r="BL211">
        <f>BL190</f>
        <v/>
      </c>
      <c r="BM211">
        <f>BM190</f>
        <v/>
      </c>
      <c r="BN211">
        <f>BN190</f>
        <v/>
      </c>
      <c r="BO211">
        <f>BO190</f>
        <v/>
      </c>
      <c r="BP211">
        <f>BP190</f>
        <v/>
      </c>
      <c r="BQ211">
        <f>BQ190</f>
        <v/>
      </c>
      <c r="BR211">
        <f>BR190</f>
        <v/>
      </c>
      <c r="BS211">
        <f>BS190</f>
        <v/>
      </c>
      <c r="BT211">
        <f>BT190</f>
        <v/>
      </c>
      <c r="BU211">
        <f>BU190</f>
        <v/>
      </c>
      <c r="BV211">
        <f>BV190</f>
        <v/>
      </c>
      <c r="BW211">
        <f>BW190</f>
        <v/>
      </c>
      <c r="BX211">
        <f>BX190</f>
        <v/>
      </c>
      <c r="BY211">
        <f>BY190</f>
        <v/>
      </c>
      <c r="BZ211">
        <f>BZ190</f>
        <v/>
      </c>
      <c r="CA211">
        <f>CA190</f>
        <v/>
      </c>
      <c r="CB211">
        <f>CB190</f>
        <v/>
      </c>
      <c r="CC211">
        <f>CC190</f>
        <v/>
      </c>
      <c r="CD211">
        <f>CD190</f>
        <v/>
      </c>
      <c r="CE211">
        <f>CE190</f>
        <v/>
      </c>
      <c r="CG211" s="6" t="n">
        <v>2018</v>
      </c>
      <c r="CH211" s="6" t="inlineStr">
        <is>
          <t>Tra_EV_Batt-LMO_virgin_pack</t>
        </is>
      </c>
      <c r="CI211" s="6" t="n">
        <v>0.301</v>
      </c>
      <c r="CJ211" s="6" t="n">
        <v>0.26</v>
      </c>
      <c r="CK211" s="6" t="inlineStr">
        <is>
          <t>Transport_EV_global</t>
        </is>
      </c>
      <c r="CL211" s="6" t="inlineStr">
        <is>
          <t>Transport_EV_China</t>
        </is>
      </c>
      <c r="CM211" s="6" t="inlineStr">
        <is>
          <t>China transport EV curve is shifted earlier than the global curve to reflect earlier China EV/e-bus deployment in the 2010s.</t>
        </is>
      </c>
    </row>
    <row r="212" ht="14.5" customHeight="1" s="213">
      <c r="D212">
        <f>D211</f>
        <v/>
      </c>
      <c r="E212" t="inlineStr">
        <is>
          <t>Tra_EV_Batt-NMC111_virgin_pack</t>
        </is>
      </c>
      <c r="F212" s="208">
        <f>AW212*$AS212</f>
        <v/>
      </c>
      <c r="G212" s="208">
        <f>AX212*$AS212</f>
        <v/>
      </c>
      <c r="H212" s="208">
        <f>AY212*$AS212</f>
        <v/>
      </c>
      <c r="I212" s="208">
        <f>AZ212*$AS212</f>
        <v/>
      </c>
      <c r="J212" s="208">
        <f>BA212*$AS212</f>
        <v/>
      </c>
      <c r="K212" s="208">
        <f>BB212*$AS212</f>
        <v/>
      </c>
      <c r="L212" s="208">
        <f>BC212*$AS212</f>
        <v/>
      </c>
      <c r="M212" s="208">
        <f>BD212*$CI212</f>
        <v/>
      </c>
      <c r="N212" s="208">
        <f>BE212*$AS212</f>
        <v/>
      </c>
      <c r="O212" s="208">
        <f>BF212*$AS212</f>
        <v/>
      </c>
      <c r="P212" s="208">
        <f>BG212*$AS212</f>
        <v/>
      </c>
      <c r="Q212" s="208">
        <f>BH212*$AS212</f>
        <v/>
      </c>
      <c r="R212" s="208">
        <f>BI212*$AS212</f>
        <v/>
      </c>
      <c r="S212" s="208">
        <f>BJ212*$AS212</f>
        <v/>
      </c>
      <c r="T212" s="208">
        <f>BK212*$AS212</f>
        <v/>
      </c>
      <c r="U212" s="208">
        <f>BL212*$AS212</f>
        <v/>
      </c>
      <c r="V212" s="208">
        <f>BM212*$AS212</f>
        <v/>
      </c>
      <c r="W212" s="208">
        <f>BN212*$AS212</f>
        <v/>
      </c>
      <c r="X212" s="208">
        <f>BO212*$AS212</f>
        <v/>
      </c>
      <c r="Y212" s="208">
        <f>BP212*$AS212</f>
        <v/>
      </c>
      <c r="Z212" s="208">
        <f>BQ212*$AS212</f>
        <v/>
      </c>
      <c r="AA212" s="208">
        <f>BR212*$AS212</f>
        <v/>
      </c>
      <c r="AB212" s="208">
        <f>BS212*$AS212</f>
        <v/>
      </c>
      <c r="AC212" s="208">
        <f>BT212*$AS212</f>
        <v/>
      </c>
      <c r="AD212" s="208">
        <f>BU212*$AS212</f>
        <v/>
      </c>
      <c r="AE212" s="208">
        <f>BV212*$AS212</f>
        <v/>
      </c>
      <c r="AF212" s="208">
        <f>BW212*$AS212</f>
        <v/>
      </c>
      <c r="AG212" s="208">
        <f>BX212*$AS212</f>
        <v/>
      </c>
      <c r="AH212" s="208">
        <f>BY212*$AS212</f>
        <v/>
      </c>
      <c r="AI212" s="208">
        <f>BZ212*$AS212</f>
        <v/>
      </c>
      <c r="AJ212" s="208">
        <f>CA212*$AS212</f>
        <v/>
      </c>
      <c r="AK212" s="208">
        <f>CB212*$AS212</f>
        <v/>
      </c>
      <c r="AL212" s="208">
        <f>CC212*$AS212</f>
        <v/>
      </c>
      <c r="AM212" s="208">
        <f>CD212*$AS212</f>
        <v/>
      </c>
      <c r="AN212" s="208">
        <f>CE212*$AS212</f>
        <v/>
      </c>
      <c r="AQ212" s="6" t="n">
        <v>2018</v>
      </c>
      <c r="AR212" s="6" t="inlineStr">
        <is>
          <t>Tra_EV_Batt-NMC111_virgin_pack</t>
        </is>
      </c>
      <c r="AS212" s="6" t="n">
        <v>0.301</v>
      </c>
      <c r="AT212" s="6" t="inlineStr">
        <is>
          <t>Transport_EV_general</t>
        </is>
      </c>
      <c r="AU212" s="6" t="inlineStr">
        <is>
          <t>Back-loaded transport EV battery vintage curve based on historical EV deployment shape.</t>
        </is>
      </c>
      <c r="AV212">
        <f>AV191</f>
        <v/>
      </c>
      <c r="AW212">
        <f>AW191</f>
        <v/>
      </c>
      <c r="AX212">
        <f>AX191</f>
        <v/>
      </c>
      <c r="AY212">
        <f>AY191</f>
        <v/>
      </c>
      <c r="AZ212">
        <f>AZ191</f>
        <v/>
      </c>
      <c r="BA212">
        <f>BA191</f>
        <v/>
      </c>
      <c r="BB212">
        <f>BB191</f>
        <v/>
      </c>
      <c r="BC212">
        <f>BC191</f>
        <v/>
      </c>
      <c r="BD212">
        <f>BD191</f>
        <v/>
      </c>
      <c r="BE212">
        <f>BE191</f>
        <v/>
      </c>
      <c r="BF212">
        <f>BF191</f>
        <v/>
      </c>
      <c r="BG212">
        <f>BG191</f>
        <v/>
      </c>
      <c r="BH212">
        <f>BH191</f>
        <v/>
      </c>
      <c r="BI212">
        <f>BI191</f>
        <v/>
      </c>
      <c r="BJ212">
        <f>BJ191</f>
        <v/>
      </c>
      <c r="BK212">
        <f>BK191</f>
        <v/>
      </c>
      <c r="BL212">
        <f>BL191</f>
        <v/>
      </c>
      <c r="BM212">
        <f>BM191</f>
        <v/>
      </c>
      <c r="BN212">
        <f>BN191</f>
        <v/>
      </c>
      <c r="BO212">
        <f>BO191</f>
        <v/>
      </c>
      <c r="BP212">
        <f>BP191</f>
        <v/>
      </c>
      <c r="BQ212">
        <f>BQ191</f>
        <v/>
      </c>
      <c r="BR212">
        <f>BR191</f>
        <v/>
      </c>
      <c r="BS212">
        <f>BS191</f>
        <v/>
      </c>
      <c r="BT212">
        <f>BT191</f>
        <v/>
      </c>
      <c r="BU212">
        <f>BU191</f>
        <v/>
      </c>
      <c r="BV212">
        <f>BV191</f>
        <v/>
      </c>
      <c r="BW212">
        <f>BW191</f>
        <v/>
      </c>
      <c r="BX212">
        <f>BX191</f>
        <v/>
      </c>
      <c r="BY212">
        <f>BY191</f>
        <v/>
      </c>
      <c r="BZ212">
        <f>BZ191</f>
        <v/>
      </c>
      <c r="CA212">
        <f>CA191</f>
        <v/>
      </c>
      <c r="CB212">
        <f>CB191</f>
        <v/>
      </c>
      <c r="CC212">
        <f>CC191</f>
        <v/>
      </c>
      <c r="CD212">
        <f>CD191</f>
        <v/>
      </c>
      <c r="CE212">
        <f>CE191</f>
        <v/>
      </c>
      <c r="CG212" s="6" t="n">
        <v>2018</v>
      </c>
      <c r="CH212" s="6" t="inlineStr">
        <is>
          <t>Tra_EV_Batt-NMC111_virgin_pack</t>
        </is>
      </c>
      <c r="CI212" s="6" t="n">
        <v>0.301</v>
      </c>
      <c r="CJ212" s="6" t="n">
        <v>0.26</v>
      </c>
      <c r="CK212" s="6" t="inlineStr">
        <is>
          <t>Transport_EV_global</t>
        </is>
      </c>
      <c r="CL212" s="6" t="inlineStr">
        <is>
          <t>Transport_EV_China</t>
        </is>
      </c>
      <c r="CM212" s="6" t="inlineStr">
        <is>
          <t>China transport EV curve is shifted earlier than the global curve to reflect earlier China EV/e-bus deployment in the 2010s.</t>
        </is>
      </c>
    </row>
    <row r="213" ht="14.5" customHeight="1" s="213">
      <c r="D213" t="n">
        <v>2024</v>
      </c>
      <c r="E213" t="inlineStr">
        <is>
          <t>MINBatMaterials_LI</t>
        </is>
      </c>
      <c r="F213" s="208">
        <f>AW213*$AS213</f>
        <v/>
      </c>
      <c r="G213" s="208">
        <f>AX213*$AS213</f>
        <v/>
      </c>
      <c r="H213" s="208">
        <f>AY213*$AS213</f>
        <v/>
      </c>
      <c r="I213" s="208">
        <f>AZ213*$AS213</f>
        <v/>
      </c>
      <c r="J213" s="208">
        <f>BA213*$AS213</f>
        <v/>
      </c>
      <c r="K213" s="208">
        <f>BB213*$AS213</f>
        <v/>
      </c>
      <c r="L213" s="208">
        <f>BC213*$AS213</f>
        <v/>
      </c>
      <c r="M213" s="208">
        <f>BD213*$CI213</f>
        <v/>
      </c>
      <c r="N213" s="208">
        <f>BE213*$AS213</f>
        <v/>
      </c>
      <c r="O213" s="208">
        <f>BF213*$AS213</f>
        <v/>
      </c>
      <c r="P213" s="208">
        <f>BG213*$AS213</f>
        <v/>
      </c>
      <c r="Q213" s="208">
        <f>BH213*$AS213</f>
        <v/>
      </c>
      <c r="R213" s="208">
        <f>BI213*$AS213</f>
        <v/>
      </c>
      <c r="S213" s="208">
        <f>BJ213*$AS213</f>
        <v/>
      </c>
      <c r="T213" s="208">
        <f>BK213*$AS213</f>
        <v/>
      </c>
      <c r="U213" s="208">
        <f>BL213*$AS213</f>
        <v/>
      </c>
      <c r="V213" s="208">
        <f>BM213*$AS213</f>
        <v/>
      </c>
      <c r="W213" s="208">
        <f>BN213*$AS213</f>
        <v/>
      </c>
      <c r="X213" s="208">
        <f>BO213*$AS213</f>
        <v/>
      </c>
      <c r="Y213" s="208">
        <f>BP213*$AS213</f>
        <v/>
      </c>
      <c r="Z213" s="208">
        <f>BQ213*$AS213</f>
        <v/>
      </c>
      <c r="AA213" s="208">
        <f>BR213*$AS213</f>
        <v/>
      </c>
      <c r="AB213" s="208">
        <f>BS213*$AS213</f>
        <v/>
      </c>
      <c r="AC213" s="208">
        <f>BT213*$AS213</f>
        <v/>
      </c>
      <c r="AD213" s="208">
        <f>BU213*$AS213</f>
        <v/>
      </c>
      <c r="AE213" s="208">
        <f>BV213*$AS213</f>
        <v/>
      </c>
      <c r="AF213" s="208">
        <f>BW213*$AS213</f>
        <v/>
      </c>
      <c r="AG213" s="208">
        <f>BX213*$AS213</f>
        <v/>
      </c>
      <c r="AH213" s="208">
        <f>BY213*$AS213</f>
        <v/>
      </c>
      <c r="AI213" s="208">
        <f>BZ213*$AS213</f>
        <v/>
      </c>
      <c r="AJ213" s="208">
        <f>CA213*$AS213</f>
        <v/>
      </c>
      <c r="AK213" s="208">
        <f>CB213*$AS213</f>
        <v/>
      </c>
      <c r="AL213" s="208">
        <f>CC213*$AS213</f>
        <v/>
      </c>
      <c r="AM213" s="208">
        <f>CD213*$AS213</f>
        <v/>
      </c>
      <c r="AN213" s="208">
        <f>CE213*$AS213</f>
        <v/>
      </c>
      <c r="AQ213" s="6" t="n">
        <v>2019</v>
      </c>
      <c r="AR213" s="6" t="inlineStr">
        <is>
          <t>MINBatMaterials_LI</t>
        </is>
      </c>
      <c r="AS213" s="6" t="n">
        <v>0.15</v>
      </c>
      <c r="AT213" s="6" t="inlineStr">
        <is>
          <t>Mining_facility_representative</t>
        </is>
      </c>
      <c r="AU213" s="6" t="inlineStr">
        <is>
          <t>Representative mining-capacity vintage curve; COB_direct treated as aggregate cobalt-production route including by-product routes.</t>
        </is>
      </c>
      <c r="AV213">
        <f>AV192</f>
        <v/>
      </c>
      <c r="AW213">
        <f>AW192</f>
        <v/>
      </c>
      <c r="AX213">
        <f>AX192</f>
        <v/>
      </c>
      <c r="AY213">
        <f>AY192</f>
        <v/>
      </c>
      <c r="AZ213">
        <f>AZ192</f>
        <v/>
      </c>
      <c r="BA213">
        <f>BA192</f>
        <v/>
      </c>
      <c r="BB213">
        <f>BB192</f>
        <v/>
      </c>
      <c r="BC213">
        <f>BC192</f>
        <v/>
      </c>
      <c r="BD213">
        <f>BD192</f>
        <v/>
      </c>
      <c r="BE213">
        <f>BE192</f>
        <v/>
      </c>
      <c r="BF213">
        <f>BF192</f>
        <v/>
      </c>
      <c r="BG213">
        <f>BG192</f>
        <v/>
      </c>
      <c r="BH213">
        <f>BH192</f>
        <v/>
      </c>
      <c r="BI213">
        <f>BI192</f>
        <v/>
      </c>
      <c r="BJ213">
        <f>BJ192</f>
        <v/>
      </c>
      <c r="BK213">
        <f>BK192</f>
        <v/>
      </c>
      <c r="BL213">
        <f>BL192</f>
        <v/>
      </c>
      <c r="BM213">
        <f>BM192</f>
        <v/>
      </c>
      <c r="BN213">
        <f>BN192</f>
        <v/>
      </c>
      <c r="BO213">
        <f>BO192</f>
        <v/>
      </c>
      <c r="BP213">
        <f>BP192</f>
        <v/>
      </c>
      <c r="BQ213">
        <f>BQ192</f>
        <v/>
      </c>
      <c r="BR213">
        <f>BR192</f>
        <v/>
      </c>
      <c r="BS213">
        <f>BS192</f>
        <v/>
      </c>
      <c r="BT213">
        <f>BT192</f>
        <v/>
      </c>
      <c r="BU213">
        <f>BU192</f>
        <v/>
      </c>
      <c r="BV213">
        <f>BV192</f>
        <v/>
      </c>
      <c r="BW213">
        <f>BW192</f>
        <v/>
      </c>
      <c r="BX213">
        <f>BX192</f>
        <v/>
      </c>
      <c r="BY213">
        <f>BY192</f>
        <v/>
      </c>
      <c r="BZ213">
        <f>BZ192</f>
        <v/>
      </c>
      <c r="CA213">
        <f>CA192</f>
        <v/>
      </c>
      <c r="CB213">
        <f>CB192</f>
        <v/>
      </c>
      <c r="CC213">
        <f>CC192</f>
        <v/>
      </c>
      <c r="CD213">
        <f>CD192</f>
        <v/>
      </c>
      <c r="CE213">
        <f>CE192</f>
        <v/>
      </c>
      <c r="CG213" s="6" t="n">
        <v>2019</v>
      </c>
      <c r="CH213" s="6" t="inlineStr">
        <is>
          <t>MINBatMaterials_LI</t>
        </is>
      </c>
      <c r="CI213" s="6" t="n">
        <v>0.15</v>
      </c>
      <c r="CJ213" s="6" t="n">
        <v>0.15</v>
      </c>
      <c r="CK213" s="6" t="inlineStr">
        <is>
          <t>Mining_facility_representative</t>
        </is>
      </c>
      <c r="CL213" s="6" t="inlineStr">
        <is>
          <t>Mining_facility_representative</t>
        </is>
      </c>
      <c r="CM213" s="6" t="inlineStr">
        <is>
          <t>Mining curve kept the same for China; COB_direct treated as aggregate cobalt-production route including by-product routes.</t>
        </is>
      </c>
    </row>
    <row r="214" ht="14.5" customHeight="1" s="213">
      <c r="D214">
        <f>D213</f>
        <v/>
      </c>
      <c r="E214" t="inlineStr">
        <is>
          <t>MINBatMaterials_NI</t>
        </is>
      </c>
      <c r="F214" s="208">
        <f>AW214*$AS214</f>
        <v/>
      </c>
      <c r="G214" s="208">
        <f>AX214*$AS214</f>
        <v/>
      </c>
      <c r="H214" s="208">
        <f>AY214*$AS214</f>
        <v/>
      </c>
      <c r="I214" s="208">
        <f>AZ214*$AS214</f>
        <v/>
      </c>
      <c r="J214" s="208">
        <f>BA214*$AS214</f>
        <v/>
      </c>
      <c r="K214" s="208">
        <f>BB214*$AS214</f>
        <v/>
      </c>
      <c r="L214" s="208">
        <f>BC214*$AS214</f>
        <v/>
      </c>
      <c r="M214" s="208">
        <f>BD214*$CI214</f>
        <v/>
      </c>
      <c r="N214" s="208">
        <f>BE214*$AS214</f>
        <v/>
      </c>
      <c r="O214" s="208">
        <f>BF214*$AS214</f>
        <v/>
      </c>
      <c r="P214" s="208">
        <f>BG214*$AS214</f>
        <v/>
      </c>
      <c r="Q214" s="208">
        <f>BH214*$AS214</f>
        <v/>
      </c>
      <c r="R214" s="208">
        <f>BI214*$AS214</f>
        <v/>
      </c>
      <c r="S214" s="208">
        <f>BJ214*$AS214</f>
        <v/>
      </c>
      <c r="T214" s="208">
        <f>BK214*$AS214</f>
        <v/>
      </c>
      <c r="U214" s="208">
        <f>BL214*$AS214</f>
        <v/>
      </c>
      <c r="V214" s="208">
        <f>BM214*$AS214</f>
        <v/>
      </c>
      <c r="W214" s="208">
        <f>BN214*$AS214</f>
        <v/>
      </c>
      <c r="X214" s="208">
        <f>BO214*$AS214</f>
        <v/>
      </c>
      <c r="Y214" s="208">
        <f>BP214*$AS214</f>
        <v/>
      </c>
      <c r="Z214" s="208">
        <f>BQ214*$AS214</f>
        <v/>
      </c>
      <c r="AA214" s="208">
        <f>BR214*$AS214</f>
        <v/>
      </c>
      <c r="AB214" s="208">
        <f>BS214*$AS214</f>
        <v/>
      </c>
      <c r="AC214" s="208">
        <f>BT214*$AS214</f>
        <v/>
      </c>
      <c r="AD214" s="208">
        <f>BU214*$AS214</f>
        <v/>
      </c>
      <c r="AE214" s="208">
        <f>BV214*$AS214</f>
        <v/>
      </c>
      <c r="AF214" s="208">
        <f>BW214*$AS214</f>
        <v/>
      </c>
      <c r="AG214" s="208">
        <f>BX214*$AS214</f>
        <v/>
      </c>
      <c r="AH214" s="208">
        <f>BY214*$AS214</f>
        <v/>
      </c>
      <c r="AI214" s="208">
        <f>BZ214*$AS214</f>
        <v/>
      </c>
      <c r="AJ214" s="208">
        <f>CA214*$AS214</f>
        <v/>
      </c>
      <c r="AK214" s="208">
        <f>CB214*$AS214</f>
        <v/>
      </c>
      <c r="AL214" s="208">
        <f>CC214*$AS214</f>
        <v/>
      </c>
      <c r="AM214" s="208">
        <f>CD214*$AS214</f>
        <v/>
      </c>
      <c r="AN214" s="208">
        <f>CE214*$AS214</f>
        <v/>
      </c>
      <c r="AQ214" s="6" t="n">
        <v>2019</v>
      </c>
      <c r="AR214" s="6" t="inlineStr">
        <is>
          <t>MINBatMaterials_NI</t>
        </is>
      </c>
      <c r="AS214" s="6" t="n">
        <v>0.15</v>
      </c>
      <c r="AT214" s="6" t="inlineStr">
        <is>
          <t>Mining_facility_representative</t>
        </is>
      </c>
      <c r="AU214" s="6" t="inlineStr">
        <is>
          <t>Representative mining-capacity vintage curve; COB_direct treated as aggregate cobalt-production route including by-product routes.</t>
        </is>
      </c>
      <c r="AV214">
        <f>AV193</f>
        <v/>
      </c>
      <c r="AW214">
        <f>AW193</f>
        <v/>
      </c>
      <c r="AX214">
        <f>AX193</f>
        <v/>
      </c>
      <c r="AY214">
        <f>AY193</f>
        <v/>
      </c>
      <c r="AZ214">
        <f>AZ193</f>
        <v/>
      </c>
      <c r="BA214">
        <f>BA193</f>
        <v/>
      </c>
      <c r="BB214">
        <f>BB193</f>
        <v/>
      </c>
      <c r="BC214">
        <f>BC193</f>
        <v/>
      </c>
      <c r="BD214">
        <f>BD193</f>
        <v/>
      </c>
      <c r="BE214">
        <f>BE193</f>
        <v/>
      </c>
      <c r="BF214">
        <f>BF193</f>
        <v/>
      </c>
      <c r="BG214">
        <f>BG193</f>
        <v/>
      </c>
      <c r="BH214">
        <f>BH193</f>
        <v/>
      </c>
      <c r="BI214">
        <f>BI193</f>
        <v/>
      </c>
      <c r="BJ214">
        <f>BJ193</f>
        <v/>
      </c>
      <c r="BK214">
        <f>BK193</f>
        <v/>
      </c>
      <c r="BL214">
        <f>BL193</f>
        <v/>
      </c>
      <c r="BM214">
        <f>BM193</f>
        <v/>
      </c>
      <c r="BN214">
        <f>BN193</f>
        <v/>
      </c>
      <c r="BO214">
        <f>BO193</f>
        <v/>
      </c>
      <c r="BP214">
        <f>BP193</f>
        <v/>
      </c>
      <c r="BQ214">
        <f>BQ193</f>
        <v/>
      </c>
      <c r="BR214">
        <f>BR193</f>
        <v/>
      </c>
      <c r="BS214">
        <f>BS193</f>
        <v/>
      </c>
      <c r="BT214">
        <f>BT193</f>
        <v/>
      </c>
      <c r="BU214">
        <f>BU193</f>
        <v/>
      </c>
      <c r="BV214">
        <f>BV193</f>
        <v/>
      </c>
      <c r="BW214">
        <f>BW193</f>
        <v/>
      </c>
      <c r="BX214">
        <f>BX193</f>
        <v/>
      </c>
      <c r="BY214">
        <f>BY193</f>
        <v/>
      </c>
      <c r="BZ214">
        <f>BZ193</f>
        <v/>
      </c>
      <c r="CA214">
        <f>CA193</f>
        <v/>
      </c>
      <c r="CB214">
        <f>CB193</f>
        <v/>
      </c>
      <c r="CC214">
        <f>CC193</f>
        <v/>
      </c>
      <c r="CD214">
        <f>CD193</f>
        <v/>
      </c>
      <c r="CE214">
        <f>CE193</f>
        <v/>
      </c>
      <c r="CG214" s="6" t="n">
        <v>2019</v>
      </c>
      <c r="CH214" s="6" t="inlineStr">
        <is>
          <t>MINBatMaterials_NI</t>
        </is>
      </c>
      <c r="CI214" s="6" t="n">
        <v>0.15</v>
      </c>
      <c r="CJ214" s="6" t="n">
        <v>0.15</v>
      </c>
      <c r="CK214" s="6" t="inlineStr">
        <is>
          <t>Mining_facility_representative</t>
        </is>
      </c>
      <c r="CL214" s="6" t="inlineStr">
        <is>
          <t>Mining_facility_representative</t>
        </is>
      </c>
      <c r="CM214" s="6" t="inlineStr">
        <is>
          <t>Mining curve kept the same for China; COB_direct treated as aggregate cobalt-production route including by-product routes.</t>
        </is>
      </c>
    </row>
    <row r="215" ht="16" customHeight="1" s="213">
      <c r="D215">
        <f>D214</f>
        <v/>
      </c>
      <c r="E215" s="66" t="inlineStr">
        <is>
          <t>MINBatMaterials_COB_direct</t>
        </is>
      </c>
      <c r="F215" s="208">
        <f>AW215*$AS215</f>
        <v/>
      </c>
      <c r="G215" s="208">
        <f>AX215*$AS215</f>
        <v/>
      </c>
      <c r="H215" s="208">
        <f>AY215*$AS215</f>
        <v/>
      </c>
      <c r="I215" s="208">
        <f>AZ215*$AS215</f>
        <v/>
      </c>
      <c r="J215" s="208">
        <f>BA215*$AS215</f>
        <v/>
      </c>
      <c r="K215" s="208">
        <f>BB215*$AS215</f>
        <v/>
      </c>
      <c r="L215" s="208">
        <f>BC215*$AS215</f>
        <v/>
      </c>
      <c r="M215" s="208">
        <f>BD215*$CI215</f>
        <v/>
      </c>
      <c r="N215" s="208">
        <f>BE215*$AS215</f>
        <v/>
      </c>
      <c r="O215" s="208">
        <f>BF215*$AS215</f>
        <v/>
      </c>
      <c r="P215" s="208">
        <f>BG215*$AS215</f>
        <v/>
      </c>
      <c r="Q215" s="208">
        <f>BH215*$AS215</f>
        <v/>
      </c>
      <c r="R215" s="208">
        <f>BI215*$AS215</f>
        <v/>
      </c>
      <c r="S215" s="208">
        <f>BJ215*$AS215</f>
        <v/>
      </c>
      <c r="T215" s="208">
        <f>BK215*$AS215</f>
        <v/>
      </c>
      <c r="U215" s="208">
        <f>BL215*$AS215</f>
        <v/>
      </c>
      <c r="V215" s="208">
        <f>BM215*$AS215</f>
        <v/>
      </c>
      <c r="W215" s="208">
        <f>BN215*$AS215</f>
        <v/>
      </c>
      <c r="X215" s="208">
        <f>BO215*$AS215</f>
        <v/>
      </c>
      <c r="Y215" s="208">
        <f>BP215*$AS215</f>
        <v/>
      </c>
      <c r="Z215" s="208">
        <f>BQ215*$AS215</f>
        <v/>
      </c>
      <c r="AA215" s="208">
        <f>BR215*$AS215</f>
        <v/>
      </c>
      <c r="AB215" s="208">
        <f>BS215*$AS215</f>
        <v/>
      </c>
      <c r="AC215" s="208">
        <f>BT215*$AS215</f>
        <v/>
      </c>
      <c r="AD215" s="208">
        <f>BU215*$AS215</f>
        <v/>
      </c>
      <c r="AE215" s="208">
        <f>BV215*$AS215</f>
        <v/>
      </c>
      <c r="AF215" s="208">
        <f>BW215*$AS215</f>
        <v/>
      </c>
      <c r="AG215" s="208">
        <f>BX215*$AS215</f>
        <v/>
      </c>
      <c r="AH215" s="208">
        <f>BY215*$AS215</f>
        <v/>
      </c>
      <c r="AI215" s="208">
        <f>BZ215*$AS215</f>
        <v/>
      </c>
      <c r="AJ215" s="208">
        <f>CA215*$AS215</f>
        <v/>
      </c>
      <c r="AK215" s="208">
        <f>CB215*$AS215</f>
        <v/>
      </c>
      <c r="AL215" s="208">
        <f>CC215*$AS215</f>
        <v/>
      </c>
      <c r="AM215" s="208">
        <f>CD215*$AS215</f>
        <v/>
      </c>
      <c r="AN215" s="208">
        <f>CE215*$AS215</f>
        <v/>
      </c>
      <c r="AQ215" s="6" t="n">
        <v>2019</v>
      </c>
      <c r="AR215" s="6" t="inlineStr">
        <is>
          <t>MINBatMaterials_COB_direct</t>
        </is>
      </c>
      <c r="AS215" s="6" t="n">
        <v>0.15</v>
      </c>
      <c r="AT215" s="6" t="inlineStr">
        <is>
          <t>Mining_facility_representative</t>
        </is>
      </c>
      <c r="AU215" s="6" t="inlineStr">
        <is>
          <t>Representative mining-capacity vintage curve; COB_direct treated as aggregate cobalt-production route including by-product routes.</t>
        </is>
      </c>
      <c r="AV215">
        <f>AV194</f>
        <v/>
      </c>
      <c r="AW215">
        <f>AW194</f>
        <v/>
      </c>
      <c r="AX215">
        <f>AX194</f>
        <v/>
      </c>
      <c r="AY215">
        <f>AY194</f>
        <v/>
      </c>
      <c r="AZ215">
        <f>AZ194</f>
        <v/>
      </c>
      <c r="BA215">
        <f>BA194</f>
        <v/>
      </c>
      <c r="BB215">
        <f>BB194</f>
        <v/>
      </c>
      <c r="BC215">
        <f>BC194</f>
        <v/>
      </c>
      <c r="BD215">
        <f>BD194</f>
        <v/>
      </c>
      <c r="BE215">
        <f>BE194</f>
        <v/>
      </c>
      <c r="BF215">
        <f>BF194</f>
        <v/>
      </c>
      <c r="BG215">
        <f>BG194</f>
        <v/>
      </c>
      <c r="BH215">
        <f>BH194</f>
        <v/>
      </c>
      <c r="BI215">
        <f>BI194</f>
        <v/>
      </c>
      <c r="BJ215">
        <f>BJ194</f>
        <v/>
      </c>
      <c r="BK215">
        <f>BK194</f>
        <v/>
      </c>
      <c r="BL215">
        <f>BL194</f>
        <v/>
      </c>
      <c r="BM215">
        <f>BM194</f>
        <v/>
      </c>
      <c r="BN215">
        <f>BN194</f>
        <v/>
      </c>
      <c r="BO215">
        <f>BO194</f>
        <v/>
      </c>
      <c r="BP215">
        <f>BP194</f>
        <v/>
      </c>
      <c r="BQ215">
        <f>BQ194</f>
        <v/>
      </c>
      <c r="BR215">
        <f>BR194</f>
        <v/>
      </c>
      <c r="BS215">
        <f>BS194</f>
        <v/>
      </c>
      <c r="BT215">
        <f>BT194</f>
        <v/>
      </c>
      <c r="BU215">
        <f>BU194</f>
        <v/>
      </c>
      <c r="BV215">
        <f>BV194</f>
        <v/>
      </c>
      <c r="BW215">
        <f>BW194</f>
        <v/>
      </c>
      <c r="BX215">
        <f>BX194</f>
        <v/>
      </c>
      <c r="BY215">
        <f>BY194</f>
        <v/>
      </c>
      <c r="BZ215">
        <f>BZ194</f>
        <v/>
      </c>
      <c r="CA215">
        <f>CA194</f>
        <v/>
      </c>
      <c r="CB215">
        <f>CB194</f>
        <v/>
      </c>
      <c r="CC215">
        <f>CC194</f>
        <v/>
      </c>
      <c r="CD215">
        <f>CD194</f>
        <v/>
      </c>
      <c r="CE215">
        <f>CE194</f>
        <v/>
      </c>
      <c r="CG215" s="6" t="n">
        <v>2019</v>
      </c>
      <c r="CH215" s="6" t="inlineStr">
        <is>
          <t>MINBatMaterials_COB_direct</t>
        </is>
      </c>
      <c r="CI215" s="6" t="n">
        <v>0.15</v>
      </c>
      <c r="CJ215" s="6" t="n">
        <v>0.15</v>
      </c>
      <c r="CK215" s="6" t="inlineStr">
        <is>
          <t>Mining_facility_representative</t>
        </is>
      </c>
      <c r="CL215" s="6" t="inlineStr">
        <is>
          <t>Mining_facility_representative</t>
        </is>
      </c>
      <c r="CM215" s="6" t="inlineStr">
        <is>
          <t>Mining curve kept the same for China; COB_direct treated as aggregate cobalt-production route including by-product routes.</t>
        </is>
      </c>
    </row>
    <row r="216" ht="14.5" customHeight="1" s="213">
      <c r="D216">
        <f>D215</f>
        <v/>
      </c>
      <c r="E216" t="inlineStr">
        <is>
          <t>MINBatMaterials_MN</t>
        </is>
      </c>
      <c r="F216" s="208">
        <f>AW216*$AS216</f>
        <v/>
      </c>
      <c r="G216" s="208">
        <f>AX216*$AS216</f>
        <v/>
      </c>
      <c r="H216" s="208">
        <f>AY216*$AS216</f>
        <v/>
      </c>
      <c r="I216" s="208">
        <f>AZ216*$AS216</f>
        <v/>
      </c>
      <c r="J216" s="208">
        <f>BA216*$AS216</f>
        <v/>
      </c>
      <c r="K216" s="208">
        <f>BB216*$AS216</f>
        <v/>
      </c>
      <c r="L216" s="208">
        <f>BC216*$AS216</f>
        <v/>
      </c>
      <c r="M216" s="208">
        <f>BD216*$CI216</f>
        <v/>
      </c>
      <c r="N216" s="208">
        <f>BE216*$AS216</f>
        <v/>
      </c>
      <c r="O216" s="208">
        <f>BF216*$AS216</f>
        <v/>
      </c>
      <c r="P216" s="208">
        <f>BG216*$AS216</f>
        <v/>
      </c>
      <c r="Q216" s="208">
        <f>BH216*$AS216</f>
        <v/>
      </c>
      <c r="R216" s="208">
        <f>BI216*$AS216</f>
        <v/>
      </c>
      <c r="S216" s="208">
        <f>BJ216*$AS216</f>
        <v/>
      </c>
      <c r="T216" s="208">
        <f>BK216*$AS216</f>
        <v/>
      </c>
      <c r="U216" s="208">
        <f>BL216*$AS216</f>
        <v/>
      </c>
      <c r="V216" s="208">
        <f>BM216*$AS216</f>
        <v/>
      </c>
      <c r="W216" s="208">
        <f>BN216*$AS216</f>
        <v/>
      </c>
      <c r="X216" s="208">
        <f>BO216*$AS216</f>
        <v/>
      </c>
      <c r="Y216" s="208">
        <f>BP216*$AS216</f>
        <v/>
      </c>
      <c r="Z216" s="208">
        <f>BQ216*$AS216</f>
        <v/>
      </c>
      <c r="AA216" s="208">
        <f>BR216*$AS216</f>
        <v/>
      </c>
      <c r="AB216" s="208">
        <f>BS216*$AS216</f>
        <v/>
      </c>
      <c r="AC216" s="208">
        <f>BT216*$AS216</f>
        <v/>
      </c>
      <c r="AD216" s="208">
        <f>BU216*$AS216</f>
        <v/>
      </c>
      <c r="AE216" s="208">
        <f>BV216*$AS216</f>
        <v/>
      </c>
      <c r="AF216" s="208">
        <f>BW216*$AS216</f>
        <v/>
      </c>
      <c r="AG216" s="208">
        <f>BX216*$AS216</f>
        <v/>
      </c>
      <c r="AH216" s="208">
        <f>BY216*$AS216</f>
        <v/>
      </c>
      <c r="AI216" s="208">
        <f>BZ216*$AS216</f>
        <v/>
      </c>
      <c r="AJ216" s="208">
        <f>CA216*$AS216</f>
        <v/>
      </c>
      <c r="AK216" s="208">
        <f>CB216*$AS216</f>
        <v/>
      </c>
      <c r="AL216" s="208">
        <f>CC216*$AS216</f>
        <v/>
      </c>
      <c r="AM216" s="208">
        <f>CD216*$AS216</f>
        <v/>
      </c>
      <c r="AN216" s="208">
        <f>CE216*$AS216</f>
        <v/>
      </c>
      <c r="AQ216" s="6" t="n">
        <v>2019</v>
      </c>
      <c r="AR216" s="6" t="inlineStr">
        <is>
          <t>MINBatMaterials_MN</t>
        </is>
      </c>
      <c r="AS216" s="6" t="n">
        <v>0.15</v>
      </c>
      <c r="AT216" s="6" t="inlineStr">
        <is>
          <t>Mining_facility_representative</t>
        </is>
      </c>
      <c r="AU216" s="6" t="inlineStr">
        <is>
          <t>Representative mining-capacity vintage curve; COB_direct treated as aggregate cobalt-production route including by-product routes.</t>
        </is>
      </c>
      <c r="AV216">
        <f>AV195</f>
        <v/>
      </c>
      <c r="AW216">
        <f>AW195</f>
        <v/>
      </c>
      <c r="AX216">
        <f>AX195</f>
        <v/>
      </c>
      <c r="AY216">
        <f>AY195</f>
        <v/>
      </c>
      <c r="AZ216">
        <f>AZ195</f>
        <v/>
      </c>
      <c r="BA216">
        <f>BA195</f>
        <v/>
      </c>
      <c r="BB216">
        <f>BB195</f>
        <v/>
      </c>
      <c r="BC216">
        <f>BC195</f>
        <v/>
      </c>
      <c r="BD216">
        <f>BD195</f>
        <v/>
      </c>
      <c r="BE216">
        <f>BE195</f>
        <v/>
      </c>
      <c r="BF216">
        <f>BF195</f>
        <v/>
      </c>
      <c r="BG216">
        <f>BG195</f>
        <v/>
      </c>
      <c r="BH216">
        <f>BH195</f>
        <v/>
      </c>
      <c r="BI216">
        <f>BI195</f>
        <v/>
      </c>
      <c r="BJ216">
        <f>BJ195</f>
        <v/>
      </c>
      <c r="BK216">
        <f>BK195</f>
        <v/>
      </c>
      <c r="BL216">
        <f>BL195</f>
        <v/>
      </c>
      <c r="BM216">
        <f>BM195</f>
        <v/>
      </c>
      <c r="BN216">
        <f>BN195</f>
        <v/>
      </c>
      <c r="BO216">
        <f>BO195</f>
        <v/>
      </c>
      <c r="BP216">
        <f>BP195</f>
        <v/>
      </c>
      <c r="BQ216">
        <f>BQ195</f>
        <v/>
      </c>
      <c r="BR216">
        <f>BR195</f>
        <v/>
      </c>
      <c r="BS216">
        <f>BS195</f>
        <v/>
      </c>
      <c r="BT216">
        <f>BT195</f>
        <v/>
      </c>
      <c r="BU216">
        <f>BU195</f>
        <v/>
      </c>
      <c r="BV216">
        <f>BV195</f>
        <v/>
      </c>
      <c r="BW216">
        <f>BW195</f>
        <v/>
      </c>
      <c r="BX216">
        <f>BX195</f>
        <v/>
      </c>
      <c r="BY216">
        <f>BY195</f>
        <v/>
      </c>
      <c r="BZ216">
        <f>BZ195</f>
        <v/>
      </c>
      <c r="CA216">
        <f>CA195</f>
        <v/>
      </c>
      <c r="CB216">
        <f>CB195</f>
        <v/>
      </c>
      <c r="CC216">
        <f>CC195</f>
        <v/>
      </c>
      <c r="CD216">
        <f>CD195</f>
        <v/>
      </c>
      <c r="CE216">
        <f>CE195</f>
        <v/>
      </c>
      <c r="CG216" s="6" t="n">
        <v>2019</v>
      </c>
      <c r="CH216" s="6" t="inlineStr">
        <is>
          <t>MINBatMaterials_MN</t>
        </is>
      </c>
      <c r="CI216" s="6" t="n">
        <v>0.15</v>
      </c>
      <c r="CJ216" s="6" t="n">
        <v>0.15</v>
      </c>
      <c r="CK216" s="6" t="inlineStr">
        <is>
          <t>Mining_facility_representative</t>
        </is>
      </c>
      <c r="CL216" s="6" t="inlineStr">
        <is>
          <t>Mining_facility_representative</t>
        </is>
      </c>
      <c r="CM216" s="6" t="inlineStr">
        <is>
          <t>Mining curve kept the same for China; COB_direct treated as aggregate cobalt-production route including by-product routes.</t>
        </is>
      </c>
    </row>
    <row r="217" ht="14.5" customHeight="1" s="213">
      <c r="D217">
        <f>D216</f>
        <v/>
      </c>
      <c r="E217" t="inlineStr">
        <is>
          <t>MINBatMaterials_AL</t>
        </is>
      </c>
      <c r="F217" s="208">
        <f>AW217*$AS217</f>
        <v/>
      </c>
      <c r="G217" s="208">
        <f>AX217*$AS217</f>
        <v/>
      </c>
      <c r="H217" s="208">
        <f>AY217*$AS217</f>
        <v/>
      </c>
      <c r="I217" s="208">
        <f>AZ217*$AS217</f>
        <v/>
      </c>
      <c r="J217" s="208">
        <f>BA217*$AS217</f>
        <v/>
      </c>
      <c r="K217" s="208">
        <f>BB217*$AS217</f>
        <v/>
      </c>
      <c r="L217" s="208">
        <f>BC217*$AS217</f>
        <v/>
      </c>
      <c r="M217" s="208">
        <f>BD217*$CI217</f>
        <v/>
      </c>
      <c r="N217" s="208">
        <f>BE217*$AS217</f>
        <v/>
      </c>
      <c r="O217" s="208">
        <f>BF217*$AS217</f>
        <v/>
      </c>
      <c r="P217" s="208">
        <f>BG217*$AS217</f>
        <v/>
      </c>
      <c r="Q217" s="208">
        <f>BH217*$AS217</f>
        <v/>
      </c>
      <c r="R217" s="208">
        <f>BI217*$AS217</f>
        <v/>
      </c>
      <c r="S217" s="208">
        <f>BJ217*$AS217</f>
        <v/>
      </c>
      <c r="T217" s="208">
        <f>BK217*$AS217</f>
        <v/>
      </c>
      <c r="U217" s="208">
        <f>BL217*$AS217</f>
        <v/>
      </c>
      <c r="V217" s="208">
        <f>BM217*$AS217</f>
        <v/>
      </c>
      <c r="W217" s="208">
        <f>BN217*$AS217</f>
        <v/>
      </c>
      <c r="X217" s="208">
        <f>BO217*$AS217</f>
        <v/>
      </c>
      <c r="Y217" s="208">
        <f>BP217*$AS217</f>
        <v/>
      </c>
      <c r="Z217" s="208">
        <f>BQ217*$AS217</f>
        <v/>
      </c>
      <c r="AA217" s="208">
        <f>BR217*$AS217</f>
        <v/>
      </c>
      <c r="AB217" s="208">
        <f>BS217*$AS217</f>
        <v/>
      </c>
      <c r="AC217" s="208">
        <f>BT217*$AS217</f>
        <v/>
      </c>
      <c r="AD217" s="208">
        <f>BU217*$AS217</f>
        <v/>
      </c>
      <c r="AE217" s="208">
        <f>BV217*$AS217</f>
        <v/>
      </c>
      <c r="AF217" s="208">
        <f>BW217*$AS217</f>
        <v/>
      </c>
      <c r="AG217" s="208">
        <f>BX217*$AS217</f>
        <v/>
      </c>
      <c r="AH217" s="208">
        <f>BY217*$AS217</f>
        <v/>
      </c>
      <c r="AI217" s="208">
        <f>BZ217*$AS217</f>
        <v/>
      </c>
      <c r="AJ217" s="208">
        <f>CA217*$AS217</f>
        <v/>
      </c>
      <c r="AK217" s="208">
        <f>CB217*$AS217</f>
        <v/>
      </c>
      <c r="AL217" s="208">
        <f>CC217*$AS217</f>
        <v/>
      </c>
      <c r="AM217" s="208">
        <f>CD217*$AS217</f>
        <v/>
      </c>
      <c r="AN217" s="208">
        <f>CE217*$AS217</f>
        <v/>
      </c>
      <c r="AQ217" s="6" t="n">
        <v>2019</v>
      </c>
      <c r="AR217" s="6" t="inlineStr">
        <is>
          <t>MINBatMaterials_AL</t>
        </is>
      </c>
      <c r="AS217" s="6" t="n">
        <v>0.15</v>
      </c>
      <c r="AT217" s="6" t="inlineStr">
        <is>
          <t>Mining_facility_representative</t>
        </is>
      </c>
      <c r="AU217" s="6" t="inlineStr">
        <is>
          <t>Representative mining-capacity vintage curve; COB_direct treated as aggregate cobalt-production route including by-product routes.</t>
        </is>
      </c>
      <c r="AV217">
        <f>AV196</f>
        <v/>
      </c>
      <c r="AW217">
        <f>AW196</f>
        <v/>
      </c>
      <c r="AX217">
        <f>AX196</f>
        <v/>
      </c>
      <c r="AY217">
        <f>AY196</f>
        <v/>
      </c>
      <c r="AZ217">
        <f>AZ196</f>
        <v/>
      </c>
      <c r="BA217">
        <f>BA196</f>
        <v/>
      </c>
      <c r="BB217">
        <f>BB196</f>
        <v/>
      </c>
      <c r="BC217">
        <f>BC196</f>
        <v/>
      </c>
      <c r="BD217">
        <f>BD196</f>
        <v/>
      </c>
      <c r="BE217">
        <f>BE196</f>
        <v/>
      </c>
      <c r="BF217">
        <f>BF196</f>
        <v/>
      </c>
      <c r="BG217">
        <f>BG196</f>
        <v/>
      </c>
      <c r="BH217">
        <f>BH196</f>
        <v/>
      </c>
      <c r="BI217">
        <f>BI196</f>
        <v/>
      </c>
      <c r="BJ217">
        <f>BJ196</f>
        <v/>
      </c>
      <c r="BK217">
        <f>BK196</f>
        <v/>
      </c>
      <c r="BL217">
        <f>BL196</f>
        <v/>
      </c>
      <c r="BM217">
        <f>BM196</f>
        <v/>
      </c>
      <c r="BN217">
        <f>BN196</f>
        <v/>
      </c>
      <c r="BO217">
        <f>BO196</f>
        <v/>
      </c>
      <c r="BP217">
        <f>BP196</f>
        <v/>
      </c>
      <c r="BQ217">
        <f>BQ196</f>
        <v/>
      </c>
      <c r="BR217">
        <f>BR196</f>
        <v/>
      </c>
      <c r="BS217">
        <f>BS196</f>
        <v/>
      </c>
      <c r="BT217">
        <f>BT196</f>
        <v/>
      </c>
      <c r="BU217">
        <f>BU196</f>
        <v/>
      </c>
      <c r="BV217">
        <f>BV196</f>
        <v/>
      </c>
      <c r="BW217">
        <f>BW196</f>
        <v/>
      </c>
      <c r="BX217">
        <f>BX196</f>
        <v/>
      </c>
      <c r="BY217">
        <f>BY196</f>
        <v/>
      </c>
      <c r="BZ217">
        <f>BZ196</f>
        <v/>
      </c>
      <c r="CA217">
        <f>CA196</f>
        <v/>
      </c>
      <c r="CB217">
        <f>CB196</f>
        <v/>
      </c>
      <c r="CC217">
        <f>CC196</f>
        <v/>
      </c>
      <c r="CD217">
        <f>CD196</f>
        <v/>
      </c>
      <c r="CE217">
        <f>CE196</f>
        <v/>
      </c>
      <c r="CG217" s="6" t="n">
        <v>2019</v>
      </c>
      <c r="CH217" s="6" t="inlineStr">
        <is>
          <t>MINBatMaterials_AL</t>
        </is>
      </c>
      <c r="CI217" s="6" t="n">
        <v>0.15</v>
      </c>
      <c r="CJ217" s="6" t="n">
        <v>0.15</v>
      </c>
      <c r="CK217" s="6" t="inlineStr">
        <is>
          <t>Mining_facility_representative</t>
        </is>
      </c>
      <c r="CL217" s="6" t="inlineStr">
        <is>
          <t>Mining_facility_representative</t>
        </is>
      </c>
      <c r="CM217" s="6" t="inlineStr">
        <is>
          <t>Mining curve kept the same for China; COB_direct treated as aggregate cobalt-production route including by-product routes.</t>
        </is>
      </c>
    </row>
    <row r="218" ht="14.5" customHeight="1" s="213">
      <c r="D218">
        <f>D217</f>
        <v/>
      </c>
      <c r="E218" t="inlineStr">
        <is>
          <t>MINBatMaterials_COP</t>
        </is>
      </c>
      <c r="F218" s="208">
        <f>AW218*$AS218</f>
        <v/>
      </c>
      <c r="G218" s="208">
        <f>AX218*$AS218</f>
        <v/>
      </c>
      <c r="H218" s="208">
        <f>AY218*$AS218</f>
        <v/>
      </c>
      <c r="I218" s="208">
        <f>AZ218*$AS218</f>
        <v/>
      </c>
      <c r="J218" s="208">
        <f>BA218*$AS218</f>
        <v/>
      </c>
      <c r="K218" s="208">
        <f>BB218*$AS218</f>
        <v/>
      </c>
      <c r="L218" s="208">
        <f>BC218*$AS218</f>
        <v/>
      </c>
      <c r="M218" s="208">
        <f>BD218*$CI218</f>
        <v/>
      </c>
      <c r="N218" s="208">
        <f>BE218*$AS218</f>
        <v/>
      </c>
      <c r="O218" s="208">
        <f>BF218*$AS218</f>
        <v/>
      </c>
      <c r="P218" s="208">
        <f>BG218*$AS218</f>
        <v/>
      </c>
      <c r="Q218" s="208">
        <f>BH218*$AS218</f>
        <v/>
      </c>
      <c r="R218" s="208">
        <f>BI218*$AS218</f>
        <v/>
      </c>
      <c r="S218" s="208">
        <f>BJ218*$AS218</f>
        <v/>
      </c>
      <c r="T218" s="208">
        <f>BK218*$AS218</f>
        <v/>
      </c>
      <c r="U218" s="208">
        <f>BL218*$AS218</f>
        <v/>
      </c>
      <c r="V218" s="208">
        <f>BM218*$AS218</f>
        <v/>
      </c>
      <c r="W218" s="208">
        <f>BN218*$AS218</f>
        <v/>
      </c>
      <c r="X218" s="208">
        <f>BO218*$AS218</f>
        <v/>
      </c>
      <c r="Y218" s="208">
        <f>BP218*$AS218</f>
        <v/>
      </c>
      <c r="Z218" s="208">
        <f>BQ218*$AS218</f>
        <v/>
      </c>
      <c r="AA218" s="208">
        <f>BR218*$AS218</f>
        <v/>
      </c>
      <c r="AB218" s="208">
        <f>BS218*$AS218</f>
        <v/>
      </c>
      <c r="AC218" s="208">
        <f>BT218*$AS218</f>
        <v/>
      </c>
      <c r="AD218" s="208">
        <f>BU218*$AS218</f>
        <v/>
      </c>
      <c r="AE218" s="208">
        <f>BV218*$AS218</f>
        <v/>
      </c>
      <c r="AF218" s="208">
        <f>BW218*$AS218</f>
        <v/>
      </c>
      <c r="AG218" s="208">
        <f>BX218*$AS218</f>
        <v/>
      </c>
      <c r="AH218" s="208">
        <f>BY218*$AS218</f>
        <v/>
      </c>
      <c r="AI218" s="208">
        <f>BZ218*$AS218</f>
        <v/>
      </c>
      <c r="AJ218" s="208">
        <f>CA218*$AS218</f>
        <v/>
      </c>
      <c r="AK218" s="208">
        <f>CB218*$AS218</f>
        <v/>
      </c>
      <c r="AL218" s="208">
        <f>CC218*$AS218</f>
        <v/>
      </c>
      <c r="AM218" s="208">
        <f>CD218*$AS218</f>
        <v/>
      </c>
      <c r="AN218" s="208">
        <f>CE218*$AS218</f>
        <v/>
      </c>
      <c r="AQ218" s="6" t="n">
        <v>2019</v>
      </c>
      <c r="AR218" s="6" t="inlineStr">
        <is>
          <t>MINBatMaterials_COP</t>
        </is>
      </c>
      <c r="AS218" s="6" t="n">
        <v>0.15</v>
      </c>
      <c r="AT218" s="6" t="inlineStr">
        <is>
          <t>Mining_facility_representative</t>
        </is>
      </c>
      <c r="AU218" s="6" t="inlineStr">
        <is>
          <t>Representative mining-capacity vintage curve; COB_direct treated as aggregate cobalt-production route including by-product routes.</t>
        </is>
      </c>
      <c r="AV218">
        <f>AV197</f>
        <v/>
      </c>
      <c r="AW218">
        <f>AW197</f>
        <v/>
      </c>
      <c r="AX218">
        <f>AX197</f>
        <v/>
      </c>
      <c r="AY218">
        <f>AY197</f>
        <v/>
      </c>
      <c r="AZ218">
        <f>AZ197</f>
        <v/>
      </c>
      <c r="BA218">
        <f>BA197</f>
        <v/>
      </c>
      <c r="BB218">
        <f>BB197</f>
        <v/>
      </c>
      <c r="BC218">
        <f>BC197</f>
        <v/>
      </c>
      <c r="BD218">
        <f>BD197</f>
        <v/>
      </c>
      <c r="BE218">
        <f>BE197</f>
        <v/>
      </c>
      <c r="BF218">
        <f>BF197</f>
        <v/>
      </c>
      <c r="BG218">
        <f>BG197</f>
        <v/>
      </c>
      <c r="BH218">
        <f>BH197</f>
        <v/>
      </c>
      <c r="BI218">
        <f>BI197</f>
        <v/>
      </c>
      <c r="BJ218">
        <f>BJ197</f>
        <v/>
      </c>
      <c r="BK218">
        <f>BK197</f>
        <v/>
      </c>
      <c r="BL218">
        <f>BL197</f>
        <v/>
      </c>
      <c r="BM218">
        <f>BM197</f>
        <v/>
      </c>
      <c r="BN218">
        <f>BN197</f>
        <v/>
      </c>
      <c r="BO218">
        <f>BO197</f>
        <v/>
      </c>
      <c r="BP218">
        <f>BP197</f>
        <v/>
      </c>
      <c r="BQ218">
        <f>BQ197</f>
        <v/>
      </c>
      <c r="BR218">
        <f>BR197</f>
        <v/>
      </c>
      <c r="BS218">
        <f>BS197</f>
        <v/>
      </c>
      <c r="BT218">
        <f>BT197</f>
        <v/>
      </c>
      <c r="BU218">
        <f>BU197</f>
        <v/>
      </c>
      <c r="BV218">
        <f>BV197</f>
        <v/>
      </c>
      <c r="BW218">
        <f>BW197</f>
        <v/>
      </c>
      <c r="BX218">
        <f>BX197</f>
        <v/>
      </c>
      <c r="BY218">
        <f>BY197</f>
        <v/>
      </c>
      <c r="BZ218">
        <f>BZ197</f>
        <v/>
      </c>
      <c r="CA218">
        <f>CA197</f>
        <v/>
      </c>
      <c r="CB218">
        <f>CB197</f>
        <v/>
      </c>
      <c r="CC218">
        <f>CC197</f>
        <v/>
      </c>
      <c r="CD218">
        <f>CD197</f>
        <v/>
      </c>
      <c r="CE218">
        <f>CE197</f>
        <v/>
      </c>
      <c r="CG218" s="6" t="n">
        <v>2019</v>
      </c>
      <c r="CH218" s="6" t="inlineStr">
        <is>
          <t>MINBatMaterials_COP</t>
        </is>
      </c>
      <c r="CI218" s="6" t="n">
        <v>0.15</v>
      </c>
      <c r="CJ218" s="6" t="n">
        <v>0.15</v>
      </c>
      <c r="CK218" s="6" t="inlineStr">
        <is>
          <t>Mining_facility_representative</t>
        </is>
      </c>
      <c r="CL218" s="6" t="inlineStr">
        <is>
          <t>Mining_facility_representative</t>
        </is>
      </c>
      <c r="CM218" s="6" t="inlineStr">
        <is>
          <t>Mining curve kept the same for China; COB_direct treated as aggregate cobalt-production route including by-product routes.</t>
        </is>
      </c>
    </row>
    <row r="219" ht="14.5" customHeight="1" s="213">
      <c r="D219">
        <f>D218</f>
        <v/>
      </c>
      <c r="E219" t="inlineStr">
        <is>
          <t>MINBatMaterials_GR</t>
        </is>
      </c>
      <c r="F219" s="208">
        <f>AW219*$AS219</f>
        <v/>
      </c>
      <c r="G219" s="208">
        <f>AX219*$AS219</f>
        <v/>
      </c>
      <c r="H219" s="208">
        <f>AY219*$AS219</f>
        <v/>
      </c>
      <c r="I219" s="208">
        <f>AZ219*$AS219</f>
        <v/>
      </c>
      <c r="J219" s="208">
        <f>BA219*$AS219</f>
        <v/>
      </c>
      <c r="K219" s="208">
        <f>BB219*$AS219</f>
        <v/>
      </c>
      <c r="L219" s="208">
        <f>BC219*$AS219</f>
        <v/>
      </c>
      <c r="M219" s="208">
        <f>BD219*$CI219</f>
        <v/>
      </c>
      <c r="N219" s="208">
        <f>BE219*$AS219</f>
        <v/>
      </c>
      <c r="O219" s="208">
        <f>BF219*$AS219</f>
        <v/>
      </c>
      <c r="P219" s="208">
        <f>BG219*$AS219</f>
        <v/>
      </c>
      <c r="Q219" s="208">
        <f>BH219*$AS219</f>
        <v/>
      </c>
      <c r="R219" s="208">
        <f>BI219*$AS219</f>
        <v/>
      </c>
      <c r="S219" s="208">
        <f>BJ219*$AS219</f>
        <v/>
      </c>
      <c r="T219" s="208">
        <f>BK219*$AS219</f>
        <v/>
      </c>
      <c r="U219" s="208">
        <f>BL219*$AS219</f>
        <v/>
      </c>
      <c r="V219" s="208">
        <f>BM219*$AS219</f>
        <v/>
      </c>
      <c r="W219" s="208">
        <f>BN219*$AS219</f>
        <v/>
      </c>
      <c r="X219" s="208">
        <f>BO219*$AS219</f>
        <v/>
      </c>
      <c r="Y219" s="208">
        <f>BP219*$AS219</f>
        <v/>
      </c>
      <c r="Z219" s="208">
        <f>BQ219*$AS219</f>
        <v/>
      </c>
      <c r="AA219" s="208">
        <f>BR219*$AS219</f>
        <v/>
      </c>
      <c r="AB219" s="208">
        <f>BS219*$AS219</f>
        <v/>
      </c>
      <c r="AC219" s="208">
        <f>BT219*$AS219</f>
        <v/>
      </c>
      <c r="AD219" s="208">
        <f>BU219*$AS219</f>
        <v/>
      </c>
      <c r="AE219" s="208">
        <f>BV219*$AS219</f>
        <v/>
      </c>
      <c r="AF219" s="208">
        <f>BW219*$AS219</f>
        <v/>
      </c>
      <c r="AG219" s="208">
        <f>BX219*$AS219</f>
        <v/>
      </c>
      <c r="AH219" s="208">
        <f>BY219*$AS219</f>
        <v/>
      </c>
      <c r="AI219" s="208">
        <f>BZ219*$AS219</f>
        <v/>
      </c>
      <c r="AJ219" s="208">
        <f>CA219*$AS219</f>
        <v/>
      </c>
      <c r="AK219" s="208">
        <f>CB219*$AS219</f>
        <v/>
      </c>
      <c r="AL219" s="208">
        <f>CC219*$AS219</f>
        <v/>
      </c>
      <c r="AM219" s="208">
        <f>CD219*$AS219</f>
        <v/>
      </c>
      <c r="AN219" s="208">
        <f>CE219*$AS219</f>
        <v/>
      </c>
      <c r="AQ219" s="6" t="n">
        <v>2019</v>
      </c>
      <c r="AR219" s="6" t="inlineStr">
        <is>
          <t>MINBatMaterials_GR</t>
        </is>
      </c>
      <c r="AS219" s="6" t="n">
        <v>0.15</v>
      </c>
      <c r="AT219" s="6" t="inlineStr">
        <is>
          <t>Mining_facility_representative</t>
        </is>
      </c>
      <c r="AU219" s="6" t="inlineStr">
        <is>
          <t>Representative mining-capacity vintage curve; COB_direct treated as aggregate cobalt-production route including by-product routes.</t>
        </is>
      </c>
      <c r="AV219">
        <f>AV198</f>
        <v/>
      </c>
      <c r="AW219">
        <f>AW198</f>
        <v/>
      </c>
      <c r="AX219">
        <f>AX198</f>
        <v/>
      </c>
      <c r="AY219">
        <f>AY198</f>
        <v/>
      </c>
      <c r="AZ219">
        <f>AZ198</f>
        <v/>
      </c>
      <c r="BA219">
        <f>BA198</f>
        <v/>
      </c>
      <c r="BB219">
        <f>BB198</f>
        <v/>
      </c>
      <c r="BC219">
        <f>BC198</f>
        <v/>
      </c>
      <c r="BD219">
        <f>BD198</f>
        <v/>
      </c>
      <c r="BE219">
        <f>BE198</f>
        <v/>
      </c>
      <c r="BF219">
        <f>BF198</f>
        <v/>
      </c>
      <c r="BG219">
        <f>BG198</f>
        <v/>
      </c>
      <c r="BH219">
        <f>BH198</f>
        <v/>
      </c>
      <c r="BI219">
        <f>BI198</f>
        <v/>
      </c>
      <c r="BJ219">
        <f>BJ198</f>
        <v/>
      </c>
      <c r="BK219">
        <f>BK198</f>
        <v/>
      </c>
      <c r="BL219">
        <f>BL198</f>
        <v/>
      </c>
      <c r="BM219">
        <f>BM198</f>
        <v/>
      </c>
      <c r="BN219">
        <f>BN198</f>
        <v/>
      </c>
      <c r="BO219">
        <f>BO198</f>
        <v/>
      </c>
      <c r="BP219">
        <f>BP198</f>
        <v/>
      </c>
      <c r="BQ219">
        <f>BQ198</f>
        <v/>
      </c>
      <c r="BR219">
        <f>BR198</f>
        <v/>
      </c>
      <c r="BS219">
        <f>BS198</f>
        <v/>
      </c>
      <c r="BT219">
        <f>BT198</f>
        <v/>
      </c>
      <c r="BU219">
        <f>BU198</f>
        <v/>
      </c>
      <c r="BV219">
        <f>BV198</f>
        <v/>
      </c>
      <c r="BW219">
        <f>BW198</f>
        <v/>
      </c>
      <c r="BX219">
        <f>BX198</f>
        <v/>
      </c>
      <c r="BY219">
        <f>BY198</f>
        <v/>
      </c>
      <c r="BZ219">
        <f>BZ198</f>
        <v/>
      </c>
      <c r="CA219">
        <f>CA198</f>
        <v/>
      </c>
      <c r="CB219">
        <f>CB198</f>
        <v/>
      </c>
      <c r="CC219">
        <f>CC198</f>
        <v/>
      </c>
      <c r="CD219">
        <f>CD198</f>
        <v/>
      </c>
      <c r="CE219">
        <f>CE198</f>
        <v/>
      </c>
      <c r="CG219" s="6" t="n">
        <v>2019</v>
      </c>
      <c r="CH219" s="6" t="inlineStr">
        <is>
          <t>MINBatMaterials_GR</t>
        </is>
      </c>
      <c r="CI219" s="6" t="n">
        <v>0.15</v>
      </c>
      <c r="CJ219" s="6" t="n">
        <v>0.15</v>
      </c>
      <c r="CK219" s="6" t="inlineStr">
        <is>
          <t>Mining_facility_representative</t>
        </is>
      </c>
      <c r="CL219" s="6" t="inlineStr">
        <is>
          <t>Mining_facility_representative</t>
        </is>
      </c>
      <c r="CM219" s="6" t="inlineStr">
        <is>
          <t>Mining curve kept the same for China; COB_direct treated as aggregate cobalt-production route including by-product routes.</t>
        </is>
      </c>
    </row>
    <row r="220" ht="14.5" customHeight="1" s="213">
      <c r="D220" t="n">
        <v>2019</v>
      </c>
      <c r="E220" t="inlineStr">
        <is>
          <t>Tra_EV_Batt-LFP_virgin</t>
        </is>
      </c>
      <c r="F220" s="208">
        <f>AW220*$AS220</f>
        <v/>
      </c>
      <c r="G220" s="208">
        <f>AX220*$AS220</f>
        <v/>
      </c>
      <c r="H220" s="208">
        <f>AY220*$AS220</f>
        <v/>
      </c>
      <c r="I220" s="208">
        <f>AZ220*$AS220</f>
        <v/>
      </c>
      <c r="J220" s="208">
        <f>BA220*$AS220</f>
        <v/>
      </c>
      <c r="K220" s="208">
        <f>BB220*$AS220</f>
        <v/>
      </c>
      <c r="L220" s="208">
        <f>BC220*$AS220</f>
        <v/>
      </c>
      <c r="M220" s="208">
        <f>BD220*$CI220</f>
        <v/>
      </c>
      <c r="N220" s="208">
        <f>BE220*$AS220</f>
        <v/>
      </c>
      <c r="O220" s="208">
        <f>BF220*$AS220</f>
        <v/>
      </c>
      <c r="P220" s="208">
        <f>BG220*$AS220</f>
        <v/>
      </c>
      <c r="Q220" s="208">
        <f>BH220*$AS220</f>
        <v/>
      </c>
      <c r="R220" s="208">
        <f>BI220*$AS220</f>
        <v/>
      </c>
      <c r="S220" s="208">
        <f>BJ220*$AS220</f>
        <v/>
      </c>
      <c r="T220" s="208">
        <f>BK220*$AS220</f>
        <v/>
      </c>
      <c r="U220" s="208">
        <f>BL220*$AS220</f>
        <v/>
      </c>
      <c r="V220" s="208">
        <f>BM220*$AS220</f>
        <v/>
      </c>
      <c r="W220" s="208">
        <f>BN220*$AS220</f>
        <v/>
      </c>
      <c r="X220" s="208">
        <f>BO220*$AS220</f>
        <v/>
      </c>
      <c r="Y220" s="208">
        <f>BP220*$AS220</f>
        <v/>
      </c>
      <c r="Z220" s="208">
        <f>BQ220*$AS220</f>
        <v/>
      </c>
      <c r="AA220" s="208">
        <f>BR220*$AS220</f>
        <v/>
      </c>
      <c r="AB220" s="208">
        <f>BS220*$AS220</f>
        <v/>
      </c>
      <c r="AC220" s="208">
        <f>BT220*$AS220</f>
        <v/>
      </c>
      <c r="AD220" s="208">
        <f>BU220*$AS220</f>
        <v/>
      </c>
      <c r="AE220" s="208">
        <f>BV220*$AS220</f>
        <v/>
      </c>
      <c r="AF220" s="208">
        <f>BW220*$AS220</f>
        <v/>
      </c>
      <c r="AG220" s="208">
        <f>BX220*$AS220</f>
        <v/>
      </c>
      <c r="AH220" s="208">
        <f>BY220*$AS220</f>
        <v/>
      </c>
      <c r="AI220" s="208">
        <f>BZ220*$AS220</f>
        <v/>
      </c>
      <c r="AJ220" s="208">
        <f>CA220*$AS220</f>
        <v/>
      </c>
      <c r="AK220" s="208">
        <f>CB220*$AS220</f>
        <v/>
      </c>
      <c r="AL220" s="208">
        <f>CC220*$AS220</f>
        <v/>
      </c>
      <c r="AM220" s="208">
        <f>CD220*$AS220</f>
        <v/>
      </c>
      <c r="AN220" s="208">
        <f>CE220*$AS220</f>
        <v/>
      </c>
      <c r="AQ220" s="6" t="n">
        <v>2019</v>
      </c>
      <c r="AR220" s="6" t="inlineStr">
        <is>
          <t>Tra_EV_Batt-LFP_virgin</t>
        </is>
      </c>
      <c r="AS220" s="6" t="n">
        <v>0.328</v>
      </c>
      <c r="AT220" s="6" t="inlineStr">
        <is>
          <t>Transport_EV_general</t>
        </is>
      </c>
      <c r="AU220" s="6" t="inlineStr">
        <is>
          <t>Back-loaded transport EV battery vintage curve based on historical EV deployment shape.</t>
        </is>
      </c>
      <c r="AV220">
        <f>AV199</f>
        <v/>
      </c>
      <c r="AW220">
        <f>AW199</f>
        <v/>
      </c>
      <c r="AX220">
        <f>AX199</f>
        <v/>
      </c>
      <c r="AY220">
        <f>AY199</f>
        <v/>
      </c>
      <c r="AZ220">
        <f>AZ199</f>
        <v/>
      </c>
      <c r="BA220">
        <f>BA199</f>
        <v/>
      </c>
      <c r="BB220">
        <f>BB199</f>
        <v/>
      </c>
      <c r="BC220">
        <f>BC199</f>
        <v/>
      </c>
      <c r="BD220">
        <f>BD199</f>
        <v/>
      </c>
      <c r="BE220">
        <f>BE199</f>
        <v/>
      </c>
      <c r="BF220">
        <f>BF199</f>
        <v/>
      </c>
      <c r="BG220">
        <f>BG199</f>
        <v/>
      </c>
      <c r="BH220">
        <f>BH199</f>
        <v/>
      </c>
      <c r="BI220">
        <f>BI199</f>
        <v/>
      </c>
      <c r="BJ220">
        <f>BJ199</f>
        <v/>
      </c>
      <c r="BK220">
        <f>BK199</f>
        <v/>
      </c>
      <c r="BL220">
        <f>BL199</f>
        <v/>
      </c>
      <c r="BM220">
        <f>BM199</f>
        <v/>
      </c>
      <c r="BN220">
        <f>BN199</f>
        <v/>
      </c>
      <c r="BO220">
        <f>BO199</f>
        <v/>
      </c>
      <c r="BP220">
        <f>BP199</f>
        <v/>
      </c>
      <c r="BQ220">
        <f>BQ199</f>
        <v/>
      </c>
      <c r="BR220">
        <f>BR199</f>
        <v/>
      </c>
      <c r="BS220">
        <f>BS199</f>
        <v/>
      </c>
      <c r="BT220">
        <f>BT199</f>
        <v/>
      </c>
      <c r="BU220">
        <f>BU199</f>
        <v/>
      </c>
      <c r="BV220">
        <f>BV199</f>
        <v/>
      </c>
      <c r="BW220">
        <f>BW199</f>
        <v/>
      </c>
      <c r="BX220">
        <f>BX199</f>
        <v/>
      </c>
      <c r="BY220">
        <f>BY199</f>
        <v/>
      </c>
      <c r="BZ220">
        <f>BZ199</f>
        <v/>
      </c>
      <c r="CA220">
        <f>CA199</f>
        <v/>
      </c>
      <c r="CB220">
        <f>CB199</f>
        <v/>
      </c>
      <c r="CC220">
        <f>CC199</f>
        <v/>
      </c>
      <c r="CD220">
        <f>CD199</f>
        <v/>
      </c>
      <c r="CE220">
        <f>CE199</f>
        <v/>
      </c>
      <c r="CG220" s="6" t="n">
        <v>2019</v>
      </c>
      <c r="CH220" s="6" t="inlineStr">
        <is>
          <t>Tra_EV_Batt-LFP_virgin</t>
        </is>
      </c>
      <c r="CI220" s="6" t="n">
        <v>0.328</v>
      </c>
      <c r="CJ220" s="6" t="n">
        <v>0.209</v>
      </c>
      <c r="CK220" s="6" t="inlineStr">
        <is>
          <t>Transport_EV_global</t>
        </is>
      </c>
      <c r="CL220" s="6" t="inlineStr">
        <is>
          <t>Transport_EV_China</t>
        </is>
      </c>
      <c r="CM220" s="6" t="inlineStr">
        <is>
          <t>China transport EV curve is shifted earlier than the global curve to reflect earlier China EV/e-bus deployment in the 2010s.</t>
        </is>
      </c>
    </row>
    <row r="221" ht="14.5" customHeight="1" s="213">
      <c r="D221">
        <f>D220</f>
        <v/>
      </c>
      <c r="E221" t="inlineStr">
        <is>
          <t>Tra_EV_Batt-NMC622_virgin</t>
        </is>
      </c>
      <c r="F221" s="208">
        <f>AW221*$AS221</f>
        <v/>
      </c>
      <c r="G221" s="208">
        <f>AX221*$AS221</f>
        <v/>
      </c>
      <c r="H221" s="208">
        <f>AY221*$AS221</f>
        <v/>
      </c>
      <c r="I221" s="208">
        <f>AZ221*$AS221</f>
        <v/>
      </c>
      <c r="J221" s="208">
        <f>BA221*$AS221</f>
        <v/>
      </c>
      <c r="K221" s="208">
        <f>BB221*$AS221</f>
        <v/>
      </c>
      <c r="L221" s="208">
        <f>BC221*$AS221</f>
        <v/>
      </c>
      <c r="M221" s="208">
        <f>BD221*$CI221</f>
        <v/>
      </c>
      <c r="N221" s="208">
        <f>BE221*$AS221</f>
        <v/>
      </c>
      <c r="O221" s="208">
        <f>BF221*$AS221</f>
        <v/>
      </c>
      <c r="P221" s="208">
        <f>BG221*$AS221</f>
        <v/>
      </c>
      <c r="Q221" s="208">
        <f>BH221*$AS221</f>
        <v/>
      </c>
      <c r="R221" s="208">
        <f>BI221*$AS221</f>
        <v/>
      </c>
      <c r="S221" s="208">
        <f>BJ221*$AS221</f>
        <v/>
      </c>
      <c r="T221" s="208">
        <f>BK221*$AS221</f>
        <v/>
      </c>
      <c r="U221" s="208">
        <f>BL221*$AS221</f>
        <v/>
      </c>
      <c r="V221" s="208">
        <f>BM221*$AS221</f>
        <v/>
      </c>
      <c r="W221" s="208">
        <f>BN221*$AS221</f>
        <v/>
      </c>
      <c r="X221" s="208">
        <f>BO221*$AS221</f>
        <v/>
      </c>
      <c r="Y221" s="208">
        <f>BP221*$AS221</f>
        <v/>
      </c>
      <c r="Z221" s="208">
        <f>BQ221*$AS221</f>
        <v/>
      </c>
      <c r="AA221" s="208">
        <f>BR221*$AS221</f>
        <v/>
      </c>
      <c r="AB221" s="208">
        <f>BS221*$AS221</f>
        <v/>
      </c>
      <c r="AC221" s="208">
        <f>BT221*$AS221</f>
        <v/>
      </c>
      <c r="AD221" s="208">
        <f>BU221*$AS221</f>
        <v/>
      </c>
      <c r="AE221" s="208">
        <f>BV221*$AS221</f>
        <v/>
      </c>
      <c r="AF221" s="208">
        <f>BW221*$AS221</f>
        <v/>
      </c>
      <c r="AG221" s="208">
        <f>BX221*$AS221</f>
        <v/>
      </c>
      <c r="AH221" s="208">
        <f>BY221*$AS221</f>
        <v/>
      </c>
      <c r="AI221" s="208">
        <f>BZ221*$AS221</f>
        <v/>
      </c>
      <c r="AJ221" s="208">
        <f>CA221*$AS221</f>
        <v/>
      </c>
      <c r="AK221" s="208">
        <f>CB221*$AS221</f>
        <v/>
      </c>
      <c r="AL221" s="208">
        <f>CC221*$AS221</f>
        <v/>
      </c>
      <c r="AM221" s="208">
        <f>CD221*$AS221</f>
        <v/>
      </c>
      <c r="AN221" s="208">
        <f>CE221*$AS221</f>
        <v/>
      </c>
      <c r="AQ221" s="6" t="n">
        <v>2019</v>
      </c>
      <c r="AR221" s="6" t="inlineStr">
        <is>
          <t>Tra_EV_Batt-NMC622_virgin</t>
        </is>
      </c>
      <c r="AS221" s="6" t="n">
        <v>0.328</v>
      </c>
      <c r="AT221" s="6" t="inlineStr">
        <is>
          <t>Transport_EV_general</t>
        </is>
      </c>
      <c r="AU221" s="6" t="inlineStr">
        <is>
          <t>Back-loaded transport EV battery vintage curve based on historical EV deployment shape.</t>
        </is>
      </c>
      <c r="AV221">
        <f>AV200</f>
        <v/>
      </c>
      <c r="AW221">
        <f>AW200</f>
        <v/>
      </c>
      <c r="AX221">
        <f>AX200</f>
        <v/>
      </c>
      <c r="AY221">
        <f>AY200</f>
        <v/>
      </c>
      <c r="AZ221">
        <f>AZ200</f>
        <v/>
      </c>
      <c r="BA221">
        <f>BA200</f>
        <v/>
      </c>
      <c r="BB221">
        <f>BB200</f>
        <v/>
      </c>
      <c r="BC221">
        <f>BC200</f>
        <v/>
      </c>
      <c r="BD221">
        <f>BD200</f>
        <v/>
      </c>
      <c r="BE221">
        <f>BE200</f>
        <v/>
      </c>
      <c r="BF221">
        <f>BF200</f>
        <v/>
      </c>
      <c r="BG221">
        <f>BG200</f>
        <v/>
      </c>
      <c r="BH221">
        <f>BH200</f>
        <v/>
      </c>
      <c r="BI221">
        <f>BI200</f>
        <v/>
      </c>
      <c r="BJ221">
        <f>BJ200</f>
        <v/>
      </c>
      <c r="BK221">
        <f>BK200</f>
        <v/>
      </c>
      <c r="BL221">
        <f>BL200</f>
        <v/>
      </c>
      <c r="BM221">
        <f>BM200</f>
        <v/>
      </c>
      <c r="BN221">
        <f>BN200</f>
        <v/>
      </c>
      <c r="BO221">
        <f>BO200</f>
        <v/>
      </c>
      <c r="BP221">
        <f>BP200</f>
        <v/>
      </c>
      <c r="BQ221">
        <f>BQ200</f>
        <v/>
      </c>
      <c r="BR221">
        <f>BR200</f>
        <v/>
      </c>
      <c r="BS221">
        <f>BS200</f>
        <v/>
      </c>
      <c r="BT221">
        <f>BT200</f>
        <v/>
      </c>
      <c r="BU221">
        <f>BU200</f>
        <v/>
      </c>
      <c r="BV221">
        <f>BV200</f>
        <v/>
      </c>
      <c r="BW221">
        <f>BW200</f>
        <v/>
      </c>
      <c r="BX221">
        <f>BX200</f>
        <v/>
      </c>
      <c r="BY221">
        <f>BY200</f>
        <v/>
      </c>
      <c r="BZ221">
        <f>BZ200</f>
        <v/>
      </c>
      <c r="CA221">
        <f>CA200</f>
        <v/>
      </c>
      <c r="CB221">
        <f>CB200</f>
        <v/>
      </c>
      <c r="CC221">
        <f>CC200</f>
        <v/>
      </c>
      <c r="CD221">
        <f>CD200</f>
        <v/>
      </c>
      <c r="CE221">
        <f>CE200</f>
        <v/>
      </c>
      <c r="CG221" s="6" t="n">
        <v>2019</v>
      </c>
      <c r="CH221" s="6" t="inlineStr">
        <is>
          <t>Tra_EV_Batt-NMC622_virgin</t>
        </is>
      </c>
      <c r="CI221" s="6" t="n">
        <v>0.328</v>
      </c>
      <c r="CJ221" s="6" t="n">
        <v>0.209</v>
      </c>
      <c r="CK221" s="6" t="inlineStr">
        <is>
          <t>Transport_EV_global</t>
        </is>
      </c>
      <c r="CL221" s="6" t="inlineStr">
        <is>
          <t>Transport_EV_China</t>
        </is>
      </c>
      <c r="CM221" s="6" t="inlineStr">
        <is>
          <t>China transport EV curve is shifted earlier than the global curve to reflect earlier China EV/e-bus deployment in the 2010s.</t>
        </is>
      </c>
    </row>
    <row r="222" ht="14.5" customHeight="1" s="213">
      <c r="D222">
        <f>D221</f>
        <v/>
      </c>
      <c r="E222" t="inlineStr">
        <is>
          <t>Tra_EV_Batt-NMC811_virgin</t>
        </is>
      </c>
      <c r="F222" s="208">
        <f>AW222*$AS222</f>
        <v/>
      </c>
      <c r="G222" s="208">
        <f>AX222*$AS222</f>
        <v/>
      </c>
      <c r="H222" s="208">
        <f>AY222*$AS222</f>
        <v/>
      </c>
      <c r="I222" s="208">
        <f>AZ222*$AS222</f>
        <v/>
      </c>
      <c r="J222" s="208">
        <f>BA222*$AS222</f>
        <v/>
      </c>
      <c r="K222" s="208">
        <f>BB222*$AS222</f>
        <v/>
      </c>
      <c r="L222" s="208">
        <f>BC222*$AS222</f>
        <v/>
      </c>
      <c r="M222" s="208">
        <f>BD222*$CI222</f>
        <v/>
      </c>
      <c r="N222" s="208">
        <f>BE222*$AS222</f>
        <v/>
      </c>
      <c r="O222" s="208">
        <f>BF222*$AS222</f>
        <v/>
      </c>
      <c r="P222" s="208">
        <f>BG222*$AS222</f>
        <v/>
      </c>
      <c r="Q222" s="208">
        <f>BH222*$AS222</f>
        <v/>
      </c>
      <c r="R222" s="208">
        <f>BI222*$AS222</f>
        <v/>
      </c>
      <c r="S222" s="208">
        <f>BJ222*$AS222</f>
        <v/>
      </c>
      <c r="T222" s="208">
        <f>BK222*$AS222</f>
        <v/>
      </c>
      <c r="U222" s="208">
        <f>BL222*$AS222</f>
        <v/>
      </c>
      <c r="V222" s="208">
        <f>BM222*$AS222</f>
        <v/>
      </c>
      <c r="W222" s="208">
        <f>BN222*$AS222</f>
        <v/>
      </c>
      <c r="X222" s="208">
        <f>BO222*$AS222</f>
        <v/>
      </c>
      <c r="Y222" s="208">
        <f>BP222*$AS222</f>
        <v/>
      </c>
      <c r="Z222" s="208">
        <f>BQ222*$AS222</f>
        <v/>
      </c>
      <c r="AA222" s="208">
        <f>BR222*$AS222</f>
        <v/>
      </c>
      <c r="AB222" s="208">
        <f>BS222*$AS222</f>
        <v/>
      </c>
      <c r="AC222" s="208">
        <f>BT222*$AS222</f>
        <v/>
      </c>
      <c r="AD222" s="208">
        <f>BU222*$AS222</f>
        <v/>
      </c>
      <c r="AE222" s="208">
        <f>BV222*$AS222</f>
        <v/>
      </c>
      <c r="AF222" s="208">
        <f>BW222*$AS222</f>
        <v/>
      </c>
      <c r="AG222" s="208">
        <f>BX222*$AS222</f>
        <v/>
      </c>
      <c r="AH222" s="208">
        <f>BY222*$AS222</f>
        <v/>
      </c>
      <c r="AI222" s="208">
        <f>BZ222*$AS222</f>
        <v/>
      </c>
      <c r="AJ222" s="208">
        <f>CA222*$AS222</f>
        <v/>
      </c>
      <c r="AK222" s="208">
        <f>CB222*$AS222</f>
        <v/>
      </c>
      <c r="AL222" s="208">
        <f>CC222*$AS222</f>
        <v/>
      </c>
      <c r="AM222" s="208">
        <f>CD222*$AS222</f>
        <v/>
      </c>
      <c r="AN222" s="208">
        <f>CE222*$AS222</f>
        <v/>
      </c>
      <c r="AQ222" s="6" t="n">
        <v>2019</v>
      </c>
      <c r="AR222" s="6" t="inlineStr">
        <is>
          <t>Tra_EV_Batt-NMC811_virgin</t>
        </is>
      </c>
      <c r="AS222" s="6" t="n">
        <v>0.328</v>
      </c>
      <c r="AT222" s="6" t="inlineStr">
        <is>
          <t>Transport_EV_general</t>
        </is>
      </c>
      <c r="AU222" s="6" t="inlineStr">
        <is>
          <t>Back-loaded transport EV battery vintage curve based on historical EV deployment shape.</t>
        </is>
      </c>
      <c r="AV222">
        <f>AV201</f>
        <v/>
      </c>
      <c r="AW222">
        <f>AW201</f>
        <v/>
      </c>
      <c r="AX222">
        <f>AX201</f>
        <v/>
      </c>
      <c r="AY222">
        <f>AY201</f>
        <v/>
      </c>
      <c r="AZ222">
        <f>AZ201</f>
        <v/>
      </c>
      <c r="BA222">
        <f>BA201</f>
        <v/>
      </c>
      <c r="BB222">
        <f>BB201</f>
        <v/>
      </c>
      <c r="BC222">
        <f>BC201</f>
        <v/>
      </c>
      <c r="BD222">
        <f>BD201</f>
        <v/>
      </c>
      <c r="BE222">
        <f>BE201</f>
        <v/>
      </c>
      <c r="BF222">
        <f>BF201</f>
        <v/>
      </c>
      <c r="BG222">
        <f>BG201</f>
        <v/>
      </c>
      <c r="BH222">
        <f>BH201</f>
        <v/>
      </c>
      <c r="BI222">
        <f>BI201</f>
        <v/>
      </c>
      <c r="BJ222">
        <f>BJ201</f>
        <v/>
      </c>
      <c r="BK222">
        <f>BK201</f>
        <v/>
      </c>
      <c r="BL222">
        <f>BL201</f>
        <v/>
      </c>
      <c r="BM222">
        <f>BM201</f>
        <v/>
      </c>
      <c r="BN222">
        <f>BN201</f>
        <v/>
      </c>
      <c r="BO222">
        <f>BO201</f>
        <v/>
      </c>
      <c r="BP222">
        <f>BP201</f>
        <v/>
      </c>
      <c r="BQ222">
        <f>BQ201</f>
        <v/>
      </c>
      <c r="BR222">
        <f>BR201</f>
        <v/>
      </c>
      <c r="BS222">
        <f>BS201</f>
        <v/>
      </c>
      <c r="BT222">
        <f>BT201</f>
        <v/>
      </c>
      <c r="BU222">
        <f>BU201</f>
        <v/>
      </c>
      <c r="BV222">
        <f>BV201</f>
        <v/>
      </c>
      <c r="BW222">
        <f>BW201</f>
        <v/>
      </c>
      <c r="BX222">
        <f>BX201</f>
        <v/>
      </c>
      <c r="BY222">
        <f>BY201</f>
        <v/>
      </c>
      <c r="BZ222">
        <f>BZ201</f>
        <v/>
      </c>
      <c r="CA222">
        <f>CA201</f>
        <v/>
      </c>
      <c r="CB222">
        <f>CB201</f>
        <v/>
      </c>
      <c r="CC222">
        <f>CC201</f>
        <v/>
      </c>
      <c r="CD222">
        <f>CD201</f>
        <v/>
      </c>
      <c r="CE222">
        <f>CE201</f>
        <v/>
      </c>
      <c r="CG222" s="6" t="n">
        <v>2019</v>
      </c>
      <c r="CH222" s="6" t="inlineStr">
        <is>
          <t>Tra_EV_Batt-NMC811_virgin</t>
        </is>
      </c>
      <c r="CI222" s="6" t="n">
        <v>0.328</v>
      </c>
      <c r="CJ222" s="6" t="n">
        <v>0.209</v>
      </c>
      <c r="CK222" s="6" t="inlineStr">
        <is>
          <t>Transport_EV_global</t>
        </is>
      </c>
      <c r="CL222" s="6" t="inlineStr">
        <is>
          <t>Transport_EV_China</t>
        </is>
      </c>
      <c r="CM222" s="6" t="inlineStr">
        <is>
          <t>China transport EV curve is shifted earlier than the global curve to reflect earlier China EV/e-bus deployment in the 2010s.</t>
        </is>
      </c>
    </row>
    <row r="223" ht="14.5" customHeight="1" s="213">
      <c r="D223">
        <f>D222</f>
        <v/>
      </c>
      <c r="E223" t="inlineStr">
        <is>
          <t>Tra_EV_Batt-NMC532_virgin</t>
        </is>
      </c>
      <c r="F223" s="208">
        <f>AW223*$AS223</f>
        <v/>
      </c>
      <c r="G223" s="208">
        <f>AX223*$AS223</f>
        <v/>
      </c>
      <c r="H223" s="208">
        <f>AY223*$AS223</f>
        <v/>
      </c>
      <c r="I223" s="208">
        <f>AZ223*$AS223</f>
        <v/>
      </c>
      <c r="J223" s="208">
        <f>BA223*$AS223</f>
        <v/>
      </c>
      <c r="K223" s="208">
        <f>BB223*$AS223</f>
        <v/>
      </c>
      <c r="L223" s="208">
        <f>BC223*$AS223</f>
        <v/>
      </c>
      <c r="M223" s="208">
        <f>BD223*$CI223</f>
        <v/>
      </c>
      <c r="N223" s="208">
        <f>BE223*$AS223</f>
        <v/>
      </c>
      <c r="O223" s="208">
        <f>BF223*$AS223</f>
        <v/>
      </c>
      <c r="P223" s="208">
        <f>BG223*$AS223</f>
        <v/>
      </c>
      <c r="Q223" s="208">
        <f>BH223*$AS223</f>
        <v/>
      </c>
      <c r="R223" s="208">
        <f>BI223*$AS223</f>
        <v/>
      </c>
      <c r="S223" s="208">
        <f>BJ223*$AS223</f>
        <v/>
      </c>
      <c r="T223" s="208">
        <f>BK223*$AS223</f>
        <v/>
      </c>
      <c r="U223" s="208">
        <f>BL223*$AS223</f>
        <v/>
      </c>
      <c r="V223" s="208">
        <f>BM223*$AS223</f>
        <v/>
      </c>
      <c r="W223" s="208">
        <f>BN223*$AS223</f>
        <v/>
      </c>
      <c r="X223" s="208">
        <f>BO223*$AS223</f>
        <v/>
      </c>
      <c r="Y223" s="208">
        <f>BP223*$AS223</f>
        <v/>
      </c>
      <c r="Z223" s="208">
        <f>BQ223*$AS223</f>
        <v/>
      </c>
      <c r="AA223" s="208">
        <f>BR223*$AS223</f>
        <v/>
      </c>
      <c r="AB223" s="208">
        <f>BS223*$AS223</f>
        <v/>
      </c>
      <c r="AC223" s="208">
        <f>BT223*$AS223</f>
        <v/>
      </c>
      <c r="AD223" s="208">
        <f>BU223*$AS223</f>
        <v/>
      </c>
      <c r="AE223" s="208">
        <f>BV223*$AS223</f>
        <v/>
      </c>
      <c r="AF223" s="208">
        <f>BW223*$AS223</f>
        <v/>
      </c>
      <c r="AG223" s="208">
        <f>BX223*$AS223</f>
        <v/>
      </c>
      <c r="AH223" s="208">
        <f>BY223*$AS223</f>
        <v/>
      </c>
      <c r="AI223" s="208">
        <f>BZ223*$AS223</f>
        <v/>
      </c>
      <c r="AJ223" s="208">
        <f>CA223*$AS223</f>
        <v/>
      </c>
      <c r="AK223" s="208">
        <f>CB223*$AS223</f>
        <v/>
      </c>
      <c r="AL223" s="208">
        <f>CC223*$AS223</f>
        <v/>
      </c>
      <c r="AM223" s="208">
        <f>CD223*$AS223</f>
        <v/>
      </c>
      <c r="AN223" s="208">
        <f>CE223*$AS223</f>
        <v/>
      </c>
      <c r="AQ223" s="6" t="n">
        <v>2019</v>
      </c>
      <c r="AR223" s="6" t="inlineStr">
        <is>
          <t>Tra_EV_Batt-NMC532_virgin</t>
        </is>
      </c>
      <c r="AS223" s="6" t="n">
        <v>0.328</v>
      </c>
      <c r="AT223" s="6" t="inlineStr">
        <is>
          <t>Transport_EV_general</t>
        </is>
      </c>
      <c r="AU223" s="6" t="inlineStr">
        <is>
          <t>Back-loaded transport EV battery vintage curve based on historical EV deployment shape.</t>
        </is>
      </c>
      <c r="AV223">
        <f>AV202</f>
        <v/>
      </c>
      <c r="AW223">
        <f>AW202</f>
        <v/>
      </c>
      <c r="AX223">
        <f>AX202</f>
        <v/>
      </c>
      <c r="AY223">
        <f>AY202</f>
        <v/>
      </c>
      <c r="AZ223">
        <f>AZ202</f>
        <v/>
      </c>
      <c r="BA223">
        <f>BA202</f>
        <v/>
      </c>
      <c r="BB223">
        <f>BB202</f>
        <v/>
      </c>
      <c r="BC223">
        <f>BC202</f>
        <v/>
      </c>
      <c r="BD223">
        <f>BD202</f>
        <v/>
      </c>
      <c r="BE223">
        <f>BE202</f>
        <v/>
      </c>
      <c r="BF223">
        <f>BF202</f>
        <v/>
      </c>
      <c r="BG223">
        <f>BG202</f>
        <v/>
      </c>
      <c r="BH223">
        <f>BH202</f>
        <v/>
      </c>
      <c r="BI223">
        <f>BI202</f>
        <v/>
      </c>
      <c r="BJ223">
        <f>BJ202</f>
        <v/>
      </c>
      <c r="BK223">
        <f>BK202</f>
        <v/>
      </c>
      <c r="BL223">
        <f>BL202</f>
        <v/>
      </c>
      <c r="BM223">
        <f>BM202</f>
        <v/>
      </c>
      <c r="BN223">
        <f>BN202</f>
        <v/>
      </c>
      <c r="BO223">
        <f>BO202</f>
        <v/>
      </c>
      <c r="BP223">
        <f>BP202</f>
        <v/>
      </c>
      <c r="BQ223">
        <f>BQ202</f>
        <v/>
      </c>
      <c r="BR223">
        <f>BR202</f>
        <v/>
      </c>
      <c r="BS223">
        <f>BS202</f>
        <v/>
      </c>
      <c r="BT223">
        <f>BT202</f>
        <v/>
      </c>
      <c r="BU223">
        <f>BU202</f>
        <v/>
      </c>
      <c r="BV223">
        <f>BV202</f>
        <v/>
      </c>
      <c r="BW223">
        <f>BW202</f>
        <v/>
      </c>
      <c r="BX223">
        <f>BX202</f>
        <v/>
      </c>
      <c r="BY223">
        <f>BY202</f>
        <v/>
      </c>
      <c r="BZ223">
        <f>BZ202</f>
        <v/>
      </c>
      <c r="CA223">
        <f>CA202</f>
        <v/>
      </c>
      <c r="CB223">
        <f>CB202</f>
        <v/>
      </c>
      <c r="CC223">
        <f>CC202</f>
        <v/>
      </c>
      <c r="CD223">
        <f>CD202</f>
        <v/>
      </c>
      <c r="CE223">
        <f>CE202</f>
        <v/>
      </c>
      <c r="CG223" s="6" t="n">
        <v>2019</v>
      </c>
      <c r="CH223" s="6" t="inlineStr">
        <is>
          <t>Tra_EV_Batt-NMC532_virgin</t>
        </is>
      </c>
      <c r="CI223" s="6" t="n">
        <v>0.328</v>
      </c>
      <c r="CJ223" s="6" t="n">
        <v>0.209</v>
      </c>
      <c r="CK223" s="6" t="inlineStr">
        <is>
          <t>Transport_EV_global</t>
        </is>
      </c>
      <c r="CL223" s="6" t="inlineStr">
        <is>
          <t>Transport_EV_China</t>
        </is>
      </c>
      <c r="CM223" s="6" t="inlineStr">
        <is>
          <t>China transport EV curve is shifted earlier than the global curve to reflect earlier China EV/e-bus deployment in the 2010s.</t>
        </is>
      </c>
    </row>
    <row r="224" ht="14.5" customHeight="1" s="213">
      <c r="D224">
        <f>D223</f>
        <v/>
      </c>
      <c r="E224" t="inlineStr">
        <is>
          <t>Tra_EV_Batt-NCA_virgin</t>
        </is>
      </c>
      <c r="F224" s="208">
        <f>AW224*$AS224</f>
        <v/>
      </c>
      <c r="G224" s="208">
        <f>AX224*$AS224</f>
        <v/>
      </c>
      <c r="H224" s="208">
        <f>AY224*$AS224</f>
        <v/>
      </c>
      <c r="I224" s="208">
        <f>AZ224*$AS224</f>
        <v/>
      </c>
      <c r="J224" s="208">
        <f>BA224*$AS224</f>
        <v/>
      </c>
      <c r="K224" s="208">
        <f>BB224*$AS224</f>
        <v/>
      </c>
      <c r="L224" s="208">
        <f>BC224*$AS224</f>
        <v/>
      </c>
      <c r="M224" s="208">
        <f>BD224*$CI224</f>
        <v/>
      </c>
      <c r="N224" s="208">
        <f>BE224*$AS224</f>
        <v/>
      </c>
      <c r="O224" s="208">
        <f>BF224*$AS224</f>
        <v/>
      </c>
      <c r="P224" s="208">
        <f>BG224*$AS224</f>
        <v/>
      </c>
      <c r="Q224" s="208">
        <f>BH224*$AS224</f>
        <v/>
      </c>
      <c r="R224" s="208">
        <f>BI224*$AS224</f>
        <v/>
      </c>
      <c r="S224" s="208">
        <f>BJ224*$AS224</f>
        <v/>
      </c>
      <c r="T224" s="208">
        <f>BK224*$AS224</f>
        <v/>
      </c>
      <c r="U224" s="208">
        <f>BL224*$AS224</f>
        <v/>
      </c>
      <c r="V224" s="208">
        <f>BM224*$AS224</f>
        <v/>
      </c>
      <c r="W224" s="208">
        <f>BN224*$AS224</f>
        <v/>
      </c>
      <c r="X224" s="208">
        <f>BO224*$AS224</f>
        <v/>
      </c>
      <c r="Y224" s="208">
        <f>BP224*$AS224</f>
        <v/>
      </c>
      <c r="Z224" s="208">
        <f>BQ224*$AS224</f>
        <v/>
      </c>
      <c r="AA224" s="208">
        <f>BR224*$AS224</f>
        <v/>
      </c>
      <c r="AB224" s="208">
        <f>BS224*$AS224</f>
        <v/>
      </c>
      <c r="AC224" s="208">
        <f>BT224*$AS224</f>
        <v/>
      </c>
      <c r="AD224" s="208">
        <f>BU224*$AS224</f>
        <v/>
      </c>
      <c r="AE224" s="208">
        <f>BV224*$AS224</f>
        <v/>
      </c>
      <c r="AF224" s="208">
        <f>BW224*$AS224</f>
        <v/>
      </c>
      <c r="AG224" s="208">
        <f>BX224*$AS224</f>
        <v/>
      </c>
      <c r="AH224" s="208">
        <f>BY224*$AS224</f>
        <v/>
      </c>
      <c r="AI224" s="208">
        <f>BZ224*$AS224</f>
        <v/>
      </c>
      <c r="AJ224" s="208">
        <f>CA224*$AS224</f>
        <v/>
      </c>
      <c r="AK224" s="208">
        <f>CB224*$AS224</f>
        <v/>
      </c>
      <c r="AL224" s="208">
        <f>CC224*$AS224</f>
        <v/>
      </c>
      <c r="AM224" s="208">
        <f>CD224*$AS224</f>
        <v/>
      </c>
      <c r="AN224" s="208">
        <f>CE224*$AS224</f>
        <v/>
      </c>
      <c r="AQ224" s="6" t="n">
        <v>2019</v>
      </c>
      <c r="AR224" s="6" t="inlineStr">
        <is>
          <t>Tra_EV_Batt-NCA_virgin</t>
        </is>
      </c>
      <c r="AS224" s="6" t="n">
        <v>0.328</v>
      </c>
      <c r="AT224" s="6" t="inlineStr">
        <is>
          <t>Transport_EV_general</t>
        </is>
      </c>
      <c r="AU224" s="6" t="inlineStr">
        <is>
          <t>Back-loaded transport EV battery vintage curve based on historical EV deployment shape.</t>
        </is>
      </c>
      <c r="AV224">
        <f>AV203</f>
        <v/>
      </c>
      <c r="AW224">
        <f>AW203</f>
        <v/>
      </c>
      <c r="AX224">
        <f>AX203</f>
        <v/>
      </c>
      <c r="AY224">
        <f>AY203</f>
        <v/>
      </c>
      <c r="AZ224">
        <f>AZ203</f>
        <v/>
      </c>
      <c r="BA224">
        <f>BA203</f>
        <v/>
      </c>
      <c r="BB224">
        <f>BB203</f>
        <v/>
      </c>
      <c r="BC224">
        <f>BC203</f>
        <v/>
      </c>
      <c r="BD224">
        <f>BD203</f>
        <v/>
      </c>
      <c r="BE224">
        <f>BE203</f>
        <v/>
      </c>
      <c r="BF224">
        <f>BF203</f>
        <v/>
      </c>
      <c r="BG224">
        <f>BG203</f>
        <v/>
      </c>
      <c r="BH224">
        <f>BH203</f>
        <v/>
      </c>
      <c r="BI224">
        <f>BI203</f>
        <v/>
      </c>
      <c r="BJ224">
        <f>BJ203</f>
        <v/>
      </c>
      <c r="BK224">
        <f>BK203</f>
        <v/>
      </c>
      <c r="BL224">
        <f>BL203</f>
        <v/>
      </c>
      <c r="BM224">
        <f>BM203</f>
        <v/>
      </c>
      <c r="BN224">
        <f>BN203</f>
        <v/>
      </c>
      <c r="BO224">
        <f>BO203</f>
        <v/>
      </c>
      <c r="BP224">
        <f>BP203</f>
        <v/>
      </c>
      <c r="BQ224">
        <f>BQ203</f>
        <v/>
      </c>
      <c r="BR224">
        <f>BR203</f>
        <v/>
      </c>
      <c r="BS224">
        <f>BS203</f>
        <v/>
      </c>
      <c r="BT224">
        <f>BT203</f>
        <v/>
      </c>
      <c r="BU224">
        <f>BU203</f>
        <v/>
      </c>
      <c r="BV224">
        <f>BV203</f>
        <v/>
      </c>
      <c r="BW224">
        <f>BW203</f>
        <v/>
      </c>
      <c r="BX224">
        <f>BX203</f>
        <v/>
      </c>
      <c r="BY224">
        <f>BY203</f>
        <v/>
      </c>
      <c r="BZ224">
        <f>BZ203</f>
        <v/>
      </c>
      <c r="CA224">
        <f>CA203</f>
        <v/>
      </c>
      <c r="CB224">
        <f>CB203</f>
        <v/>
      </c>
      <c r="CC224">
        <f>CC203</f>
        <v/>
      </c>
      <c r="CD224">
        <f>CD203</f>
        <v/>
      </c>
      <c r="CE224">
        <f>CE203</f>
        <v/>
      </c>
      <c r="CG224" s="6" t="n">
        <v>2019</v>
      </c>
      <c r="CH224" s="6" t="inlineStr">
        <is>
          <t>Tra_EV_Batt-NCA_virgin</t>
        </is>
      </c>
      <c r="CI224" s="6" t="n">
        <v>0.328</v>
      </c>
      <c r="CJ224" s="6" t="n">
        <v>0.209</v>
      </c>
      <c r="CK224" s="6" t="inlineStr">
        <is>
          <t>Transport_EV_global</t>
        </is>
      </c>
      <c r="CL224" s="6" t="inlineStr">
        <is>
          <t>Transport_EV_China</t>
        </is>
      </c>
      <c r="CM224" s="6" t="inlineStr">
        <is>
          <t>China transport EV curve is shifted earlier than the global curve to reflect earlier China EV/e-bus deployment in the 2010s.</t>
        </is>
      </c>
    </row>
    <row r="225" ht="14.5" customHeight="1" s="213">
      <c r="D225">
        <f>D224</f>
        <v/>
      </c>
      <c r="E225" t="inlineStr">
        <is>
          <t>Tra_EV_Batt-LMO_virgin</t>
        </is>
      </c>
      <c r="F225" s="208">
        <f>AW225*$AS225</f>
        <v/>
      </c>
      <c r="G225" s="208">
        <f>AX225*$AS225</f>
        <v/>
      </c>
      <c r="H225" s="208">
        <f>AY225*$AS225</f>
        <v/>
      </c>
      <c r="I225" s="208">
        <f>AZ225*$AS225</f>
        <v/>
      </c>
      <c r="J225" s="208">
        <f>BA225*$AS225</f>
        <v/>
      </c>
      <c r="K225" s="208">
        <f>BB225*$AS225</f>
        <v/>
      </c>
      <c r="L225" s="208">
        <f>BC225*$AS225</f>
        <v/>
      </c>
      <c r="M225" s="208">
        <f>BD225*$CI225</f>
        <v/>
      </c>
      <c r="N225" s="208">
        <f>BE225*$AS225</f>
        <v/>
      </c>
      <c r="O225" s="208">
        <f>BF225*$AS225</f>
        <v/>
      </c>
      <c r="P225" s="208">
        <f>BG225*$AS225</f>
        <v/>
      </c>
      <c r="Q225" s="208">
        <f>BH225*$AS225</f>
        <v/>
      </c>
      <c r="R225" s="208">
        <f>BI225*$AS225</f>
        <v/>
      </c>
      <c r="S225" s="208">
        <f>BJ225*$AS225</f>
        <v/>
      </c>
      <c r="T225" s="208">
        <f>BK225*$AS225</f>
        <v/>
      </c>
      <c r="U225" s="208">
        <f>BL225*$AS225</f>
        <v/>
      </c>
      <c r="V225" s="208">
        <f>BM225*$AS225</f>
        <v/>
      </c>
      <c r="W225" s="208">
        <f>BN225*$AS225</f>
        <v/>
      </c>
      <c r="X225" s="208">
        <f>BO225*$AS225</f>
        <v/>
      </c>
      <c r="Y225" s="208">
        <f>BP225*$AS225</f>
        <v/>
      </c>
      <c r="Z225" s="208">
        <f>BQ225*$AS225</f>
        <v/>
      </c>
      <c r="AA225" s="208">
        <f>BR225*$AS225</f>
        <v/>
      </c>
      <c r="AB225" s="208">
        <f>BS225*$AS225</f>
        <v/>
      </c>
      <c r="AC225" s="208">
        <f>BT225*$AS225</f>
        <v/>
      </c>
      <c r="AD225" s="208">
        <f>BU225*$AS225</f>
        <v/>
      </c>
      <c r="AE225" s="208">
        <f>BV225*$AS225</f>
        <v/>
      </c>
      <c r="AF225" s="208">
        <f>BW225*$AS225</f>
        <v/>
      </c>
      <c r="AG225" s="208">
        <f>BX225*$AS225</f>
        <v/>
      </c>
      <c r="AH225" s="208">
        <f>BY225*$AS225</f>
        <v/>
      </c>
      <c r="AI225" s="208">
        <f>BZ225*$AS225</f>
        <v/>
      </c>
      <c r="AJ225" s="208">
        <f>CA225*$AS225</f>
        <v/>
      </c>
      <c r="AK225" s="208">
        <f>CB225*$AS225</f>
        <v/>
      </c>
      <c r="AL225" s="208">
        <f>CC225*$AS225</f>
        <v/>
      </c>
      <c r="AM225" s="208">
        <f>CD225*$AS225</f>
        <v/>
      </c>
      <c r="AN225" s="208">
        <f>CE225*$AS225</f>
        <v/>
      </c>
      <c r="AQ225" s="6" t="n">
        <v>2019</v>
      </c>
      <c r="AR225" s="6" t="inlineStr">
        <is>
          <t>Tra_EV_Batt-LMO_virgin</t>
        </is>
      </c>
      <c r="AS225" s="6" t="n">
        <v>0.328</v>
      </c>
      <c r="AT225" s="6" t="inlineStr">
        <is>
          <t>Transport_EV_general</t>
        </is>
      </c>
      <c r="AU225" s="6" t="inlineStr">
        <is>
          <t>Back-loaded transport EV battery vintage curve based on historical EV deployment shape.</t>
        </is>
      </c>
      <c r="AV225">
        <f>AV204</f>
        <v/>
      </c>
      <c r="AW225">
        <f>AW204</f>
        <v/>
      </c>
      <c r="AX225">
        <f>AX204</f>
        <v/>
      </c>
      <c r="AY225">
        <f>AY204</f>
        <v/>
      </c>
      <c r="AZ225">
        <f>AZ204</f>
        <v/>
      </c>
      <c r="BA225">
        <f>BA204</f>
        <v/>
      </c>
      <c r="BB225">
        <f>BB204</f>
        <v/>
      </c>
      <c r="BC225">
        <f>BC204</f>
        <v/>
      </c>
      <c r="BD225">
        <f>BD204</f>
        <v/>
      </c>
      <c r="BE225">
        <f>BE204</f>
        <v/>
      </c>
      <c r="BF225">
        <f>BF204</f>
        <v/>
      </c>
      <c r="BG225">
        <f>BG204</f>
        <v/>
      </c>
      <c r="BH225">
        <f>BH204</f>
        <v/>
      </c>
      <c r="BI225">
        <f>BI204</f>
        <v/>
      </c>
      <c r="BJ225">
        <f>BJ204</f>
        <v/>
      </c>
      <c r="BK225">
        <f>BK204</f>
        <v/>
      </c>
      <c r="BL225">
        <f>BL204</f>
        <v/>
      </c>
      <c r="BM225">
        <f>BM204</f>
        <v/>
      </c>
      <c r="BN225">
        <f>BN204</f>
        <v/>
      </c>
      <c r="BO225">
        <f>BO204</f>
        <v/>
      </c>
      <c r="BP225">
        <f>BP204</f>
        <v/>
      </c>
      <c r="BQ225">
        <f>BQ204</f>
        <v/>
      </c>
      <c r="BR225">
        <f>BR204</f>
        <v/>
      </c>
      <c r="BS225">
        <f>BS204</f>
        <v/>
      </c>
      <c r="BT225">
        <f>BT204</f>
        <v/>
      </c>
      <c r="BU225">
        <f>BU204</f>
        <v/>
      </c>
      <c r="BV225">
        <f>BV204</f>
        <v/>
      </c>
      <c r="BW225">
        <f>BW204</f>
        <v/>
      </c>
      <c r="BX225">
        <f>BX204</f>
        <v/>
      </c>
      <c r="BY225">
        <f>BY204</f>
        <v/>
      </c>
      <c r="BZ225">
        <f>BZ204</f>
        <v/>
      </c>
      <c r="CA225">
        <f>CA204</f>
        <v/>
      </c>
      <c r="CB225">
        <f>CB204</f>
        <v/>
      </c>
      <c r="CC225">
        <f>CC204</f>
        <v/>
      </c>
      <c r="CD225">
        <f>CD204</f>
        <v/>
      </c>
      <c r="CE225">
        <f>CE204</f>
        <v/>
      </c>
      <c r="CG225" s="6" t="n">
        <v>2019</v>
      </c>
      <c r="CH225" s="6" t="inlineStr">
        <is>
          <t>Tra_EV_Batt-LMO_virgin</t>
        </is>
      </c>
      <c r="CI225" s="6" t="n">
        <v>0.328</v>
      </c>
      <c r="CJ225" s="6" t="n">
        <v>0.209</v>
      </c>
      <c r="CK225" s="6" t="inlineStr">
        <is>
          <t>Transport_EV_global</t>
        </is>
      </c>
      <c r="CL225" s="6" t="inlineStr">
        <is>
          <t>Transport_EV_China</t>
        </is>
      </c>
      <c r="CM225" s="6" t="inlineStr">
        <is>
          <t>China transport EV curve is shifted earlier than the global curve to reflect earlier China EV/e-bus deployment in the 2010s.</t>
        </is>
      </c>
    </row>
    <row r="226" ht="14.5" customHeight="1" s="213">
      <c r="D226">
        <f>D225</f>
        <v/>
      </c>
      <c r="E226" t="inlineStr">
        <is>
          <t>Tra_EV_Batt-NMC111_virgin</t>
        </is>
      </c>
      <c r="F226" s="208">
        <f>AW226*$AS226</f>
        <v/>
      </c>
      <c r="G226" s="208">
        <f>AX226*$AS226</f>
        <v/>
      </c>
      <c r="H226" s="208">
        <f>AY226*$AS226</f>
        <v/>
      </c>
      <c r="I226" s="208">
        <f>AZ226*$AS226</f>
        <v/>
      </c>
      <c r="J226" s="208">
        <f>BA226*$AS226</f>
        <v/>
      </c>
      <c r="K226" s="208">
        <f>BB226*$AS226</f>
        <v/>
      </c>
      <c r="L226" s="208">
        <f>BC226*$AS226</f>
        <v/>
      </c>
      <c r="M226" s="208">
        <f>BD226*$CI226</f>
        <v/>
      </c>
      <c r="N226" s="208">
        <f>BE226*$AS226</f>
        <v/>
      </c>
      <c r="O226" s="208">
        <f>BF226*$AS226</f>
        <v/>
      </c>
      <c r="P226" s="208">
        <f>BG226*$AS226</f>
        <v/>
      </c>
      <c r="Q226" s="208">
        <f>BH226*$AS226</f>
        <v/>
      </c>
      <c r="R226" s="208">
        <f>BI226*$AS226</f>
        <v/>
      </c>
      <c r="S226" s="208">
        <f>BJ226*$AS226</f>
        <v/>
      </c>
      <c r="T226" s="208">
        <f>BK226*$AS226</f>
        <v/>
      </c>
      <c r="U226" s="208">
        <f>BL226*$AS226</f>
        <v/>
      </c>
      <c r="V226" s="208">
        <f>BM226*$AS226</f>
        <v/>
      </c>
      <c r="W226" s="208">
        <f>BN226*$AS226</f>
        <v/>
      </c>
      <c r="X226" s="208">
        <f>BO226*$AS226</f>
        <v/>
      </c>
      <c r="Y226" s="208">
        <f>BP226*$AS226</f>
        <v/>
      </c>
      <c r="Z226" s="208">
        <f>BQ226*$AS226</f>
        <v/>
      </c>
      <c r="AA226" s="208">
        <f>BR226*$AS226</f>
        <v/>
      </c>
      <c r="AB226" s="208">
        <f>BS226*$AS226</f>
        <v/>
      </c>
      <c r="AC226" s="208">
        <f>BT226*$AS226</f>
        <v/>
      </c>
      <c r="AD226" s="208">
        <f>BU226*$AS226</f>
        <v/>
      </c>
      <c r="AE226" s="208">
        <f>BV226*$AS226</f>
        <v/>
      </c>
      <c r="AF226" s="208">
        <f>BW226*$AS226</f>
        <v/>
      </c>
      <c r="AG226" s="208">
        <f>BX226*$AS226</f>
        <v/>
      </c>
      <c r="AH226" s="208">
        <f>BY226*$AS226</f>
        <v/>
      </c>
      <c r="AI226" s="208">
        <f>BZ226*$AS226</f>
        <v/>
      </c>
      <c r="AJ226" s="208">
        <f>CA226*$AS226</f>
        <v/>
      </c>
      <c r="AK226" s="208">
        <f>CB226*$AS226</f>
        <v/>
      </c>
      <c r="AL226" s="208">
        <f>CC226*$AS226</f>
        <v/>
      </c>
      <c r="AM226" s="208">
        <f>CD226*$AS226</f>
        <v/>
      </c>
      <c r="AN226" s="208">
        <f>CE226*$AS226</f>
        <v/>
      </c>
      <c r="AQ226" s="6" t="n">
        <v>2019</v>
      </c>
      <c r="AR226" s="6" t="inlineStr">
        <is>
          <t>Tra_EV_Batt-NMC111_virgin</t>
        </is>
      </c>
      <c r="AS226" s="6" t="n">
        <v>0.328</v>
      </c>
      <c r="AT226" s="6" t="inlineStr">
        <is>
          <t>Transport_EV_general</t>
        </is>
      </c>
      <c r="AU226" s="6" t="inlineStr">
        <is>
          <t>Back-loaded transport EV battery vintage curve based on historical EV deployment shape.</t>
        </is>
      </c>
      <c r="AV226">
        <f>AV205</f>
        <v/>
      </c>
      <c r="AW226">
        <f>AW205</f>
        <v/>
      </c>
      <c r="AX226">
        <f>AX205</f>
        <v/>
      </c>
      <c r="AY226">
        <f>AY205</f>
        <v/>
      </c>
      <c r="AZ226">
        <f>AZ205</f>
        <v/>
      </c>
      <c r="BA226">
        <f>BA205</f>
        <v/>
      </c>
      <c r="BB226">
        <f>BB205</f>
        <v/>
      </c>
      <c r="BC226">
        <f>BC205</f>
        <v/>
      </c>
      <c r="BD226">
        <f>BD205</f>
        <v/>
      </c>
      <c r="BE226">
        <f>BE205</f>
        <v/>
      </c>
      <c r="BF226">
        <f>BF205</f>
        <v/>
      </c>
      <c r="BG226">
        <f>BG205</f>
        <v/>
      </c>
      <c r="BH226">
        <f>BH205</f>
        <v/>
      </c>
      <c r="BI226">
        <f>BI205</f>
        <v/>
      </c>
      <c r="BJ226">
        <f>BJ205</f>
        <v/>
      </c>
      <c r="BK226">
        <f>BK205</f>
        <v/>
      </c>
      <c r="BL226">
        <f>BL205</f>
        <v/>
      </c>
      <c r="BM226">
        <f>BM205</f>
        <v/>
      </c>
      <c r="BN226">
        <f>BN205</f>
        <v/>
      </c>
      <c r="BO226">
        <f>BO205</f>
        <v/>
      </c>
      <c r="BP226">
        <f>BP205</f>
        <v/>
      </c>
      <c r="BQ226">
        <f>BQ205</f>
        <v/>
      </c>
      <c r="BR226">
        <f>BR205</f>
        <v/>
      </c>
      <c r="BS226">
        <f>BS205</f>
        <v/>
      </c>
      <c r="BT226">
        <f>BT205</f>
        <v/>
      </c>
      <c r="BU226">
        <f>BU205</f>
        <v/>
      </c>
      <c r="BV226">
        <f>BV205</f>
        <v/>
      </c>
      <c r="BW226">
        <f>BW205</f>
        <v/>
      </c>
      <c r="BX226">
        <f>BX205</f>
        <v/>
      </c>
      <c r="BY226">
        <f>BY205</f>
        <v/>
      </c>
      <c r="BZ226">
        <f>BZ205</f>
        <v/>
      </c>
      <c r="CA226">
        <f>CA205</f>
        <v/>
      </c>
      <c r="CB226">
        <f>CB205</f>
        <v/>
      </c>
      <c r="CC226">
        <f>CC205</f>
        <v/>
      </c>
      <c r="CD226">
        <f>CD205</f>
        <v/>
      </c>
      <c r="CE226">
        <f>CE205</f>
        <v/>
      </c>
      <c r="CG226" s="6" t="n">
        <v>2019</v>
      </c>
      <c r="CH226" s="6" t="inlineStr">
        <is>
          <t>Tra_EV_Batt-NMC111_virgin</t>
        </is>
      </c>
      <c r="CI226" s="6" t="n">
        <v>0.328</v>
      </c>
      <c r="CJ226" s="6" t="n">
        <v>0.209</v>
      </c>
      <c r="CK226" s="6" t="inlineStr">
        <is>
          <t>Transport_EV_global</t>
        </is>
      </c>
      <c r="CL226" s="6" t="inlineStr">
        <is>
          <t>Transport_EV_China</t>
        </is>
      </c>
      <c r="CM226" s="6" t="inlineStr">
        <is>
          <t>China transport EV curve is shifted earlier than the global curve to reflect earlier China EV/e-bus deployment in the 2010s.</t>
        </is>
      </c>
    </row>
    <row r="227" ht="14.5" customHeight="1" s="213">
      <c r="D227">
        <f>D226</f>
        <v/>
      </c>
      <c r="E227" t="inlineStr">
        <is>
          <t>Tra_EV_Batt-LFP_virgin_pack</t>
        </is>
      </c>
      <c r="F227" s="208">
        <f>AW227*$AS227</f>
        <v/>
      </c>
      <c r="G227" s="208">
        <f>AX227*$AS227</f>
        <v/>
      </c>
      <c r="H227" s="208">
        <f>AY227*$AS227</f>
        <v/>
      </c>
      <c r="I227" s="208">
        <f>AZ227*$AS227</f>
        <v/>
      </c>
      <c r="J227" s="208">
        <f>BA227*$AS227</f>
        <v/>
      </c>
      <c r="K227" s="208">
        <f>BB227*$AS227</f>
        <v/>
      </c>
      <c r="L227" s="208">
        <f>BC227*$AS227</f>
        <v/>
      </c>
      <c r="M227" s="208">
        <f>BD227*$CI227</f>
        <v/>
      </c>
      <c r="N227" s="208">
        <f>BE227*$AS227</f>
        <v/>
      </c>
      <c r="O227" s="208">
        <f>BF227*$AS227</f>
        <v/>
      </c>
      <c r="P227" s="208">
        <f>BG227*$AS227</f>
        <v/>
      </c>
      <c r="Q227" s="208">
        <f>BH227*$AS227</f>
        <v/>
      </c>
      <c r="R227" s="208">
        <f>BI227*$AS227</f>
        <v/>
      </c>
      <c r="S227" s="208">
        <f>BJ227*$AS227</f>
        <v/>
      </c>
      <c r="T227" s="208">
        <f>BK227*$AS227</f>
        <v/>
      </c>
      <c r="U227" s="208">
        <f>BL227*$AS227</f>
        <v/>
      </c>
      <c r="V227" s="208">
        <f>BM227*$AS227</f>
        <v/>
      </c>
      <c r="W227" s="208">
        <f>BN227*$AS227</f>
        <v/>
      </c>
      <c r="X227" s="208">
        <f>BO227*$AS227</f>
        <v/>
      </c>
      <c r="Y227" s="208">
        <f>BP227*$AS227</f>
        <v/>
      </c>
      <c r="Z227" s="208">
        <f>BQ227*$AS227</f>
        <v/>
      </c>
      <c r="AA227" s="208">
        <f>BR227*$AS227</f>
        <v/>
      </c>
      <c r="AB227" s="208">
        <f>BS227*$AS227</f>
        <v/>
      </c>
      <c r="AC227" s="208">
        <f>BT227*$AS227</f>
        <v/>
      </c>
      <c r="AD227" s="208">
        <f>BU227*$AS227</f>
        <v/>
      </c>
      <c r="AE227" s="208">
        <f>BV227*$AS227</f>
        <v/>
      </c>
      <c r="AF227" s="208">
        <f>BW227*$AS227</f>
        <v/>
      </c>
      <c r="AG227" s="208">
        <f>BX227*$AS227</f>
        <v/>
      </c>
      <c r="AH227" s="208">
        <f>BY227*$AS227</f>
        <v/>
      </c>
      <c r="AI227" s="208">
        <f>BZ227*$AS227</f>
        <v/>
      </c>
      <c r="AJ227" s="208">
        <f>CA227*$AS227</f>
        <v/>
      </c>
      <c r="AK227" s="208">
        <f>CB227*$AS227</f>
        <v/>
      </c>
      <c r="AL227" s="208">
        <f>CC227*$AS227</f>
        <v/>
      </c>
      <c r="AM227" s="208">
        <f>CD227*$AS227</f>
        <v/>
      </c>
      <c r="AN227" s="208">
        <f>CE227*$AS227</f>
        <v/>
      </c>
      <c r="AQ227" s="6" t="n">
        <v>2019</v>
      </c>
      <c r="AR227" s="6" t="inlineStr">
        <is>
          <t>Tra_EV_Batt-LFP_virgin_pack</t>
        </is>
      </c>
      <c r="AS227" s="6" t="n">
        <v>0.328</v>
      </c>
      <c r="AT227" s="6" t="inlineStr">
        <is>
          <t>Transport_EV_general</t>
        </is>
      </c>
      <c r="AU227" s="6" t="inlineStr">
        <is>
          <t>Back-loaded transport EV battery vintage curve based on historical EV deployment shape.</t>
        </is>
      </c>
      <c r="AV227">
        <f>AV206</f>
        <v/>
      </c>
      <c r="AW227">
        <f>AW206</f>
        <v/>
      </c>
      <c r="AX227">
        <f>AX206</f>
        <v/>
      </c>
      <c r="AY227">
        <f>AY206</f>
        <v/>
      </c>
      <c r="AZ227">
        <f>AZ206</f>
        <v/>
      </c>
      <c r="BA227">
        <f>BA206</f>
        <v/>
      </c>
      <c r="BB227">
        <f>BB206</f>
        <v/>
      </c>
      <c r="BC227">
        <f>BC206</f>
        <v/>
      </c>
      <c r="BD227">
        <f>BD206</f>
        <v/>
      </c>
      <c r="BE227">
        <f>BE206</f>
        <v/>
      </c>
      <c r="BF227">
        <f>BF206</f>
        <v/>
      </c>
      <c r="BG227">
        <f>BG206</f>
        <v/>
      </c>
      <c r="BH227">
        <f>BH206</f>
        <v/>
      </c>
      <c r="BI227">
        <f>BI206</f>
        <v/>
      </c>
      <c r="BJ227">
        <f>BJ206</f>
        <v/>
      </c>
      <c r="BK227">
        <f>BK206</f>
        <v/>
      </c>
      <c r="BL227">
        <f>BL206</f>
        <v/>
      </c>
      <c r="BM227">
        <f>BM206</f>
        <v/>
      </c>
      <c r="BN227">
        <f>BN206</f>
        <v/>
      </c>
      <c r="BO227">
        <f>BO206</f>
        <v/>
      </c>
      <c r="BP227">
        <f>BP206</f>
        <v/>
      </c>
      <c r="BQ227">
        <f>BQ206</f>
        <v/>
      </c>
      <c r="BR227">
        <f>BR206</f>
        <v/>
      </c>
      <c r="BS227">
        <f>BS206</f>
        <v/>
      </c>
      <c r="BT227">
        <f>BT206</f>
        <v/>
      </c>
      <c r="BU227">
        <f>BU206</f>
        <v/>
      </c>
      <c r="BV227">
        <f>BV206</f>
        <v/>
      </c>
      <c r="BW227">
        <f>BW206</f>
        <v/>
      </c>
      <c r="BX227">
        <f>BX206</f>
        <v/>
      </c>
      <c r="BY227">
        <f>BY206</f>
        <v/>
      </c>
      <c r="BZ227">
        <f>BZ206</f>
        <v/>
      </c>
      <c r="CA227">
        <f>CA206</f>
        <v/>
      </c>
      <c r="CB227">
        <f>CB206</f>
        <v/>
      </c>
      <c r="CC227">
        <f>CC206</f>
        <v/>
      </c>
      <c r="CD227">
        <f>CD206</f>
        <v/>
      </c>
      <c r="CE227">
        <f>CE206</f>
        <v/>
      </c>
      <c r="CG227" s="6" t="n">
        <v>2019</v>
      </c>
      <c r="CH227" s="6" t="inlineStr">
        <is>
          <t>Tra_EV_Batt-LFP_virgin_pack</t>
        </is>
      </c>
      <c r="CI227" s="6" t="n">
        <v>0.328</v>
      </c>
      <c r="CJ227" s="6" t="n">
        <v>0.209</v>
      </c>
      <c r="CK227" s="6" t="inlineStr">
        <is>
          <t>Transport_EV_global</t>
        </is>
      </c>
      <c r="CL227" s="6" t="inlineStr">
        <is>
          <t>Transport_EV_China</t>
        </is>
      </c>
      <c r="CM227" s="6" t="inlineStr">
        <is>
          <t>China transport EV curve is shifted earlier than the global curve to reflect earlier China EV/e-bus deployment in the 2010s.</t>
        </is>
      </c>
    </row>
    <row r="228" ht="14.5" customHeight="1" s="213">
      <c r="D228">
        <f>D227</f>
        <v/>
      </c>
      <c r="E228" t="inlineStr">
        <is>
          <t>Tra_EV_Batt-NMC622_virgin_pack</t>
        </is>
      </c>
      <c r="F228" s="208">
        <f>AW228*$AS228</f>
        <v/>
      </c>
      <c r="G228" s="208">
        <f>AX228*$AS228</f>
        <v/>
      </c>
      <c r="H228" s="208">
        <f>AY228*$AS228</f>
        <v/>
      </c>
      <c r="I228" s="208">
        <f>AZ228*$AS228</f>
        <v/>
      </c>
      <c r="J228" s="208">
        <f>BA228*$AS228</f>
        <v/>
      </c>
      <c r="K228" s="208">
        <f>BB228*$AS228</f>
        <v/>
      </c>
      <c r="L228" s="208">
        <f>BC228*$AS228</f>
        <v/>
      </c>
      <c r="M228" s="208">
        <f>BD228*$CI228</f>
        <v/>
      </c>
      <c r="N228" s="208">
        <f>BE228*$AS228</f>
        <v/>
      </c>
      <c r="O228" s="208">
        <f>BF228*$AS228</f>
        <v/>
      </c>
      <c r="P228" s="208">
        <f>BG228*$AS228</f>
        <v/>
      </c>
      <c r="Q228" s="208">
        <f>BH228*$AS228</f>
        <v/>
      </c>
      <c r="R228" s="208">
        <f>BI228*$AS228</f>
        <v/>
      </c>
      <c r="S228" s="208">
        <f>BJ228*$AS228</f>
        <v/>
      </c>
      <c r="T228" s="208">
        <f>BK228*$AS228</f>
        <v/>
      </c>
      <c r="U228" s="208">
        <f>BL228*$AS228</f>
        <v/>
      </c>
      <c r="V228" s="208">
        <f>BM228*$AS228</f>
        <v/>
      </c>
      <c r="W228" s="208">
        <f>BN228*$AS228</f>
        <v/>
      </c>
      <c r="X228" s="208">
        <f>BO228*$AS228</f>
        <v/>
      </c>
      <c r="Y228" s="208">
        <f>BP228*$AS228</f>
        <v/>
      </c>
      <c r="Z228" s="208">
        <f>BQ228*$AS228</f>
        <v/>
      </c>
      <c r="AA228" s="208">
        <f>BR228*$AS228</f>
        <v/>
      </c>
      <c r="AB228" s="208">
        <f>BS228*$AS228</f>
        <v/>
      </c>
      <c r="AC228" s="208">
        <f>BT228*$AS228</f>
        <v/>
      </c>
      <c r="AD228" s="208">
        <f>BU228*$AS228</f>
        <v/>
      </c>
      <c r="AE228" s="208">
        <f>BV228*$AS228</f>
        <v/>
      </c>
      <c r="AF228" s="208">
        <f>BW228*$AS228</f>
        <v/>
      </c>
      <c r="AG228" s="208">
        <f>BX228*$AS228</f>
        <v/>
      </c>
      <c r="AH228" s="208">
        <f>BY228*$AS228</f>
        <v/>
      </c>
      <c r="AI228" s="208">
        <f>BZ228*$AS228</f>
        <v/>
      </c>
      <c r="AJ228" s="208">
        <f>CA228*$AS228</f>
        <v/>
      </c>
      <c r="AK228" s="208">
        <f>CB228*$AS228</f>
        <v/>
      </c>
      <c r="AL228" s="208">
        <f>CC228*$AS228</f>
        <v/>
      </c>
      <c r="AM228" s="208">
        <f>CD228*$AS228</f>
        <v/>
      </c>
      <c r="AN228" s="208">
        <f>CE228*$AS228</f>
        <v/>
      </c>
      <c r="AQ228" s="6" t="n">
        <v>2019</v>
      </c>
      <c r="AR228" s="6" t="inlineStr">
        <is>
          <t>Tra_EV_Batt-NMC622_virgin_pack</t>
        </is>
      </c>
      <c r="AS228" s="6" t="n">
        <v>0.328</v>
      </c>
      <c r="AT228" s="6" t="inlineStr">
        <is>
          <t>Transport_EV_general</t>
        </is>
      </c>
      <c r="AU228" s="6" t="inlineStr">
        <is>
          <t>Back-loaded transport EV battery vintage curve based on historical EV deployment shape.</t>
        </is>
      </c>
      <c r="AV228">
        <f>AV207</f>
        <v/>
      </c>
      <c r="AW228">
        <f>AW207</f>
        <v/>
      </c>
      <c r="AX228">
        <f>AX207</f>
        <v/>
      </c>
      <c r="AY228">
        <f>AY207</f>
        <v/>
      </c>
      <c r="AZ228">
        <f>AZ207</f>
        <v/>
      </c>
      <c r="BA228">
        <f>BA207</f>
        <v/>
      </c>
      <c r="BB228">
        <f>BB207</f>
        <v/>
      </c>
      <c r="BC228">
        <f>BC207</f>
        <v/>
      </c>
      <c r="BD228">
        <f>BD207</f>
        <v/>
      </c>
      <c r="BE228">
        <f>BE207</f>
        <v/>
      </c>
      <c r="BF228">
        <f>BF207</f>
        <v/>
      </c>
      <c r="BG228">
        <f>BG207</f>
        <v/>
      </c>
      <c r="BH228">
        <f>BH207</f>
        <v/>
      </c>
      <c r="BI228">
        <f>BI207</f>
        <v/>
      </c>
      <c r="BJ228">
        <f>BJ207</f>
        <v/>
      </c>
      <c r="BK228">
        <f>BK207</f>
        <v/>
      </c>
      <c r="BL228">
        <f>BL207</f>
        <v/>
      </c>
      <c r="BM228">
        <f>BM207</f>
        <v/>
      </c>
      <c r="BN228">
        <f>BN207</f>
        <v/>
      </c>
      <c r="BO228">
        <f>BO207</f>
        <v/>
      </c>
      <c r="BP228">
        <f>BP207</f>
        <v/>
      </c>
      <c r="BQ228">
        <f>BQ207</f>
        <v/>
      </c>
      <c r="BR228">
        <f>BR207</f>
        <v/>
      </c>
      <c r="BS228">
        <f>BS207</f>
        <v/>
      </c>
      <c r="BT228">
        <f>BT207</f>
        <v/>
      </c>
      <c r="BU228">
        <f>BU207</f>
        <v/>
      </c>
      <c r="BV228">
        <f>BV207</f>
        <v/>
      </c>
      <c r="BW228">
        <f>BW207</f>
        <v/>
      </c>
      <c r="BX228">
        <f>BX207</f>
        <v/>
      </c>
      <c r="BY228">
        <f>BY207</f>
        <v/>
      </c>
      <c r="BZ228">
        <f>BZ207</f>
        <v/>
      </c>
      <c r="CA228">
        <f>CA207</f>
        <v/>
      </c>
      <c r="CB228">
        <f>CB207</f>
        <v/>
      </c>
      <c r="CC228">
        <f>CC207</f>
        <v/>
      </c>
      <c r="CD228">
        <f>CD207</f>
        <v/>
      </c>
      <c r="CE228">
        <f>CE207</f>
        <v/>
      </c>
      <c r="CG228" s="6" t="n">
        <v>2019</v>
      </c>
      <c r="CH228" s="6" t="inlineStr">
        <is>
          <t>Tra_EV_Batt-NMC622_virgin_pack</t>
        </is>
      </c>
      <c r="CI228" s="6" t="n">
        <v>0.328</v>
      </c>
      <c r="CJ228" s="6" t="n">
        <v>0.209</v>
      </c>
      <c r="CK228" s="6" t="inlineStr">
        <is>
          <t>Transport_EV_global</t>
        </is>
      </c>
      <c r="CL228" s="6" t="inlineStr">
        <is>
          <t>Transport_EV_China</t>
        </is>
      </c>
      <c r="CM228" s="6" t="inlineStr">
        <is>
          <t>China transport EV curve is shifted earlier than the global curve to reflect earlier China EV/e-bus deployment in the 2010s.</t>
        </is>
      </c>
    </row>
    <row r="229" ht="14.5" customHeight="1" s="213">
      <c r="D229">
        <f>D228</f>
        <v/>
      </c>
      <c r="E229" t="inlineStr">
        <is>
          <t>Tra_EV_Batt-NMC811_virgin_pack</t>
        </is>
      </c>
      <c r="F229" s="208">
        <f>AW229*$AS229</f>
        <v/>
      </c>
      <c r="G229" s="208">
        <f>AX229*$AS229</f>
        <v/>
      </c>
      <c r="H229" s="208">
        <f>AY229*$AS229</f>
        <v/>
      </c>
      <c r="I229" s="208">
        <f>AZ229*$AS229</f>
        <v/>
      </c>
      <c r="J229" s="208">
        <f>BA229*$AS229</f>
        <v/>
      </c>
      <c r="K229" s="208">
        <f>BB229*$AS229</f>
        <v/>
      </c>
      <c r="L229" s="208">
        <f>BC229*$AS229</f>
        <v/>
      </c>
      <c r="M229" s="208">
        <f>BD229*$CI229</f>
        <v/>
      </c>
      <c r="N229" s="208">
        <f>BE229*$AS229</f>
        <v/>
      </c>
      <c r="O229" s="208">
        <f>BF229*$AS229</f>
        <v/>
      </c>
      <c r="P229" s="208">
        <f>BG229*$AS229</f>
        <v/>
      </c>
      <c r="Q229" s="208">
        <f>BH229*$AS229</f>
        <v/>
      </c>
      <c r="R229" s="208">
        <f>BI229*$AS229</f>
        <v/>
      </c>
      <c r="S229" s="208">
        <f>BJ229*$AS229</f>
        <v/>
      </c>
      <c r="T229" s="208">
        <f>BK229*$AS229</f>
        <v/>
      </c>
      <c r="U229" s="208">
        <f>BL229*$AS229</f>
        <v/>
      </c>
      <c r="V229" s="208">
        <f>BM229*$AS229</f>
        <v/>
      </c>
      <c r="W229" s="208">
        <f>BN229*$AS229</f>
        <v/>
      </c>
      <c r="X229" s="208">
        <f>BO229*$AS229</f>
        <v/>
      </c>
      <c r="Y229" s="208">
        <f>BP229*$AS229</f>
        <v/>
      </c>
      <c r="Z229" s="208">
        <f>BQ229*$AS229</f>
        <v/>
      </c>
      <c r="AA229" s="208">
        <f>BR229*$AS229</f>
        <v/>
      </c>
      <c r="AB229" s="208">
        <f>BS229*$AS229</f>
        <v/>
      </c>
      <c r="AC229" s="208">
        <f>BT229*$AS229</f>
        <v/>
      </c>
      <c r="AD229" s="208">
        <f>BU229*$AS229</f>
        <v/>
      </c>
      <c r="AE229" s="208">
        <f>BV229*$AS229</f>
        <v/>
      </c>
      <c r="AF229" s="208">
        <f>BW229*$AS229</f>
        <v/>
      </c>
      <c r="AG229" s="208">
        <f>BX229*$AS229</f>
        <v/>
      </c>
      <c r="AH229" s="208">
        <f>BY229*$AS229</f>
        <v/>
      </c>
      <c r="AI229" s="208">
        <f>BZ229*$AS229</f>
        <v/>
      </c>
      <c r="AJ229" s="208">
        <f>CA229*$AS229</f>
        <v/>
      </c>
      <c r="AK229" s="208">
        <f>CB229*$AS229</f>
        <v/>
      </c>
      <c r="AL229" s="208">
        <f>CC229*$AS229</f>
        <v/>
      </c>
      <c r="AM229" s="208">
        <f>CD229*$AS229</f>
        <v/>
      </c>
      <c r="AN229" s="208">
        <f>CE229*$AS229</f>
        <v/>
      </c>
      <c r="AQ229" s="6" t="n">
        <v>2019</v>
      </c>
      <c r="AR229" s="6" t="inlineStr">
        <is>
          <t>Tra_EV_Batt-NMC811_virgin_pack</t>
        </is>
      </c>
      <c r="AS229" s="6" t="n">
        <v>0.328</v>
      </c>
      <c r="AT229" s="6" t="inlineStr">
        <is>
          <t>Transport_EV_general</t>
        </is>
      </c>
      <c r="AU229" s="6" t="inlineStr">
        <is>
          <t>Back-loaded transport EV battery vintage curve based on historical EV deployment shape.</t>
        </is>
      </c>
      <c r="AV229">
        <f>AV208</f>
        <v/>
      </c>
      <c r="AW229">
        <f>AW208</f>
        <v/>
      </c>
      <c r="AX229">
        <f>AX208</f>
        <v/>
      </c>
      <c r="AY229">
        <f>AY208</f>
        <v/>
      </c>
      <c r="AZ229">
        <f>AZ208</f>
        <v/>
      </c>
      <c r="BA229">
        <f>BA208</f>
        <v/>
      </c>
      <c r="BB229">
        <f>BB208</f>
        <v/>
      </c>
      <c r="BC229">
        <f>BC208</f>
        <v/>
      </c>
      <c r="BD229">
        <f>BD208</f>
        <v/>
      </c>
      <c r="BE229">
        <f>BE208</f>
        <v/>
      </c>
      <c r="BF229">
        <f>BF208</f>
        <v/>
      </c>
      <c r="BG229">
        <f>BG208</f>
        <v/>
      </c>
      <c r="BH229">
        <f>BH208</f>
        <v/>
      </c>
      <c r="BI229">
        <f>BI208</f>
        <v/>
      </c>
      <c r="BJ229">
        <f>BJ208</f>
        <v/>
      </c>
      <c r="BK229">
        <f>BK208</f>
        <v/>
      </c>
      <c r="BL229">
        <f>BL208</f>
        <v/>
      </c>
      <c r="BM229">
        <f>BM208</f>
        <v/>
      </c>
      <c r="BN229">
        <f>BN208</f>
        <v/>
      </c>
      <c r="BO229">
        <f>BO208</f>
        <v/>
      </c>
      <c r="BP229">
        <f>BP208</f>
        <v/>
      </c>
      <c r="BQ229">
        <f>BQ208</f>
        <v/>
      </c>
      <c r="BR229">
        <f>BR208</f>
        <v/>
      </c>
      <c r="BS229">
        <f>BS208</f>
        <v/>
      </c>
      <c r="BT229">
        <f>BT208</f>
        <v/>
      </c>
      <c r="BU229">
        <f>BU208</f>
        <v/>
      </c>
      <c r="BV229">
        <f>BV208</f>
        <v/>
      </c>
      <c r="BW229">
        <f>BW208</f>
        <v/>
      </c>
      <c r="BX229">
        <f>BX208</f>
        <v/>
      </c>
      <c r="BY229">
        <f>BY208</f>
        <v/>
      </c>
      <c r="BZ229">
        <f>BZ208</f>
        <v/>
      </c>
      <c r="CA229">
        <f>CA208</f>
        <v/>
      </c>
      <c r="CB229">
        <f>CB208</f>
        <v/>
      </c>
      <c r="CC229">
        <f>CC208</f>
        <v/>
      </c>
      <c r="CD229">
        <f>CD208</f>
        <v/>
      </c>
      <c r="CE229">
        <f>CE208</f>
        <v/>
      </c>
      <c r="CG229" s="6" t="n">
        <v>2019</v>
      </c>
      <c r="CH229" s="6" t="inlineStr">
        <is>
          <t>Tra_EV_Batt-NMC811_virgin_pack</t>
        </is>
      </c>
      <c r="CI229" s="6" t="n">
        <v>0.328</v>
      </c>
      <c r="CJ229" s="6" t="n">
        <v>0.209</v>
      </c>
      <c r="CK229" s="6" t="inlineStr">
        <is>
          <t>Transport_EV_global</t>
        </is>
      </c>
      <c r="CL229" s="6" t="inlineStr">
        <is>
          <t>Transport_EV_China</t>
        </is>
      </c>
      <c r="CM229" s="6" t="inlineStr">
        <is>
          <t>China transport EV curve is shifted earlier than the global curve to reflect earlier China EV/e-bus deployment in the 2010s.</t>
        </is>
      </c>
    </row>
    <row r="230" ht="14.5" customHeight="1" s="213">
      <c r="D230">
        <f>D229</f>
        <v/>
      </c>
      <c r="E230" t="inlineStr">
        <is>
          <t>Tra_EV_Batt-NMC532_virgin_pack</t>
        </is>
      </c>
      <c r="F230" s="208">
        <f>AW230*$AS230</f>
        <v/>
      </c>
      <c r="G230" s="208">
        <f>AX230*$AS230</f>
        <v/>
      </c>
      <c r="H230" s="208">
        <f>AY230*$AS230</f>
        <v/>
      </c>
      <c r="I230" s="208">
        <f>AZ230*$AS230</f>
        <v/>
      </c>
      <c r="J230" s="208">
        <f>BA230*$AS230</f>
        <v/>
      </c>
      <c r="K230" s="208">
        <f>BB230*$AS230</f>
        <v/>
      </c>
      <c r="L230" s="208">
        <f>BC230*$AS230</f>
        <v/>
      </c>
      <c r="M230" s="208">
        <f>BD230*$CI230</f>
        <v/>
      </c>
      <c r="N230" s="208">
        <f>BE230*$AS230</f>
        <v/>
      </c>
      <c r="O230" s="208">
        <f>BF230*$AS230</f>
        <v/>
      </c>
      <c r="P230" s="208">
        <f>BG230*$AS230</f>
        <v/>
      </c>
      <c r="Q230" s="208">
        <f>BH230*$AS230</f>
        <v/>
      </c>
      <c r="R230" s="208">
        <f>BI230*$AS230</f>
        <v/>
      </c>
      <c r="S230" s="208">
        <f>BJ230*$AS230</f>
        <v/>
      </c>
      <c r="T230" s="208">
        <f>BK230*$AS230</f>
        <v/>
      </c>
      <c r="U230" s="208">
        <f>BL230*$AS230</f>
        <v/>
      </c>
      <c r="V230" s="208">
        <f>BM230*$AS230</f>
        <v/>
      </c>
      <c r="W230" s="208">
        <f>BN230*$AS230</f>
        <v/>
      </c>
      <c r="X230" s="208">
        <f>BO230*$AS230</f>
        <v/>
      </c>
      <c r="Y230" s="208">
        <f>BP230*$AS230</f>
        <v/>
      </c>
      <c r="Z230" s="208">
        <f>BQ230*$AS230</f>
        <v/>
      </c>
      <c r="AA230" s="208">
        <f>BR230*$AS230</f>
        <v/>
      </c>
      <c r="AB230" s="208">
        <f>BS230*$AS230</f>
        <v/>
      </c>
      <c r="AC230" s="208">
        <f>BT230*$AS230</f>
        <v/>
      </c>
      <c r="AD230" s="208">
        <f>BU230*$AS230</f>
        <v/>
      </c>
      <c r="AE230" s="208">
        <f>BV230*$AS230</f>
        <v/>
      </c>
      <c r="AF230" s="208">
        <f>BW230*$AS230</f>
        <v/>
      </c>
      <c r="AG230" s="208">
        <f>BX230*$AS230</f>
        <v/>
      </c>
      <c r="AH230" s="208">
        <f>BY230*$AS230</f>
        <v/>
      </c>
      <c r="AI230" s="208">
        <f>BZ230*$AS230</f>
        <v/>
      </c>
      <c r="AJ230" s="208">
        <f>CA230*$AS230</f>
        <v/>
      </c>
      <c r="AK230" s="208">
        <f>CB230*$AS230</f>
        <v/>
      </c>
      <c r="AL230" s="208">
        <f>CC230*$AS230</f>
        <v/>
      </c>
      <c r="AM230" s="208">
        <f>CD230*$AS230</f>
        <v/>
      </c>
      <c r="AN230" s="208">
        <f>CE230*$AS230</f>
        <v/>
      </c>
      <c r="AQ230" s="6" t="n">
        <v>2019</v>
      </c>
      <c r="AR230" s="6" t="inlineStr">
        <is>
          <t>Tra_EV_Batt-NMC532_virgin_pack</t>
        </is>
      </c>
      <c r="AS230" s="6" t="n">
        <v>0.328</v>
      </c>
      <c r="AT230" s="6" t="inlineStr">
        <is>
          <t>Transport_EV_general</t>
        </is>
      </c>
      <c r="AU230" s="6" t="inlineStr">
        <is>
          <t>Back-loaded transport EV battery vintage curve based on historical EV deployment shape.</t>
        </is>
      </c>
      <c r="AV230">
        <f>AV209</f>
        <v/>
      </c>
      <c r="AW230">
        <f>AW209</f>
        <v/>
      </c>
      <c r="AX230">
        <f>AX209</f>
        <v/>
      </c>
      <c r="AY230">
        <f>AY209</f>
        <v/>
      </c>
      <c r="AZ230">
        <f>AZ209</f>
        <v/>
      </c>
      <c r="BA230">
        <f>BA209</f>
        <v/>
      </c>
      <c r="BB230">
        <f>BB209</f>
        <v/>
      </c>
      <c r="BC230">
        <f>BC209</f>
        <v/>
      </c>
      <c r="BD230">
        <f>BD209</f>
        <v/>
      </c>
      <c r="BE230">
        <f>BE209</f>
        <v/>
      </c>
      <c r="BF230">
        <f>BF209</f>
        <v/>
      </c>
      <c r="BG230">
        <f>BG209</f>
        <v/>
      </c>
      <c r="BH230">
        <f>BH209</f>
        <v/>
      </c>
      <c r="BI230">
        <f>BI209</f>
        <v/>
      </c>
      <c r="BJ230">
        <f>BJ209</f>
        <v/>
      </c>
      <c r="BK230">
        <f>BK209</f>
        <v/>
      </c>
      <c r="BL230">
        <f>BL209</f>
        <v/>
      </c>
      <c r="BM230">
        <f>BM209</f>
        <v/>
      </c>
      <c r="BN230">
        <f>BN209</f>
        <v/>
      </c>
      <c r="BO230">
        <f>BO209</f>
        <v/>
      </c>
      <c r="BP230">
        <f>BP209</f>
        <v/>
      </c>
      <c r="BQ230">
        <f>BQ209</f>
        <v/>
      </c>
      <c r="BR230">
        <f>BR209</f>
        <v/>
      </c>
      <c r="BS230">
        <f>BS209</f>
        <v/>
      </c>
      <c r="BT230">
        <f>BT209</f>
        <v/>
      </c>
      <c r="BU230">
        <f>BU209</f>
        <v/>
      </c>
      <c r="BV230">
        <f>BV209</f>
        <v/>
      </c>
      <c r="BW230">
        <f>BW209</f>
        <v/>
      </c>
      <c r="BX230">
        <f>BX209</f>
        <v/>
      </c>
      <c r="BY230">
        <f>BY209</f>
        <v/>
      </c>
      <c r="BZ230">
        <f>BZ209</f>
        <v/>
      </c>
      <c r="CA230">
        <f>CA209</f>
        <v/>
      </c>
      <c r="CB230">
        <f>CB209</f>
        <v/>
      </c>
      <c r="CC230">
        <f>CC209</f>
        <v/>
      </c>
      <c r="CD230">
        <f>CD209</f>
        <v/>
      </c>
      <c r="CE230">
        <f>CE209</f>
        <v/>
      </c>
      <c r="CG230" s="6" t="n">
        <v>2019</v>
      </c>
      <c r="CH230" s="6" t="inlineStr">
        <is>
          <t>Tra_EV_Batt-NMC532_virgin_pack</t>
        </is>
      </c>
      <c r="CI230" s="6" t="n">
        <v>0.328</v>
      </c>
      <c r="CJ230" s="6" t="n">
        <v>0.209</v>
      </c>
      <c r="CK230" s="6" t="inlineStr">
        <is>
          <t>Transport_EV_global</t>
        </is>
      </c>
      <c r="CL230" s="6" t="inlineStr">
        <is>
          <t>Transport_EV_China</t>
        </is>
      </c>
      <c r="CM230" s="6" t="inlineStr">
        <is>
          <t>China transport EV curve is shifted earlier than the global curve to reflect earlier China EV/e-bus deployment in the 2010s.</t>
        </is>
      </c>
    </row>
    <row r="231" ht="14.5" customHeight="1" s="213">
      <c r="D231">
        <f>D230</f>
        <v/>
      </c>
      <c r="E231" t="inlineStr">
        <is>
          <t>Tra_EV_Batt-NCA_virgin_pack</t>
        </is>
      </c>
      <c r="F231" s="208">
        <f>AW231*$AS231</f>
        <v/>
      </c>
      <c r="G231" s="208">
        <f>AX231*$AS231</f>
        <v/>
      </c>
      <c r="H231" s="208">
        <f>AY231*$AS231</f>
        <v/>
      </c>
      <c r="I231" s="208">
        <f>AZ231*$AS231</f>
        <v/>
      </c>
      <c r="J231" s="208">
        <f>BA231*$AS231</f>
        <v/>
      </c>
      <c r="K231" s="208">
        <f>BB231*$AS231</f>
        <v/>
      </c>
      <c r="L231" s="208">
        <f>BC231*$AS231</f>
        <v/>
      </c>
      <c r="M231" s="208">
        <f>BD231*$CI231</f>
        <v/>
      </c>
      <c r="N231" s="208">
        <f>BE231*$AS231</f>
        <v/>
      </c>
      <c r="O231" s="208">
        <f>BF231*$AS231</f>
        <v/>
      </c>
      <c r="P231" s="208">
        <f>BG231*$AS231</f>
        <v/>
      </c>
      <c r="Q231" s="208">
        <f>BH231*$AS231</f>
        <v/>
      </c>
      <c r="R231" s="208">
        <f>BI231*$AS231</f>
        <v/>
      </c>
      <c r="S231" s="208">
        <f>BJ231*$AS231</f>
        <v/>
      </c>
      <c r="T231" s="208">
        <f>BK231*$AS231</f>
        <v/>
      </c>
      <c r="U231" s="208">
        <f>BL231*$AS231</f>
        <v/>
      </c>
      <c r="V231" s="208">
        <f>BM231*$AS231</f>
        <v/>
      </c>
      <c r="W231" s="208">
        <f>BN231*$AS231</f>
        <v/>
      </c>
      <c r="X231" s="208">
        <f>BO231*$AS231</f>
        <v/>
      </c>
      <c r="Y231" s="208">
        <f>BP231*$AS231</f>
        <v/>
      </c>
      <c r="Z231" s="208">
        <f>BQ231*$AS231</f>
        <v/>
      </c>
      <c r="AA231" s="208">
        <f>BR231*$AS231</f>
        <v/>
      </c>
      <c r="AB231" s="208">
        <f>BS231*$AS231</f>
        <v/>
      </c>
      <c r="AC231" s="208">
        <f>BT231*$AS231</f>
        <v/>
      </c>
      <c r="AD231" s="208">
        <f>BU231*$AS231</f>
        <v/>
      </c>
      <c r="AE231" s="208">
        <f>BV231*$AS231</f>
        <v/>
      </c>
      <c r="AF231" s="208">
        <f>BW231*$AS231</f>
        <v/>
      </c>
      <c r="AG231" s="208">
        <f>BX231*$AS231</f>
        <v/>
      </c>
      <c r="AH231" s="208">
        <f>BY231*$AS231</f>
        <v/>
      </c>
      <c r="AI231" s="208">
        <f>BZ231*$AS231</f>
        <v/>
      </c>
      <c r="AJ231" s="208">
        <f>CA231*$AS231</f>
        <v/>
      </c>
      <c r="AK231" s="208">
        <f>CB231*$AS231</f>
        <v/>
      </c>
      <c r="AL231" s="208">
        <f>CC231*$AS231</f>
        <v/>
      </c>
      <c r="AM231" s="208">
        <f>CD231*$AS231</f>
        <v/>
      </c>
      <c r="AN231" s="208">
        <f>CE231*$AS231</f>
        <v/>
      </c>
      <c r="AQ231" s="6" t="n">
        <v>2019</v>
      </c>
      <c r="AR231" s="6" t="inlineStr">
        <is>
          <t>Tra_EV_Batt-NCA_virgin_pack</t>
        </is>
      </c>
      <c r="AS231" s="6" t="n">
        <v>0.328</v>
      </c>
      <c r="AT231" s="6" t="inlineStr">
        <is>
          <t>Transport_EV_general</t>
        </is>
      </c>
      <c r="AU231" s="6" t="inlineStr">
        <is>
          <t>Back-loaded transport EV battery vintage curve based on historical EV deployment shape.</t>
        </is>
      </c>
      <c r="AV231">
        <f>AV210</f>
        <v/>
      </c>
      <c r="AW231">
        <f>AW210</f>
        <v/>
      </c>
      <c r="AX231">
        <f>AX210</f>
        <v/>
      </c>
      <c r="AY231">
        <f>AY210</f>
        <v/>
      </c>
      <c r="AZ231">
        <f>AZ210</f>
        <v/>
      </c>
      <c r="BA231">
        <f>BA210</f>
        <v/>
      </c>
      <c r="BB231">
        <f>BB210</f>
        <v/>
      </c>
      <c r="BC231">
        <f>BC210</f>
        <v/>
      </c>
      <c r="BD231">
        <f>BD210</f>
        <v/>
      </c>
      <c r="BE231">
        <f>BE210</f>
        <v/>
      </c>
      <c r="BF231">
        <f>BF210</f>
        <v/>
      </c>
      <c r="BG231">
        <f>BG210</f>
        <v/>
      </c>
      <c r="BH231">
        <f>BH210</f>
        <v/>
      </c>
      <c r="BI231">
        <f>BI210</f>
        <v/>
      </c>
      <c r="BJ231">
        <f>BJ210</f>
        <v/>
      </c>
      <c r="BK231">
        <f>BK210</f>
        <v/>
      </c>
      <c r="BL231">
        <f>BL210</f>
        <v/>
      </c>
      <c r="BM231">
        <f>BM210</f>
        <v/>
      </c>
      <c r="BN231">
        <f>BN210</f>
        <v/>
      </c>
      <c r="BO231">
        <f>BO210</f>
        <v/>
      </c>
      <c r="BP231">
        <f>BP210</f>
        <v/>
      </c>
      <c r="BQ231">
        <f>BQ210</f>
        <v/>
      </c>
      <c r="BR231">
        <f>BR210</f>
        <v/>
      </c>
      <c r="BS231">
        <f>BS210</f>
        <v/>
      </c>
      <c r="BT231">
        <f>BT210</f>
        <v/>
      </c>
      <c r="BU231">
        <f>BU210</f>
        <v/>
      </c>
      <c r="BV231">
        <f>BV210</f>
        <v/>
      </c>
      <c r="BW231">
        <f>BW210</f>
        <v/>
      </c>
      <c r="BX231">
        <f>BX210</f>
        <v/>
      </c>
      <c r="BY231">
        <f>BY210</f>
        <v/>
      </c>
      <c r="BZ231">
        <f>BZ210</f>
        <v/>
      </c>
      <c r="CA231">
        <f>CA210</f>
        <v/>
      </c>
      <c r="CB231">
        <f>CB210</f>
        <v/>
      </c>
      <c r="CC231">
        <f>CC210</f>
        <v/>
      </c>
      <c r="CD231">
        <f>CD210</f>
        <v/>
      </c>
      <c r="CE231">
        <f>CE210</f>
        <v/>
      </c>
      <c r="CG231" s="6" t="n">
        <v>2019</v>
      </c>
      <c r="CH231" s="6" t="inlineStr">
        <is>
          <t>Tra_EV_Batt-NCA_virgin_pack</t>
        </is>
      </c>
      <c r="CI231" s="6" t="n">
        <v>0.328</v>
      </c>
      <c r="CJ231" s="6" t="n">
        <v>0.209</v>
      </c>
      <c r="CK231" s="6" t="inlineStr">
        <is>
          <t>Transport_EV_global</t>
        </is>
      </c>
      <c r="CL231" s="6" t="inlineStr">
        <is>
          <t>Transport_EV_China</t>
        </is>
      </c>
      <c r="CM231" s="6" t="inlineStr">
        <is>
          <t>China transport EV curve is shifted earlier than the global curve to reflect earlier China EV/e-bus deployment in the 2010s.</t>
        </is>
      </c>
    </row>
    <row r="232" ht="14.5" customHeight="1" s="213">
      <c r="D232">
        <f>D231</f>
        <v/>
      </c>
      <c r="E232" t="inlineStr">
        <is>
          <t>Tra_EV_Batt-LMO_virgin_pack</t>
        </is>
      </c>
      <c r="F232" s="208">
        <f>AW232*$AS232</f>
        <v/>
      </c>
      <c r="G232" s="208">
        <f>AX232*$AS232</f>
        <v/>
      </c>
      <c r="H232" s="208">
        <f>AY232*$AS232</f>
        <v/>
      </c>
      <c r="I232" s="208">
        <f>AZ232*$AS232</f>
        <v/>
      </c>
      <c r="J232" s="208">
        <f>BA232*$AS232</f>
        <v/>
      </c>
      <c r="K232" s="208">
        <f>BB232*$AS232</f>
        <v/>
      </c>
      <c r="L232" s="208">
        <f>BC232*$AS232</f>
        <v/>
      </c>
      <c r="M232" s="208">
        <f>BD232*$CI232</f>
        <v/>
      </c>
      <c r="N232" s="208">
        <f>BE232*$AS232</f>
        <v/>
      </c>
      <c r="O232" s="208">
        <f>BF232*$AS232</f>
        <v/>
      </c>
      <c r="P232" s="208">
        <f>BG232*$AS232</f>
        <v/>
      </c>
      <c r="Q232" s="208">
        <f>BH232*$AS232</f>
        <v/>
      </c>
      <c r="R232" s="208">
        <f>BI232*$AS232</f>
        <v/>
      </c>
      <c r="S232" s="208">
        <f>BJ232*$AS232</f>
        <v/>
      </c>
      <c r="T232" s="208">
        <f>BK232*$AS232</f>
        <v/>
      </c>
      <c r="U232" s="208">
        <f>BL232*$AS232</f>
        <v/>
      </c>
      <c r="V232" s="208">
        <f>BM232*$AS232</f>
        <v/>
      </c>
      <c r="W232" s="208">
        <f>BN232*$AS232</f>
        <v/>
      </c>
      <c r="X232" s="208">
        <f>BO232*$AS232</f>
        <v/>
      </c>
      <c r="Y232" s="208">
        <f>BP232*$AS232</f>
        <v/>
      </c>
      <c r="Z232" s="208">
        <f>BQ232*$AS232</f>
        <v/>
      </c>
      <c r="AA232" s="208">
        <f>BR232*$AS232</f>
        <v/>
      </c>
      <c r="AB232" s="208">
        <f>BS232*$AS232</f>
        <v/>
      </c>
      <c r="AC232" s="208">
        <f>BT232*$AS232</f>
        <v/>
      </c>
      <c r="AD232" s="208">
        <f>BU232*$AS232</f>
        <v/>
      </c>
      <c r="AE232" s="208">
        <f>BV232*$AS232</f>
        <v/>
      </c>
      <c r="AF232" s="208">
        <f>BW232*$AS232</f>
        <v/>
      </c>
      <c r="AG232" s="208">
        <f>BX232*$AS232</f>
        <v/>
      </c>
      <c r="AH232" s="208">
        <f>BY232*$AS232</f>
        <v/>
      </c>
      <c r="AI232" s="208">
        <f>BZ232*$AS232</f>
        <v/>
      </c>
      <c r="AJ232" s="208">
        <f>CA232*$AS232</f>
        <v/>
      </c>
      <c r="AK232" s="208">
        <f>CB232*$AS232</f>
        <v/>
      </c>
      <c r="AL232" s="208">
        <f>CC232*$AS232</f>
        <v/>
      </c>
      <c r="AM232" s="208">
        <f>CD232*$AS232</f>
        <v/>
      </c>
      <c r="AN232" s="208">
        <f>CE232*$AS232</f>
        <v/>
      </c>
      <c r="AQ232" s="6" t="n">
        <v>2019</v>
      </c>
      <c r="AR232" s="6" t="inlineStr">
        <is>
          <t>Tra_EV_Batt-LMO_virgin_pack</t>
        </is>
      </c>
      <c r="AS232" s="6" t="n">
        <v>0.328</v>
      </c>
      <c r="AT232" s="6" t="inlineStr">
        <is>
          <t>Transport_EV_general</t>
        </is>
      </c>
      <c r="AU232" s="6" t="inlineStr">
        <is>
          <t>Back-loaded transport EV battery vintage curve based on historical EV deployment shape.</t>
        </is>
      </c>
      <c r="AV232">
        <f>AV211</f>
        <v/>
      </c>
      <c r="AW232">
        <f>AW211</f>
        <v/>
      </c>
      <c r="AX232">
        <f>AX211</f>
        <v/>
      </c>
      <c r="AY232">
        <f>AY211</f>
        <v/>
      </c>
      <c r="AZ232">
        <f>AZ211</f>
        <v/>
      </c>
      <c r="BA232">
        <f>BA211</f>
        <v/>
      </c>
      <c r="BB232">
        <f>BB211</f>
        <v/>
      </c>
      <c r="BC232">
        <f>BC211</f>
        <v/>
      </c>
      <c r="BD232">
        <f>BD211</f>
        <v/>
      </c>
      <c r="BE232">
        <f>BE211</f>
        <v/>
      </c>
      <c r="BF232">
        <f>BF211</f>
        <v/>
      </c>
      <c r="BG232">
        <f>BG211</f>
        <v/>
      </c>
      <c r="BH232">
        <f>BH211</f>
        <v/>
      </c>
      <c r="BI232">
        <f>BI211</f>
        <v/>
      </c>
      <c r="BJ232">
        <f>BJ211</f>
        <v/>
      </c>
      <c r="BK232">
        <f>BK211</f>
        <v/>
      </c>
      <c r="BL232">
        <f>BL211</f>
        <v/>
      </c>
      <c r="BM232">
        <f>BM211</f>
        <v/>
      </c>
      <c r="BN232">
        <f>BN211</f>
        <v/>
      </c>
      <c r="BO232">
        <f>BO211</f>
        <v/>
      </c>
      <c r="BP232">
        <f>BP211</f>
        <v/>
      </c>
      <c r="BQ232">
        <f>BQ211</f>
        <v/>
      </c>
      <c r="BR232">
        <f>BR211</f>
        <v/>
      </c>
      <c r="BS232">
        <f>BS211</f>
        <v/>
      </c>
      <c r="BT232">
        <f>BT211</f>
        <v/>
      </c>
      <c r="BU232">
        <f>BU211</f>
        <v/>
      </c>
      <c r="BV232">
        <f>BV211</f>
        <v/>
      </c>
      <c r="BW232">
        <f>BW211</f>
        <v/>
      </c>
      <c r="BX232">
        <f>BX211</f>
        <v/>
      </c>
      <c r="BY232">
        <f>BY211</f>
        <v/>
      </c>
      <c r="BZ232">
        <f>BZ211</f>
        <v/>
      </c>
      <c r="CA232">
        <f>CA211</f>
        <v/>
      </c>
      <c r="CB232">
        <f>CB211</f>
        <v/>
      </c>
      <c r="CC232">
        <f>CC211</f>
        <v/>
      </c>
      <c r="CD232">
        <f>CD211</f>
        <v/>
      </c>
      <c r="CE232">
        <f>CE211</f>
        <v/>
      </c>
      <c r="CG232" s="6" t="n">
        <v>2019</v>
      </c>
      <c r="CH232" s="6" t="inlineStr">
        <is>
          <t>Tra_EV_Batt-LMO_virgin_pack</t>
        </is>
      </c>
      <c r="CI232" s="6" t="n">
        <v>0.328</v>
      </c>
      <c r="CJ232" s="6" t="n">
        <v>0.209</v>
      </c>
      <c r="CK232" s="6" t="inlineStr">
        <is>
          <t>Transport_EV_global</t>
        </is>
      </c>
      <c r="CL232" s="6" t="inlineStr">
        <is>
          <t>Transport_EV_China</t>
        </is>
      </c>
      <c r="CM232" s="6" t="inlineStr">
        <is>
          <t>China transport EV curve is shifted earlier than the global curve to reflect earlier China EV/e-bus deployment in the 2010s.</t>
        </is>
      </c>
    </row>
    <row r="233" ht="14.5" customHeight="1" s="213">
      <c r="D233">
        <f>D232</f>
        <v/>
      </c>
      <c r="E233" t="inlineStr">
        <is>
          <t>Tra_EV_Batt-NMC111_virgin_pack</t>
        </is>
      </c>
      <c r="F233" s="208">
        <f>AW233*$AS233</f>
        <v/>
      </c>
      <c r="G233" s="208">
        <f>AX233*$AS233</f>
        <v/>
      </c>
      <c r="H233" s="208">
        <f>AY233*$AS233</f>
        <v/>
      </c>
      <c r="I233" s="208">
        <f>AZ233*$AS233</f>
        <v/>
      </c>
      <c r="J233" s="208">
        <f>BA233*$AS233</f>
        <v/>
      </c>
      <c r="K233" s="208">
        <f>BB233*$AS233</f>
        <v/>
      </c>
      <c r="L233" s="208">
        <f>BC233*$AS233</f>
        <v/>
      </c>
      <c r="M233" s="208">
        <f>BD233*$CI233</f>
        <v/>
      </c>
      <c r="N233" s="208">
        <f>BE233*$AS233</f>
        <v/>
      </c>
      <c r="O233" s="208">
        <f>BF233*$AS233</f>
        <v/>
      </c>
      <c r="P233" s="208">
        <f>BG233*$AS233</f>
        <v/>
      </c>
      <c r="Q233" s="208">
        <f>BH233*$AS233</f>
        <v/>
      </c>
      <c r="R233" s="208">
        <f>BI233*$AS233</f>
        <v/>
      </c>
      <c r="S233" s="208">
        <f>BJ233*$AS233</f>
        <v/>
      </c>
      <c r="T233" s="208">
        <f>BK233*$AS233</f>
        <v/>
      </c>
      <c r="U233" s="208">
        <f>BL233*$AS233</f>
        <v/>
      </c>
      <c r="V233" s="208">
        <f>BM233*$AS233</f>
        <v/>
      </c>
      <c r="W233" s="208">
        <f>BN233*$AS233</f>
        <v/>
      </c>
      <c r="X233" s="208">
        <f>BO233*$AS233</f>
        <v/>
      </c>
      <c r="Y233" s="208">
        <f>BP233*$AS233</f>
        <v/>
      </c>
      <c r="Z233" s="208">
        <f>BQ233*$AS233</f>
        <v/>
      </c>
      <c r="AA233" s="208">
        <f>BR233*$AS233</f>
        <v/>
      </c>
      <c r="AB233" s="208">
        <f>BS233*$AS233</f>
        <v/>
      </c>
      <c r="AC233" s="208">
        <f>BT233*$AS233</f>
        <v/>
      </c>
      <c r="AD233" s="208">
        <f>BU233*$AS233</f>
        <v/>
      </c>
      <c r="AE233" s="208">
        <f>BV233*$AS233</f>
        <v/>
      </c>
      <c r="AF233" s="208">
        <f>BW233*$AS233</f>
        <v/>
      </c>
      <c r="AG233" s="208">
        <f>BX233*$AS233</f>
        <v/>
      </c>
      <c r="AH233" s="208">
        <f>BY233*$AS233</f>
        <v/>
      </c>
      <c r="AI233" s="208">
        <f>BZ233*$AS233</f>
        <v/>
      </c>
      <c r="AJ233" s="208">
        <f>CA233*$AS233</f>
        <v/>
      </c>
      <c r="AK233" s="208">
        <f>CB233*$AS233</f>
        <v/>
      </c>
      <c r="AL233" s="208">
        <f>CC233*$AS233</f>
        <v/>
      </c>
      <c r="AM233" s="208">
        <f>CD233*$AS233</f>
        <v/>
      </c>
      <c r="AN233" s="208">
        <f>CE233*$AS233</f>
        <v/>
      </c>
      <c r="AQ233" s="6" t="n">
        <v>2019</v>
      </c>
      <c r="AR233" s="6" t="inlineStr">
        <is>
          <t>Tra_EV_Batt-NMC111_virgin_pack</t>
        </is>
      </c>
      <c r="AS233" s="6" t="n">
        <v>0.328</v>
      </c>
      <c r="AT233" s="6" t="inlineStr">
        <is>
          <t>Transport_EV_general</t>
        </is>
      </c>
      <c r="AU233" s="6" t="inlineStr">
        <is>
          <t>Back-loaded transport EV battery vintage curve based on historical EV deployment shape.</t>
        </is>
      </c>
      <c r="AV233">
        <f>AV212</f>
        <v/>
      </c>
      <c r="AW233">
        <f>AW212</f>
        <v/>
      </c>
      <c r="AX233">
        <f>AX212</f>
        <v/>
      </c>
      <c r="AY233">
        <f>AY212</f>
        <v/>
      </c>
      <c r="AZ233">
        <f>AZ212</f>
        <v/>
      </c>
      <c r="BA233">
        <f>BA212</f>
        <v/>
      </c>
      <c r="BB233">
        <f>BB212</f>
        <v/>
      </c>
      <c r="BC233">
        <f>BC212</f>
        <v/>
      </c>
      <c r="BD233">
        <f>BD212</f>
        <v/>
      </c>
      <c r="BE233">
        <f>BE212</f>
        <v/>
      </c>
      <c r="BF233">
        <f>BF212</f>
        <v/>
      </c>
      <c r="BG233">
        <f>BG212</f>
        <v/>
      </c>
      <c r="BH233">
        <f>BH212</f>
        <v/>
      </c>
      <c r="BI233">
        <f>BI212</f>
        <v/>
      </c>
      <c r="BJ233">
        <f>BJ212</f>
        <v/>
      </c>
      <c r="BK233">
        <f>BK212</f>
        <v/>
      </c>
      <c r="BL233">
        <f>BL212</f>
        <v/>
      </c>
      <c r="BM233">
        <f>BM212</f>
        <v/>
      </c>
      <c r="BN233">
        <f>BN212</f>
        <v/>
      </c>
      <c r="BO233">
        <f>BO212</f>
        <v/>
      </c>
      <c r="BP233">
        <f>BP212</f>
        <v/>
      </c>
      <c r="BQ233">
        <f>BQ212</f>
        <v/>
      </c>
      <c r="BR233">
        <f>BR212</f>
        <v/>
      </c>
      <c r="BS233">
        <f>BS212</f>
        <v/>
      </c>
      <c r="BT233">
        <f>BT212</f>
        <v/>
      </c>
      <c r="BU233">
        <f>BU212</f>
        <v/>
      </c>
      <c r="BV233">
        <f>BV212</f>
        <v/>
      </c>
      <c r="BW233">
        <f>BW212</f>
        <v/>
      </c>
      <c r="BX233">
        <f>BX212</f>
        <v/>
      </c>
      <c r="BY233">
        <f>BY212</f>
        <v/>
      </c>
      <c r="BZ233">
        <f>BZ212</f>
        <v/>
      </c>
      <c r="CA233">
        <f>CA212</f>
        <v/>
      </c>
      <c r="CB233">
        <f>CB212</f>
        <v/>
      </c>
      <c r="CC233">
        <f>CC212</f>
        <v/>
      </c>
      <c r="CD233">
        <f>CD212</f>
        <v/>
      </c>
      <c r="CE233">
        <f>CE212</f>
        <v/>
      </c>
      <c r="CG233" s="6" t="n">
        <v>2019</v>
      </c>
      <c r="CH233" s="6" t="inlineStr">
        <is>
          <t>Tra_EV_Batt-NMC111_virgin_pack</t>
        </is>
      </c>
      <c r="CI233" s="6" t="n">
        <v>0.328</v>
      </c>
      <c r="CJ233" s="6" t="n">
        <v>0.209</v>
      </c>
      <c r="CK233" s="6" t="inlineStr">
        <is>
          <t>Transport_EV_global</t>
        </is>
      </c>
      <c r="CL233" s="6" t="inlineStr">
        <is>
          <t>Transport_EV_China</t>
        </is>
      </c>
      <c r="CM233" s="6" t="inlineStr">
        <is>
          <t>China transport EV curve is shifted earlier than the global curve to reflect earlier China EV/e-bus deployment in the 2010s.</t>
        </is>
      </c>
    </row>
    <row r="234" ht="14.5" customHeight="1" s="213">
      <c r="D234" t="n">
        <v>2015</v>
      </c>
      <c r="E234" t="inlineStr">
        <is>
          <t>MINBatMaterials_LI</t>
        </is>
      </c>
      <c r="F234" s="208">
        <f>AW234*$AS234</f>
        <v/>
      </c>
      <c r="G234" s="208">
        <f>AX234*$AS234</f>
        <v/>
      </c>
      <c r="H234" s="208">
        <f>AY234*$AS234</f>
        <v/>
      </c>
      <c r="I234" s="208">
        <f>AZ234*$AS234</f>
        <v/>
      </c>
      <c r="J234" s="208">
        <f>BA234*$AS234</f>
        <v/>
      </c>
      <c r="K234" s="208">
        <f>BB234*$AS234</f>
        <v/>
      </c>
      <c r="L234" s="208">
        <f>BC234*$AS234</f>
        <v/>
      </c>
      <c r="M234" s="208">
        <f>BD234*$CI234</f>
        <v/>
      </c>
      <c r="N234" s="208">
        <f>BE234*$AS234</f>
        <v/>
      </c>
      <c r="O234" s="208">
        <f>BF234*$AS234</f>
        <v/>
      </c>
      <c r="P234" s="208">
        <f>BG234*$AS234</f>
        <v/>
      </c>
      <c r="Q234" s="208">
        <f>BH234*$AS234</f>
        <v/>
      </c>
      <c r="R234" s="208">
        <f>BI234*$AS234</f>
        <v/>
      </c>
      <c r="S234" s="208">
        <f>BJ234*$AS234</f>
        <v/>
      </c>
      <c r="T234" s="208">
        <f>BK234*$AS234</f>
        <v/>
      </c>
      <c r="U234" s="208">
        <f>BL234*$AS234</f>
        <v/>
      </c>
      <c r="V234" s="208">
        <f>BM234*$AS234</f>
        <v/>
      </c>
      <c r="W234" s="208">
        <f>BN234*$AS234</f>
        <v/>
      </c>
      <c r="X234" s="208">
        <f>BO234*$AS234</f>
        <v/>
      </c>
      <c r="Y234" s="208">
        <f>BP234*$AS234</f>
        <v/>
      </c>
      <c r="Z234" s="208">
        <f>BQ234*$AS234</f>
        <v/>
      </c>
      <c r="AA234" s="208">
        <f>BR234*$AS234</f>
        <v/>
      </c>
      <c r="AB234" s="208">
        <f>BS234*$AS234</f>
        <v/>
      </c>
      <c r="AC234" s="208">
        <f>BT234*$AS234</f>
        <v/>
      </c>
      <c r="AD234" s="208">
        <f>BU234*$AS234</f>
        <v/>
      </c>
      <c r="AE234" s="208">
        <f>BV234*$AS234</f>
        <v/>
      </c>
      <c r="AF234" s="208">
        <f>BW234*$AS234</f>
        <v/>
      </c>
      <c r="AG234" s="208">
        <f>BX234*$AS234</f>
        <v/>
      </c>
      <c r="AH234" s="208">
        <f>BY234*$AS234</f>
        <v/>
      </c>
      <c r="AI234" s="208">
        <f>BZ234*$AS234</f>
        <v/>
      </c>
      <c r="AJ234" s="208">
        <f>CA234*$AS234</f>
        <v/>
      </c>
      <c r="AK234" s="208">
        <f>CB234*$AS234</f>
        <v/>
      </c>
      <c r="AL234" s="208">
        <f>CC234*$AS234</f>
        <v/>
      </c>
      <c r="AM234" s="208">
        <f>CD234*$AS234</f>
        <v/>
      </c>
      <c r="AN234" s="208">
        <f>CE234*$AS234</f>
        <v/>
      </c>
      <c r="AQ234" s="6" t="n">
        <v>2010</v>
      </c>
      <c r="AR234" s="6" t="inlineStr">
        <is>
          <t>MINBatMaterials_LI</t>
        </is>
      </c>
      <c r="AS234" s="6" t="n">
        <v>0.07000000000000001</v>
      </c>
      <c r="AT234" s="6" t="inlineStr">
        <is>
          <t>Mining_facility_representative</t>
        </is>
      </c>
      <c r="AU234" s="6" t="inlineStr">
        <is>
          <t>Representative mining-capacity vintage curve; COB_direct treated as aggregate cobalt-production route including by-product routes.</t>
        </is>
      </c>
      <c r="AV234">
        <f>AV213</f>
        <v/>
      </c>
      <c r="AW234">
        <f>AW213</f>
        <v/>
      </c>
      <c r="AX234">
        <f>AX213</f>
        <v/>
      </c>
      <c r="AY234">
        <f>AY213</f>
        <v/>
      </c>
      <c r="AZ234">
        <f>AZ213</f>
        <v/>
      </c>
      <c r="BA234">
        <f>BA213</f>
        <v/>
      </c>
      <c r="BB234">
        <f>BB213</f>
        <v/>
      </c>
      <c r="BC234">
        <f>BC213</f>
        <v/>
      </c>
      <c r="BD234">
        <f>BD213</f>
        <v/>
      </c>
      <c r="BE234">
        <f>BE213</f>
        <v/>
      </c>
      <c r="BF234">
        <f>BF213</f>
        <v/>
      </c>
      <c r="BG234">
        <f>BG213</f>
        <v/>
      </c>
      <c r="BH234">
        <f>BH213</f>
        <v/>
      </c>
      <c r="BI234">
        <f>BI213</f>
        <v/>
      </c>
      <c r="BJ234">
        <f>BJ213</f>
        <v/>
      </c>
      <c r="BK234">
        <f>BK213</f>
        <v/>
      </c>
      <c r="BL234">
        <f>BL213</f>
        <v/>
      </c>
      <c r="BM234">
        <f>BM213</f>
        <v/>
      </c>
      <c r="BN234">
        <f>BN213</f>
        <v/>
      </c>
      <c r="BO234">
        <f>BO213</f>
        <v/>
      </c>
      <c r="BP234">
        <f>BP213</f>
        <v/>
      </c>
      <c r="BQ234">
        <f>BQ213</f>
        <v/>
      </c>
      <c r="BR234">
        <f>BR213</f>
        <v/>
      </c>
      <c r="BS234">
        <f>BS213</f>
        <v/>
      </c>
      <c r="BT234">
        <f>BT213</f>
        <v/>
      </c>
      <c r="BU234">
        <f>BU213</f>
        <v/>
      </c>
      <c r="BV234">
        <f>BV213</f>
        <v/>
      </c>
      <c r="BW234">
        <f>BW213</f>
        <v/>
      </c>
      <c r="BX234">
        <f>BX213</f>
        <v/>
      </c>
      <c r="BY234">
        <f>BY213</f>
        <v/>
      </c>
      <c r="BZ234">
        <f>BZ213</f>
        <v/>
      </c>
      <c r="CA234">
        <f>CA213</f>
        <v/>
      </c>
      <c r="CB234">
        <f>CB213</f>
        <v/>
      </c>
      <c r="CC234">
        <f>CC213</f>
        <v/>
      </c>
      <c r="CD234">
        <f>CD213</f>
        <v/>
      </c>
      <c r="CE234">
        <f>CE213</f>
        <v/>
      </c>
      <c r="CG234" s="6" t="n">
        <v>2010</v>
      </c>
      <c r="CH234" s="6" t="inlineStr">
        <is>
          <t>MINBatMaterials_LI</t>
        </is>
      </c>
      <c r="CI234" s="6" t="n">
        <v>0.07000000000000001</v>
      </c>
      <c r="CJ234" s="6" t="n">
        <v>0.07000000000000001</v>
      </c>
      <c r="CK234" s="6" t="inlineStr">
        <is>
          <t>Mining_facility_representative</t>
        </is>
      </c>
      <c r="CL234" s="6" t="inlineStr">
        <is>
          <t>Mining_facility_representative</t>
        </is>
      </c>
      <c r="CM234" s="6" t="inlineStr">
        <is>
          <t>Mining curve kept the same for China; COB_direct treated as aggregate cobalt-production route including by-product routes.</t>
        </is>
      </c>
    </row>
    <row r="235" ht="14.5" customHeight="1" s="213">
      <c r="D235">
        <f>D234</f>
        <v/>
      </c>
      <c r="E235" t="inlineStr">
        <is>
          <t>MINBatMaterials_NI</t>
        </is>
      </c>
      <c r="F235" s="208">
        <f>AW235*$AS235</f>
        <v/>
      </c>
      <c r="G235" s="208">
        <f>AX235*$AS235</f>
        <v/>
      </c>
      <c r="H235" s="208">
        <f>AY235*$AS235</f>
        <v/>
      </c>
      <c r="I235" s="208">
        <f>AZ235*$AS235</f>
        <v/>
      </c>
      <c r="J235" s="208">
        <f>BA235*$AS235</f>
        <v/>
      </c>
      <c r="K235" s="208">
        <f>BB235*$AS235</f>
        <v/>
      </c>
      <c r="L235" s="208">
        <f>BC235*$AS235</f>
        <v/>
      </c>
      <c r="M235" s="208">
        <f>BD235*$CI235</f>
        <v/>
      </c>
      <c r="N235" s="208">
        <f>BE235*$AS235</f>
        <v/>
      </c>
      <c r="O235" s="208">
        <f>BF235*$AS235</f>
        <v/>
      </c>
      <c r="P235" s="208">
        <f>BG235*$AS235</f>
        <v/>
      </c>
      <c r="Q235" s="208">
        <f>BH235*$AS235</f>
        <v/>
      </c>
      <c r="R235" s="208">
        <f>BI235*$AS235</f>
        <v/>
      </c>
      <c r="S235" s="208">
        <f>BJ235*$AS235</f>
        <v/>
      </c>
      <c r="T235" s="208">
        <f>BK235*$AS235</f>
        <v/>
      </c>
      <c r="U235" s="208">
        <f>BL235*$AS235</f>
        <v/>
      </c>
      <c r="V235" s="208">
        <f>BM235*$AS235</f>
        <v/>
      </c>
      <c r="W235" s="208">
        <f>BN235*$AS235</f>
        <v/>
      </c>
      <c r="X235" s="208">
        <f>BO235*$AS235</f>
        <v/>
      </c>
      <c r="Y235" s="208">
        <f>BP235*$AS235</f>
        <v/>
      </c>
      <c r="Z235" s="208">
        <f>BQ235*$AS235</f>
        <v/>
      </c>
      <c r="AA235" s="208">
        <f>BR235*$AS235</f>
        <v/>
      </c>
      <c r="AB235" s="208">
        <f>BS235*$AS235</f>
        <v/>
      </c>
      <c r="AC235" s="208">
        <f>BT235*$AS235</f>
        <v/>
      </c>
      <c r="AD235" s="208">
        <f>BU235*$AS235</f>
        <v/>
      </c>
      <c r="AE235" s="208">
        <f>BV235*$AS235</f>
        <v/>
      </c>
      <c r="AF235" s="208">
        <f>BW235*$AS235</f>
        <v/>
      </c>
      <c r="AG235" s="208">
        <f>BX235*$AS235</f>
        <v/>
      </c>
      <c r="AH235" s="208">
        <f>BY235*$AS235</f>
        <v/>
      </c>
      <c r="AI235" s="208">
        <f>BZ235*$AS235</f>
        <v/>
      </c>
      <c r="AJ235" s="208">
        <f>CA235*$AS235</f>
        <v/>
      </c>
      <c r="AK235" s="208">
        <f>CB235*$AS235</f>
        <v/>
      </c>
      <c r="AL235" s="208">
        <f>CC235*$AS235</f>
        <v/>
      </c>
      <c r="AM235" s="208">
        <f>CD235*$AS235</f>
        <v/>
      </c>
      <c r="AN235" s="208">
        <f>CE235*$AS235</f>
        <v/>
      </c>
      <c r="AQ235" s="6" t="n">
        <v>2010</v>
      </c>
      <c r="AR235" s="6" t="inlineStr">
        <is>
          <t>MINBatMaterials_NI</t>
        </is>
      </c>
      <c r="AS235" s="6" t="n">
        <v>0.07000000000000001</v>
      </c>
      <c r="AT235" s="6" t="inlineStr">
        <is>
          <t>Mining_facility_representative</t>
        </is>
      </c>
      <c r="AU235" s="6" t="inlineStr">
        <is>
          <t>Representative mining-capacity vintage curve; COB_direct treated as aggregate cobalt-production route including by-product routes.</t>
        </is>
      </c>
      <c r="AV235">
        <f>AV214</f>
        <v/>
      </c>
      <c r="AW235">
        <f>AW214</f>
        <v/>
      </c>
      <c r="AX235">
        <f>AX214</f>
        <v/>
      </c>
      <c r="AY235">
        <f>AY214</f>
        <v/>
      </c>
      <c r="AZ235">
        <f>AZ214</f>
        <v/>
      </c>
      <c r="BA235">
        <f>BA214</f>
        <v/>
      </c>
      <c r="BB235">
        <f>BB214</f>
        <v/>
      </c>
      <c r="BC235">
        <f>BC214</f>
        <v/>
      </c>
      <c r="BD235">
        <f>BD214</f>
        <v/>
      </c>
      <c r="BE235">
        <f>BE214</f>
        <v/>
      </c>
      <c r="BF235">
        <f>BF214</f>
        <v/>
      </c>
      <c r="BG235">
        <f>BG214</f>
        <v/>
      </c>
      <c r="BH235">
        <f>BH214</f>
        <v/>
      </c>
      <c r="BI235">
        <f>BI214</f>
        <v/>
      </c>
      <c r="BJ235">
        <f>BJ214</f>
        <v/>
      </c>
      <c r="BK235">
        <f>BK214</f>
        <v/>
      </c>
      <c r="BL235">
        <f>BL214</f>
        <v/>
      </c>
      <c r="BM235">
        <f>BM214</f>
        <v/>
      </c>
      <c r="BN235">
        <f>BN214</f>
        <v/>
      </c>
      <c r="BO235">
        <f>BO214</f>
        <v/>
      </c>
      <c r="BP235">
        <f>BP214</f>
        <v/>
      </c>
      <c r="BQ235">
        <f>BQ214</f>
        <v/>
      </c>
      <c r="BR235">
        <f>BR214</f>
        <v/>
      </c>
      <c r="BS235">
        <f>BS214</f>
        <v/>
      </c>
      <c r="BT235">
        <f>BT214</f>
        <v/>
      </c>
      <c r="BU235">
        <f>BU214</f>
        <v/>
      </c>
      <c r="BV235">
        <f>BV214</f>
        <v/>
      </c>
      <c r="BW235">
        <f>BW214</f>
        <v/>
      </c>
      <c r="BX235">
        <f>BX214</f>
        <v/>
      </c>
      <c r="BY235">
        <f>BY214</f>
        <v/>
      </c>
      <c r="BZ235">
        <f>BZ214</f>
        <v/>
      </c>
      <c r="CA235">
        <f>CA214</f>
        <v/>
      </c>
      <c r="CB235">
        <f>CB214</f>
        <v/>
      </c>
      <c r="CC235">
        <f>CC214</f>
        <v/>
      </c>
      <c r="CD235">
        <f>CD214</f>
        <v/>
      </c>
      <c r="CE235">
        <f>CE214</f>
        <v/>
      </c>
      <c r="CG235" s="6" t="n">
        <v>2010</v>
      </c>
      <c r="CH235" s="6" t="inlineStr">
        <is>
          <t>MINBatMaterials_NI</t>
        </is>
      </c>
      <c r="CI235" s="6" t="n">
        <v>0.07000000000000001</v>
      </c>
      <c r="CJ235" s="6" t="n">
        <v>0.07000000000000001</v>
      </c>
      <c r="CK235" s="6" t="inlineStr">
        <is>
          <t>Mining_facility_representative</t>
        </is>
      </c>
      <c r="CL235" s="6" t="inlineStr">
        <is>
          <t>Mining_facility_representative</t>
        </is>
      </c>
      <c r="CM235" s="6" t="inlineStr">
        <is>
          <t>Mining curve kept the same for China; COB_direct treated as aggregate cobalt-production route including by-product routes.</t>
        </is>
      </c>
    </row>
    <row r="236" ht="16" customHeight="1" s="213">
      <c r="D236">
        <f>D235</f>
        <v/>
      </c>
      <c r="E236" s="66" t="inlineStr">
        <is>
          <t>MINBatMaterials_COB_direct</t>
        </is>
      </c>
      <c r="F236" s="208">
        <f>AW236*$AS236</f>
        <v/>
      </c>
      <c r="G236" s="208">
        <f>AX236*$AS236</f>
        <v/>
      </c>
      <c r="H236" s="208">
        <f>AY236*$AS236</f>
        <v/>
      </c>
      <c r="I236" s="208">
        <f>AZ236*$AS236</f>
        <v/>
      </c>
      <c r="J236" s="208">
        <f>BA236*$AS236</f>
        <v/>
      </c>
      <c r="K236" s="208">
        <f>BB236*$AS236</f>
        <v/>
      </c>
      <c r="L236" s="208">
        <f>BC236*$AS236</f>
        <v/>
      </c>
      <c r="M236" s="208">
        <f>BD236*$CI236</f>
        <v/>
      </c>
      <c r="N236" s="208">
        <f>BE236*$AS236</f>
        <v/>
      </c>
      <c r="O236" s="208">
        <f>BF236*$AS236</f>
        <v/>
      </c>
      <c r="P236" s="208">
        <f>BG236*$AS236</f>
        <v/>
      </c>
      <c r="Q236" s="208">
        <f>BH236*$AS236</f>
        <v/>
      </c>
      <c r="R236" s="208">
        <f>BI236*$AS236</f>
        <v/>
      </c>
      <c r="S236" s="208">
        <f>BJ236*$AS236</f>
        <v/>
      </c>
      <c r="T236" s="208">
        <f>BK236*$AS236</f>
        <v/>
      </c>
      <c r="U236" s="208">
        <f>BL236*$AS236</f>
        <v/>
      </c>
      <c r="V236" s="208">
        <f>BM236*$AS236</f>
        <v/>
      </c>
      <c r="W236" s="208">
        <f>BN236*$AS236</f>
        <v/>
      </c>
      <c r="X236" s="208">
        <f>BO236*$AS236</f>
        <v/>
      </c>
      <c r="Y236" s="208">
        <f>BP236*$AS236</f>
        <v/>
      </c>
      <c r="Z236" s="208">
        <f>BQ236*$AS236</f>
        <v/>
      </c>
      <c r="AA236" s="208">
        <f>BR236*$AS236</f>
        <v/>
      </c>
      <c r="AB236" s="208">
        <f>BS236*$AS236</f>
        <v/>
      </c>
      <c r="AC236" s="208">
        <f>BT236*$AS236</f>
        <v/>
      </c>
      <c r="AD236" s="208">
        <f>BU236*$AS236</f>
        <v/>
      </c>
      <c r="AE236" s="208">
        <f>BV236*$AS236</f>
        <v/>
      </c>
      <c r="AF236" s="208">
        <f>BW236*$AS236</f>
        <v/>
      </c>
      <c r="AG236" s="208">
        <f>BX236*$AS236</f>
        <v/>
      </c>
      <c r="AH236" s="208">
        <f>BY236*$AS236</f>
        <v/>
      </c>
      <c r="AI236" s="208">
        <f>BZ236*$AS236</f>
        <v/>
      </c>
      <c r="AJ236" s="208">
        <f>CA236*$AS236</f>
        <v/>
      </c>
      <c r="AK236" s="208">
        <f>CB236*$AS236</f>
        <v/>
      </c>
      <c r="AL236" s="208">
        <f>CC236*$AS236</f>
        <v/>
      </c>
      <c r="AM236" s="208">
        <f>CD236*$AS236</f>
        <v/>
      </c>
      <c r="AN236" s="208">
        <f>CE236*$AS236</f>
        <v/>
      </c>
      <c r="AQ236" s="6" t="n">
        <v>2010</v>
      </c>
      <c r="AR236" s="6" t="inlineStr">
        <is>
          <t>MINBatMaterials_COB_direct</t>
        </is>
      </c>
      <c r="AS236" s="6" t="n">
        <v>0.07000000000000001</v>
      </c>
      <c r="AT236" s="6" t="inlineStr">
        <is>
          <t>Mining_facility_representative</t>
        </is>
      </c>
      <c r="AU236" s="6" t="inlineStr">
        <is>
          <t>Representative mining-capacity vintage curve; COB_direct treated as aggregate cobalt-production route including by-product routes.</t>
        </is>
      </c>
      <c r="AV236">
        <f>AV215</f>
        <v/>
      </c>
      <c r="AW236">
        <f>AW215</f>
        <v/>
      </c>
      <c r="AX236">
        <f>AX215</f>
        <v/>
      </c>
      <c r="AY236">
        <f>AY215</f>
        <v/>
      </c>
      <c r="AZ236">
        <f>AZ215</f>
        <v/>
      </c>
      <c r="BA236">
        <f>BA215</f>
        <v/>
      </c>
      <c r="BB236">
        <f>BB215</f>
        <v/>
      </c>
      <c r="BC236">
        <f>BC215</f>
        <v/>
      </c>
      <c r="BD236">
        <f>BD215</f>
        <v/>
      </c>
      <c r="BE236">
        <f>BE215</f>
        <v/>
      </c>
      <c r="BF236">
        <f>BF215</f>
        <v/>
      </c>
      <c r="BG236">
        <f>BG215</f>
        <v/>
      </c>
      <c r="BH236">
        <f>BH215</f>
        <v/>
      </c>
      <c r="BI236">
        <f>BI215</f>
        <v/>
      </c>
      <c r="BJ236">
        <f>BJ215</f>
        <v/>
      </c>
      <c r="BK236">
        <f>BK215</f>
        <v/>
      </c>
      <c r="BL236">
        <f>BL215</f>
        <v/>
      </c>
      <c r="BM236">
        <f>BM215</f>
        <v/>
      </c>
      <c r="BN236">
        <f>BN215</f>
        <v/>
      </c>
      <c r="BO236">
        <f>BO215</f>
        <v/>
      </c>
      <c r="BP236">
        <f>BP215</f>
        <v/>
      </c>
      <c r="BQ236">
        <f>BQ215</f>
        <v/>
      </c>
      <c r="BR236">
        <f>BR215</f>
        <v/>
      </c>
      <c r="BS236">
        <f>BS215</f>
        <v/>
      </c>
      <c r="BT236">
        <f>BT215</f>
        <v/>
      </c>
      <c r="BU236">
        <f>BU215</f>
        <v/>
      </c>
      <c r="BV236">
        <f>BV215</f>
        <v/>
      </c>
      <c r="BW236">
        <f>BW215</f>
        <v/>
      </c>
      <c r="BX236">
        <f>BX215</f>
        <v/>
      </c>
      <c r="BY236">
        <f>BY215</f>
        <v/>
      </c>
      <c r="BZ236">
        <f>BZ215</f>
        <v/>
      </c>
      <c r="CA236">
        <f>CA215</f>
        <v/>
      </c>
      <c r="CB236">
        <f>CB215</f>
        <v/>
      </c>
      <c r="CC236">
        <f>CC215</f>
        <v/>
      </c>
      <c r="CD236">
        <f>CD215</f>
        <v/>
      </c>
      <c r="CE236">
        <f>CE215</f>
        <v/>
      </c>
      <c r="CG236" s="6" t="n">
        <v>2010</v>
      </c>
      <c r="CH236" s="6" t="inlineStr">
        <is>
          <t>MINBatMaterials_COB_direct</t>
        </is>
      </c>
      <c r="CI236" s="6" t="n">
        <v>0.07000000000000001</v>
      </c>
      <c r="CJ236" s="6" t="n">
        <v>0.07000000000000001</v>
      </c>
      <c r="CK236" s="6" t="inlineStr">
        <is>
          <t>Mining_facility_representative</t>
        </is>
      </c>
      <c r="CL236" s="6" t="inlineStr">
        <is>
          <t>Mining_facility_representative</t>
        </is>
      </c>
      <c r="CM236" s="6" t="inlineStr">
        <is>
          <t>Mining curve kept the same for China; COB_direct treated as aggregate cobalt-production route including by-product routes.</t>
        </is>
      </c>
    </row>
    <row r="237" ht="14.5" customHeight="1" s="213">
      <c r="D237">
        <f>D236</f>
        <v/>
      </c>
      <c r="E237" t="inlineStr">
        <is>
          <t>MINBatMaterials_MN</t>
        </is>
      </c>
      <c r="F237" s="208">
        <f>AW237*$AS237</f>
        <v/>
      </c>
      <c r="G237" s="208">
        <f>AX237*$AS237</f>
        <v/>
      </c>
      <c r="H237" s="208">
        <f>AY237*$AS237</f>
        <v/>
      </c>
      <c r="I237" s="208">
        <f>AZ237*$AS237</f>
        <v/>
      </c>
      <c r="J237" s="208">
        <f>BA237*$AS237</f>
        <v/>
      </c>
      <c r="K237" s="208">
        <f>BB237*$AS237</f>
        <v/>
      </c>
      <c r="L237" s="208">
        <f>BC237*$AS237</f>
        <v/>
      </c>
      <c r="M237" s="208">
        <f>BD237*$CI237</f>
        <v/>
      </c>
      <c r="N237" s="208">
        <f>BE237*$AS237</f>
        <v/>
      </c>
      <c r="O237" s="208">
        <f>BF237*$AS237</f>
        <v/>
      </c>
      <c r="P237" s="208">
        <f>BG237*$AS237</f>
        <v/>
      </c>
      <c r="Q237" s="208">
        <f>BH237*$AS237</f>
        <v/>
      </c>
      <c r="R237" s="208">
        <f>BI237*$AS237</f>
        <v/>
      </c>
      <c r="S237" s="208">
        <f>BJ237*$AS237</f>
        <v/>
      </c>
      <c r="T237" s="208">
        <f>BK237*$AS237</f>
        <v/>
      </c>
      <c r="U237" s="208">
        <f>BL237*$AS237</f>
        <v/>
      </c>
      <c r="V237" s="208">
        <f>BM237*$AS237</f>
        <v/>
      </c>
      <c r="W237" s="208">
        <f>BN237*$AS237</f>
        <v/>
      </c>
      <c r="X237" s="208">
        <f>BO237*$AS237</f>
        <v/>
      </c>
      <c r="Y237" s="208">
        <f>BP237*$AS237</f>
        <v/>
      </c>
      <c r="Z237" s="208">
        <f>BQ237*$AS237</f>
        <v/>
      </c>
      <c r="AA237" s="208">
        <f>BR237*$AS237</f>
        <v/>
      </c>
      <c r="AB237" s="208">
        <f>BS237*$AS237</f>
        <v/>
      </c>
      <c r="AC237" s="208">
        <f>BT237*$AS237</f>
        <v/>
      </c>
      <c r="AD237" s="208">
        <f>BU237*$AS237</f>
        <v/>
      </c>
      <c r="AE237" s="208">
        <f>BV237*$AS237</f>
        <v/>
      </c>
      <c r="AF237" s="208">
        <f>BW237*$AS237</f>
        <v/>
      </c>
      <c r="AG237" s="208">
        <f>BX237*$AS237</f>
        <v/>
      </c>
      <c r="AH237" s="208">
        <f>BY237*$AS237</f>
        <v/>
      </c>
      <c r="AI237" s="208">
        <f>BZ237*$AS237</f>
        <v/>
      </c>
      <c r="AJ237" s="208">
        <f>CA237*$AS237</f>
        <v/>
      </c>
      <c r="AK237" s="208">
        <f>CB237*$AS237</f>
        <v/>
      </c>
      <c r="AL237" s="208">
        <f>CC237*$AS237</f>
        <v/>
      </c>
      <c r="AM237" s="208">
        <f>CD237*$AS237</f>
        <v/>
      </c>
      <c r="AN237" s="208">
        <f>CE237*$AS237</f>
        <v/>
      </c>
      <c r="AQ237" s="6" t="n">
        <v>2010</v>
      </c>
      <c r="AR237" s="6" t="inlineStr">
        <is>
          <t>MINBatMaterials_MN</t>
        </is>
      </c>
      <c r="AS237" s="6" t="n">
        <v>0.07000000000000001</v>
      </c>
      <c r="AT237" s="6" t="inlineStr">
        <is>
          <t>Mining_facility_representative</t>
        </is>
      </c>
      <c r="AU237" s="6" t="inlineStr">
        <is>
          <t>Representative mining-capacity vintage curve; COB_direct treated as aggregate cobalt-production route including by-product routes.</t>
        </is>
      </c>
      <c r="AV237">
        <f>AV216</f>
        <v/>
      </c>
      <c r="AW237">
        <f>AW216</f>
        <v/>
      </c>
      <c r="AX237">
        <f>AX216</f>
        <v/>
      </c>
      <c r="AY237">
        <f>AY216</f>
        <v/>
      </c>
      <c r="AZ237">
        <f>AZ216</f>
        <v/>
      </c>
      <c r="BA237">
        <f>BA216</f>
        <v/>
      </c>
      <c r="BB237">
        <f>BB216</f>
        <v/>
      </c>
      <c r="BC237">
        <f>BC216</f>
        <v/>
      </c>
      <c r="BD237">
        <f>BD216</f>
        <v/>
      </c>
      <c r="BE237">
        <f>BE216</f>
        <v/>
      </c>
      <c r="BF237">
        <f>BF216</f>
        <v/>
      </c>
      <c r="BG237">
        <f>BG216</f>
        <v/>
      </c>
      <c r="BH237">
        <f>BH216</f>
        <v/>
      </c>
      <c r="BI237">
        <f>BI216</f>
        <v/>
      </c>
      <c r="BJ237">
        <f>BJ216</f>
        <v/>
      </c>
      <c r="BK237">
        <f>BK216</f>
        <v/>
      </c>
      <c r="BL237">
        <f>BL216</f>
        <v/>
      </c>
      <c r="BM237">
        <f>BM216</f>
        <v/>
      </c>
      <c r="BN237">
        <f>BN216</f>
        <v/>
      </c>
      <c r="BO237">
        <f>BO216</f>
        <v/>
      </c>
      <c r="BP237">
        <f>BP216</f>
        <v/>
      </c>
      <c r="BQ237">
        <f>BQ216</f>
        <v/>
      </c>
      <c r="BR237">
        <f>BR216</f>
        <v/>
      </c>
      <c r="BS237">
        <f>BS216</f>
        <v/>
      </c>
      <c r="BT237">
        <f>BT216</f>
        <v/>
      </c>
      <c r="BU237">
        <f>BU216</f>
        <v/>
      </c>
      <c r="BV237">
        <f>BV216</f>
        <v/>
      </c>
      <c r="BW237">
        <f>BW216</f>
        <v/>
      </c>
      <c r="BX237">
        <f>BX216</f>
        <v/>
      </c>
      <c r="BY237">
        <f>BY216</f>
        <v/>
      </c>
      <c r="BZ237">
        <f>BZ216</f>
        <v/>
      </c>
      <c r="CA237">
        <f>CA216</f>
        <v/>
      </c>
      <c r="CB237">
        <f>CB216</f>
        <v/>
      </c>
      <c r="CC237">
        <f>CC216</f>
        <v/>
      </c>
      <c r="CD237">
        <f>CD216</f>
        <v/>
      </c>
      <c r="CE237">
        <f>CE216</f>
        <v/>
      </c>
      <c r="CG237" s="6" t="n">
        <v>2010</v>
      </c>
      <c r="CH237" s="6" t="inlineStr">
        <is>
          <t>MINBatMaterials_MN</t>
        </is>
      </c>
      <c r="CI237" s="6" t="n">
        <v>0.07000000000000001</v>
      </c>
      <c r="CJ237" s="6" t="n">
        <v>0.07000000000000001</v>
      </c>
      <c r="CK237" s="6" t="inlineStr">
        <is>
          <t>Mining_facility_representative</t>
        </is>
      </c>
      <c r="CL237" s="6" t="inlineStr">
        <is>
          <t>Mining_facility_representative</t>
        </is>
      </c>
      <c r="CM237" s="6" t="inlineStr">
        <is>
          <t>Mining curve kept the same for China; COB_direct treated as aggregate cobalt-production route including by-product routes.</t>
        </is>
      </c>
    </row>
    <row r="238" ht="14.5" customHeight="1" s="213">
      <c r="D238">
        <f>D237</f>
        <v/>
      </c>
      <c r="E238" t="inlineStr">
        <is>
          <t>MINBatMaterials_AL</t>
        </is>
      </c>
      <c r="F238" s="208">
        <f>AW238*$AS238</f>
        <v/>
      </c>
      <c r="G238" s="208">
        <f>AX238*$AS238</f>
        <v/>
      </c>
      <c r="H238" s="208">
        <f>AY238*$AS238</f>
        <v/>
      </c>
      <c r="I238" s="208">
        <f>AZ238*$AS238</f>
        <v/>
      </c>
      <c r="J238" s="208">
        <f>BA238*$AS238</f>
        <v/>
      </c>
      <c r="K238" s="208">
        <f>BB238*$AS238</f>
        <v/>
      </c>
      <c r="L238" s="208">
        <f>BC238*$AS238</f>
        <v/>
      </c>
      <c r="M238" s="208">
        <f>BD238*$CI238</f>
        <v/>
      </c>
      <c r="N238" s="208">
        <f>BE238*$AS238</f>
        <v/>
      </c>
      <c r="O238" s="208">
        <f>BF238*$AS238</f>
        <v/>
      </c>
      <c r="P238" s="208">
        <f>BG238*$AS238</f>
        <v/>
      </c>
      <c r="Q238" s="208">
        <f>BH238*$AS238</f>
        <v/>
      </c>
      <c r="R238" s="208">
        <f>BI238*$AS238</f>
        <v/>
      </c>
      <c r="S238" s="208">
        <f>BJ238*$AS238</f>
        <v/>
      </c>
      <c r="T238" s="208">
        <f>BK238*$AS238</f>
        <v/>
      </c>
      <c r="U238" s="208">
        <f>BL238*$AS238</f>
        <v/>
      </c>
      <c r="V238" s="208">
        <f>BM238*$AS238</f>
        <v/>
      </c>
      <c r="W238" s="208">
        <f>BN238*$AS238</f>
        <v/>
      </c>
      <c r="X238" s="208">
        <f>BO238*$AS238</f>
        <v/>
      </c>
      <c r="Y238" s="208">
        <f>BP238*$AS238</f>
        <v/>
      </c>
      <c r="Z238" s="208">
        <f>BQ238*$AS238</f>
        <v/>
      </c>
      <c r="AA238" s="208">
        <f>BR238*$AS238</f>
        <v/>
      </c>
      <c r="AB238" s="208">
        <f>BS238*$AS238</f>
        <v/>
      </c>
      <c r="AC238" s="208">
        <f>BT238*$AS238</f>
        <v/>
      </c>
      <c r="AD238" s="208">
        <f>BU238*$AS238</f>
        <v/>
      </c>
      <c r="AE238" s="208">
        <f>BV238*$AS238</f>
        <v/>
      </c>
      <c r="AF238" s="208">
        <f>BW238*$AS238</f>
        <v/>
      </c>
      <c r="AG238" s="208">
        <f>BX238*$AS238</f>
        <v/>
      </c>
      <c r="AH238" s="208">
        <f>BY238*$AS238</f>
        <v/>
      </c>
      <c r="AI238" s="208">
        <f>BZ238*$AS238</f>
        <v/>
      </c>
      <c r="AJ238" s="208">
        <f>CA238*$AS238</f>
        <v/>
      </c>
      <c r="AK238" s="208">
        <f>CB238*$AS238</f>
        <v/>
      </c>
      <c r="AL238" s="208">
        <f>CC238*$AS238</f>
        <v/>
      </c>
      <c r="AM238" s="208">
        <f>CD238*$AS238</f>
        <v/>
      </c>
      <c r="AN238" s="208">
        <f>CE238*$AS238</f>
        <v/>
      </c>
      <c r="AQ238" s="6" t="n">
        <v>2010</v>
      </c>
      <c r="AR238" s="6" t="inlineStr">
        <is>
          <t>MINBatMaterials_AL</t>
        </is>
      </c>
      <c r="AS238" s="6" t="n">
        <v>0.07000000000000001</v>
      </c>
      <c r="AT238" s="6" t="inlineStr">
        <is>
          <t>Mining_facility_representative</t>
        </is>
      </c>
      <c r="AU238" s="6" t="inlineStr">
        <is>
          <t>Representative mining-capacity vintage curve; COB_direct treated as aggregate cobalt-production route including by-product routes.</t>
        </is>
      </c>
      <c r="AV238">
        <f>AV217</f>
        <v/>
      </c>
      <c r="AW238">
        <f>AW217</f>
        <v/>
      </c>
      <c r="AX238">
        <f>AX217</f>
        <v/>
      </c>
      <c r="AY238">
        <f>AY217</f>
        <v/>
      </c>
      <c r="AZ238">
        <f>AZ217</f>
        <v/>
      </c>
      <c r="BA238">
        <f>BA217</f>
        <v/>
      </c>
      <c r="BB238">
        <f>BB217</f>
        <v/>
      </c>
      <c r="BC238">
        <f>BC217</f>
        <v/>
      </c>
      <c r="BD238">
        <f>BD217</f>
        <v/>
      </c>
      <c r="BE238">
        <f>BE217</f>
        <v/>
      </c>
      <c r="BF238">
        <f>BF217</f>
        <v/>
      </c>
      <c r="BG238">
        <f>BG217</f>
        <v/>
      </c>
      <c r="BH238">
        <f>BH217</f>
        <v/>
      </c>
      <c r="BI238">
        <f>BI217</f>
        <v/>
      </c>
      <c r="BJ238">
        <f>BJ217</f>
        <v/>
      </c>
      <c r="BK238">
        <f>BK217</f>
        <v/>
      </c>
      <c r="BL238">
        <f>BL217</f>
        <v/>
      </c>
      <c r="BM238">
        <f>BM217</f>
        <v/>
      </c>
      <c r="BN238">
        <f>BN217</f>
        <v/>
      </c>
      <c r="BO238">
        <f>BO217</f>
        <v/>
      </c>
      <c r="BP238">
        <f>BP217</f>
        <v/>
      </c>
      <c r="BQ238">
        <f>BQ217</f>
        <v/>
      </c>
      <c r="BR238">
        <f>BR217</f>
        <v/>
      </c>
      <c r="BS238">
        <f>BS217</f>
        <v/>
      </c>
      <c r="BT238">
        <f>BT217</f>
        <v/>
      </c>
      <c r="BU238">
        <f>BU217</f>
        <v/>
      </c>
      <c r="BV238">
        <f>BV217</f>
        <v/>
      </c>
      <c r="BW238">
        <f>BW217</f>
        <v/>
      </c>
      <c r="BX238">
        <f>BX217</f>
        <v/>
      </c>
      <c r="BY238">
        <f>BY217</f>
        <v/>
      </c>
      <c r="BZ238">
        <f>BZ217</f>
        <v/>
      </c>
      <c r="CA238">
        <f>CA217</f>
        <v/>
      </c>
      <c r="CB238">
        <f>CB217</f>
        <v/>
      </c>
      <c r="CC238">
        <f>CC217</f>
        <v/>
      </c>
      <c r="CD238">
        <f>CD217</f>
        <v/>
      </c>
      <c r="CE238">
        <f>CE217</f>
        <v/>
      </c>
      <c r="CG238" s="6" t="n">
        <v>2010</v>
      </c>
      <c r="CH238" s="6" t="inlineStr">
        <is>
          <t>MINBatMaterials_AL</t>
        </is>
      </c>
      <c r="CI238" s="6" t="n">
        <v>0.07000000000000001</v>
      </c>
      <c r="CJ238" s="6" t="n">
        <v>0.07000000000000001</v>
      </c>
      <c r="CK238" s="6" t="inlineStr">
        <is>
          <t>Mining_facility_representative</t>
        </is>
      </c>
      <c r="CL238" s="6" t="inlineStr">
        <is>
          <t>Mining_facility_representative</t>
        </is>
      </c>
      <c r="CM238" s="6" t="inlineStr">
        <is>
          <t>Mining curve kept the same for China; COB_direct treated as aggregate cobalt-production route including by-product routes.</t>
        </is>
      </c>
    </row>
    <row r="239" ht="14.5" customHeight="1" s="213">
      <c r="D239">
        <f>D238</f>
        <v/>
      </c>
      <c r="E239" t="inlineStr">
        <is>
          <t>MINBatMaterials_COP</t>
        </is>
      </c>
      <c r="F239" s="208">
        <f>AW239*$AS239</f>
        <v/>
      </c>
      <c r="G239" s="208">
        <f>AX239*$AS239</f>
        <v/>
      </c>
      <c r="H239" s="208">
        <f>AY239*$AS239</f>
        <v/>
      </c>
      <c r="I239" s="208">
        <f>AZ239*$AS239</f>
        <v/>
      </c>
      <c r="J239" s="208">
        <f>BA239*$AS239</f>
        <v/>
      </c>
      <c r="K239" s="208">
        <f>BB239*$AS239</f>
        <v/>
      </c>
      <c r="L239" s="208">
        <f>BC239*$AS239</f>
        <v/>
      </c>
      <c r="M239" s="208">
        <f>BD239*$CI239</f>
        <v/>
      </c>
      <c r="N239" s="208">
        <f>BE239*$AS239</f>
        <v/>
      </c>
      <c r="O239" s="208">
        <f>BF239*$AS239</f>
        <v/>
      </c>
      <c r="P239" s="208">
        <f>BG239*$AS239</f>
        <v/>
      </c>
      <c r="Q239" s="208">
        <f>BH239*$AS239</f>
        <v/>
      </c>
      <c r="R239" s="208">
        <f>BI239*$AS239</f>
        <v/>
      </c>
      <c r="S239" s="208">
        <f>BJ239*$AS239</f>
        <v/>
      </c>
      <c r="T239" s="208">
        <f>BK239*$AS239</f>
        <v/>
      </c>
      <c r="U239" s="208">
        <f>BL239*$AS239</f>
        <v/>
      </c>
      <c r="V239" s="208">
        <f>BM239*$AS239</f>
        <v/>
      </c>
      <c r="W239" s="208">
        <f>BN239*$AS239</f>
        <v/>
      </c>
      <c r="X239" s="208">
        <f>BO239*$AS239</f>
        <v/>
      </c>
      <c r="Y239" s="208">
        <f>BP239*$AS239</f>
        <v/>
      </c>
      <c r="Z239" s="208">
        <f>BQ239*$AS239</f>
        <v/>
      </c>
      <c r="AA239" s="208">
        <f>BR239*$AS239</f>
        <v/>
      </c>
      <c r="AB239" s="208">
        <f>BS239*$AS239</f>
        <v/>
      </c>
      <c r="AC239" s="208">
        <f>BT239*$AS239</f>
        <v/>
      </c>
      <c r="AD239" s="208">
        <f>BU239*$AS239</f>
        <v/>
      </c>
      <c r="AE239" s="208">
        <f>BV239*$AS239</f>
        <v/>
      </c>
      <c r="AF239" s="208">
        <f>BW239*$AS239</f>
        <v/>
      </c>
      <c r="AG239" s="208">
        <f>BX239*$AS239</f>
        <v/>
      </c>
      <c r="AH239" s="208">
        <f>BY239*$AS239</f>
        <v/>
      </c>
      <c r="AI239" s="208">
        <f>BZ239*$AS239</f>
        <v/>
      </c>
      <c r="AJ239" s="208">
        <f>CA239*$AS239</f>
        <v/>
      </c>
      <c r="AK239" s="208">
        <f>CB239*$AS239</f>
        <v/>
      </c>
      <c r="AL239" s="208">
        <f>CC239*$AS239</f>
        <v/>
      </c>
      <c r="AM239" s="208">
        <f>CD239*$AS239</f>
        <v/>
      </c>
      <c r="AN239" s="208">
        <f>CE239*$AS239</f>
        <v/>
      </c>
      <c r="AQ239" s="6" t="n">
        <v>2010</v>
      </c>
      <c r="AR239" s="6" t="inlineStr">
        <is>
          <t>MINBatMaterials_COP</t>
        </is>
      </c>
      <c r="AS239" s="6" t="n">
        <v>0.07000000000000001</v>
      </c>
      <c r="AT239" s="6" t="inlineStr">
        <is>
          <t>Mining_facility_representative</t>
        </is>
      </c>
      <c r="AU239" s="6" t="inlineStr">
        <is>
          <t>Representative mining-capacity vintage curve; COB_direct treated as aggregate cobalt-production route including by-product routes.</t>
        </is>
      </c>
      <c r="AV239">
        <f>AV218</f>
        <v/>
      </c>
      <c r="AW239">
        <f>AW218</f>
        <v/>
      </c>
      <c r="AX239">
        <f>AX218</f>
        <v/>
      </c>
      <c r="AY239">
        <f>AY218</f>
        <v/>
      </c>
      <c r="AZ239">
        <f>AZ218</f>
        <v/>
      </c>
      <c r="BA239">
        <f>BA218</f>
        <v/>
      </c>
      <c r="BB239">
        <f>BB218</f>
        <v/>
      </c>
      <c r="BC239">
        <f>BC218</f>
        <v/>
      </c>
      <c r="BD239">
        <f>BD218</f>
        <v/>
      </c>
      <c r="BE239">
        <f>BE218</f>
        <v/>
      </c>
      <c r="BF239">
        <f>BF218</f>
        <v/>
      </c>
      <c r="BG239">
        <f>BG218</f>
        <v/>
      </c>
      <c r="BH239">
        <f>BH218</f>
        <v/>
      </c>
      <c r="BI239">
        <f>BI218</f>
        <v/>
      </c>
      <c r="BJ239">
        <f>BJ218</f>
        <v/>
      </c>
      <c r="BK239">
        <f>BK218</f>
        <v/>
      </c>
      <c r="BL239">
        <f>BL218</f>
        <v/>
      </c>
      <c r="BM239">
        <f>BM218</f>
        <v/>
      </c>
      <c r="BN239">
        <f>BN218</f>
        <v/>
      </c>
      <c r="BO239">
        <f>BO218</f>
        <v/>
      </c>
      <c r="BP239">
        <f>BP218</f>
        <v/>
      </c>
      <c r="BQ239">
        <f>BQ218</f>
        <v/>
      </c>
      <c r="BR239">
        <f>BR218</f>
        <v/>
      </c>
      <c r="BS239">
        <f>BS218</f>
        <v/>
      </c>
      <c r="BT239">
        <f>BT218</f>
        <v/>
      </c>
      <c r="BU239">
        <f>BU218</f>
        <v/>
      </c>
      <c r="BV239">
        <f>BV218</f>
        <v/>
      </c>
      <c r="BW239">
        <f>BW218</f>
        <v/>
      </c>
      <c r="BX239">
        <f>BX218</f>
        <v/>
      </c>
      <c r="BY239">
        <f>BY218</f>
        <v/>
      </c>
      <c r="BZ239">
        <f>BZ218</f>
        <v/>
      </c>
      <c r="CA239">
        <f>CA218</f>
        <v/>
      </c>
      <c r="CB239">
        <f>CB218</f>
        <v/>
      </c>
      <c r="CC239">
        <f>CC218</f>
        <v/>
      </c>
      <c r="CD239">
        <f>CD218</f>
        <v/>
      </c>
      <c r="CE239">
        <f>CE218</f>
        <v/>
      </c>
      <c r="CG239" s="6" t="n">
        <v>2010</v>
      </c>
      <c r="CH239" s="6" t="inlineStr">
        <is>
          <t>MINBatMaterials_COP</t>
        </is>
      </c>
      <c r="CI239" s="6" t="n">
        <v>0.07000000000000001</v>
      </c>
      <c r="CJ239" s="6" t="n">
        <v>0.07000000000000001</v>
      </c>
      <c r="CK239" s="6" t="inlineStr">
        <is>
          <t>Mining_facility_representative</t>
        </is>
      </c>
      <c r="CL239" s="6" t="inlineStr">
        <is>
          <t>Mining_facility_representative</t>
        </is>
      </c>
      <c r="CM239" s="6" t="inlineStr">
        <is>
          <t>Mining curve kept the same for China; COB_direct treated as aggregate cobalt-production route including by-product routes.</t>
        </is>
      </c>
    </row>
    <row r="240" ht="14.5" customHeight="1" s="213">
      <c r="D240">
        <f>D239</f>
        <v/>
      </c>
      <c r="E240" t="inlineStr">
        <is>
          <t>MINBatMaterials_GR</t>
        </is>
      </c>
      <c r="F240" s="208">
        <f>AW240*$AS240</f>
        <v/>
      </c>
      <c r="G240" s="208">
        <f>AX240*$AS240</f>
        <v/>
      </c>
      <c r="H240" s="208">
        <f>AY240*$AS240</f>
        <v/>
      </c>
      <c r="I240" s="208">
        <f>AZ240*$AS240</f>
        <v/>
      </c>
      <c r="J240" s="208">
        <f>BA240*$AS240</f>
        <v/>
      </c>
      <c r="K240" s="208">
        <f>BB240*$AS240</f>
        <v/>
      </c>
      <c r="L240" s="208">
        <f>BC240*$AS240</f>
        <v/>
      </c>
      <c r="M240" s="208">
        <f>BD240*$CI240</f>
        <v/>
      </c>
      <c r="N240" s="208">
        <f>BE240*$AS240</f>
        <v/>
      </c>
      <c r="O240" s="208">
        <f>BF240*$AS240</f>
        <v/>
      </c>
      <c r="P240" s="208">
        <f>BG240*$AS240</f>
        <v/>
      </c>
      <c r="Q240" s="208">
        <f>BH240*$AS240</f>
        <v/>
      </c>
      <c r="R240" s="208">
        <f>BI240*$AS240</f>
        <v/>
      </c>
      <c r="S240" s="208">
        <f>BJ240*$AS240</f>
        <v/>
      </c>
      <c r="T240" s="208">
        <f>BK240*$AS240</f>
        <v/>
      </c>
      <c r="U240" s="208">
        <f>BL240*$AS240</f>
        <v/>
      </c>
      <c r="V240" s="208">
        <f>BM240*$AS240</f>
        <v/>
      </c>
      <c r="W240" s="208">
        <f>BN240*$AS240</f>
        <v/>
      </c>
      <c r="X240" s="208">
        <f>BO240*$AS240</f>
        <v/>
      </c>
      <c r="Y240" s="208">
        <f>BP240*$AS240</f>
        <v/>
      </c>
      <c r="Z240" s="208">
        <f>BQ240*$AS240</f>
        <v/>
      </c>
      <c r="AA240" s="208">
        <f>BR240*$AS240</f>
        <v/>
      </c>
      <c r="AB240" s="208">
        <f>BS240*$AS240</f>
        <v/>
      </c>
      <c r="AC240" s="208">
        <f>BT240*$AS240</f>
        <v/>
      </c>
      <c r="AD240" s="208">
        <f>BU240*$AS240</f>
        <v/>
      </c>
      <c r="AE240" s="208">
        <f>BV240*$AS240</f>
        <v/>
      </c>
      <c r="AF240" s="208">
        <f>BW240*$AS240</f>
        <v/>
      </c>
      <c r="AG240" s="208">
        <f>BX240*$AS240</f>
        <v/>
      </c>
      <c r="AH240" s="208">
        <f>BY240*$AS240</f>
        <v/>
      </c>
      <c r="AI240" s="208">
        <f>BZ240*$AS240</f>
        <v/>
      </c>
      <c r="AJ240" s="208">
        <f>CA240*$AS240</f>
        <v/>
      </c>
      <c r="AK240" s="208">
        <f>CB240*$AS240</f>
        <v/>
      </c>
      <c r="AL240" s="208">
        <f>CC240*$AS240</f>
        <v/>
      </c>
      <c r="AM240" s="208">
        <f>CD240*$AS240</f>
        <v/>
      </c>
      <c r="AN240" s="208">
        <f>CE240*$AS240</f>
        <v/>
      </c>
      <c r="AQ240" s="6" t="n">
        <v>2010</v>
      </c>
      <c r="AR240" s="6" t="inlineStr">
        <is>
          <t>MINBatMaterials_GR</t>
        </is>
      </c>
      <c r="AS240" s="6" t="n">
        <v>0.07000000000000001</v>
      </c>
      <c r="AT240" s="6" t="inlineStr">
        <is>
          <t>Mining_facility_representative</t>
        </is>
      </c>
      <c r="AU240" s="6" t="inlineStr">
        <is>
          <t>Representative mining-capacity vintage curve; COB_direct treated as aggregate cobalt-production route including by-product routes.</t>
        </is>
      </c>
      <c r="AV240">
        <f>AV219</f>
        <v/>
      </c>
      <c r="AW240">
        <f>AW219</f>
        <v/>
      </c>
      <c r="AX240">
        <f>AX219</f>
        <v/>
      </c>
      <c r="AY240">
        <f>AY219</f>
        <v/>
      </c>
      <c r="AZ240">
        <f>AZ219</f>
        <v/>
      </c>
      <c r="BA240">
        <f>BA219</f>
        <v/>
      </c>
      <c r="BB240">
        <f>BB219</f>
        <v/>
      </c>
      <c r="BC240">
        <f>BC219</f>
        <v/>
      </c>
      <c r="BD240">
        <f>BD219</f>
        <v/>
      </c>
      <c r="BE240">
        <f>BE219</f>
        <v/>
      </c>
      <c r="BF240">
        <f>BF219</f>
        <v/>
      </c>
      <c r="BG240">
        <f>BG219</f>
        <v/>
      </c>
      <c r="BH240">
        <f>BH219</f>
        <v/>
      </c>
      <c r="BI240">
        <f>BI219</f>
        <v/>
      </c>
      <c r="BJ240">
        <f>BJ219</f>
        <v/>
      </c>
      <c r="BK240">
        <f>BK219</f>
        <v/>
      </c>
      <c r="BL240">
        <f>BL219</f>
        <v/>
      </c>
      <c r="BM240">
        <f>BM219</f>
        <v/>
      </c>
      <c r="BN240">
        <f>BN219</f>
        <v/>
      </c>
      <c r="BO240">
        <f>BO219</f>
        <v/>
      </c>
      <c r="BP240">
        <f>BP219</f>
        <v/>
      </c>
      <c r="BQ240">
        <f>BQ219</f>
        <v/>
      </c>
      <c r="BR240">
        <f>BR219</f>
        <v/>
      </c>
      <c r="BS240">
        <f>BS219</f>
        <v/>
      </c>
      <c r="BT240">
        <f>BT219</f>
        <v/>
      </c>
      <c r="BU240">
        <f>BU219</f>
        <v/>
      </c>
      <c r="BV240">
        <f>BV219</f>
        <v/>
      </c>
      <c r="BW240">
        <f>BW219</f>
        <v/>
      </c>
      <c r="BX240">
        <f>BX219</f>
        <v/>
      </c>
      <c r="BY240">
        <f>BY219</f>
        <v/>
      </c>
      <c r="BZ240">
        <f>BZ219</f>
        <v/>
      </c>
      <c r="CA240">
        <f>CA219</f>
        <v/>
      </c>
      <c r="CB240">
        <f>CB219</f>
        <v/>
      </c>
      <c r="CC240">
        <f>CC219</f>
        <v/>
      </c>
      <c r="CD240">
        <f>CD219</f>
        <v/>
      </c>
      <c r="CE240">
        <f>CE219</f>
        <v/>
      </c>
      <c r="CG240" s="6" t="n">
        <v>2010</v>
      </c>
      <c r="CH240" s="6" t="inlineStr">
        <is>
          <t>MINBatMaterials_GR</t>
        </is>
      </c>
      <c r="CI240" s="6" t="n">
        <v>0.07000000000000001</v>
      </c>
      <c r="CJ240" s="6" t="n">
        <v>0.07000000000000001</v>
      </c>
      <c r="CK240" s="6" t="inlineStr">
        <is>
          <t>Mining_facility_representative</t>
        </is>
      </c>
      <c r="CL240" s="6" t="inlineStr">
        <is>
          <t>Mining_facility_representative</t>
        </is>
      </c>
      <c r="CM240" s="6" t="inlineStr">
        <is>
          <t>Mining curve kept the same for China; COB_direct treated as aggregate cobalt-production route including by-product routes.</t>
        </is>
      </c>
    </row>
    <row r="241" ht="14.5" customHeight="1" s="213">
      <c r="D241" t="n">
        <v>2010</v>
      </c>
      <c r="E241" t="inlineStr">
        <is>
          <t>Tra_EV_Batt-LFP_virgin</t>
        </is>
      </c>
      <c r="F241" s="208">
        <f>AW241*$AS241</f>
        <v/>
      </c>
      <c r="G241" s="208">
        <f>AX241*$AS241</f>
        <v/>
      </c>
      <c r="H241" s="208">
        <f>AY241*$AS241</f>
        <v/>
      </c>
      <c r="I241" s="208">
        <f>AZ241*$AS241</f>
        <v/>
      </c>
      <c r="J241" s="208">
        <f>BA241*$AS241</f>
        <v/>
      </c>
      <c r="K241" s="208">
        <f>BB241*$AS241</f>
        <v/>
      </c>
      <c r="L241" s="208">
        <f>BC241*$AS241</f>
        <v/>
      </c>
      <c r="M241" s="208">
        <f>BD241*$CI241</f>
        <v/>
      </c>
      <c r="N241" s="208">
        <f>BE241*$AS241</f>
        <v/>
      </c>
      <c r="O241" s="208">
        <f>BF241*$AS241</f>
        <v/>
      </c>
      <c r="P241" s="208">
        <f>BG241*$AS241</f>
        <v/>
      </c>
      <c r="Q241" s="208">
        <f>BH241*$AS241</f>
        <v/>
      </c>
      <c r="R241" s="208">
        <f>BI241*$AS241</f>
        <v/>
      </c>
      <c r="S241" s="208">
        <f>BJ241*$AS241</f>
        <v/>
      </c>
      <c r="T241" s="208">
        <f>BK241*$AS241</f>
        <v/>
      </c>
      <c r="U241" s="208">
        <f>BL241*$AS241</f>
        <v/>
      </c>
      <c r="V241" s="208">
        <f>BM241*$AS241</f>
        <v/>
      </c>
      <c r="W241" s="208">
        <f>BN241*$AS241</f>
        <v/>
      </c>
      <c r="X241" s="208">
        <f>BO241*$AS241</f>
        <v/>
      </c>
      <c r="Y241" s="208">
        <f>BP241*$AS241</f>
        <v/>
      </c>
      <c r="Z241" s="208">
        <f>BQ241*$AS241</f>
        <v/>
      </c>
      <c r="AA241" s="208">
        <f>BR241*$AS241</f>
        <v/>
      </c>
      <c r="AB241" s="208">
        <f>BS241*$AS241</f>
        <v/>
      </c>
      <c r="AC241" s="208">
        <f>BT241*$AS241</f>
        <v/>
      </c>
      <c r="AD241" s="208">
        <f>BU241*$AS241</f>
        <v/>
      </c>
      <c r="AE241" s="208">
        <f>BV241*$AS241</f>
        <v/>
      </c>
      <c r="AF241" s="208">
        <f>BW241*$AS241</f>
        <v/>
      </c>
      <c r="AG241" s="208">
        <f>BX241*$AS241</f>
        <v/>
      </c>
      <c r="AH241" s="208">
        <f>BY241*$AS241</f>
        <v/>
      </c>
      <c r="AI241" s="208">
        <f>BZ241*$AS241</f>
        <v/>
      </c>
      <c r="AJ241" s="208">
        <f>CA241*$AS241</f>
        <v/>
      </c>
      <c r="AK241" s="208">
        <f>CB241*$AS241</f>
        <v/>
      </c>
      <c r="AL241" s="208">
        <f>CC241*$AS241</f>
        <v/>
      </c>
      <c r="AM241" s="208">
        <f>CD241*$AS241</f>
        <v/>
      </c>
      <c r="AN241" s="208">
        <f>CE241*$AS241</f>
        <v/>
      </c>
      <c r="AQ241" s="6" t="n">
        <v>2010</v>
      </c>
      <c r="AR241" s="6" t="inlineStr">
        <is>
          <t>Tra_EV_Batt-LFP_virgin</t>
        </is>
      </c>
      <c r="AS241" s="6" t="n">
        <v>0.001</v>
      </c>
      <c r="AT241" s="6" t="inlineStr">
        <is>
          <t>Transport_EV_general</t>
        </is>
      </c>
      <c r="AU241" s="6" t="inlineStr">
        <is>
          <t>Back-loaded transport EV battery vintage curve based on historical EV deployment shape.</t>
        </is>
      </c>
      <c r="AV241">
        <f>AV220</f>
        <v/>
      </c>
      <c r="AW241">
        <f>AW220</f>
        <v/>
      </c>
      <c r="AX241">
        <f>AX220</f>
        <v/>
      </c>
      <c r="AY241">
        <f>AY220</f>
        <v/>
      </c>
      <c r="AZ241">
        <f>AZ220</f>
        <v/>
      </c>
      <c r="BA241">
        <f>BA220</f>
        <v/>
      </c>
      <c r="BB241">
        <f>BB220</f>
        <v/>
      </c>
      <c r="BC241">
        <f>BC220</f>
        <v/>
      </c>
      <c r="BD241">
        <f>BD220</f>
        <v/>
      </c>
      <c r="BE241">
        <f>BE220</f>
        <v/>
      </c>
      <c r="BF241">
        <f>BF220</f>
        <v/>
      </c>
      <c r="BG241">
        <f>BG220</f>
        <v/>
      </c>
      <c r="BH241">
        <f>BH220</f>
        <v/>
      </c>
      <c r="BI241">
        <f>BI220</f>
        <v/>
      </c>
      <c r="BJ241">
        <f>BJ220</f>
        <v/>
      </c>
      <c r="BK241">
        <f>BK220</f>
        <v/>
      </c>
      <c r="BL241">
        <f>BL220</f>
        <v/>
      </c>
      <c r="BM241">
        <f>BM220</f>
        <v/>
      </c>
      <c r="BN241">
        <f>BN220</f>
        <v/>
      </c>
      <c r="BO241">
        <f>BO220</f>
        <v/>
      </c>
      <c r="BP241">
        <f>BP220</f>
        <v/>
      </c>
      <c r="BQ241">
        <f>BQ220</f>
        <v/>
      </c>
      <c r="BR241">
        <f>BR220</f>
        <v/>
      </c>
      <c r="BS241">
        <f>BS220</f>
        <v/>
      </c>
      <c r="BT241">
        <f>BT220</f>
        <v/>
      </c>
      <c r="BU241">
        <f>BU220</f>
        <v/>
      </c>
      <c r="BV241">
        <f>BV220</f>
        <v/>
      </c>
      <c r="BW241">
        <f>BW220</f>
        <v/>
      </c>
      <c r="BX241">
        <f>BX220</f>
        <v/>
      </c>
      <c r="BY241">
        <f>BY220</f>
        <v/>
      </c>
      <c r="BZ241">
        <f>BZ220</f>
        <v/>
      </c>
      <c r="CA241">
        <f>CA220</f>
        <v/>
      </c>
      <c r="CB241">
        <f>CB220</f>
        <v/>
      </c>
      <c r="CC241">
        <f>CC220</f>
        <v/>
      </c>
      <c r="CD241">
        <f>CD220</f>
        <v/>
      </c>
      <c r="CE241">
        <f>CE220</f>
        <v/>
      </c>
      <c r="CG241" s="6" t="n">
        <v>2010</v>
      </c>
      <c r="CH241" s="6" t="inlineStr">
        <is>
          <t>Tra_EV_Batt-LFP_virgin</t>
        </is>
      </c>
      <c r="CI241" s="6" t="n">
        <v>0.001</v>
      </c>
      <c r="CJ241" s="6" t="n">
        <v>0.001</v>
      </c>
      <c r="CK241" s="6" t="inlineStr">
        <is>
          <t>Transport_EV_global</t>
        </is>
      </c>
      <c r="CL241" s="6" t="inlineStr">
        <is>
          <t>Transport_EV_China</t>
        </is>
      </c>
      <c r="CM241" s="6" t="inlineStr">
        <is>
          <t>China transport EV curve is shifted earlier than the global curve to reflect earlier China EV/e-bus deployment in the 2010s.</t>
        </is>
      </c>
    </row>
    <row r="242" ht="14.5" customHeight="1" s="213">
      <c r="D242">
        <f>D241</f>
        <v/>
      </c>
      <c r="E242" t="inlineStr">
        <is>
          <t>Tra_EV_Batt-NMC622_virgin</t>
        </is>
      </c>
      <c r="F242" s="208">
        <f>AW242*$AS242</f>
        <v/>
      </c>
      <c r="G242" s="208">
        <f>AX242*$AS242</f>
        <v/>
      </c>
      <c r="H242" s="208">
        <f>AY242*$AS242</f>
        <v/>
      </c>
      <c r="I242" s="208">
        <f>AZ242*$AS242</f>
        <v/>
      </c>
      <c r="J242" s="208">
        <f>BA242*$AS242</f>
        <v/>
      </c>
      <c r="K242" s="208">
        <f>BB242*$AS242</f>
        <v/>
      </c>
      <c r="L242" s="208">
        <f>BC242*$AS242</f>
        <v/>
      </c>
      <c r="M242" s="208">
        <f>BD242*$CI242</f>
        <v/>
      </c>
      <c r="N242" s="208">
        <f>BE242*$AS242</f>
        <v/>
      </c>
      <c r="O242" s="208">
        <f>BF242*$AS242</f>
        <v/>
      </c>
      <c r="P242" s="208">
        <f>BG242*$AS242</f>
        <v/>
      </c>
      <c r="Q242" s="208">
        <f>BH242*$AS242</f>
        <v/>
      </c>
      <c r="R242" s="208">
        <f>BI242*$AS242</f>
        <v/>
      </c>
      <c r="S242" s="208">
        <f>BJ242*$AS242</f>
        <v/>
      </c>
      <c r="T242" s="208">
        <f>BK242*$AS242</f>
        <v/>
      </c>
      <c r="U242" s="208">
        <f>BL242*$AS242</f>
        <v/>
      </c>
      <c r="V242" s="208">
        <f>BM242*$AS242</f>
        <v/>
      </c>
      <c r="W242" s="208">
        <f>BN242*$AS242</f>
        <v/>
      </c>
      <c r="X242" s="208">
        <f>BO242*$AS242</f>
        <v/>
      </c>
      <c r="Y242" s="208">
        <f>BP242*$AS242</f>
        <v/>
      </c>
      <c r="Z242" s="208">
        <f>BQ242*$AS242</f>
        <v/>
      </c>
      <c r="AA242" s="208">
        <f>BR242*$AS242</f>
        <v/>
      </c>
      <c r="AB242" s="208">
        <f>BS242*$AS242</f>
        <v/>
      </c>
      <c r="AC242" s="208">
        <f>BT242*$AS242</f>
        <v/>
      </c>
      <c r="AD242" s="208">
        <f>BU242*$AS242</f>
        <v/>
      </c>
      <c r="AE242" s="208">
        <f>BV242*$AS242</f>
        <v/>
      </c>
      <c r="AF242" s="208">
        <f>BW242*$AS242</f>
        <v/>
      </c>
      <c r="AG242" s="208">
        <f>BX242*$AS242</f>
        <v/>
      </c>
      <c r="AH242" s="208">
        <f>BY242*$AS242</f>
        <v/>
      </c>
      <c r="AI242" s="208">
        <f>BZ242*$AS242</f>
        <v/>
      </c>
      <c r="AJ242" s="208">
        <f>CA242*$AS242</f>
        <v/>
      </c>
      <c r="AK242" s="208">
        <f>CB242*$AS242</f>
        <v/>
      </c>
      <c r="AL242" s="208">
        <f>CC242*$AS242</f>
        <v/>
      </c>
      <c r="AM242" s="208">
        <f>CD242*$AS242</f>
        <v/>
      </c>
      <c r="AN242" s="208">
        <f>CE242*$AS242</f>
        <v/>
      </c>
      <c r="AQ242" s="6" t="n">
        <v>2010</v>
      </c>
      <c r="AR242" s="6" t="inlineStr">
        <is>
          <t>Tra_EV_Batt-NMC622_virgin</t>
        </is>
      </c>
      <c r="AS242" s="6" t="n">
        <v>0.001</v>
      </c>
      <c r="AT242" s="6" t="inlineStr">
        <is>
          <t>Transport_EV_general</t>
        </is>
      </c>
      <c r="AU242" s="6" t="inlineStr">
        <is>
          <t>Back-loaded transport EV battery vintage curve based on historical EV deployment shape.</t>
        </is>
      </c>
      <c r="AV242">
        <f>AV221</f>
        <v/>
      </c>
      <c r="AW242">
        <f>AW221</f>
        <v/>
      </c>
      <c r="AX242">
        <f>AX221</f>
        <v/>
      </c>
      <c r="AY242">
        <f>AY221</f>
        <v/>
      </c>
      <c r="AZ242">
        <f>AZ221</f>
        <v/>
      </c>
      <c r="BA242">
        <f>BA221</f>
        <v/>
      </c>
      <c r="BB242">
        <f>BB221</f>
        <v/>
      </c>
      <c r="BC242">
        <f>BC221</f>
        <v/>
      </c>
      <c r="BD242">
        <f>BD221</f>
        <v/>
      </c>
      <c r="BE242">
        <f>BE221</f>
        <v/>
      </c>
      <c r="BF242">
        <f>BF221</f>
        <v/>
      </c>
      <c r="BG242">
        <f>BG221</f>
        <v/>
      </c>
      <c r="BH242">
        <f>BH221</f>
        <v/>
      </c>
      <c r="BI242">
        <f>BI221</f>
        <v/>
      </c>
      <c r="BJ242">
        <f>BJ221</f>
        <v/>
      </c>
      <c r="BK242">
        <f>BK221</f>
        <v/>
      </c>
      <c r="BL242">
        <f>BL221</f>
        <v/>
      </c>
      <c r="BM242">
        <f>BM221</f>
        <v/>
      </c>
      <c r="BN242">
        <f>BN221</f>
        <v/>
      </c>
      <c r="BO242">
        <f>BO221</f>
        <v/>
      </c>
      <c r="BP242">
        <f>BP221</f>
        <v/>
      </c>
      <c r="BQ242">
        <f>BQ221</f>
        <v/>
      </c>
      <c r="BR242">
        <f>BR221</f>
        <v/>
      </c>
      <c r="BS242">
        <f>BS221</f>
        <v/>
      </c>
      <c r="BT242">
        <f>BT221</f>
        <v/>
      </c>
      <c r="BU242">
        <f>BU221</f>
        <v/>
      </c>
      <c r="BV242">
        <f>BV221</f>
        <v/>
      </c>
      <c r="BW242">
        <f>BW221</f>
        <v/>
      </c>
      <c r="BX242">
        <f>BX221</f>
        <v/>
      </c>
      <c r="BY242">
        <f>BY221</f>
        <v/>
      </c>
      <c r="BZ242">
        <f>BZ221</f>
        <v/>
      </c>
      <c r="CA242">
        <f>CA221</f>
        <v/>
      </c>
      <c r="CB242">
        <f>CB221</f>
        <v/>
      </c>
      <c r="CC242">
        <f>CC221</f>
        <v/>
      </c>
      <c r="CD242">
        <f>CD221</f>
        <v/>
      </c>
      <c r="CE242">
        <f>CE221</f>
        <v/>
      </c>
      <c r="CG242" s="6" t="n">
        <v>2010</v>
      </c>
      <c r="CH242" s="6" t="inlineStr">
        <is>
          <t>Tra_EV_Batt-NMC622_virgin</t>
        </is>
      </c>
      <c r="CI242" s="6" t="n">
        <v>0.001</v>
      </c>
      <c r="CJ242" s="6" t="n">
        <v>0.001</v>
      </c>
      <c r="CK242" s="6" t="inlineStr">
        <is>
          <t>Transport_EV_global</t>
        </is>
      </c>
      <c r="CL242" s="6" t="inlineStr">
        <is>
          <t>Transport_EV_China</t>
        </is>
      </c>
      <c r="CM242" s="6" t="inlineStr">
        <is>
          <t>China transport EV curve is shifted earlier than the global curve to reflect earlier China EV/e-bus deployment in the 2010s.</t>
        </is>
      </c>
    </row>
    <row r="243" ht="14.5" customHeight="1" s="213">
      <c r="D243">
        <f>D242</f>
        <v/>
      </c>
      <c r="E243" t="inlineStr">
        <is>
          <t>Tra_EV_Batt-NMC811_virgin</t>
        </is>
      </c>
      <c r="F243" s="208">
        <f>AW243*$AS243</f>
        <v/>
      </c>
      <c r="G243" s="208">
        <f>AX243*$AS243</f>
        <v/>
      </c>
      <c r="H243" s="208">
        <f>AY243*$AS243</f>
        <v/>
      </c>
      <c r="I243" s="208">
        <f>AZ243*$AS243</f>
        <v/>
      </c>
      <c r="J243" s="208">
        <f>BA243*$AS243</f>
        <v/>
      </c>
      <c r="K243" s="208">
        <f>BB243*$AS243</f>
        <v/>
      </c>
      <c r="L243" s="208">
        <f>BC243*$AS243</f>
        <v/>
      </c>
      <c r="M243" s="208">
        <f>BD243*$CI243</f>
        <v/>
      </c>
      <c r="N243" s="208">
        <f>BE243*$AS243</f>
        <v/>
      </c>
      <c r="O243" s="208">
        <f>BF243*$AS243</f>
        <v/>
      </c>
      <c r="P243" s="208">
        <f>BG243*$AS243</f>
        <v/>
      </c>
      <c r="Q243" s="208">
        <f>BH243*$AS243</f>
        <v/>
      </c>
      <c r="R243" s="208">
        <f>BI243*$AS243</f>
        <v/>
      </c>
      <c r="S243" s="208">
        <f>BJ243*$AS243</f>
        <v/>
      </c>
      <c r="T243" s="208">
        <f>BK243*$AS243</f>
        <v/>
      </c>
      <c r="U243" s="208">
        <f>BL243*$AS243</f>
        <v/>
      </c>
      <c r="V243" s="208">
        <f>BM243*$AS243</f>
        <v/>
      </c>
      <c r="W243" s="208">
        <f>BN243*$AS243</f>
        <v/>
      </c>
      <c r="X243" s="208">
        <f>BO243*$AS243</f>
        <v/>
      </c>
      <c r="Y243" s="208">
        <f>BP243*$AS243</f>
        <v/>
      </c>
      <c r="Z243" s="208">
        <f>BQ243*$AS243</f>
        <v/>
      </c>
      <c r="AA243" s="208">
        <f>BR243*$AS243</f>
        <v/>
      </c>
      <c r="AB243" s="208">
        <f>BS243*$AS243</f>
        <v/>
      </c>
      <c r="AC243" s="208">
        <f>BT243*$AS243</f>
        <v/>
      </c>
      <c r="AD243" s="208">
        <f>BU243*$AS243</f>
        <v/>
      </c>
      <c r="AE243" s="208">
        <f>BV243*$AS243</f>
        <v/>
      </c>
      <c r="AF243" s="208">
        <f>BW243*$AS243</f>
        <v/>
      </c>
      <c r="AG243" s="208">
        <f>BX243*$AS243</f>
        <v/>
      </c>
      <c r="AH243" s="208">
        <f>BY243*$AS243</f>
        <v/>
      </c>
      <c r="AI243" s="208">
        <f>BZ243*$AS243</f>
        <v/>
      </c>
      <c r="AJ243" s="208">
        <f>CA243*$AS243</f>
        <v/>
      </c>
      <c r="AK243" s="208">
        <f>CB243*$AS243</f>
        <v/>
      </c>
      <c r="AL243" s="208">
        <f>CC243*$AS243</f>
        <v/>
      </c>
      <c r="AM243" s="208">
        <f>CD243*$AS243</f>
        <v/>
      </c>
      <c r="AN243" s="208">
        <f>CE243*$AS243</f>
        <v/>
      </c>
      <c r="AQ243" s="6" t="n">
        <v>2010</v>
      </c>
      <c r="AR243" s="6" t="inlineStr">
        <is>
          <t>Tra_EV_Batt-NMC811_virgin</t>
        </is>
      </c>
      <c r="AS243" s="6" t="n">
        <v>0.001</v>
      </c>
      <c r="AT243" s="6" t="inlineStr">
        <is>
          <t>Transport_EV_general</t>
        </is>
      </c>
      <c r="AU243" s="6" t="inlineStr">
        <is>
          <t>Back-loaded transport EV battery vintage curve based on historical EV deployment shape.</t>
        </is>
      </c>
      <c r="AV243">
        <f>AV222</f>
        <v/>
      </c>
      <c r="AW243">
        <f>AW222</f>
        <v/>
      </c>
      <c r="AX243">
        <f>AX222</f>
        <v/>
      </c>
      <c r="AY243">
        <f>AY222</f>
        <v/>
      </c>
      <c r="AZ243">
        <f>AZ222</f>
        <v/>
      </c>
      <c r="BA243">
        <f>BA222</f>
        <v/>
      </c>
      <c r="BB243">
        <f>BB222</f>
        <v/>
      </c>
      <c r="BC243">
        <f>BC222</f>
        <v/>
      </c>
      <c r="BD243">
        <f>BD222</f>
        <v/>
      </c>
      <c r="BE243">
        <f>BE222</f>
        <v/>
      </c>
      <c r="BF243">
        <f>BF222</f>
        <v/>
      </c>
      <c r="BG243">
        <f>BG222</f>
        <v/>
      </c>
      <c r="BH243">
        <f>BH222</f>
        <v/>
      </c>
      <c r="BI243">
        <f>BI222</f>
        <v/>
      </c>
      <c r="BJ243">
        <f>BJ222</f>
        <v/>
      </c>
      <c r="BK243">
        <f>BK222</f>
        <v/>
      </c>
      <c r="BL243">
        <f>BL222</f>
        <v/>
      </c>
      <c r="BM243">
        <f>BM222</f>
        <v/>
      </c>
      <c r="BN243">
        <f>BN222</f>
        <v/>
      </c>
      <c r="BO243">
        <f>BO222</f>
        <v/>
      </c>
      <c r="BP243">
        <f>BP222</f>
        <v/>
      </c>
      <c r="BQ243">
        <f>BQ222</f>
        <v/>
      </c>
      <c r="BR243">
        <f>BR222</f>
        <v/>
      </c>
      <c r="BS243">
        <f>BS222</f>
        <v/>
      </c>
      <c r="BT243">
        <f>BT222</f>
        <v/>
      </c>
      <c r="BU243">
        <f>BU222</f>
        <v/>
      </c>
      <c r="BV243">
        <f>BV222</f>
        <v/>
      </c>
      <c r="BW243">
        <f>BW222</f>
        <v/>
      </c>
      <c r="BX243">
        <f>BX222</f>
        <v/>
      </c>
      <c r="BY243">
        <f>BY222</f>
        <v/>
      </c>
      <c r="BZ243">
        <f>BZ222</f>
        <v/>
      </c>
      <c r="CA243">
        <f>CA222</f>
        <v/>
      </c>
      <c r="CB243">
        <f>CB222</f>
        <v/>
      </c>
      <c r="CC243">
        <f>CC222</f>
        <v/>
      </c>
      <c r="CD243">
        <f>CD222</f>
        <v/>
      </c>
      <c r="CE243">
        <f>CE222</f>
        <v/>
      </c>
      <c r="CG243" s="6" t="n">
        <v>2010</v>
      </c>
      <c r="CH243" s="6" t="inlineStr">
        <is>
          <t>Tra_EV_Batt-NMC811_virgin</t>
        </is>
      </c>
      <c r="CI243" s="6" t="n">
        <v>0.001</v>
      </c>
      <c r="CJ243" s="6" t="n">
        <v>0.001</v>
      </c>
      <c r="CK243" s="6" t="inlineStr">
        <is>
          <t>Transport_EV_global</t>
        </is>
      </c>
      <c r="CL243" s="6" t="inlineStr">
        <is>
          <t>Transport_EV_China</t>
        </is>
      </c>
      <c r="CM243" s="6" t="inlineStr">
        <is>
          <t>China transport EV curve is shifted earlier than the global curve to reflect earlier China EV/e-bus deployment in the 2010s.</t>
        </is>
      </c>
    </row>
    <row r="244" ht="14.5" customHeight="1" s="213">
      <c r="D244">
        <f>D243</f>
        <v/>
      </c>
      <c r="E244" t="inlineStr">
        <is>
          <t>Tra_EV_Batt-NMC532_virgin</t>
        </is>
      </c>
      <c r="F244" s="208">
        <f>AW244*$AS244</f>
        <v/>
      </c>
      <c r="G244" s="208">
        <f>AX244*$AS244</f>
        <v/>
      </c>
      <c r="H244" s="208">
        <f>AY244*$AS244</f>
        <v/>
      </c>
      <c r="I244" s="208">
        <f>AZ244*$AS244</f>
        <v/>
      </c>
      <c r="J244" s="208">
        <f>BA244*$AS244</f>
        <v/>
      </c>
      <c r="K244" s="208">
        <f>BB244*$AS244</f>
        <v/>
      </c>
      <c r="L244" s="208">
        <f>BC244*$AS244</f>
        <v/>
      </c>
      <c r="M244" s="208">
        <f>BD244*$CI244</f>
        <v/>
      </c>
      <c r="N244" s="208">
        <f>BE244*$AS244</f>
        <v/>
      </c>
      <c r="O244" s="208">
        <f>BF244*$AS244</f>
        <v/>
      </c>
      <c r="P244" s="208">
        <f>BG244*$AS244</f>
        <v/>
      </c>
      <c r="Q244" s="208">
        <f>BH244*$AS244</f>
        <v/>
      </c>
      <c r="R244" s="208">
        <f>BI244*$AS244</f>
        <v/>
      </c>
      <c r="S244" s="208">
        <f>BJ244*$AS244</f>
        <v/>
      </c>
      <c r="T244" s="208">
        <f>BK244*$AS244</f>
        <v/>
      </c>
      <c r="U244" s="208">
        <f>BL244*$AS244</f>
        <v/>
      </c>
      <c r="V244" s="208">
        <f>BM244*$AS244</f>
        <v/>
      </c>
      <c r="W244" s="208">
        <f>BN244*$AS244</f>
        <v/>
      </c>
      <c r="X244" s="208">
        <f>BO244*$AS244</f>
        <v/>
      </c>
      <c r="Y244" s="208">
        <f>BP244*$AS244</f>
        <v/>
      </c>
      <c r="Z244" s="208">
        <f>BQ244*$AS244</f>
        <v/>
      </c>
      <c r="AA244" s="208">
        <f>BR244*$AS244</f>
        <v/>
      </c>
      <c r="AB244" s="208">
        <f>BS244*$AS244</f>
        <v/>
      </c>
      <c r="AC244" s="208">
        <f>BT244*$AS244</f>
        <v/>
      </c>
      <c r="AD244" s="208">
        <f>BU244*$AS244</f>
        <v/>
      </c>
      <c r="AE244" s="208">
        <f>BV244*$AS244</f>
        <v/>
      </c>
      <c r="AF244" s="208">
        <f>BW244*$AS244</f>
        <v/>
      </c>
      <c r="AG244" s="208">
        <f>BX244*$AS244</f>
        <v/>
      </c>
      <c r="AH244" s="208">
        <f>BY244*$AS244</f>
        <v/>
      </c>
      <c r="AI244" s="208">
        <f>BZ244*$AS244</f>
        <v/>
      </c>
      <c r="AJ244" s="208">
        <f>CA244*$AS244</f>
        <v/>
      </c>
      <c r="AK244" s="208">
        <f>CB244*$AS244</f>
        <v/>
      </c>
      <c r="AL244" s="208">
        <f>CC244*$AS244</f>
        <v/>
      </c>
      <c r="AM244" s="208">
        <f>CD244*$AS244</f>
        <v/>
      </c>
      <c r="AN244" s="208">
        <f>CE244*$AS244</f>
        <v/>
      </c>
      <c r="AQ244" s="6" t="n">
        <v>2010</v>
      </c>
      <c r="AR244" s="6" t="inlineStr">
        <is>
          <t>Tra_EV_Batt-NMC532_virgin</t>
        </is>
      </c>
      <c r="AS244" s="6" t="n">
        <v>0.001</v>
      </c>
      <c r="AT244" s="6" t="inlineStr">
        <is>
          <t>Transport_EV_general</t>
        </is>
      </c>
      <c r="AU244" s="6" t="inlineStr">
        <is>
          <t>Back-loaded transport EV battery vintage curve based on historical EV deployment shape.</t>
        </is>
      </c>
      <c r="AV244">
        <f>AV223</f>
        <v/>
      </c>
      <c r="AW244">
        <f>AW223</f>
        <v/>
      </c>
      <c r="AX244">
        <f>AX223</f>
        <v/>
      </c>
      <c r="AY244">
        <f>AY223</f>
        <v/>
      </c>
      <c r="AZ244">
        <f>AZ223</f>
        <v/>
      </c>
      <c r="BA244">
        <f>BA223</f>
        <v/>
      </c>
      <c r="BB244">
        <f>BB223</f>
        <v/>
      </c>
      <c r="BC244">
        <f>BC223</f>
        <v/>
      </c>
      <c r="BD244">
        <f>BD223</f>
        <v/>
      </c>
      <c r="BE244">
        <f>BE223</f>
        <v/>
      </c>
      <c r="BF244">
        <f>BF223</f>
        <v/>
      </c>
      <c r="BG244">
        <f>BG223</f>
        <v/>
      </c>
      <c r="BH244">
        <f>BH223</f>
        <v/>
      </c>
      <c r="BI244">
        <f>BI223</f>
        <v/>
      </c>
      <c r="BJ244">
        <f>BJ223</f>
        <v/>
      </c>
      <c r="BK244">
        <f>BK223</f>
        <v/>
      </c>
      <c r="BL244">
        <f>BL223</f>
        <v/>
      </c>
      <c r="BM244">
        <f>BM223</f>
        <v/>
      </c>
      <c r="BN244">
        <f>BN223</f>
        <v/>
      </c>
      <c r="BO244">
        <f>BO223</f>
        <v/>
      </c>
      <c r="BP244">
        <f>BP223</f>
        <v/>
      </c>
      <c r="BQ244">
        <f>BQ223</f>
        <v/>
      </c>
      <c r="BR244">
        <f>BR223</f>
        <v/>
      </c>
      <c r="BS244">
        <f>BS223</f>
        <v/>
      </c>
      <c r="BT244">
        <f>BT223</f>
        <v/>
      </c>
      <c r="BU244">
        <f>BU223</f>
        <v/>
      </c>
      <c r="BV244">
        <f>BV223</f>
        <v/>
      </c>
      <c r="BW244">
        <f>BW223</f>
        <v/>
      </c>
      <c r="BX244">
        <f>BX223</f>
        <v/>
      </c>
      <c r="BY244">
        <f>BY223</f>
        <v/>
      </c>
      <c r="BZ244">
        <f>BZ223</f>
        <v/>
      </c>
      <c r="CA244">
        <f>CA223</f>
        <v/>
      </c>
      <c r="CB244">
        <f>CB223</f>
        <v/>
      </c>
      <c r="CC244">
        <f>CC223</f>
        <v/>
      </c>
      <c r="CD244">
        <f>CD223</f>
        <v/>
      </c>
      <c r="CE244">
        <f>CE223</f>
        <v/>
      </c>
      <c r="CG244" s="6" t="n">
        <v>2010</v>
      </c>
      <c r="CH244" s="6" t="inlineStr">
        <is>
          <t>Tra_EV_Batt-NMC532_virgin</t>
        </is>
      </c>
      <c r="CI244" s="6" t="n">
        <v>0.001</v>
      </c>
      <c r="CJ244" s="6" t="n">
        <v>0.001</v>
      </c>
      <c r="CK244" s="6" t="inlineStr">
        <is>
          <t>Transport_EV_global</t>
        </is>
      </c>
      <c r="CL244" s="6" t="inlineStr">
        <is>
          <t>Transport_EV_China</t>
        </is>
      </c>
      <c r="CM244" s="6" t="inlineStr">
        <is>
          <t>China transport EV curve is shifted earlier than the global curve to reflect earlier China EV/e-bus deployment in the 2010s.</t>
        </is>
      </c>
    </row>
    <row r="245" ht="14.5" customHeight="1" s="213">
      <c r="D245">
        <f>D244</f>
        <v/>
      </c>
      <c r="E245" t="inlineStr">
        <is>
          <t>Tra_EV_Batt-NCA_virgin</t>
        </is>
      </c>
      <c r="F245" s="208">
        <f>AW245*$AS245</f>
        <v/>
      </c>
      <c r="G245" s="208">
        <f>AX245*$AS245</f>
        <v/>
      </c>
      <c r="H245" s="208">
        <f>AY245*$AS245</f>
        <v/>
      </c>
      <c r="I245" s="208">
        <f>AZ245*$AS245</f>
        <v/>
      </c>
      <c r="J245" s="208">
        <f>BA245*$AS245</f>
        <v/>
      </c>
      <c r="K245" s="208">
        <f>BB245*$AS245</f>
        <v/>
      </c>
      <c r="L245" s="208">
        <f>BC245*$AS245</f>
        <v/>
      </c>
      <c r="M245" s="208">
        <f>BD245*$CI245</f>
        <v/>
      </c>
      <c r="N245" s="208">
        <f>BE245*$AS245</f>
        <v/>
      </c>
      <c r="O245" s="208">
        <f>BF245*$AS245</f>
        <v/>
      </c>
      <c r="P245" s="208">
        <f>BG245*$AS245</f>
        <v/>
      </c>
      <c r="Q245" s="208">
        <f>BH245*$AS245</f>
        <v/>
      </c>
      <c r="R245" s="208">
        <f>BI245*$AS245</f>
        <v/>
      </c>
      <c r="S245" s="208">
        <f>BJ245*$AS245</f>
        <v/>
      </c>
      <c r="T245" s="208">
        <f>BK245*$AS245</f>
        <v/>
      </c>
      <c r="U245" s="208">
        <f>BL245*$AS245</f>
        <v/>
      </c>
      <c r="V245" s="208">
        <f>BM245*$AS245</f>
        <v/>
      </c>
      <c r="W245" s="208">
        <f>BN245*$AS245</f>
        <v/>
      </c>
      <c r="X245" s="208">
        <f>BO245*$AS245</f>
        <v/>
      </c>
      <c r="Y245" s="208">
        <f>BP245*$AS245</f>
        <v/>
      </c>
      <c r="Z245" s="208">
        <f>BQ245*$AS245</f>
        <v/>
      </c>
      <c r="AA245" s="208">
        <f>BR245*$AS245</f>
        <v/>
      </c>
      <c r="AB245" s="208">
        <f>BS245*$AS245</f>
        <v/>
      </c>
      <c r="AC245" s="208">
        <f>BT245*$AS245</f>
        <v/>
      </c>
      <c r="AD245" s="208">
        <f>BU245*$AS245</f>
        <v/>
      </c>
      <c r="AE245" s="208">
        <f>BV245*$AS245</f>
        <v/>
      </c>
      <c r="AF245" s="208">
        <f>BW245*$AS245</f>
        <v/>
      </c>
      <c r="AG245" s="208">
        <f>BX245*$AS245</f>
        <v/>
      </c>
      <c r="AH245" s="208">
        <f>BY245*$AS245</f>
        <v/>
      </c>
      <c r="AI245" s="208">
        <f>BZ245*$AS245</f>
        <v/>
      </c>
      <c r="AJ245" s="208">
        <f>CA245*$AS245</f>
        <v/>
      </c>
      <c r="AK245" s="208">
        <f>CB245*$AS245</f>
        <v/>
      </c>
      <c r="AL245" s="208">
        <f>CC245*$AS245</f>
        <v/>
      </c>
      <c r="AM245" s="208">
        <f>CD245*$AS245</f>
        <v/>
      </c>
      <c r="AN245" s="208">
        <f>CE245*$AS245</f>
        <v/>
      </c>
      <c r="AQ245" s="6" t="n">
        <v>2010</v>
      </c>
      <c r="AR245" s="6" t="inlineStr">
        <is>
          <t>Tra_EV_Batt-NCA_virgin</t>
        </is>
      </c>
      <c r="AS245" s="6" t="n">
        <v>0.001</v>
      </c>
      <c r="AT245" s="6" t="inlineStr">
        <is>
          <t>Transport_EV_general</t>
        </is>
      </c>
      <c r="AU245" s="6" t="inlineStr">
        <is>
          <t>Back-loaded transport EV battery vintage curve based on historical EV deployment shape.</t>
        </is>
      </c>
      <c r="AV245">
        <f>AV224</f>
        <v/>
      </c>
      <c r="AW245">
        <f>AW224</f>
        <v/>
      </c>
      <c r="AX245">
        <f>AX224</f>
        <v/>
      </c>
      <c r="AY245">
        <f>AY224</f>
        <v/>
      </c>
      <c r="AZ245">
        <f>AZ224</f>
        <v/>
      </c>
      <c r="BA245">
        <f>BA224</f>
        <v/>
      </c>
      <c r="BB245">
        <f>BB224</f>
        <v/>
      </c>
      <c r="BC245">
        <f>BC224</f>
        <v/>
      </c>
      <c r="BD245">
        <f>BD224</f>
        <v/>
      </c>
      <c r="BE245">
        <f>BE224</f>
        <v/>
      </c>
      <c r="BF245">
        <f>BF224</f>
        <v/>
      </c>
      <c r="BG245">
        <f>BG224</f>
        <v/>
      </c>
      <c r="BH245">
        <f>BH224</f>
        <v/>
      </c>
      <c r="BI245">
        <f>BI224</f>
        <v/>
      </c>
      <c r="BJ245">
        <f>BJ224</f>
        <v/>
      </c>
      <c r="BK245">
        <f>BK224</f>
        <v/>
      </c>
      <c r="BL245">
        <f>BL224</f>
        <v/>
      </c>
      <c r="BM245">
        <f>BM224</f>
        <v/>
      </c>
      <c r="BN245">
        <f>BN224</f>
        <v/>
      </c>
      <c r="BO245">
        <f>BO224</f>
        <v/>
      </c>
      <c r="BP245">
        <f>BP224</f>
        <v/>
      </c>
      <c r="BQ245">
        <f>BQ224</f>
        <v/>
      </c>
      <c r="BR245">
        <f>BR224</f>
        <v/>
      </c>
      <c r="BS245">
        <f>BS224</f>
        <v/>
      </c>
      <c r="BT245">
        <f>BT224</f>
        <v/>
      </c>
      <c r="BU245">
        <f>BU224</f>
        <v/>
      </c>
      <c r="BV245">
        <f>BV224</f>
        <v/>
      </c>
      <c r="BW245">
        <f>BW224</f>
        <v/>
      </c>
      <c r="BX245">
        <f>BX224</f>
        <v/>
      </c>
      <c r="BY245">
        <f>BY224</f>
        <v/>
      </c>
      <c r="BZ245">
        <f>BZ224</f>
        <v/>
      </c>
      <c r="CA245">
        <f>CA224</f>
        <v/>
      </c>
      <c r="CB245">
        <f>CB224</f>
        <v/>
      </c>
      <c r="CC245">
        <f>CC224</f>
        <v/>
      </c>
      <c r="CD245">
        <f>CD224</f>
        <v/>
      </c>
      <c r="CE245">
        <f>CE224</f>
        <v/>
      </c>
      <c r="CG245" s="6" t="n">
        <v>2010</v>
      </c>
      <c r="CH245" s="6" t="inlineStr">
        <is>
          <t>Tra_EV_Batt-NCA_virgin</t>
        </is>
      </c>
      <c r="CI245" s="6" t="n">
        <v>0.001</v>
      </c>
      <c r="CJ245" s="6" t="n">
        <v>0.001</v>
      </c>
      <c r="CK245" s="6" t="inlineStr">
        <is>
          <t>Transport_EV_global</t>
        </is>
      </c>
      <c r="CL245" s="6" t="inlineStr">
        <is>
          <t>Transport_EV_China</t>
        </is>
      </c>
      <c r="CM245" s="6" t="inlineStr">
        <is>
          <t>China transport EV curve is shifted earlier than the global curve to reflect earlier China EV/e-bus deployment in the 2010s.</t>
        </is>
      </c>
    </row>
    <row r="246" ht="14.5" customHeight="1" s="213">
      <c r="D246">
        <f>D245</f>
        <v/>
      </c>
      <c r="E246" t="inlineStr">
        <is>
          <t>Tra_EV_Batt-LMO_virgin</t>
        </is>
      </c>
      <c r="F246" s="208">
        <f>AW246*$AS246</f>
        <v/>
      </c>
      <c r="G246" s="208">
        <f>AX246*$AS246</f>
        <v/>
      </c>
      <c r="H246" s="208">
        <f>AY246*$AS246</f>
        <v/>
      </c>
      <c r="I246" s="208">
        <f>AZ246*$AS246</f>
        <v/>
      </c>
      <c r="J246" s="208">
        <f>BA246*$AS246</f>
        <v/>
      </c>
      <c r="K246" s="208">
        <f>BB246*$AS246</f>
        <v/>
      </c>
      <c r="L246" s="208">
        <f>BC246*$AS246</f>
        <v/>
      </c>
      <c r="M246" s="208">
        <f>BD246*$CI246</f>
        <v/>
      </c>
      <c r="N246" s="208">
        <f>BE246*$AS246</f>
        <v/>
      </c>
      <c r="O246" s="208">
        <f>BF246*$AS246</f>
        <v/>
      </c>
      <c r="P246" s="208">
        <f>BG246*$AS246</f>
        <v/>
      </c>
      <c r="Q246" s="208">
        <f>BH246*$AS246</f>
        <v/>
      </c>
      <c r="R246" s="208">
        <f>BI246*$AS246</f>
        <v/>
      </c>
      <c r="S246" s="208">
        <f>BJ246*$AS246</f>
        <v/>
      </c>
      <c r="T246" s="208">
        <f>BK246*$AS246</f>
        <v/>
      </c>
      <c r="U246" s="208">
        <f>BL246*$AS246</f>
        <v/>
      </c>
      <c r="V246" s="208">
        <f>BM246*$AS246</f>
        <v/>
      </c>
      <c r="W246" s="208">
        <f>BN246*$AS246</f>
        <v/>
      </c>
      <c r="X246" s="208">
        <f>BO246*$AS246</f>
        <v/>
      </c>
      <c r="Y246" s="208">
        <f>BP246*$AS246</f>
        <v/>
      </c>
      <c r="Z246" s="208">
        <f>BQ246*$AS246</f>
        <v/>
      </c>
      <c r="AA246" s="208">
        <f>BR246*$AS246</f>
        <v/>
      </c>
      <c r="AB246" s="208">
        <f>BS246*$AS246</f>
        <v/>
      </c>
      <c r="AC246" s="208">
        <f>BT246*$AS246</f>
        <v/>
      </c>
      <c r="AD246" s="208">
        <f>BU246*$AS246</f>
        <v/>
      </c>
      <c r="AE246" s="208">
        <f>BV246*$AS246</f>
        <v/>
      </c>
      <c r="AF246" s="208">
        <f>BW246*$AS246</f>
        <v/>
      </c>
      <c r="AG246" s="208">
        <f>BX246*$AS246</f>
        <v/>
      </c>
      <c r="AH246" s="208">
        <f>BY246*$AS246</f>
        <v/>
      </c>
      <c r="AI246" s="208">
        <f>BZ246*$AS246</f>
        <v/>
      </c>
      <c r="AJ246" s="208">
        <f>CA246*$AS246</f>
        <v/>
      </c>
      <c r="AK246" s="208">
        <f>CB246*$AS246</f>
        <v/>
      </c>
      <c r="AL246" s="208">
        <f>CC246*$AS246</f>
        <v/>
      </c>
      <c r="AM246" s="208">
        <f>CD246*$AS246</f>
        <v/>
      </c>
      <c r="AN246" s="208">
        <f>CE246*$AS246</f>
        <v/>
      </c>
      <c r="AQ246" s="6" t="n">
        <v>2010</v>
      </c>
      <c r="AR246" s="6" t="inlineStr">
        <is>
          <t>Tra_EV_Batt-LMO_virgin</t>
        </is>
      </c>
      <c r="AS246" s="6" t="n">
        <v>0.001</v>
      </c>
      <c r="AT246" s="6" t="inlineStr">
        <is>
          <t>Transport_EV_general</t>
        </is>
      </c>
      <c r="AU246" s="6" t="inlineStr">
        <is>
          <t>Back-loaded transport EV battery vintage curve based on historical EV deployment shape.</t>
        </is>
      </c>
      <c r="AV246">
        <f>AV225</f>
        <v/>
      </c>
      <c r="AW246">
        <f>AW225</f>
        <v/>
      </c>
      <c r="AX246">
        <f>AX225</f>
        <v/>
      </c>
      <c r="AY246">
        <f>AY225</f>
        <v/>
      </c>
      <c r="AZ246">
        <f>AZ225</f>
        <v/>
      </c>
      <c r="BA246">
        <f>BA225</f>
        <v/>
      </c>
      <c r="BB246">
        <f>BB225</f>
        <v/>
      </c>
      <c r="BC246">
        <f>BC225</f>
        <v/>
      </c>
      <c r="BD246">
        <f>BD225</f>
        <v/>
      </c>
      <c r="BE246">
        <f>BE225</f>
        <v/>
      </c>
      <c r="BF246">
        <f>BF225</f>
        <v/>
      </c>
      <c r="BG246">
        <f>BG225</f>
        <v/>
      </c>
      <c r="BH246">
        <f>BH225</f>
        <v/>
      </c>
      <c r="BI246">
        <f>BI225</f>
        <v/>
      </c>
      <c r="BJ246">
        <f>BJ225</f>
        <v/>
      </c>
      <c r="BK246">
        <f>BK225</f>
        <v/>
      </c>
      <c r="BL246">
        <f>BL225</f>
        <v/>
      </c>
      <c r="BM246">
        <f>BM225</f>
        <v/>
      </c>
      <c r="BN246">
        <f>BN225</f>
        <v/>
      </c>
      <c r="BO246">
        <f>BO225</f>
        <v/>
      </c>
      <c r="BP246">
        <f>BP225</f>
        <v/>
      </c>
      <c r="BQ246">
        <f>BQ225</f>
        <v/>
      </c>
      <c r="BR246">
        <f>BR225</f>
        <v/>
      </c>
      <c r="BS246">
        <f>BS225</f>
        <v/>
      </c>
      <c r="BT246">
        <f>BT225</f>
        <v/>
      </c>
      <c r="BU246">
        <f>BU225</f>
        <v/>
      </c>
      <c r="BV246">
        <f>BV225</f>
        <v/>
      </c>
      <c r="BW246">
        <f>BW225</f>
        <v/>
      </c>
      <c r="BX246">
        <f>BX225</f>
        <v/>
      </c>
      <c r="BY246">
        <f>BY225</f>
        <v/>
      </c>
      <c r="BZ246">
        <f>BZ225</f>
        <v/>
      </c>
      <c r="CA246">
        <f>CA225</f>
        <v/>
      </c>
      <c r="CB246">
        <f>CB225</f>
        <v/>
      </c>
      <c r="CC246">
        <f>CC225</f>
        <v/>
      </c>
      <c r="CD246">
        <f>CD225</f>
        <v/>
      </c>
      <c r="CE246">
        <f>CE225</f>
        <v/>
      </c>
      <c r="CG246" s="6" t="n">
        <v>2010</v>
      </c>
      <c r="CH246" s="6" t="inlineStr">
        <is>
          <t>Tra_EV_Batt-LMO_virgin</t>
        </is>
      </c>
      <c r="CI246" s="6" t="n">
        <v>0.001</v>
      </c>
      <c r="CJ246" s="6" t="n">
        <v>0.001</v>
      </c>
      <c r="CK246" s="6" t="inlineStr">
        <is>
          <t>Transport_EV_global</t>
        </is>
      </c>
      <c r="CL246" s="6" t="inlineStr">
        <is>
          <t>Transport_EV_China</t>
        </is>
      </c>
      <c r="CM246" s="6" t="inlineStr">
        <is>
          <t>China transport EV curve is shifted earlier than the global curve to reflect earlier China EV/e-bus deployment in the 2010s.</t>
        </is>
      </c>
    </row>
    <row r="247" ht="14.5" customHeight="1" s="213">
      <c r="D247">
        <f>D246</f>
        <v/>
      </c>
      <c r="E247" t="inlineStr">
        <is>
          <t>Tra_EV_Batt-NMC111_virgin</t>
        </is>
      </c>
      <c r="F247" s="208">
        <f>AW247*$AS247</f>
        <v/>
      </c>
      <c r="G247" s="208">
        <f>AX247*$AS247</f>
        <v/>
      </c>
      <c r="H247" s="208">
        <f>AY247*$AS247</f>
        <v/>
      </c>
      <c r="I247" s="208">
        <f>AZ247*$AS247</f>
        <v/>
      </c>
      <c r="J247" s="208">
        <f>BA247*$AS247</f>
        <v/>
      </c>
      <c r="K247" s="208">
        <f>BB247*$AS247</f>
        <v/>
      </c>
      <c r="L247" s="208">
        <f>BC247*$AS247</f>
        <v/>
      </c>
      <c r="M247" s="208">
        <f>BD247*$CI247</f>
        <v/>
      </c>
      <c r="N247" s="208">
        <f>BE247*$AS247</f>
        <v/>
      </c>
      <c r="O247" s="208">
        <f>BF247*$AS247</f>
        <v/>
      </c>
      <c r="P247" s="208">
        <f>BG247*$AS247</f>
        <v/>
      </c>
      <c r="Q247" s="208">
        <f>BH247*$AS247</f>
        <v/>
      </c>
      <c r="R247" s="208">
        <f>BI247*$AS247</f>
        <v/>
      </c>
      <c r="S247" s="208">
        <f>BJ247*$AS247</f>
        <v/>
      </c>
      <c r="T247" s="208">
        <f>BK247*$AS247</f>
        <v/>
      </c>
      <c r="U247" s="208">
        <f>BL247*$AS247</f>
        <v/>
      </c>
      <c r="V247" s="208">
        <f>BM247*$AS247</f>
        <v/>
      </c>
      <c r="W247" s="208">
        <f>BN247*$AS247</f>
        <v/>
      </c>
      <c r="X247" s="208">
        <f>BO247*$AS247</f>
        <v/>
      </c>
      <c r="Y247" s="208">
        <f>BP247*$AS247</f>
        <v/>
      </c>
      <c r="Z247" s="208">
        <f>BQ247*$AS247</f>
        <v/>
      </c>
      <c r="AA247" s="208">
        <f>BR247*$AS247</f>
        <v/>
      </c>
      <c r="AB247" s="208">
        <f>BS247*$AS247</f>
        <v/>
      </c>
      <c r="AC247" s="208">
        <f>BT247*$AS247</f>
        <v/>
      </c>
      <c r="AD247" s="208">
        <f>BU247*$AS247</f>
        <v/>
      </c>
      <c r="AE247" s="208">
        <f>BV247*$AS247</f>
        <v/>
      </c>
      <c r="AF247" s="208">
        <f>BW247*$AS247</f>
        <v/>
      </c>
      <c r="AG247" s="208">
        <f>BX247*$AS247</f>
        <v/>
      </c>
      <c r="AH247" s="208">
        <f>BY247*$AS247</f>
        <v/>
      </c>
      <c r="AI247" s="208">
        <f>BZ247*$AS247</f>
        <v/>
      </c>
      <c r="AJ247" s="208">
        <f>CA247*$AS247</f>
        <v/>
      </c>
      <c r="AK247" s="208">
        <f>CB247*$AS247</f>
        <v/>
      </c>
      <c r="AL247" s="208">
        <f>CC247*$AS247</f>
        <v/>
      </c>
      <c r="AM247" s="208">
        <f>CD247*$AS247</f>
        <v/>
      </c>
      <c r="AN247" s="208">
        <f>CE247*$AS247</f>
        <v/>
      </c>
      <c r="AQ247" s="6" t="n">
        <v>2010</v>
      </c>
      <c r="AR247" s="6" t="inlineStr">
        <is>
          <t>Tra_EV_Batt-NMC111_virgin</t>
        </is>
      </c>
      <c r="AS247" s="6" t="n">
        <v>0.001</v>
      </c>
      <c r="AT247" s="6" t="inlineStr">
        <is>
          <t>Transport_EV_general</t>
        </is>
      </c>
      <c r="AU247" s="6" t="inlineStr">
        <is>
          <t>Back-loaded transport EV battery vintage curve based on historical EV deployment shape.</t>
        </is>
      </c>
      <c r="AV247">
        <f>AV226</f>
        <v/>
      </c>
      <c r="AW247">
        <f>AW226</f>
        <v/>
      </c>
      <c r="AX247">
        <f>AX226</f>
        <v/>
      </c>
      <c r="AY247">
        <f>AY226</f>
        <v/>
      </c>
      <c r="AZ247">
        <f>AZ226</f>
        <v/>
      </c>
      <c r="BA247">
        <f>BA226</f>
        <v/>
      </c>
      <c r="BB247">
        <f>BB226</f>
        <v/>
      </c>
      <c r="BC247">
        <f>BC226</f>
        <v/>
      </c>
      <c r="BD247">
        <f>BD226</f>
        <v/>
      </c>
      <c r="BE247">
        <f>BE226</f>
        <v/>
      </c>
      <c r="BF247">
        <f>BF226</f>
        <v/>
      </c>
      <c r="BG247">
        <f>BG226</f>
        <v/>
      </c>
      <c r="BH247">
        <f>BH226</f>
        <v/>
      </c>
      <c r="BI247">
        <f>BI226</f>
        <v/>
      </c>
      <c r="BJ247">
        <f>BJ226</f>
        <v/>
      </c>
      <c r="BK247">
        <f>BK226</f>
        <v/>
      </c>
      <c r="BL247">
        <f>BL226</f>
        <v/>
      </c>
      <c r="BM247">
        <f>BM226</f>
        <v/>
      </c>
      <c r="BN247">
        <f>BN226</f>
        <v/>
      </c>
      <c r="BO247">
        <f>BO226</f>
        <v/>
      </c>
      <c r="BP247">
        <f>BP226</f>
        <v/>
      </c>
      <c r="BQ247">
        <f>BQ226</f>
        <v/>
      </c>
      <c r="BR247">
        <f>BR226</f>
        <v/>
      </c>
      <c r="BS247">
        <f>BS226</f>
        <v/>
      </c>
      <c r="BT247">
        <f>BT226</f>
        <v/>
      </c>
      <c r="BU247">
        <f>BU226</f>
        <v/>
      </c>
      <c r="BV247">
        <f>BV226</f>
        <v/>
      </c>
      <c r="BW247">
        <f>BW226</f>
        <v/>
      </c>
      <c r="BX247">
        <f>BX226</f>
        <v/>
      </c>
      <c r="BY247">
        <f>BY226</f>
        <v/>
      </c>
      <c r="BZ247">
        <f>BZ226</f>
        <v/>
      </c>
      <c r="CA247">
        <f>CA226</f>
        <v/>
      </c>
      <c r="CB247">
        <f>CB226</f>
        <v/>
      </c>
      <c r="CC247">
        <f>CC226</f>
        <v/>
      </c>
      <c r="CD247">
        <f>CD226</f>
        <v/>
      </c>
      <c r="CE247">
        <f>CE226</f>
        <v/>
      </c>
      <c r="CG247" s="6" t="n">
        <v>2010</v>
      </c>
      <c r="CH247" s="6" t="inlineStr">
        <is>
          <t>Tra_EV_Batt-NMC111_virgin</t>
        </is>
      </c>
      <c r="CI247" s="6" t="n">
        <v>0.001</v>
      </c>
      <c r="CJ247" s="6" t="n">
        <v>0.001</v>
      </c>
      <c r="CK247" s="6" t="inlineStr">
        <is>
          <t>Transport_EV_global</t>
        </is>
      </c>
      <c r="CL247" s="6" t="inlineStr">
        <is>
          <t>Transport_EV_China</t>
        </is>
      </c>
      <c r="CM247" s="6" t="inlineStr">
        <is>
          <t>China transport EV curve is shifted earlier than the global curve to reflect earlier China EV/e-bus deployment in the 2010s.</t>
        </is>
      </c>
    </row>
    <row r="248" ht="14.5" customHeight="1" s="213">
      <c r="D248">
        <f>D247</f>
        <v/>
      </c>
      <c r="E248" t="inlineStr">
        <is>
          <t>Tra_EV_Batt-LFP_virgin_pack</t>
        </is>
      </c>
      <c r="F248" s="208">
        <f>AW248*$AS248</f>
        <v/>
      </c>
      <c r="G248" s="208">
        <f>AX248*$AS248</f>
        <v/>
      </c>
      <c r="H248" s="208">
        <f>AY248*$AS248</f>
        <v/>
      </c>
      <c r="I248" s="208">
        <f>AZ248*$AS248</f>
        <v/>
      </c>
      <c r="J248" s="208">
        <f>BA248*$AS248</f>
        <v/>
      </c>
      <c r="K248" s="208">
        <f>BB248*$AS248</f>
        <v/>
      </c>
      <c r="L248" s="208">
        <f>BC248*$AS248</f>
        <v/>
      </c>
      <c r="M248" s="208">
        <f>BD248*$CI248</f>
        <v/>
      </c>
      <c r="N248" s="208">
        <f>BE248*$AS248</f>
        <v/>
      </c>
      <c r="O248" s="208">
        <f>BF248*$AS248</f>
        <v/>
      </c>
      <c r="P248" s="208">
        <f>BG248*$AS248</f>
        <v/>
      </c>
      <c r="Q248" s="208">
        <f>BH248*$AS248</f>
        <v/>
      </c>
      <c r="R248" s="208">
        <f>BI248*$AS248</f>
        <v/>
      </c>
      <c r="S248" s="208">
        <f>BJ248*$AS248</f>
        <v/>
      </c>
      <c r="T248" s="208">
        <f>BK248*$AS248</f>
        <v/>
      </c>
      <c r="U248" s="208">
        <f>BL248*$AS248</f>
        <v/>
      </c>
      <c r="V248" s="208">
        <f>BM248*$AS248</f>
        <v/>
      </c>
      <c r="W248" s="208">
        <f>BN248*$AS248</f>
        <v/>
      </c>
      <c r="X248" s="208">
        <f>BO248*$AS248</f>
        <v/>
      </c>
      <c r="Y248" s="208">
        <f>BP248*$AS248</f>
        <v/>
      </c>
      <c r="Z248" s="208">
        <f>BQ248*$AS248</f>
        <v/>
      </c>
      <c r="AA248" s="208">
        <f>BR248*$AS248</f>
        <v/>
      </c>
      <c r="AB248" s="208">
        <f>BS248*$AS248</f>
        <v/>
      </c>
      <c r="AC248" s="208">
        <f>BT248*$AS248</f>
        <v/>
      </c>
      <c r="AD248" s="208">
        <f>BU248*$AS248</f>
        <v/>
      </c>
      <c r="AE248" s="208">
        <f>BV248*$AS248</f>
        <v/>
      </c>
      <c r="AF248" s="208">
        <f>BW248*$AS248</f>
        <v/>
      </c>
      <c r="AG248" s="208">
        <f>BX248*$AS248</f>
        <v/>
      </c>
      <c r="AH248" s="208">
        <f>BY248*$AS248</f>
        <v/>
      </c>
      <c r="AI248" s="208">
        <f>BZ248*$AS248</f>
        <v/>
      </c>
      <c r="AJ248" s="208">
        <f>CA248*$AS248</f>
        <v/>
      </c>
      <c r="AK248" s="208">
        <f>CB248*$AS248</f>
        <v/>
      </c>
      <c r="AL248" s="208">
        <f>CC248*$AS248</f>
        <v/>
      </c>
      <c r="AM248" s="208">
        <f>CD248*$AS248</f>
        <v/>
      </c>
      <c r="AN248" s="208">
        <f>CE248*$AS248</f>
        <v/>
      </c>
      <c r="AQ248" s="6" t="n">
        <v>2010</v>
      </c>
      <c r="AR248" s="6" t="inlineStr">
        <is>
          <t>Tra_EV_Batt-LFP_virgin_pack</t>
        </is>
      </c>
      <c r="AS248" s="6" t="n">
        <v>0.001</v>
      </c>
      <c r="AT248" s="6" t="inlineStr">
        <is>
          <t>Transport_EV_general</t>
        </is>
      </c>
      <c r="AU248" s="6" t="inlineStr">
        <is>
          <t>Back-loaded transport EV battery vintage curve based on historical EV deployment shape.</t>
        </is>
      </c>
      <c r="AV248">
        <f>AV227</f>
        <v/>
      </c>
      <c r="AW248">
        <f>AW227</f>
        <v/>
      </c>
      <c r="AX248">
        <f>AX227</f>
        <v/>
      </c>
      <c r="AY248">
        <f>AY227</f>
        <v/>
      </c>
      <c r="AZ248">
        <f>AZ227</f>
        <v/>
      </c>
      <c r="BA248">
        <f>BA227</f>
        <v/>
      </c>
      <c r="BB248">
        <f>BB227</f>
        <v/>
      </c>
      <c r="BC248">
        <f>BC227</f>
        <v/>
      </c>
      <c r="BD248">
        <f>BD227</f>
        <v/>
      </c>
      <c r="BE248">
        <f>BE227</f>
        <v/>
      </c>
      <c r="BF248">
        <f>BF227</f>
        <v/>
      </c>
      <c r="BG248">
        <f>BG227</f>
        <v/>
      </c>
      <c r="BH248">
        <f>BH227</f>
        <v/>
      </c>
      <c r="BI248">
        <f>BI227</f>
        <v/>
      </c>
      <c r="BJ248">
        <f>BJ227</f>
        <v/>
      </c>
      <c r="BK248">
        <f>BK227</f>
        <v/>
      </c>
      <c r="BL248">
        <f>BL227</f>
        <v/>
      </c>
      <c r="BM248">
        <f>BM227</f>
        <v/>
      </c>
      <c r="BN248">
        <f>BN227</f>
        <v/>
      </c>
      <c r="BO248">
        <f>BO227</f>
        <v/>
      </c>
      <c r="BP248">
        <f>BP227</f>
        <v/>
      </c>
      <c r="BQ248">
        <f>BQ227</f>
        <v/>
      </c>
      <c r="BR248">
        <f>BR227</f>
        <v/>
      </c>
      <c r="BS248">
        <f>BS227</f>
        <v/>
      </c>
      <c r="BT248">
        <f>BT227</f>
        <v/>
      </c>
      <c r="BU248">
        <f>BU227</f>
        <v/>
      </c>
      <c r="BV248">
        <f>BV227</f>
        <v/>
      </c>
      <c r="BW248">
        <f>BW227</f>
        <v/>
      </c>
      <c r="BX248">
        <f>BX227</f>
        <v/>
      </c>
      <c r="BY248">
        <f>BY227</f>
        <v/>
      </c>
      <c r="BZ248">
        <f>BZ227</f>
        <v/>
      </c>
      <c r="CA248">
        <f>CA227</f>
        <v/>
      </c>
      <c r="CB248">
        <f>CB227</f>
        <v/>
      </c>
      <c r="CC248">
        <f>CC227</f>
        <v/>
      </c>
      <c r="CD248">
        <f>CD227</f>
        <v/>
      </c>
      <c r="CE248">
        <f>CE227</f>
        <v/>
      </c>
      <c r="CG248" s="6" t="n">
        <v>2010</v>
      </c>
      <c r="CH248" s="6" t="inlineStr">
        <is>
          <t>Tra_EV_Batt-LFP_virgin_pack</t>
        </is>
      </c>
      <c r="CI248" s="6" t="n">
        <v>0.001</v>
      </c>
      <c r="CJ248" s="6" t="n">
        <v>0.001</v>
      </c>
      <c r="CK248" s="6" t="inlineStr">
        <is>
          <t>Transport_EV_global</t>
        </is>
      </c>
      <c r="CL248" s="6" t="inlineStr">
        <is>
          <t>Transport_EV_China</t>
        </is>
      </c>
      <c r="CM248" s="6" t="inlineStr">
        <is>
          <t>China transport EV curve is shifted earlier than the global curve to reflect earlier China EV/e-bus deployment in the 2010s.</t>
        </is>
      </c>
    </row>
    <row r="249" ht="14.5" customHeight="1" s="213">
      <c r="D249">
        <f>D248</f>
        <v/>
      </c>
      <c r="E249" t="inlineStr">
        <is>
          <t>Tra_EV_Batt-NMC622_virgin_pack</t>
        </is>
      </c>
      <c r="F249" s="208">
        <f>AW249*$AS249</f>
        <v/>
      </c>
      <c r="G249" s="208">
        <f>AX249*$AS249</f>
        <v/>
      </c>
      <c r="H249" s="208">
        <f>AY249*$AS249</f>
        <v/>
      </c>
      <c r="I249" s="208">
        <f>AZ249*$AS249</f>
        <v/>
      </c>
      <c r="J249" s="208">
        <f>BA249*$AS249</f>
        <v/>
      </c>
      <c r="K249" s="208">
        <f>BB249*$AS249</f>
        <v/>
      </c>
      <c r="L249" s="208">
        <f>BC249*$AS249</f>
        <v/>
      </c>
      <c r="M249" s="208">
        <f>BD249*$CI249</f>
        <v/>
      </c>
      <c r="N249" s="208">
        <f>BE249*$AS249</f>
        <v/>
      </c>
      <c r="O249" s="208">
        <f>BF249*$AS249</f>
        <v/>
      </c>
      <c r="P249" s="208">
        <f>BG249*$AS249</f>
        <v/>
      </c>
      <c r="Q249" s="208">
        <f>BH249*$AS249</f>
        <v/>
      </c>
      <c r="R249" s="208">
        <f>BI249*$AS249</f>
        <v/>
      </c>
      <c r="S249" s="208">
        <f>BJ249*$AS249</f>
        <v/>
      </c>
      <c r="T249" s="208">
        <f>BK249*$AS249</f>
        <v/>
      </c>
      <c r="U249" s="208">
        <f>BL249*$AS249</f>
        <v/>
      </c>
      <c r="V249" s="208">
        <f>BM249*$AS249</f>
        <v/>
      </c>
      <c r="W249" s="208">
        <f>BN249*$AS249</f>
        <v/>
      </c>
      <c r="X249" s="208">
        <f>BO249*$AS249</f>
        <v/>
      </c>
      <c r="Y249" s="208">
        <f>BP249*$AS249</f>
        <v/>
      </c>
      <c r="Z249" s="208">
        <f>BQ249*$AS249</f>
        <v/>
      </c>
      <c r="AA249" s="208">
        <f>BR249*$AS249</f>
        <v/>
      </c>
      <c r="AB249" s="208">
        <f>BS249*$AS249</f>
        <v/>
      </c>
      <c r="AC249" s="208">
        <f>BT249*$AS249</f>
        <v/>
      </c>
      <c r="AD249" s="208">
        <f>BU249*$AS249</f>
        <v/>
      </c>
      <c r="AE249" s="208">
        <f>BV249*$AS249</f>
        <v/>
      </c>
      <c r="AF249" s="208">
        <f>BW249*$AS249</f>
        <v/>
      </c>
      <c r="AG249" s="208">
        <f>BX249*$AS249</f>
        <v/>
      </c>
      <c r="AH249" s="208">
        <f>BY249*$AS249</f>
        <v/>
      </c>
      <c r="AI249" s="208">
        <f>BZ249*$AS249</f>
        <v/>
      </c>
      <c r="AJ249" s="208">
        <f>CA249*$AS249</f>
        <v/>
      </c>
      <c r="AK249" s="208">
        <f>CB249*$AS249</f>
        <v/>
      </c>
      <c r="AL249" s="208">
        <f>CC249*$AS249</f>
        <v/>
      </c>
      <c r="AM249" s="208">
        <f>CD249*$AS249</f>
        <v/>
      </c>
      <c r="AN249" s="208">
        <f>CE249*$AS249</f>
        <v/>
      </c>
      <c r="AQ249" s="6" t="n">
        <v>2010</v>
      </c>
      <c r="AR249" s="6" t="inlineStr">
        <is>
          <t>Tra_EV_Batt-NMC622_virgin_pack</t>
        </is>
      </c>
      <c r="AS249" s="6" t="n">
        <v>0.001</v>
      </c>
      <c r="AT249" s="6" t="inlineStr">
        <is>
          <t>Transport_EV_general</t>
        </is>
      </c>
      <c r="AU249" s="6" t="inlineStr">
        <is>
          <t>Back-loaded transport EV battery vintage curve based on historical EV deployment shape.</t>
        </is>
      </c>
      <c r="AV249">
        <f>AV228</f>
        <v/>
      </c>
      <c r="AW249">
        <f>AW228</f>
        <v/>
      </c>
      <c r="AX249">
        <f>AX228</f>
        <v/>
      </c>
      <c r="AY249">
        <f>AY228</f>
        <v/>
      </c>
      <c r="AZ249">
        <f>AZ228</f>
        <v/>
      </c>
      <c r="BA249">
        <f>BA228</f>
        <v/>
      </c>
      <c r="BB249">
        <f>BB228</f>
        <v/>
      </c>
      <c r="BC249">
        <f>BC228</f>
        <v/>
      </c>
      <c r="BD249">
        <f>BD228</f>
        <v/>
      </c>
      <c r="BE249">
        <f>BE228</f>
        <v/>
      </c>
      <c r="BF249">
        <f>BF228</f>
        <v/>
      </c>
      <c r="BG249">
        <f>BG228</f>
        <v/>
      </c>
      <c r="BH249">
        <f>BH228</f>
        <v/>
      </c>
      <c r="BI249">
        <f>BI228</f>
        <v/>
      </c>
      <c r="BJ249">
        <f>BJ228</f>
        <v/>
      </c>
      <c r="BK249">
        <f>BK228</f>
        <v/>
      </c>
      <c r="BL249">
        <f>BL228</f>
        <v/>
      </c>
      <c r="BM249">
        <f>BM228</f>
        <v/>
      </c>
      <c r="BN249">
        <f>BN228</f>
        <v/>
      </c>
      <c r="BO249">
        <f>BO228</f>
        <v/>
      </c>
      <c r="BP249">
        <f>BP228</f>
        <v/>
      </c>
      <c r="BQ249">
        <f>BQ228</f>
        <v/>
      </c>
      <c r="BR249">
        <f>BR228</f>
        <v/>
      </c>
      <c r="BS249">
        <f>BS228</f>
        <v/>
      </c>
      <c r="BT249">
        <f>BT228</f>
        <v/>
      </c>
      <c r="BU249">
        <f>BU228</f>
        <v/>
      </c>
      <c r="BV249">
        <f>BV228</f>
        <v/>
      </c>
      <c r="BW249">
        <f>BW228</f>
        <v/>
      </c>
      <c r="BX249">
        <f>BX228</f>
        <v/>
      </c>
      <c r="BY249">
        <f>BY228</f>
        <v/>
      </c>
      <c r="BZ249">
        <f>BZ228</f>
        <v/>
      </c>
      <c r="CA249">
        <f>CA228</f>
        <v/>
      </c>
      <c r="CB249">
        <f>CB228</f>
        <v/>
      </c>
      <c r="CC249">
        <f>CC228</f>
        <v/>
      </c>
      <c r="CD249">
        <f>CD228</f>
        <v/>
      </c>
      <c r="CE249">
        <f>CE228</f>
        <v/>
      </c>
      <c r="CG249" s="6" t="n">
        <v>2010</v>
      </c>
      <c r="CH249" s="6" t="inlineStr">
        <is>
          <t>Tra_EV_Batt-NMC622_virgin_pack</t>
        </is>
      </c>
      <c r="CI249" s="6" t="n">
        <v>0.001</v>
      </c>
      <c r="CJ249" s="6" t="n">
        <v>0.001</v>
      </c>
      <c r="CK249" s="6" t="inlineStr">
        <is>
          <t>Transport_EV_global</t>
        </is>
      </c>
      <c r="CL249" s="6" t="inlineStr">
        <is>
          <t>Transport_EV_China</t>
        </is>
      </c>
      <c r="CM249" s="6" t="inlineStr">
        <is>
          <t>China transport EV curve is shifted earlier than the global curve to reflect earlier China EV/e-bus deployment in the 2010s.</t>
        </is>
      </c>
    </row>
    <row r="250" ht="14.5" customHeight="1" s="213">
      <c r="D250">
        <f>D249</f>
        <v/>
      </c>
      <c r="E250" t="inlineStr">
        <is>
          <t>Tra_EV_Batt-NMC811_virgin_pack</t>
        </is>
      </c>
      <c r="F250" s="208">
        <f>AW250*$AS250</f>
        <v/>
      </c>
      <c r="G250" s="208">
        <f>AX250*$AS250</f>
        <v/>
      </c>
      <c r="H250" s="208">
        <f>AY250*$AS250</f>
        <v/>
      </c>
      <c r="I250" s="208">
        <f>AZ250*$AS250</f>
        <v/>
      </c>
      <c r="J250" s="208">
        <f>BA250*$AS250</f>
        <v/>
      </c>
      <c r="K250" s="208">
        <f>BB250*$AS250</f>
        <v/>
      </c>
      <c r="L250" s="208">
        <f>BC250*$AS250</f>
        <v/>
      </c>
      <c r="M250" s="208">
        <f>BD250*$CI250</f>
        <v/>
      </c>
      <c r="N250" s="208">
        <f>BE250*$AS250</f>
        <v/>
      </c>
      <c r="O250" s="208">
        <f>BF250*$AS250</f>
        <v/>
      </c>
      <c r="P250" s="208">
        <f>BG250*$AS250</f>
        <v/>
      </c>
      <c r="Q250" s="208">
        <f>BH250*$AS250</f>
        <v/>
      </c>
      <c r="R250" s="208">
        <f>BI250*$AS250</f>
        <v/>
      </c>
      <c r="S250" s="208">
        <f>BJ250*$AS250</f>
        <v/>
      </c>
      <c r="T250" s="208">
        <f>BK250*$AS250</f>
        <v/>
      </c>
      <c r="U250" s="208">
        <f>BL250*$AS250</f>
        <v/>
      </c>
      <c r="V250" s="208">
        <f>BM250*$AS250</f>
        <v/>
      </c>
      <c r="W250" s="208">
        <f>BN250*$AS250</f>
        <v/>
      </c>
      <c r="X250" s="208">
        <f>BO250*$AS250</f>
        <v/>
      </c>
      <c r="Y250" s="208">
        <f>BP250*$AS250</f>
        <v/>
      </c>
      <c r="Z250" s="208">
        <f>BQ250*$AS250</f>
        <v/>
      </c>
      <c r="AA250" s="208">
        <f>BR250*$AS250</f>
        <v/>
      </c>
      <c r="AB250" s="208">
        <f>BS250*$AS250</f>
        <v/>
      </c>
      <c r="AC250" s="208">
        <f>BT250*$AS250</f>
        <v/>
      </c>
      <c r="AD250" s="208">
        <f>BU250*$AS250</f>
        <v/>
      </c>
      <c r="AE250" s="208">
        <f>BV250*$AS250</f>
        <v/>
      </c>
      <c r="AF250" s="208">
        <f>BW250*$AS250</f>
        <v/>
      </c>
      <c r="AG250" s="208">
        <f>BX250*$AS250</f>
        <v/>
      </c>
      <c r="AH250" s="208">
        <f>BY250*$AS250</f>
        <v/>
      </c>
      <c r="AI250" s="208">
        <f>BZ250*$AS250</f>
        <v/>
      </c>
      <c r="AJ250" s="208">
        <f>CA250*$AS250</f>
        <v/>
      </c>
      <c r="AK250" s="208">
        <f>CB250*$AS250</f>
        <v/>
      </c>
      <c r="AL250" s="208">
        <f>CC250*$AS250</f>
        <v/>
      </c>
      <c r="AM250" s="208">
        <f>CD250*$AS250</f>
        <v/>
      </c>
      <c r="AN250" s="208">
        <f>CE250*$AS250</f>
        <v/>
      </c>
      <c r="AQ250" s="6" t="n">
        <v>2010</v>
      </c>
      <c r="AR250" s="6" t="inlineStr">
        <is>
          <t>Tra_EV_Batt-NMC811_virgin_pack</t>
        </is>
      </c>
      <c r="AS250" s="6" t="n">
        <v>0.001</v>
      </c>
      <c r="AT250" s="6" t="inlineStr">
        <is>
          <t>Transport_EV_general</t>
        </is>
      </c>
      <c r="AU250" s="6" t="inlineStr">
        <is>
          <t>Back-loaded transport EV battery vintage curve based on historical EV deployment shape.</t>
        </is>
      </c>
      <c r="AV250">
        <f>AV229</f>
        <v/>
      </c>
      <c r="AW250">
        <f>AW229</f>
        <v/>
      </c>
      <c r="AX250">
        <f>AX229</f>
        <v/>
      </c>
      <c r="AY250">
        <f>AY229</f>
        <v/>
      </c>
      <c r="AZ250">
        <f>AZ229</f>
        <v/>
      </c>
      <c r="BA250">
        <f>BA229</f>
        <v/>
      </c>
      <c r="BB250">
        <f>BB229</f>
        <v/>
      </c>
      <c r="BC250">
        <f>BC229</f>
        <v/>
      </c>
      <c r="BD250">
        <f>BD229</f>
        <v/>
      </c>
      <c r="BE250">
        <f>BE229</f>
        <v/>
      </c>
      <c r="BF250">
        <f>BF229</f>
        <v/>
      </c>
      <c r="BG250">
        <f>BG229</f>
        <v/>
      </c>
      <c r="BH250">
        <f>BH229</f>
        <v/>
      </c>
      <c r="BI250">
        <f>BI229</f>
        <v/>
      </c>
      <c r="BJ250">
        <f>BJ229</f>
        <v/>
      </c>
      <c r="BK250">
        <f>BK229</f>
        <v/>
      </c>
      <c r="BL250">
        <f>BL229</f>
        <v/>
      </c>
      <c r="BM250">
        <f>BM229</f>
        <v/>
      </c>
      <c r="BN250">
        <f>BN229</f>
        <v/>
      </c>
      <c r="BO250">
        <f>BO229</f>
        <v/>
      </c>
      <c r="BP250">
        <f>BP229</f>
        <v/>
      </c>
      <c r="BQ250">
        <f>BQ229</f>
        <v/>
      </c>
      <c r="BR250">
        <f>BR229</f>
        <v/>
      </c>
      <c r="BS250">
        <f>BS229</f>
        <v/>
      </c>
      <c r="BT250">
        <f>BT229</f>
        <v/>
      </c>
      <c r="BU250">
        <f>BU229</f>
        <v/>
      </c>
      <c r="BV250">
        <f>BV229</f>
        <v/>
      </c>
      <c r="BW250">
        <f>BW229</f>
        <v/>
      </c>
      <c r="BX250">
        <f>BX229</f>
        <v/>
      </c>
      <c r="BY250">
        <f>BY229</f>
        <v/>
      </c>
      <c r="BZ250">
        <f>BZ229</f>
        <v/>
      </c>
      <c r="CA250">
        <f>CA229</f>
        <v/>
      </c>
      <c r="CB250">
        <f>CB229</f>
        <v/>
      </c>
      <c r="CC250">
        <f>CC229</f>
        <v/>
      </c>
      <c r="CD250">
        <f>CD229</f>
        <v/>
      </c>
      <c r="CE250">
        <f>CE229</f>
        <v/>
      </c>
      <c r="CG250" s="6" t="n">
        <v>2010</v>
      </c>
      <c r="CH250" s="6" t="inlineStr">
        <is>
          <t>Tra_EV_Batt-NMC811_virgin_pack</t>
        </is>
      </c>
      <c r="CI250" s="6" t="n">
        <v>0.001</v>
      </c>
      <c r="CJ250" s="6" t="n">
        <v>0.001</v>
      </c>
      <c r="CK250" s="6" t="inlineStr">
        <is>
          <t>Transport_EV_global</t>
        </is>
      </c>
      <c r="CL250" s="6" t="inlineStr">
        <is>
          <t>Transport_EV_China</t>
        </is>
      </c>
      <c r="CM250" s="6" t="inlineStr">
        <is>
          <t>China transport EV curve is shifted earlier than the global curve to reflect earlier China EV/e-bus deployment in the 2010s.</t>
        </is>
      </c>
    </row>
    <row r="251" ht="14.5" customHeight="1" s="213">
      <c r="D251">
        <f>D250</f>
        <v/>
      </c>
      <c r="E251" t="inlineStr">
        <is>
          <t>Tra_EV_Batt-NMC532_virgin_pack</t>
        </is>
      </c>
      <c r="F251" s="208">
        <f>AW251*$AS251</f>
        <v/>
      </c>
      <c r="G251" s="208">
        <f>AX251*$AS251</f>
        <v/>
      </c>
      <c r="H251" s="208">
        <f>AY251*$AS251</f>
        <v/>
      </c>
      <c r="I251" s="208">
        <f>AZ251*$AS251</f>
        <v/>
      </c>
      <c r="J251" s="208">
        <f>BA251*$AS251</f>
        <v/>
      </c>
      <c r="K251" s="208">
        <f>BB251*$AS251</f>
        <v/>
      </c>
      <c r="L251" s="208">
        <f>BC251*$AS251</f>
        <v/>
      </c>
      <c r="M251" s="208">
        <f>BD251*$CI251</f>
        <v/>
      </c>
      <c r="N251" s="208">
        <f>BE251*$AS251</f>
        <v/>
      </c>
      <c r="O251" s="208">
        <f>BF251*$AS251</f>
        <v/>
      </c>
      <c r="P251" s="208">
        <f>BG251*$AS251</f>
        <v/>
      </c>
      <c r="Q251" s="208">
        <f>BH251*$AS251</f>
        <v/>
      </c>
      <c r="R251" s="208">
        <f>BI251*$AS251</f>
        <v/>
      </c>
      <c r="S251" s="208">
        <f>BJ251*$AS251</f>
        <v/>
      </c>
      <c r="T251" s="208">
        <f>BK251*$AS251</f>
        <v/>
      </c>
      <c r="U251" s="208">
        <f>BL251*$AS251</f>
        <v/>
      </c>
      <c r="V251" s="208">
        <f>BM251*$AS251</f>
        <v/>
      </c>
      <c r="W251" s="208">
        <f>BN251*$AS251</f>
        <v/>
      </c>
      <c r="X251" s="208">
        <f>BO251*$AS251</f>
        <v/>
      </c>
      <c r="Y251" s="208">
        <f>BP251*$AS251</f>
        <v/>
      </c>
      <c r="Z251" s="208">
        <f>BQ251*$AS251</f>
        <v/>
      </c>
      <c r="AA251" s="208">
        <f>BR251*$AS251</f>
        <v/>
      </c>
      <c r="AB251" s="208">
        <f>BS251*$AS251</f>
        <v/>
      </c>
      <c r="AC251" s="208">
        <f>BT251*$AS251</f>
        <v/>
      </c>
      <c r="AD251" s="208">
        <f>BU251*$AS251</f>
        <v/>
      </c>
      <c r="AE251" s="208">
        <f>BV251*$AS251</f>
        <v/>
      </c>
      <c r="AF251" s="208">
        <f>BW251*$AS251</f>
        <v/>
      </c>
      <c r="AG251" s="208">
        <f>BX251*$AS251</f>
        <v/>
      </c>
      <c r="AH251" s="208">
        <f>BY251*$AS251</f>
        <v/>
      </c>
      <c r="AI251" s="208">
        <f>BZ251*$AS251</f>
        <v/>
      </c>
      <c r="AJ251" s="208">
        <f>CA251*$AS251</f>
        <v/>
      </c>
      <c r="AK251" s="208">
        <f>CB251*$AS251</f>
        <v/>
      </c>
      <c r="AL251" s="208">
        <f>CC251*$AS251</f>
        <v/>
      </c>
      <c r="AM251" s="208">
        <f>CD251*$AS251</f>
        <v/>
      </c>
      <c r="AN251" s="208">
        <f>CE251*$AS251</f>
        <v/>
      </c>
      <c r="AQ251" s="6" t="n">
        <v>2010</v>
      </c>
      <c r="AR251" s="6" t="inlineStr">
        <is>
          <t>Tra_EV_Batt-NMC532_virgin_pack</t>
        </is>
      </c>
      <c r="AS251" s="6" t="n">
        <v>0.001</v>
      </c>
      <c r="AT251" s="6" t="inlineStr">
        <is>
          <t>Transport_EV_general</t>
        </is>
      </c>
      <c r="AU251" s="6" t="inlineStr">
        <is>
          <t>Back-loaded transport EV battery vintage curve based on historical EV deployment shape.</t>
        </is>
      </c>
      <c r="AV251">
        <f>AV230</f>
        <v/>
      </c>
      <c r="AW251">
        <f>AW230</f>
        <v/>
      </c>
      <c r="AX251">
        <f>AX230</f>
        <v/>
      </c>
      <c r="AY251">
        <f>AY230</f>
        <v/>
      </c>
      <c r="AZ251">
        <f>AZ230</f>
        <v/>
      </c>
      <c r="BA251">
        <f>BA230</f>
        <v/>
      </c>
      <c r="BB251">
        <f>BB230</f>
        <v/>
      </c>
      <c r="BC251">
        <f>BC230</f>
        <v/>
      </c>
      <c r="BD251">
        <f>BD230</f>
        <v/>
      </c>
      <c r="BE251">
        <f>BE230</f>
        <v/>
      </c>
      <c r="BF251">
        <f>BF230</f>
        <v/>
      </c>
      <c r="BG251">
        <f>BG230</f>
        <v/>
      </c>
      <c r="BH251">
        <f>BH230</f>
        <v/>
      </c>
      <c r="BI251">
        <f>BI230</f>
        <v/>
      </c>
      <c r="BJ251">
        <f>BJ230</f>
        <v/>
      </c>
      <c r="BK251">
        <f>BK230</f>
        <v/>
      </c>
      <c r="BL251">
        <f>BL230</f>
        <v/>
      </c>
      <c r="BM251">
        <f>BM230</f>
        <v/>
      </c>
      <c r="BN251">
        <f>BN230</f>
        <v/>
      </c>
      <c r="BO251">
        <f>BO230</f>
        <v/>
      </c>
      <c r="BP251">
        <f>BP230</f>
        <v/>
      </c>
      <c r="BQ251">
        <f>BQ230</f>
        <v/>
      </c>
      <c r="BR251">
        <f>BR230</f>
        <v/>
      </c>
      <c r="BS251">
        <f>BS230</f>
        <v/>
      </c>
      <c r="BT251">
        <f>BT230</f>
        <v/>
      </c>
      <c r="BU251">
        <f>BU230</f>
        <v/>
      </c>
      <c r="BV251">
        <f>BV230</f>
        <v/>
      </c>
      <c r="BW251">
        <f>BW230</f>
        <v/>
      </c>
      <c r="BX251">
        <f>BX230</f>
        <v/>
      </c>
      <c r="BY251">
        <f>BY230</f>
        <v/>
      </c>
      <c r="BZ251">
        <f>BZ230</f>
        <v/>
      </c>
      <c r="CA251">
        <f>CA230</f>
        <v/>
      </c>
      <c r="CB251">
        <f>CB230</f>
        <v/>
      </c>
      <c r="CC251">
        <f>CC230</f>
        <v/>
      </c>
      <c r="CD251">
        <f>CD230</f>
        <v/>
      </c>
      <c r="CE251">
        <f>CE230</f>
        <v/>
      </c>
      <c r="CG251" s="6" t="n">
        <v>2010</v>
      </c>
      <c r="CH251" s="6" t="inlineStr">
        <is>
          <t>Tra_EV_Batt-NMC532_virgin_pack</t>
        </is>
      </c>
      <c r="CI251" s="6" t="n">
        <v>0.001</v>
      </c>
      <c r="CJ251" s="6" t="n">
        <v>0.001</v>
      </c>
      <c r="CK251" s="6" t="inlineStr">
        <is>
          <t>Transport_EV_global</t>
        </is>
      </c>
      <c r="CL251" s="6" t="inlineStr">
        <is>
          <t>Transport_EV_China</t>
        </is>
      </c>
      <c r="CM251" s="6" t="inlineStr">
        <is>
          <t>China transport EV curve is shifted earlier than the global curve to reflect earlier China EV/e-bus deployment in the 2010s.</t>
        </is>
      </c>
    </row>
    <row r="252" ht="14.5" customHeight="1" s="213">
      <c r="D252">
        <f>D251</f>
        <v/>
      </c>
      <c r="E252" t="inlineStr">
        <is>
          <t>Tra_EV_Batt-NCA_virgin_pack</t>
        </is>
      </c>
      <c r="F252" s="208">
        <f>AW252*$AS252</f>
        <v/>
      </c>
      <c r="G252" s="208">
        <f>AX252*$AS252</f>
        <v/>
      </c>
      <c r="H252" s="208">
        <f>AY252*$AS252</f>
        <v/>
      </c>
      <c r="I252" s="208">
        <f>AZ252*$AS252</f>
        <v/>
      </c>
      <c r="J252" s="208">
        <f>BA252*$AS252</f>
        <v/>
      </c>
      <c r="K252" s="208">
        <f>BB252*$AS252</f>
        <v/>
      </c>
      <c r="L252" s="208">
        <f>BC252*$AS252</f>
        <v/>
      </c>
      <c r="M252" s="208">
        <f>BD252*$CI252</f>
        <v/>
      </c>
      <c r="N252" s="208">
        <f>BE252*$AS252</f>
        <v/>
      </c>
      <c r="O252" s="208">
        <f>BF252*$AS252</f>
        <v/>
      </c>
      <c r="P252" s="208">
        <f>BG252*$AS252</f>
        <v/>
      </c>
      <c r="Q252" s="208">
        <f>BH252*$AS252</f>
        <v/>
      </c>
      <c r="R252" s="208">
        <f>BI252*$AS252</f>
        <v/>
      </c>
      <c r="S252" s="208">
        <f>BJ252*$AS252</f>
        <v/>
      </c>
      <c r="T252" s="208">
        <f>BK252*$AS252</f>
        <v/>
      </c>
      <c r="U252" s="208">
        <f>BL252*$AS252</f>
        <v/>
      </c>
      <c r="V252" s="208">
        <f>BM252*$AS252</f>
        <v/>
      </c>
      <c r="W252" s="208">
        <f>BN252*$AS252</f>
        <v/>
      </c>
      <c r="X252" s="208">
        <f>BO252*$AS252</f>
        <v/>
      </c>
      <c r="Y252" s="208">
        <f>BP252*$AS252</f>
        <v/>
      </c>
      <c r="Z252" s="208">
        <f>BQ252*$AS252</f>
        <v/>
      </c>
      <c r="AA252" s="208">
        <f>BR252*$AS252</f>
        <v/>
      </c>
      <c r="AB252" s="208">
        <f>BS252*$AS252</f>
        <v/>
      </c>
      <c r="AC252" s="208">
        <f>BT252*$AS252</f>
        <v/>
      </c>
      <c r="AD252" s="208">
        <f>BU252*$AS252</f>
        <v/>
      </c>
      <c r="AE252" s="208">
        <f>BV252*$AS252</f>
        <v/>
      </c>
      <c r="AF252" s="208">
        <f>BW252*$AS252</f>
        <v/>
      </c>
      <c r="AG252" s="208">
        <f>BX252*$AS252</f>
        <v/>
      </c>
      <c r="AH252" s="208">
        <f>BY252*$AS252</f>
        <v/>
      </c>
      <c r="AI252" s="208">
        <f>BZ252*$AS252</f>
        <v/>
      </c>
      <c r="AJ252" s="208">
        <f>CA252*$AS252</f>
        <v/>
      </c>
      <c r="AK252" s="208">
        <f>CB252*$AS252</f>
        <v/>
      </c>
      <c r="AL252" s="208">
        <f>CC252*$AS252</f>
        <v/>
      </c>
      <c r="AM252" s="208">
        <f>CD252*$AS252</f>
        <v/>
      </c>
      <c r="AN252" s="208">
        <f>CE252*$AS252</f>
        <v/>
      </c>
      <c r="AQ252" s="6" t="n">
        <v>2010</v>
      </c>
      <c r="AR252" s="6" t="inlineStr">
        <is>
          <t>Tra_EV_Batt-NCA_virgin_pack</t>
        </is>
      </c>
      <c r="AS252" s="6" t="n">
        <v>0.001</v>
      </c>
      <c r="AT252" s="6" t="inlineStr">
        <is>
          <t>Transport_EV_general</t>
        </is>
      </c>
      <c r="AU252" s="6" t="inlineStr">
        <is>
          <t>Back-loaded transport EV battery vintage curve based on historical EV deployment shape.</t>
        </is>
      </c>
      <c r="AV252">
        <f>AV231</f>
        <v/>
      </c>
      <c r="AW252">
        <f>AW231</f>
        <v/>
      </c>
      <c r="AX252">
        <f>AX231</f>
        <v/>
      </c>
      <c r="AY252">
        <f>AY231</f>
        <v/>
      </c>
      <c r="AZ252">
        <f>AZ231</f>
        <v/>
      </c>
      <c r="BA252">
        <f>BA231</f>
        <v/>
      </c>
      <c r="BB252">
        <f>BB231</f>
        <v/>
      </c>
      <c r="BC252">
        <f>BC231</f>
        <v/>
      </c>
      <c r="BD252">
        <f>BD231</f>
        <v/>
      </c>
      <c r="BE252">
        <f>BE231</f>
        <v/>
      </c>
      <c r="BF252">
        <f>BF231</f>
        <v/>
      </c>
      <c r="BG252">
        <f>BG231</f>
        <v/>
      </c>
      <c r="BH252">
        <f>BH231</f>
        <v/>
      </c>
      <c r="BI252">
        <f>BI231</f>
        <v/>
      </c>
      <c r="BJ252">
        <f>BJ231</f>
        <v/>
      </c>
      <c r="BK252">
        <f>BK231</f>
        <v/>
      </c>
      <c r="BL252">
        <f>BL231</f>
        <v/>
      </c>
      <c r="BM252">
        <f>BM231</f>
        <v/>
      </c>
      <c r="BN252">
        <f>BN231</f>
        <v/>
      </c>
      <c r="BO252">
        <f>BO231</f>
        <v/>
      </c>
      <c r="BP252">
        <f>BP231</f>
        <v/>
      </c>
      <c r="BQ252">
        <f>BQ231</f>
        <v/>
      </c>
      <c r="BR252">
        <f>BR231</f>
        <v/>
      </c>
      <c r="BS252">
        <f>BS231</f>
        <v/>
      </c>
      <c r="BT252">
        <f>BT231</f>
        <v/>
      </c>
      <c r="BU252">
        <f>BU231</f>
        <v/>
      </c>
      <c r="BV252">
        <f>BV231</f>
        <v/>
      </c>
      <c r="BW252">
        <f>BW231</f>
        <v/>
      </c>
      <c r="BX252">
        <f>BX231</f>
        <v/>
      </c>
      <c r="BY252">
        <f>BY231</f>
        <v/>
      </c>
      <c r="BZ252">
        <f>BZ231</f>
        <v/>
      </c>
      <c r="CA252">
        <f>CA231</f>
        <v/>
      </c>
      <c r="CB252">
        <f>CB231</f>
        <v/>
      </c>
      <c r="CC252">
        <f>CC231</f>
        <v/>
      </c>
      <c r="CD252">
        <f>CD231</f>
        <v/>
      </c>
      <c r="CE252">
        <f>CE231</f>
        <v/>
      </c>
      <c r="CG252" s="6" t="n">
        <v>2010</v>
      </c>
      <c r="CH252" s="6" t="inlineStr">
        <is>
          <t>Tra_EV_Batt-NCA_virgin_pack</t>
        </is>
      </c>
      <c r="CI252" s="6" t="n">
        <v>0.001</v>
      </c>
      <c r="CJ252" s="6" t="n">
        <v>0.001</v>
      </c>
      <c r="CK252" s="6" t="inlineStr">
        <is>
          <t>Transport_EV_global</t>
        </is>
      </c>
      <c r="CL252" s="6" t="inlineStr">
        <is>
          <t>Transport_EV_China</t>
        </is>
      </c>
      <c r="CM252" s="6" t="inlineStr">
        <is>
          <t>China transport EV curve is shifted earlier than the global curve to reflect earlier China EV/e-bus deployment in the 2010s.</t>
        </is>
      </c>
    </row>
    <row r="253" ht="14.5" customHeight="1" s="213">
      <c r="D253">
        <f>D252</f>
        <v/>
      </c>
      <c r="E253" t="inlineStr">
        <is>
          <t>Tra_EV_Batt-LMO_virgin_pack</t>
        </is>
      </c>
      <c r="F253" s="208">
        <f>AW253*$AS253</f>
        <v/>
      </c>
      <c r="G253" s="208">
        <f>AX253*$AS253</f>
        <v/>
      </c>
      <c r="H253" s="208">
        <f>AY253*$AS253</f>
        <v/>
      </c>
      <c r="I253" s="208">
        <f>AZ253*$AS253</f>
        <v/>
      </c>
      <c r="J253" s="208">
        <f>BA253*$AS253</f>
        <v/>
      </c>
      <c r="K253" s="208">
        <f>BB253*$AS253</f>
        <v/>
      </c>
      <c r="L253" s="208">
        <f>BC253*$AS253</f>
        <v/>
      </c>
      <c r="M253" s="208">
        <f>BD253*$CI253</f>
        <v/>
      </c>
      <c r="N253" s="208">
        <f>BE253*$AS253</f>
        <v/>
      </c>
      <c r="O253" s="208">
        <f>BF253*$AS253</f>
        <v/>
      </c>
      <c r="P253" s="208">
        <f>BG253*$AS253</f>
        <v/>
      </c>
      <c r="Q253" s="208">
        <f>BH253*$AS253</f>
        <v/>
      </c>
      <c r="R253" s="208">
        <f>BI253*$AS253</f>
        <v/>
      </c>
      <c r="S253" s="208">
        <f>BJ253*$AS253</f>
        <v/>
      </c>
      <c r="T253" s="208">
        <f>BK253*$AS253</f>
        <v/>
      </c>
      <c r="U253" s="208">
        <f>BL253*$AS253</f>
        <v/>
      </c>
      <c r="V253" s="208">
        <f>BM253*$AS253</f>
        <v/>
      </c>
      <c r="W253" s="208">
        <f>BN253*$AS253</f>
        <v/>
      </c>
      <c r="X253" s="208">
        <f>BO253*$AS253</f>
        <v/>
      </c>
      <c r="Y253" s="208">
        <f>BP253*$AS253</f>
        <v/>
      </c>
      <c r="Z253" s="208">
        <f>BQ253*$AS253</f>
        <v/>
      </c>
      <c r="AA253" s="208">
        <f>BR253*$AS253</f>
        <v/>
      </c>
      <c r="AB253" s="208">
        <f>BS253*$AS253</f>
        <v/>
      </c>
      <c r="AC253" s="208">
        <f>BT253*$AS253</f>
        <v/>
      </c>
      <c r="AD253" s="208">
        <f>BU253*$AS253</f>
        <v/>
      </c>
      <c r="AE253" s="208">
        <f>BV253*$AS253</f>
        <v/>
      </c>
      <c r="AF253" s="208">
        <f>BW253*$AS253</f>
        <v/>
      </c>
      <c r="AG253" s="208">
        <f>BX253*$AS253</f>
        <v/>
      </c>
      <c r="AH253" s="208">
        <f>BY253*$AS253</f>
        <v/>
      </c>
      <c r="AI253" s="208">
        <f>BZ253*$AS253</f>
        <v/>
      </c>
      <c r="AJ253" s="208">
        <f>CA253*$AS253</f>
        <v/>
      </c>
      <c r="AK253" s="208">
        <f>CB253*$AS253</f>
        <v/>
      </c>
      <c r="AL253" s="208">
        <f>CC253*$AS253</f>
        <v/>
      </c>
      <c r="AM253" s="208">
        <f>CD253*$AS253</f>
        <v/>
      </c>
      <c r="AN253" s="208">
        <f>CE253*$AS253</f>
        <v/>
      </c>
      <c r="AQ253" s="6" t="n">
        <v>2010</v>
      </c>
      <c r="AR253" s="6" t="inlineStr">
        <is>
          <t>Tra_EV_Batt-LMO_virgin_pack</t>
        </is>
      </c>
      <c r="AS253" s="6" t="n">
        <v>0.001</v>
      </c>
      <c r="AT253" s="6" t="inlineStr">
        <is>
          <t>Transport_EV_general</t>
        </is>
      </c>
      <c r="AU253" s="6" t="inlineStr">
        <is>
          <t>Back-loaded transport EV battery vintage curve based on historical EV deployment shape.</t>
        </is>
      </c>
      <c r="AV253">
        <f>AV232</f>
        <v/>
      </c>
      <c r="AW253">
        <f>AW232</f>
        <v/>
      </c>
      <c r="AX253">
        <f>AX232</f>
        <v/>
      </c>
      <c r="AY253">
        <f>AY232</f>
        <v/>
      </c>
      <c r="AZ253">
        <f>AZ232</f>
        <v/>
      </c>
      <c r="BA253">
        <f>BA232</f>
        <v/>
      </c>
      <c r="BB253">
        <f>BB232</f>
        <v/>
      </c>
      <c r="BC253">
        <f>BC232</f>
        <v/>
      </c>
      <c r="BD253">
        <f>BD232</f>
        <v/>
      </c>
      <c r="BE253">
        <f>BE232</f>
        <v/>
      </c>
      <c r="BF253">
        <f>BF232</f>
        <v/>
      </c>
      <c r="BG253">
        <f>BG232</f>
        <v/>
      </c>
      <c r="BH253">
        <f>BH232</f>
        <v/>
      </c>
      <c r="BI253">
        <f>BI232</f>
        <v/>
      </c>
      <c r="BJ253">
        <f>BJ232</f>
        <v/>
      </c>
      <c r="BK253">
        <f>BK232</f>
        <v/>
      </c>
      <c r="BL253">
        <f>BL232</f>
        <v/>
      </c>
      <c r="BM253">
        <f>BM232</f>
        <v/>
      </c>
      <c r="BN253">
        <f>BN232</f>
        <v/>
      </c>
      <c r="BO253">
        <f>BO232</f>
        <v/>
      </c>
      <c r="BP253">
        <f>BP232</f>
        <v/>
      </c>
      <c r="BQ253">
        <f>BQ232</f>
        <v/>
      </c>
      <c r="BR253">
        <f>BR232</f>
        <v/>
      </c>
      <c r="BS253">
        <f>BS232</f>
        <v/>
      </c>
      <c r="BT253">
        <f>BT232</f>
        <v/>
      </c>
      <c r="BU253">
        <f>BU232</f>
        <v/>
      </c>
      <c r="BV253">
        <f>BV232</f>
        <v/>
      </c>
      <c r="BW253">
        <f>BW232</f>
        <v/>
      </c>
      <c r="BX253">
        <f>BX232</f>
        <v/>
      </c>
      <c r="BY253">
        <f>BY232</f>
        <v/>
      </c>
      <c r="BZ253">
        <f>BZ232</f>
        <v/>
      </c>
      <c r="CA253">
        <f>CA232</f>
        <v/>
      </c>
      <c r="CB253">
        <f>CB232</f>
        <v/>
      </c>
      <c r="CC253">
        <f>CC232</f>
        <v/>
      </c>
      <c r="CD253">
        <f>CD232</f>
        <v/>
      </c>
      <c r="CE253">
        <f>CE232</f>
        <v/>
      </c>
      <c r="CG253" s="6" t="n">
        <v>2010</v>
      </c>
      <c r="CH253" s="6" t="inlineStr">
        <is>
          <t>Tra_EV_Batt-LMO_virgin_pack</t>
        </is>
      </c>
      <c r="CI253" s="6" t="n">
        <v>0.001</v>
      </c>
      <c r="CJ253" s="6" t="n">
        <v>0.001</v>
      </c>
      <c r="CK253" s="6" t="inlineStr">
        <is>
          <t>Transport_EV_global</t>
        </is>
      </c>
      <c r="CL253" s="6" t="inlineStr">
        <is>
          <t>Transport_EV_China</t>
        </is>
      </c>
      <c r="CM253" s="6" t="inlineStr">
        <is>
          <t>China transport EV curve is shifted earlier than the global curve to reflect earlier China EV/e-bus deployment in the 2010s.</t>
        </is>
      </c>
    </row>
    <row r="254" ht="14.5" customHeight="1" s="213">
      <c r="D254">
        <f>D253</f>
        <v/>
      </c>
      <c r="E254" t="inlineStr">
        <is>
          <t>Tra_EV_Batt-NMC111_virgin_pack</t>
        </is>
      </c>
      <c r="F254" s="208">
        <f>AW254*$AS254</f>
        <v/>
      </c>
      <c r="G254" s="208">
        <f>AX254*$AS254</f>
        <v/>
      </c>
      <c r="H254" s="208">
        <f>AY254*$AS254</f>
        <v/>
      </c>
      <c r="I254" s="208">
        <f>AZ254*$AS254</f>
        <v/>
      </c>
      <c r="J254" s="208">
        <f>BA254*$AS254</f>
        <v/>
      </c>
      <c r="K254" s="208">
        <f>BB254*$AS254</f>
        <v/>
      </c>
      <c r="L254" s="208">
        <f>BC254*$AS254</f>
        <v/>
      </c>
      <c r="M254" s="208">
        <f>BD254*$CI254</f>
        <v/>
      </c>
      <c r="N254" s="208">
        <f>BE254*$AS254</f>
        <v/>
      </c>
      <c r="O254" s="208">
        <f>BF254*$AS254</f>
        <v/>
      </c>
      <c r="P254" s="208">
        <f>BG254*$AS254</f>
        <v/>
      </c>
      <c r="Q254" s="208">
        <f>BH254*$AS254</f>
        <v/>
      </c>
      <c r="R254" s="208">
        <f>BI254*$AS254</f>
        <v/>
      </c>
      <c r="S254" s="208">
        <f>BJ254*$AS254</f>
        <v/>
      </c>
      <c r="T254" s="208">
        <f>BK254*$AS254</f>
        <v/>
      </c>
      <c r="U254" s="208">
        <f>BL254*$AS254</f>
        <v/>
      </c>
      <c r="V254" s="208">
        <f>BM254*$AS254</f>
        <v/>
      </c>
      <c r="W254" s="208">
        <f>BN254*$AS254</f>
        <v/>
      </c>
      <c r="X254" s="208">
        <f>BO254*$AS254</f>
        <v/>
      </c>
      <c r="Y254" s="208">
        <f>BP254*$AS254</f>
        <v/>
      </c>
      <c r="Z254" s="208">
        <f>BQ254*$AS254</f>
        <v/>
      </c>
      <c r="AA254" s="208">
        <f>BR254*$AS254</f>
        <v/>
      </c>
      <c r="AB254" s="208">
        <f>BS254*$AS254</f>
        <v/>
      </c>
      <c r="AC254" s="208">
        <f>BT254*$AS254</f>
        <v/>
      </c>
      <c r="AD254" s="208">
        <f>BU254*$AS254</f>
        <v/>
      </c>
      <c r="AE254" s="208">
        <f>BV254*$AS254</f>
        <v/>
      </c>
      <c r="AF254" s="208">
        <f>BW254*$AS254</f>
        <v/>
      </c>
      <c r="AG254" s="208">
        <f>BX254*$AS254</f>
        <v/>
      </c>
      <c r="AH254" s="208">
        <f>BY254*$AS254</f>
        <v/>
      </c>
      <c r="AI254" s="208">
        <f>BZ254*$AS254</f>
        <v/>
      </c>
      <c r="AJ254" s="208">
        <f>CA254*$AS254</f>
        <v/>
      </c>
      <c r="AK254" s="208">
        <f>CB254*$AS254</f>
        <v/>
      </c>
      <c r="AL254" s="208">
        <f>CC254*$AS254</f>
        <v/>
      </c>
      <c r="AM254" s="208">
        <f>CD254*$AS254</f>
        <v/>
      </c>
      <c r="AN254" s="208">
        <f>CE254*$AS254</f>
        <v/>
      </c>
      <c r="AQ254" s="6" t="n">
        <v>2010</v>
      </c>
      <c r="AR254" s="6" t="inlineStr">
        <is>
          <t>Tra_EV_Batt-NMC111_virgin_pack</t>
        </is>
      </c>
      <c r="AS254" s="6" t="n">
        <v>0.001</v>
      </c>
      <c r="AT254" s="6" t="inlineStr">
        <is>
          <t>Transport_EV_general</t>
        </is>
      </c>
      <c r="AU254" s="6" t="inlineStr">
        <is>
          <t>Back-loaded transport EV battery vintage curve based on historical EV deployment shape.</t>
        </is>
      </c>
      <c r="AV254">
        <f>AV233</f>
        <v/>
      </c>
      <c r="AW254">
        <f>AW233</f>
        <v/>
      </c>
      <c r="AX254">
        <f>AX233</f>
        <v/>
      </c>
      <c r="AY254">
        <f>AY233</f>
        <v/>
      </c>
      <c r="AZ254">
        <f>AZ233</f>
        <v/>
      </c>
      <c r="BA254">
        <f>BA233</f>
        <v/>
      </c>
      <c r="BB254">
        <f>BB233</f>
        <v/>
      </c>
      <c r="BC254">
        <f>BC233</f>
        <v/>
      </c>
      <c r="BD254">
        <f>BD233</f>
        <v/>
      </c>
      <c r="BE254">
        <f>BE233</f>
        <v/>
      </c>
      <c r="BF254">
        <f>BF233</f>
        <v/>
      </c>
      <c r="BG254">
        <f>BG233</f>
        <v/>
      </c>
      <c r="BH254">
        <f>BH233</f>
        <v/>
      </c>
      <c r="BI254">
        <f>BI233</f>
        <v/>
      </c>
      <c r="BJ254">
        <f>BJ233</f>
        <v/>
      </c>
      <c r="BK254">
        <f>BK233</f>
        <v/>
      </c>
      <c r="BL254">
        <f>BL233</f>
        <v/>
      </c>
      <c r="BM254">
        <f>BM233</f>
        <v/>
      </c>
      <c r="BN254">
        <f>BN233</f>
        <v/>
      </c>
      <c r="BO254">
        <f>BO233</f>
        <v/>
      </c>
      <c r="BP254">
        <f>BP233</f>
        <v/>
      </c>
      <c r="BQ254">
        <f>BQ233</f>
        <v/>
      </c>
      <c r="BR254">
        <f>BR233</f>
        <v/>
      </c>
      <c r="BS254">
        <f>BS233</f>
        <v/>
      </c>
      <c r="BT254">
        <f>BT233</f>
        <v/>
      </c>
      <c r="BU254">
        <f>BU233</f>
        <v/>
      </c>
      <c r="BV254">
        <f>BV233</f>
        <v/>
      </c>
      <c r="BW254">
        <f>BW233</f>
        <v/>
      </c>
      <c r="BX254">
        <f>BX233</f>
        <v/>
      </c>
      <c r="BY254">
        <f>BY233</f>
        <v/>
      </c>
      <c r="BZ254">
        <f>BZ233</f>
        <v/>
      </c>
      <c r="CA254">
        <f>CA233</f>
        <v/>
      </c>
      <c r="CB254">
        <f>CB233</f>
        <v/>
      </c>
      <c r="CC254">
        <f>CC233</f>
        <v/>
      </c>
      <c r="CD254">
        <f>CD233</f>
        <v/>
      </c>
      <c r="CE254">
        <f>CE233</f>
        <v/>
      </c>
      <c r="CG254" s="6" t="n">
        <v>2010</v>
      </c>
      <c r="CH254" s="6" t="inlineStr">
        <is>
          <t>Tra_EV_Batt-NMC111_virgin_pack</t>
        </is>
      </c>
      <c r="CI254" s="6" t="n">
        <v>0.001</v>
      </c>
      <c r="CJ254" s="6" t="n">
        <v>0.001</v>
      </c>
      <c r="CK254" s="6" t="inlineStr">
        <is>
          <t>Transport_EV_global</t>
        </is>
      </c>
      <c r="CL254" s="6" t="inlineStr">
        <is>
          <t>Transport_EV_China</t>
        </is>
      </c>
      <c r="CM254" s="6" t="inlineStr">
        <is>
          <t>China transport EV curve is shifted earlier than the global curve to reflect earlier China EV/e-bus deployment in the 2010s.</t>
        </is>
      </c>
    </row>
  </sheetData>
  <mergeCells count="1">
    <mergeCell ref="CG43:CL43"/>
  </mergeCell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C3:AT172"/>
  <sheetViews>
    <sheetView topLeftCell="Z6" zoomScale="60" zoomScaleNormal="60" workbookViewId="0">
      <selection pane="topLeft" activeCell="AJ31" sqref="AJ31"/>
    </sheetView>
  </sheetViews>
  <sheetFormatPr baseColWidth="8" defaultColWidth="8.72428571428571" defaultRowHeight="14.5"/>
  <cols>
    <col width="9.857142857142859" customWidth="1" style="6" min="3" max="3"/>
    <col width="28.5714285714286" customWidth="1" style="6" min="4" max="4"/>
    <col width="23" customWidth="1" style="6" min="5" max="5"/>
    <col width="50" customWidth="1" style="6" min="6" max="6"/>
    <col width="9.857142857142859" customWidth="1" style="6" min="7" max="9"/>
    <col width="10.5714285714286" customWidth="1" style="6" min="10" max="10"/>
    <col width="12.8571428571429" customWidth="1" style="6" min="11" max="11"/>
    <col width="9.857142857142859" customWidth="1" style="6" min="12" max="12"/>
    <col width="48.4285714285714" customWidth="1" style="6" min="13" max="13"/>
    <col width="10.5714285714286" customWidth="1" style="6" min="14" max="14"/>
    <col width="12.8571428571429" customWidth="1" style="6" min="15" max="15"/>
    <col width="9.857142857142859" customWidth="1" style="6" min="16" max="16"/>
    <col width="12.8571428571429" customWidth="1" style="6" min="17" max="17"/>
    <col width="10.5714285714286" customWidth="1" style="6" min="18" max="18"/>
    <col width="12.8571428571429" customWidth="1" style="6" min="19" max="19"/>
    <col width="9.857142857142859" customWidth="1" style="6" min="20" max="20"/>
    <col width="12.8571428571429" customWidth="1" style="6" min="21" max="21"/>
    <col width="10.5714285714286" customWidth="1" style="6" min="22" max="22"/>
    <col width="12.8571428571429" customWidth="1" style="6" min="23" max="23"/>
    <col width="9.857142857142859" customWidth="1" style="6" min="24" max="24"/>
    <col width="48.4285714285714" customWidth="1" style="6" min="25" max="26"/>
    <col width="28.1428571428571" customWidth="1" style="213" min="29" max="29"/>
    <col width="12.8571428571429" customWidth="1" style="213" min="30" max="30"/>
    <col width="14" customWidth="1" style="213" min="31" max="33"/>
    <col width="25.8571428571429" customWidth="1" style="213" min="41" max="41"/>
    <col width="11.4285714285714" customWidth="1" style="213" min="42" max="42"/>
    <col width="12.8571428571429" customWidth="1" style="213" min="43" max="45"/>
  </cols>
  <sheetData>
    <row r="3" ht="14.5" customHeight="1" s="213">
      <c r="AT3" s="208" t="n"/>
    </row>
    <row r="4" ht="14.5" customHeight="1" s="213">
      <c r="AT4" s="208" t="n"/>
    </row>
    <row r="5" ht="14.5" customHeight="1" s="213">
      <c r="AH5" s="208" t="n"/>
      <c r="AI5" s="208" t="n"/>
      <c r="AJ5" s="8" t="n"/>
      <c r="AK5" s="8" t="n"/>
      <c r="AL5" s="8" t="n"/>
      <c r="AM5" s="8" t="n"/>
    </row>
    <row r="6" ht="14.5" customHeight="1" s="213">
      <c r="AH6" s="208" t="n"/>
      <c r="AI6" s="208" t="n"/>
      <c r="AJ6" s="8" t="n"/>
      <c r="AK6" s="8" t="n"/>
      <c r="AL6" s="8" t="n"/>
      <c r="AM6" s="8" t="n"/>
    </row>
    <row r="7" ht="15.25" customHeight="1" s="213" thickBot="1">
      <c r="AC7" s="9" t="inlineStr">
        <is>
          <t>~TFM_UPD: UP~EUR15~INVCOST</t>
        </is>
      </c>
      <c r="AH7" s="208" t="n"/>
      <c r="AI7" s="208" t="n"/>
      <c r="AJ7" s="8" t="n"/>
      <c r="AK7" s="8" t="n"/>
      <c r="AL7" s="8" t="n"/>
      <c r="AM7" s="8" t="n"/>
    </row>
    <row r="8" ht="14.5" customHeight="1" s="213">
      <c r="AH8" s="10" t="n"/>
      <c r="AI8" s="208" t="n"/>
      <c r="AJ8" s="11" t="n"/>
      <c r="AK8" s="8" t="n"/>
      <c r="AL8" s="8" t="n"/>
      <c r="AM8" s="8" t="n"/>
    </row>
    <row r="9" ht="14.5" customHeight="1" s="213">
      <c r="AD9" s="208" t="n"/>
      <c r="AE9" s="208" t="n"/>
      <c r="AF9" s="208" t="n"/>
      <c r="AG9" s="208" t="n"/>
      <c r="AH9" s="208" t="n"/>
      <c r="AI9" s="208" t="n"/>
      <c r="AJ9" s="8" t="n"/>
      <c r="AK9" s="8" t="n"/>
      <c r="AL9" s="8" t="n"/>
      <c r="AM9" s="8" t="n"/>
    </row>
    <row r="10" ht="14.5" customHeight="1" s="213">
      <c r="C10" s="6" t="inlineStr">
        <is>
          <t>vehicle_category</t>
        </is>
      </c>
      <c r="D10" s="6" t="inlineStr">
        <is>
          <t>vehicle_code</t>
        </is>
      </c>
      <c r="E10" s="6" t="inlineStr">
        <is>
          <t>capacity_source_code</t>
        </is>
      </c>
      <c r="F10" s="6" t="inlineStr">
        <is>
          <t>variable_name</t>
        </is>
      </c>
      <c r="G10" s="6" t="inlineStr">
        <is>
          <t>variable_value</t>
        </is>
      </c>
      <c r="H10" s="6" t="inlineStr">
        <is>
          <t>installed_kwh</t>
        </is>
      </c>
      <c r="I10" s="6" t="inlineStr">
        <is>
          <t>mapping_note</t>
        </is>
      </c>
      <c r="J10" s="6" t="inlineStr">
        <is>
          <t>e3_generic_battery_cost_2020_2015eur_per_kwh</t>
        </is>
      </c>
      <c r="K10" s="6" t="inlineStr">
        <is>
          <t>battery_capex_2020_2015eur_per_vehicle</t>
        </is>
      </c>
      <c r="L10" s="6" t="inlineStr">
        <is>
          <t>ev_capex_2020_2015eur_per_vehicle</t>
        </is>
      </c>
      <c r="M10" s="6" t="inlineStr">
        <is>
          <t>capex_without_battery_2020_2015eur_per_vehicle</t>
        </is>
      </c>
      <c r="N10" s="6" t="inlineStr">
        <is>
          <t>e3_generic_battery_cost_2030_2015eur_per_kwh</t>
        </is>
      </c>
      <c r="O10" s="6" t="inlineStr">
        <is>
          <t>battery_capex_2030_2015eur_per_vehicle</t>
        </is>
      </c>
      <c r="P10" s="6" t="inlineStr">
        <is>
          <t>ev_capex_2030_2015eur_per_vehicle</t>
        </is>
      </c>
      <c r="Q10" s="6" t="inlineStr">
        <is>
          <t>capex_without_battery_2030_2015eur_per_vehicle</t>
        </is>
      </c>
      <c r="R10" s="6" t="inlineStr">
        <is>
          <t>e3_generic_battery_cost_2040_2015eur_per_kwh</t>
        </is>
      </c>
      <c r="S10" s="6" t="inlineStr">
        <is>
          <t>battery_capex_2040_2015eur_per_vehicle</t>
        </is>
      </c>
      <c r="T10" s="6" t="inlineStr">
        <is>
          <t>ev_capex_2040_2015eur_per_vehicle</t>
        </is>
      </c>
      <c r="U10" s="6" t="inlineStr">
        <is>
          <t>capex_without_battery_2040_2015eur_per_vehicle</t>
        </is>
      </c>
      <c r="V10" s="6" t="inlineStr">
        <is>
          <t>e3_generic_battery_cost_2050_2015eur_per_kwh</t>
        </is>
      </c>
      <c r="W10" s="6" t="inlineStr">
        <is>
          <t>battery_capex_2050_2015eur_per_vehicle</t>
        </is>
      </c>
      <c r="X10" s="6" t="inlineStr">
        <is>
          <t>ev_capex_2050_2015eur_per_vehicle</t>
        </is>
      </c>
      <c r="Y10" s="6" t="inlineStr">
        <is>
          <t>capex_without_battery_2050_2015eur_per_vehicle</t>
        </is>
      </c>
      <c r="AC10" s="208" t="inlineStr">
        <is>
          <t>Process</t>
        </is>
      </c>
      <c r="AD10" s="208" t="n">
        <v>2020</v>
      </c>
      <c r="AE10" s="208" t="n">
        <v>2030</v>
      </c>
      <c r="AF10" s="208" t="n">
        <v>2040</v>
      </c>
      <c r="AG10" s="208" t="n">
        <v>2050</v>
      </c>
      <c r="AH10" s="208" t="n"/>
      <c r="AI10" s="208" t="n"/>
      <c r="AJ10" s="8" t="n"/>
      <c r="AK10" s="8" t="n"/>
      <c r="AL10" s="8" t="n"/>
      <c r="AM10" s="8" t="n"/>
    </row>
    <row r="11" ht="14.5" customHeight="1" s="213">
      <c r="C11" s="6" t="inlineStr">
        <is>
          <t>Medium size battery electric car</t>
        </is>
      </c>
      <c r="D11" s="6" t="inlineStr">
        <is>
          <t>Trd_car_elc_120</t>
        </is>
      </c>
      <c r="E11" s="6" t="inlineStr">
        <is>
          <t>Trd_car_elc_120</t>
        </is>
      </c>
      <c r="F11" s="6" t="inlineStr">
        <is>
          <t>electric_range_km</t>
        </is>
      </c>
      <c r="G11" s="6" t="n">
        <v>120</v>
      </c>
      <c r="H11" s="6" t="n">
        <v>21.6</v>
      </c>
      <c r="J11" s="6" t="n">
        <v>98.82521699999999</v>
      </c>
      <c r="K11" s="6" t="n">
        <v>2134.624687</v>
      </c>
      <c r="L11" s="6" t="n">
        <v>23158</v>
      </c>
      <c r="M11" s="6" t="n">
        <v>21023.375313</v>
      </c>
      <c r="N11" s="6" t="n">
        <v>58.691111</v>
      </c>
      <c r="O11" s="6" t="n">
        <v>1267.727998</v>
      </c>
      <c r="P11" s="6" t="n">
        <v>20752</v>
      </c>
      <c r="Q11" s="6" t="n">
        <v>19484.272002</v>
      </c>
      <c r="R11" s="6" t="n">
        <v>37.356208</v>
      </c>
      <c r="S11" s="6" t="n">
        <v>806.894093</v>
      </c>
      <c r="T11" s="6" t="n">
        <v>20218</v>
      </c>
      <c r="U11" s="6" t="n">
        <v>19411.105907</v>
      </c>
      <c r="V11" s="6" t="n">
        <v>29.258319</v>
      </c>
      <c r="W11" s="6" t="n">
        <v>631.97969</v>
      </c>
      <c r="X11" s="6" t="n">
        <v>20033</v>
      </c>
      <c r="Y11" s="6" t="n">
        <v>19401.02031</v>
      </c>
      <c r="AC11">
        <f>E11</f>
        <v/>
      </c>
      <c r="AD11">
        <f>M11</f>
        <v/>
      </c>
      <c r="AE11">
        <f>Q11</f>
        <v/>
      </c>
      <c r="AF11">
        <f>U11</f>
        <v/>
      </c>
      <c r="AG11">
        <f>Y11</f>
        <v/>
      </c>
      <c r="AH11" s="208" t="n"/>
      <c r="AI11" s="208" t="n"/>
      <c r="AJ11" s="8" t="n"/>
      <c r="AK11" s="8" t="n"/>
      <c r="AL11" s="8" t="n"/>
      <c r="AM11" s="8" t="n"/>
    </row>
    <row r="12" ht="14.5" customHeight="1" s="213">
      <c r="C12" s="6" t="inlineStr">
        <is>
          <t>Medium size battery electric car</t>
        </is>
      </c>
      <c r="D12" s="6" t="inlineStr">
        <is>
          <t>Trd_car_elc_160</t>
        </is>
      </c>
      <c r="E12" s="6" t="inlineStr">
        <is>
          <t>Trd_car_elc_160</t>
        </is>
      </c>
      <c r="F12" s="6" t="inlineStr">
        <is>
          <t>electric_range_km</t>
        </is>
      </c>
      <c r="G12" s="6" t="n">
        <v>160</v>
      </c>
      <c r="H12" s="6" t="n">
        <v>28.8</v>
      </c>
      <c r="J12" s="6" t="n">
        <v>98.82521699999999</v>
      </c>
      <c r="K12" s="6" t="n">
        <v>2846.16625</v>
      </c>
      <c r="L12" s="6" t="n">
        <v>24797</v>
      </c>
      <c r="M12" s="6" t="n">
        <v>21950.83375</v>
      </c>
      <c r="N12" s="6" t="n">
        <v>58.691111</v>
      </c>
      <c r="O12" s="6" t="n">
        <v>1690.303997</v>
      </c>
      <c r="P12" s="6" t="n">
        <v>20898</v>
      </c>
      <c r="Q12" s="6" t="n">
        <v>19207.696003</v>
      </c>
      <c r="R12" s="6" t="n">
        <v>37.356208</v>
      </c>
      <c r="S12" s="6" t="n">
        <v>1075.85879</v>
      </c>
      <c r="T12" s="6" t="n">
        <v>20316</v>
      </c>
      <c r="U12" s="6" t="n">
        <v>19240.14121</v>
      </c>
      <c r="V12" s="6" t="n">
        <v>29.258319</v>
      </c>
      <c r="W12" s="6" t="n">
        <v>842.639587</v>
      </c>
      <c r="X12" s="6" t="n">
        <v>20115</v>
      </c>
      <c r="Y12" s="6" t="n">
        <v>19272.360413</v>
      </c>
      <c r="AC12">
        <f>E12</f>
        <v/>
      </c>
      <c r="AD12">
        <f>M12</f>
        <v/>
      </c>
      <c r="AE12">
        <f>Q12</f>
        <v/>
      </c>
      <c r="AF12">
        <f>U12</f>
        <v/>
      </c>
      <c r="AG12">
        <f>Y12</f>
        <v/>
      </c>
      <c r="AH12" s="208" t="n"/>
      <c r="AI12" s="208" t="n"/>
      <c r="AJ12" s="8" t="n"/>
      <c r="AK12" s="8" t="n"/>
      <c r="AL12" s="8" t="n"/>
      <c r="AM12" s="8" t="n"/>
    </row>
    <row r="13" ht="14.5" customHeight="1" s="213">
      <c r="C13" s="6" t="inlineStr">
        <is>
          <t>Medium size battery electric car</t>
        </is>
      </c>
      <c r="D13" s="6" t="inlineStr">
        <is>
          <t>Trd_car_elc_200</t>
        </is>
      </c>
      <c r="E13" s="6" t="inlineStr">
        <is>
          <t>Trd_car_elc_200</t>
        </is>
      </c>
      <c r="F13" s="6" t="inlineStr">
        <is>
          <t>electric_range_km</t>
        </is>
      </c>
      <c r="G13" s="6" t="n">
        <v>200</v>
      </c>
      <c r="H13" s="6" t="n">
        <v>36</v>
      </c>
      <c r="J13" s="6" t="n">
        <v>98.82521699999999</v>
      </c>
      <c r="K13" s="6" t="n">
        <v>3557.707812</v>
      </c>
      <c r="L13" s="6" t="n">
        <v>26437</v>
      </c>
      <c r="M13" s="6" t="n">
        <v>22879.292188</v>
      </c>
      <c r="N13" s="6" t="n">
        <v>58.691111</v>
      </c>
      <c r="O13" s="6" t="n">
        <v>2112.879996</v>
      </c>
      <c r="P13" s="6" t="n">
        <v>21188</v>
      </c>
      <c r="Q13" s="6" t="n">
        <v>19075.120004</v>
      </c>
      <c r="R13" s="6" t="n">
        <v>37.356208</v>
      </c>
      <c r="S13" s="6" t="n">
        <v>1344.823488</v>
      </c>
      <c r="T13" s="6" t="n">
        <v>20512</v>
      </c>
      <c r="U13" s="6" t="n">
        <v>19167.176512</v>
      </c>
      <c r="V13" s="6" t="n">
        <v>29.258319</v>
      </c>
      <c r="W13" s="6" t="n">
        <v>1053.299484</v>
      </c>
      <c r="X13" s="6" t="n">
        <v>20277</v>
      </c>
      <c r="Y13" s="6" t="n">
        <v>19223.700516</v>
      </c>
      <c r="AC13">
        <f>E13</f>
        <v/>
      </c>
      <c r="AD13">
        <f>M13</f>
        <v/>
      </c>
      <c r="AE13">
        <f>Q13</f>
        <v/>
      </c>
      <c r="AF13">
        <f>U13</f>
        <v/>
      </c>
      <c r="AG13">
        <f>Y13</f>
        <v/>
      </c>
      <c r="AH13" s="208" t="n"/>
      <c r="AI13" s="208" t="n"/>
      <c r="AJ13" s="8" t="n"/>
      <c r="AK13" s="8" t="n"/>
      <c r="AL13" s="8" t="n"/>
      <c r="AM13" s="8" t="n"/>
    </row>
    <row r="14" ht="14.5" customHeight="1" s="213">
      <c r="C14" s="6" t="inlineStr">
        <is>
          <t>Medium size battery electric car</t>
        </is>
      </c>
      <c r="D14" s="6" t="inlineStr">
        <is>
          <t>Trd_car_elc_250</t>
        </is>
      </c>
      <c r="E14" s="6" t="inlineStr">
        <is>
          <t>Trd_car_elc_250</t>
        </is>
      </c>
      <c r="F14" s="6" t="inlineStr">
        <is>
          <t>electric_range_km</t>
        </is>
      </c>
      <c r="G14" s="6" t="n">
        <v>250</v>
      </c>
      <c r="H14" s="6" t="n">
        <v>45</v>
      </c>
      <c r="J14" s="6" t="n">
        <v>98.82521699999999</v>
      </c>
      <c r="K14" s="6" t="n">
        <v>4447.134765</v>
      </c>
      <c r="L14" s="6" t="n">
        <v>28564</v>
      </c>
      <c r="M14" s="6" t="n">
        <v>24116.865235</v>
      </c>
      <c r="N14" s="6" t="n">
        <v>58.691111</v>
      </c>
      <c r="O14" s="6" t="n">
        <v>2641.099995</v>
      </c>
      <c r="P14" s="6" t="n">
        <v>21785</v>
      </c>
      <c r="Q14" s="6" t="n">
        <v>19143.900005</v>
      </c>
      <c r="R14" s="6" t="n">
        <v>37.356208</v>
      </c>
      <c r="S14" s="6" t="n">
        <v>1681.02936</v>
      </c>
      <c r="T14" s="6" t="n">
        <v>20914</v>
      </c>
      <c r="U14" s="6" t="n">
        <v>19232.97064</v>
      </c>
      <c r="V14" s="6" t="n">
        <v>29.258319</v>
      </c>
      <c r="W14" s="6" t="n">
        <v>1316.624355</v>
      </c>
      <c r="X14" s="6" t="n">
        <v>20612</v>
      </c>
      <c r="Y14" s="6" t="n">
        <v>19295.375645</v>
      </c>
      <c r="AC14">
        <f>E14</f>
        <v/>
      </c>
      <c r="AD14">
        <f>M14</f>
        <v/>
      </c>
      <c r="AE14">
        <f>Q14</f>
        <v/>
      </c>
      <c r="AF14">
        <f>U14</f>
        <v/>
      </c>
      <c r="AG14">
        <f>Y14</f>
        <v/>
      </c>
      <c r="AH14" s="208" t="n"/>
      <c r="AI14" s="208" t="n"/>
      <c r="AJ14" s="8" t="n"/>
      <c r="AK14" s="8" t="n"/>
      <c r="AL14" s="8" t="n"/>
      <c r="AM14" s="8" t="n"/>
    </row>
    <row r="15" ht="14.5" customHeight="1" s="213">
      <c r="C15" s="6" t="inlineStr">
        <is>
          <t>Medium size battery electric car</t>
        </is>
      </c>
      <c r="D15" s="6" t="inlineStr">
        <is>
          <t>Trd_car_elc_300</t>
        </is>
      </c>
      <c r="E15" s="6" t="inlineStr">
        <is>
          <t>Trd_car_elc_300</t>
        </is>
      </c>
      <c r="F15" s="6" t="inlineStr">
        <is>
          <t>electric_range_km</t>
        </is>
      </c>
      <c r="G15" s="6" t="n">
        <v>300</v>
      </c>
      <c r="H15" s="6" t="n">
        <v>54</v>
      </c>
      <c r="J15" s="6" t="n">
        <v>98.82521699999999</v>
      </c>
      <c r="K15" s="6" t="n">
        <v>5336.561718</v>
      </c>
      <c r="L15" s="6" t="n">
        <v>30691</v>
      </c>
      <c r="M15" s="6" t="n">
        <v>25354.438282</v>
      </c>
      <c r="N15" s="6" t="n">
        <v>58.691111</v>
      </c>
      <c r="O15" s="6" t="n">
        <v>3169.319994</v>
      </c>
      <c r="P15" s="6" t="n">
        <v>22382</v>
      </c>
      <c r="Q15" s="6" t="n">
        <v>19212.680006</v>
      </c>
      <c r="R15" s="6" t="n">
        <v>37.356208</v>
      </c>
      <c r="S15" s="6" t="n">
        <v>2017.235232</v>
      </c>
      <c r="T15" s="6" t="n">
        <v>21316</v>
      </c>
      <c r="U15" s="6" t="n">
        <v>19298.764768</v>
      </c>
      <c r="V15" s="6" t="n">
        <v>29.258319</v>
      </c>
      <c r="W15" s="6" t="n">
        <v>1579.949226</v>
      </c>
      <c r="X15" s="6" t="n">
        <v>20947</v>
      </c>
      <c r="Y15" s="6" t="n">
        <v>19367.050774</v>
      </c>
      <c r="AC15">
        <f>E15</f>
        <v/>
      </c>
      <c r="AD15">
        <f>M15</f>
        <v/>
      </c>
      <c r="AE15">
        <f>Q15</f>
        <v/>
      </c>
      <c r="AF15">
        <f>U15</f>
        <v/>
      </c>
      <c r="AG15">
        <f>Y15</f>
        <v/>
      </c>
      <c r="AH15" s="208" t="n"/>
      <c r="AI15" s="208" t="n"/>
      <c r="AJ15" s="8" t="n"/>
      <c r="AK15" s="8" t="n"/>
      <c r="AL15" s="8" t="n"/>
      <c r="AM15" s="8" t="n"/>
    </row>
    <row r="16" ht="14.5" customHeight="1" s="213">
      <c r="C16" s="6" t="inlineStr">
        <is>
          <t>Medium size battery electric car</t>
        </is>
      </c>
      <c r="D16" s="6" t="inlineStr">
        <is>
          <t>Trd_car_elc_350</t>
        </is>
      </c>
      <c r="E16" s="6" t="inlineStr">
        <is>
          <t>Trd_car_elc_350</t>
        </is>
      </c>
      <c r="F16" s="6" t="inlineStr">
        <is>
          <t>electric_range_km</t>
        </is>
      </c>
      <c r="G16" s="6" t="n">
        <v>350</v>
      </c>
      <c r="H16" s="6" t="n">
        <v>63</v>
      </c>
      <c r="J16" s="6" t="n">
        <v>98.82521699999999</v>
      </c>
      <c r="K16" s="6" t="n">
        <v>6225.988671</v>
      </c>
      <c r="L16" s="6" t="n">
        <v>33573</v>
      </c>
      <c r="M16" s="6" t="n">
        <v>27347.011329</v>
      </c>
      <c r="N16" s="6" t="n">
        <v>58.691111</v>
      </c>
      <c r="O16" s="6" t="n">
        <v>3697.539993</v>
      </c>
      <c r="P16" s="6" t="n">
        <v>23102</v>
      </c>
      <c r="Q16" s="6" t="n">
        <v>19404.460007</v>
      </c>
      <c r="R16" s="6" t="n">
        <v>37.356208</v>
      </c>
      <c r="S16" s="6" t="n">
        <v>2353.441104</v>
      </c>
      <c r="T16" s="6" t="n">
        <v>21723</v>
      </c>
      <c r="U16" s="6" t="n">
        <v>19369.558896</v>
      </c>
      <c r="V16" s="6" t="n">
        <v>29.258319</v>
      </c>
      <c r="W16" s="6" t="n">
        <v>1843.274097</v>
      </c>
      <c r="X16" s="6" t="n">
        <v>21285</v>
      </c>
      <c r="Y16" s="6" t="n">
        <v>19441.725903</v>
      </c>
      <c r="AC16">
        <f>E16</f>
        <v/>
      </c>
      <c r="AD16">
        <f>M16</f>
        <v/>
      </c>
      <c r="AE16">
        <f>Q16</f>
        <v/>
      </c>
      <c r="AF16">
        <f>U16</f>
        <v/>
      </c>
      <c r="AG16">
        <f>Y16</f>
        <v/>
      </c>
      <c r="AH16" s="208" t="n"/>
      <c r="AI16" s="208" t="n"/>
      <c r="AJ16" s="8" t="n"/>
      <c r="AK16" s="8" t="n"/>
      <c r="AL16" s="8" t="n"/>
      <c r="AM16" s="8" t="n"/>
    </row>
    <row r="17" ht="14.5" customHeight="1" s="213">
      <c r="C17" s="6" t="inlineStr">
        <is>
          <t>Medium size battery electric car</t>
        </is>
      </c>
      <c r="D17" s="6" t="inlineStr">
        <is>
          <t>Trd_car_elc_400</t>
        </is>
      </c>
      <c r="E17" s="6" t="inlineStr">
        <is>
          <t>Trd_car_elc_400</t>
        </is>
      </c>
      <c r="F17" s="6" t="inlineStr">
        <is>
          <t>electric_range_km</t>
        </is>
      </c>
      <c r="G17" s="6" t="n">
        <v>400</v>
      </c>
      <c r="H17" s="6" t="n">
        <v>72</v>
      </c>
      <c r="J17" s="6" t="n">
        <v>98.82521699999999</v>
      </c>
      <c r="K17" s="6" t="n">
        <v>7115.415624</v>
      </c>
      <c r="L17" s="6" t="n">
        <v>36673</v>
      </c>
      <c r="M17" s="6" t="n">
        <v>29557.584376</v>
      </c>
      <c r="N17" s="6" t="n">
        <v>58.691111</v>
      </c>
      <c r="O17" s="6" t="n">
        <v>4225.759992</v>
      </c>
      <c r="P17" s="6" t="n">
        <v>23858</v>
      </c>
      <c r="Q17" s="6" t="n">
        <v>19632.240008</v>
      </c>
      <c r="R17" s="6" t="n">
        <v>37.356208</v>
      </c>
      <c r="S17" s="6" t="n">
        <v>2689.646976</v>
      </c>
      <c r="T17" s="6" t="n">
        <v>22129</v>
      </c>
      <c r="U17" s="6" t="n">
        <v>19439.353024</v>
      </c>
      <c r="V17" s="6" t="n">
        <v>29.258319</v>
      </c>
      <c r="W17" s="6" t="n">
        <v>2106.598968</v>
      </c>
      <c r="X17" s="6" t="n">
        <v>21624</v>
      </c>
      <c r="Y17" s="6" t="n">
        <v>19517.401032</v>
      </c>
      <c r="AC17">
        <f>E17</f>
        <v/>
      </c>
      <c r="AD17">
        <f>M17</f>
        <v/>
      </c>
      <c r="AE17">
        <f>Q17</f>
        <v/>
      </c>
      <c r="AF17">
        <f>U17</f>
        <v/>
      </c>
      <c r="AG17">
        <f>Y17</f>
        <v/>
      </c>
      <c r="AH17" s="208" t="n"/>
      <c r="AI17" s="208" t="n"/>
      <c r="AJ17" s="8" t="n"/>
      <c r="AK17" s="8" t="n"/>
      <c r="AL17" s="8" t="n"/>
      <c r="AM17" s="8" t="n"/>
    </row>
    <row r="18" ht="14.5" customHeight="1" s="213">
      <c r="C18" s="6" t="inlineStr">
        <is>
          <t>Medium size battery electric car</t>
        </is>
      </c>
      <c r="D18" s="6" t="inlineStr">
        <is>
          <t>Trd_car_elc_500</t>
        </is>
      </c>
      <c r="E18" s="6" t="inlineStr">
        <is>
          <t>Trd_car_elc_500</t>
        </is>
      </c>
      <c r="F18" s="6" t="inlineStr">
        <is>
          <t>electric_range_km</t>
        </is>
      </c>
      <c r="G18" s="6" t="n">
        <v>500</v>
      </c>
      <c r="H18" s="6" t="n">
        <v>90</v>
      </c>
      <c r="J18" s="6" t="n">
        <v>98.82521699999999</v>
      </c>
      <c r="K18" s="6" t="n">
        <v>8894.26953</v>
      </c>
      <c r="L18" s="6" t="n">
        <v>43533</v>
      </c>
      <c r="M18" s="6" t="n">
        <v>34638.73047</v>
      </c>
      <c r="N18" s="6" t="n">
        <v>58.691111</v>
      </c>
      <c r="O18" s="6" t="n">
        <v>5282.19999</v>
      </c>
      <c r="P18" s="6" t="n">
        <v>25648</v>
      </c>
      <c r="Q18" s="6" t="n">
        <v>20365.80001</v>
      </c>
      <c r="R18" s="6" t="n">
        <v>37.356208</v>
      </c>
      <c r="S18" s="6" t="n">
        <v>3362.05872</v>
      </c>
      <c r="T18" s="6" t="n">
        <v>23096</v>
      </c>
      <c r="U18" s="6" t="n">
        <v>19733.94128</v>
      </c>
      <c r="V18" s="6" t="n">
        <v>29.258319</v>
      </c>
      <c r="W18" s="6" t="n">
        <v>2633.24871</v>
      </c>
      <c r="X18" s="6" t="n">
        <v>22301</v>
      </c>
      <c r="Y18" s="6" t="n">
        <v>19667.75129</v>
      </c>
      <c r="AC18">
        <f>E18</f>
        <v/>
      </c>
      <c r="AD18">
        <f>M18</f>
        <v/>
      </c>
      <c r="AE18">
        <f>Q18</f>
        <v/>
      </c>
      <c r="AF18">
        <f>U18</f>
        <v/>
      </c>
      <c r="AG18">
        <f>Y18</f>
        <v/>
      </c>
      <c r="AH18" s="208" t="n"/>
      <c r="AI18" s="208" t="n"/>
      <c r="AJ18" s="8" t="n"/>
      <c r="AK18" s="8" t="n"/>
      <c r="AL18" s="8" t="n"/>
      <c r="AM18" s="8" t="n"/>
    </row>
    <row r="19" ht="14.5" customHeight="1" s="213">
      <c r="C19" s="6" t="inlineStr">
        <is>
          <t>Battery electric LCV</t>
        </is>
      </c>
      <c r="D19" s="6" t="inlineStr">
        <is>
          <t>Trd_lcv_elc_120</t>
        </is>
      </c>
      <c r="E19" s="6" t="inlineStr">
        <is>
          <t>Trd_lcv_elc_120</t>
        </is>
      </c>
      <c r="F19" s="6" t="inlineStr">
        <is>
          <t>electric_range_km</t>
        </is>
      </c>
      <c r="G19" s="6" t="n">
        <v>120</v>
      </c>
      <c r="H19" s="6" t="n">
        <v>36</v>
      </c>
      <c r="J19" s="6" t="n">
        <v>98.82521699999999</v>
      </c>
      <c r="K19" s="6" t="n">
        <v>3557.707812</v>
      </c>
      <c r="L19" s="6" t="n">
        <v>22061</v>
      </c>
      <c r="M19" s="6" t="n">
        <v>18503.292188</v>
      </c>
      <c r="N19" s="6" t="n">
        <v>58.691111</v>
      </c>
      <c r="O19" s="6" t="n">
        <v>2112.879996</v>
      </c>
      <c r="P19" s="6" t="n">
        <v>18978</v>
      </c>
      <c r="Q19" s="6" t="n">
        <v>16865.120004</v>
      </c>
      <c r="R19" s="6" t="n">
        <v>37.356208</v>
      </c>
      <c r="S19" s="6" t="n">
        <v>1344.823488</v>
      </c>
      <c r="T19" s="6" t="n">
        <v>18466</v>
      </c>
      <c r="U19" s="6" t="n">
        <v>17121.176512</v>
      </c>
      <c r="V19" s="6" t="n">
        <v>29.258319</v>
      </c>
      <c r="W19" s="6" t="n">
        <v>1053.299484</v>
      </c>
      <c r="X19" s="6" t="n">
        <v>18289</v>
      </c>
      <c r="Y19" s="6" t="n">
        <v>17235.700516</v>
      </c>
      <c r="AC19">
        <f>E19</f>
        <v/>
      </c>
      <c r="AD19">
        <f>M19</f>
        <v/>
      </c>
      <c r="AE19">
        <f>Q19</f>
        <v/>
      </c>
      <c r="AF19">
        <f>U19</f>
        <v/>
      </c>
      <c r="AG19">
        <f>Y19</f>
        <v/>
      </c>
      <c r="AH19" s="208" t="n"/>
      <c r="AI19" s="208" t="n"/>
      <c r="AJ19" s="8" t="n"/>
      <c r="AK19" s="8" t="n"/>
      <c r="AL19" s="8" t="n"/>
      <c r="AM19" s="8" t="n"/>
    </row>
    <row r="20" ht="14.5" customHeight="1" s="213">
      <c r="C20" s="6" t="inlineStr">
        <is>
          <t>Battery electric LCV</t>
        </is>
      </c>
      <c r="D20" s="6" t="inlineStr">
        <is>
          <t>Trd_lcv_elc_160</t>
        </is>
      </c>
      <c r="E20" s="6" t="inlineStr">
        <is>
          <t>Trd_lcv_elc_160</t>
        </is>
      </c>
      <c r="F20" s="6" t="inlineStr">
        <is>
          <t>electric_range_km</t>
        </is>
      </c>
      <c r="G20" s="6" t="n">
        <v>160</v>
      </c>
      <c r="H20" s="6" t="n">
        <v>48</v>
      </c>
      <c r="J20" s="6" t="n">
        <v>98.82521699999999</v>
      </c>
      <c r="K20" s="6" t="n">
        <v>4743.610416</v>
      </c>
      <c r="L20" s="6" t="n">
        <v>23848</v>
      </c>
      <c r="M20" s="6" t="n">
        <v>19104.389584</v>
      </c>
      <c r="N20" s="6" t="n">
        <v>58.691111</v>
      </c>
      <c r="O20" s="6" t="n">
        <v>2817.173328</v>
      </c>
      <c r="P20" s="6" t="n">
        <v>20089</v>
      </c>
      <c r="Q20" s="6" t="n">
        <v>17271.826672</v>
      </c>
      <c r="R20" s="6" t="n">
        <v>37.356208</v>
      </c>
      <c r="S20" s="6" t="n">
        <v>1793.097984</v>
      </c>
      <c r="T20" s="6" t="n">
        <v>19214</v>
      </c>
      <c r="U20" s="6" t="n">
        <v>17420.902016</v>
      </c>
      <c r="V20" s="6" t="n">
        <v>29.258319</v>
      </c>
      <c r="W20" s="6" t="n">
        <v>1404.399312</v>
      </c>
      <c r="X20" s="6" t="n">
        <v>18912</v>
      </c>
      <c r="Y20" s="6" t="n">
        <v>17507.600688</v>
      </c>
      <c r="AC20">
        <f>E20</f>
        <v/>
      </c>
      <c r="AD20">
        <f>M20</f>
        <v/>
      </c>
      <c r="AE20">
        <f>Q20</f>
        <v/>
      </c>
      <c r="AF20">
        <f>U20</f>
        <v/>
      </c>
      <c r="AG20">
        <f>Y20</f>
        <v/>
      </c>
      <c r="AH20" s="208" t="n"/>
      <c r="AI20" s="208" t="n"/>
      <c r="AJ20" s="8" t="n"/>
      <c r="AK20" s="8" t="n"/>
      <c r="AL20" s="8" t="n"/>
      <c r="AM20" s="8" t="n"/>
    </row>
    <row r="21" ht="14.5" customHeight="1" s="213">
      <c r="C21" s="6" t="inlineStr">
        <is>
          <t>Battery electric LCV</t>
        </is>
      </c>
      <c r="D21" s="6" t="inlineStr">
        <is>
          <t>Trd_lcv_elc_200</t>
        </is>
      </c>
      <c r="E21" s="6" t="inlineStr">
        <is>
          <t>Trd_lcv_elc_200</t>
        </is>
      </c>
      <c r="F21" s="6" t="inlineStr">
        <is>
          <t>electric_range_km</t>
        </is>
      </c>
      <c r="G21" s="6" t="n">
        <v>200</v>
      </c>
      <c r="H21" s="6" t="n">
        <v>60</v>
      </c>
      <c r="J21" s="6" t="n">
        <v>98.82521699999999</v>
      </c>
      <c r="K21" s="6" t="n">
        <v>5929.51302</v>
      </c>
      <c r="L21" s="6" t="n">
        <v>25634</v>
      </c>
      <c r="M21" s="6" t="n">
        <v>19704.48698</v>
      </c>
      <c r="N21" s="6" t="n">
        <v>58.691111</v>
      </c>
      <c r="O21" s="6" t="n">
        <v>3521.46666</v>
      </c>
      <c r="P21" s="6" t="n">
        <v>20759</v>
      </c>
      <c r="Q21" s="6" t="n">
        <v>17237.53334</v>
      </c>
      <c r="R21" s="6" t="n">
        <v>37.356208</v>
      </c>
      <c r="S21" s="6" t="n">
        <v>2241.37248</v>
      </c>
      <c r="T21" s="6" t="n">
        <v>19666</v>
      </c>
      <c r="U21" s="6" t="n">
        <v>17424.62752</v>
      </c>
      <c r="V21" s="6" t="n">
        <v>29.258319</v>
      </c>
      <c r="W21" s="6" t="n">
        <v>1755.49914</v>
      </c>
      <c r="X21" s="6" t="n">
        <v>19288</v>
      </c>
      <c r="Y21" s="6" t="n">
        <v>17532.50086</v>
      </c>
      <c r="AC21">
        <f>E21</f>
        <v/>
      </c>
      <c r="AD21">
        <f>M21</f>
        <v/>
      </c>
      <c r="AE21">
        <f>Q21</f>
        <v/>
      </c>
      <c r="AF21">
        <f>U21</f>
        <v/>
      </c>
      <c r="AG21">
        <f>Y21</f>
        <v/>
      </c>
      <c r="AH21" s="208" t="n"/>
      <c r="AI21" s="208" t="n"/>
      <c r="AJ21" s="8" t="n"/>
      <c r="AK21" s="8" t="n"/>
      <c r="AL21" s="8" t="n"/>
      <c r="AM21" s="8" t="n"/>
    </row>
    <row r="22" ht="14.5" customHeight="1" s="213">
      <c r="C22" s="6" t="inlineStr">
        <is>
          <t>Battery electric LCV</t>
        </is>
      </c>
      <c r="D22" s="6" t="inlineStr">
        <is>
          <t>Trd_lcv_elc_250</t>
        </is>
      </c>
      <c r="E22" s="6" t="inlineStr">
        <is>
          <t>Trd_lcv_elc_250</t>
        </is>
      </c>
      <c r="F22" s="6" t="inlineStr">
        <is>
          <t>electric_range_km</t>
        </is>
      </c>
      <c r="G22" s="6" t="n">
        <v>250</v>
      </c>
      <c r="H22" s="6" t="n">
        <v>75</v>
      </c>
      <c r="J22" s="6" t="n">
        <v>98.82521699999999</v>
      </c>
      <c r="K22" s="6" t="n">
        <v>7411.891275</v>
      </c>
      <c r="L22" s="6" t="n">
        <v>27948</v>
      </c>
      <c r="M22" s="6" t="n">
        <v>20536.108725</v>
      </c>
      <c r="N22" s="6" t="n">
        <v>58.691111</v>
      </c>
      <c r="O22" s="6" t="n">
        <v>4401.833325</v>
      </c>
      <c r="P22" s="6" t="n">
        <v>21677</v>
      </c>
      <c r="Q22" s="6" t="n">
        <v>17275.166675</v>
      </c>
      <c r="R22" s="6" t="n">
        <v>37.356208</v>
      </c>
      <c r="S22" s="6" t="n">
        <v>2801.7156</v>
      </c>
      <c r="T22" s="6" t="n">
        <v>20284</v>
      </c>
      <c r="U22" s="6" t="n">
        <v>17482.2844</v>
      </c>
      <c r="V22" s="6" t="n">
        <v>29.258319</v>
      </c>
      <c r="W22" s="6" t="n">
        <v>2194.373925</v>
      </c>
      <c r="X22" s="6" t="n">
        <v>19802</v>
      </c>
      <c r="Y22" s="6" t="n">
        <v>17607.626075</v>
      </c>
      <c r="AC22">
        <f>E22</f>
        <v/>
      </c>
      <c r="AD22">
        <f>M22</f>
        <v/>
      </c>
      <c r="AE22">
        <f>Q22</f>
        <v/>
      </c>
      <c r="AF22">
        <f>U22</f>
        <v/>
      </c>
      <c r="AG22">
        <f>Y22</f>
        <v/>
      </c>
      <c r="AH22" s="208" t="n"/>
      <c r="AI22" s="208" t="n"/>
      <c r="AJ22" s="8" t="n"/>
      <c r="AK22" s="8" t="n"/>
      <c r="AL22" s="8" t="n"/>
      <c r="AM22" s="8" t="n"/>
    </row>
    <row r="23" ht="14.5" customHeight="1" s="213">
      <c r="C23" s="6" t="inlineStr">
        <is>
          <t>Battery electric LCV</t>
        </is>
      </c>
      <c r="D23" s="6" t="inlineStr">
        <is>
          <t>Trd_lcv_elc_300</t>
        </is>
      </c>
      <c r="E23" s="6" t="inlineStr">
        <is>
          <t>Trd_lcv_elc_300</t>
        </is>
      </c>
      <c r="F23" s="6" t="inlineStr">
        <is>
          <t>electric_range_km</t>
        </is>
      </c>
      <c r="G23" s="6" t="n">
        <v>300</v>
      </c>
      <c r="H23" s="6" t="n">
        <v>90</v>
      </c>
      <c r="J23" s="6" t="n">
        <v>98.82521699999999</v>
      </c>
      <c r="K23" s="6" t="n">
        <v>8894.26953</v>
      </c>
      <c r="L23" s="6" t="n">
        <v>30262</v>
      </c>
      <c r="M23" s="6" t="n">
        <v>21367.73047</v>
      </c>
      <c r="N23" s="6" t="n">
        <v>58.691111</v>
      </c>
      <c r="O23" s="6" t="n">
        <v>5282.19999</v>
      </c>
      <c r="P23" s="6" t="n">
        <v>22594</v>
      </c>
      <c r="Q23" s="6" t="n">
        <v>17311.80001</v>
      </c>
      <c r="R23" s="6" t="n">
        <v>37.356208</v>
      </c>
      <c r="S23" s="6" t="n">
        <v>3362.05872</v>
      </c>
      <c r="T23" s="6" t="n">
        <v>20902</v>
      </c>
      <c r="U23" s="6" t="n">
        <v>17539.94128</v>
      </c>
      <c r="V23" s="6" t="n">
        <v>29.258319</v>
      </c>
      <c r="W23" s="6" t="n">
        <v>2633.24871</v>
      </c>
      <c r="X23" s="6" t="n">
        <v>20316</v>
      </c>
      <c r="Y23" s="6" t="n">
        <v>17682.75129</v>
      </c>
      <c r="AC23">
        <f>E23</f>
        <v/>
      </c>
      <c r="AD23">
        <f>M23</f>
        <v/>
      </c>
      <c r="AE23">
        <f>Q23</f>
        <v/>
      </c>
      <c r="AF23">
        <f>U23</f>
        <v/>
      </c>
      <c r="AG23">
        <f>Y23</f>
        <v/>
      </c>
      <c r="AH23" s="208" t="n"/>
      <c r="AI23" s="208" t="n"/>
      <c r="AJ23" s="8" t="n"/>
      <c r="AK23" s="8" t="n"/>
      <c r="AL23" s="8" t="n"/>
      <c r="AM23" s="8" t="n"/>
    </row>
    <row r="24" ht="14.5" customHeight="1" s="213">
      <c r="C24" s="6" t="inlineStr">
        <is>
          <t>Battery electric LCV</t>
        </is>
      </c>
      <c r="D24" s="6" t="inlineStr">
        <is>
          <t>Trd_lcv_elc_350</t>
        </is>
      </c>
      <c r="E24" s="6" t="inlineStr">
        <is>
          <t>Trd_lcv_elc_350</t>
        </is>
      </c>
      <c r="F24" s="6" t="inlineStr">
        <is>
          <t>electric_range_km</t>
        </is>
      </c>
      <c r="G24" s="6" t="n">
        <v>350</v>
      </c>
      <c r="H24" s="6" t="n">
        <v>105</v>
      </c>
      <c r="J24" s="6" t="n">
        <v>98.82521699999999</v>
      </c>
      <c r="K24" s="6" t="n">
        <v>10376.647785</v>
      </c>
      <c r="L24" s="6" t="n">
        <v>33408</v>
      </c>
      <c r="M24" s="6" t="n">
        <v>23031.352215</v>
      </c>
      <c r="N24" s="6" t="n">
        <v>58.691111</v>
      </c>
      <c r="O24" s="6" t="n">
        <v>6162.566655</v>
      </c>
      <c r="P24" s="6" t="n">
        <v>23703</v>
      </c>
      <c r="Q24" s="6" t="n">
        <v>17540.433345</v>
      </c>
      <c r="R24" s="6" t="n">
        <v>37.356208</v>
      </c>
      <c r="S24" s="6" t="n">
        <v>3922.40184</v>
      </c>
      <c r="T24" s="6" t="n">
        <v>21526</v>
      </c>
      <c r="U24" s="6" t="n">
        <v>17603.59816</v>
      </c>
      <c r="V24" s="6" t="n">
        <v>29.258319</v>
      </c>
      <c r="W24" s="6" t="n">
        <v>3072.123495</v>
      </c>
      <c r="X24" s="6" t="n">
        <v>20836</v>
      </c>
      <c r="Y24" s="6" t="n">
        <v>17763.876505</v>
      </c>
      <c r="AC24">
        <f>E24</f>
        <v/>
      </c>
      <c r="AD24">
        <f>M24</f>
        <v/>
      </c>
      <c r="AE24">
        <f>Q24</f>
        <v/>
      </c>
      <c r="AF24">
        <f>U24</f>
        <v/>
      </c>
      <c r="AG24">
        <f>Y24</f>
        <v/>
      </c>
      <c r="AH24" s="208" t="n"/>
      <c r="AI24" s="208" t="n"/>
      <c r="AJ24" s="8" t="n"/>
      <c r="AK24" s="8" t="n"/>
      <c r="AL24" s="8" t="n"/>
      <c r="AM24" s="8" t="n"/>
    </row>
    <row r="25" ht="14.5" customHeight="1" s="213">
      <c r="C25" s="6" t="inlineStr">
        <is>
          <t>Battery electric LCV</t>
        </is>
      </c>
      <c r="D25" s="6" t="inlineStr">
        <is>
          <t>Trd_lcv_elc_400</t>
        </is>
      </c>
      <c r="E25" s="6" t="inlineStr">
        <is>
          <t>Trd_lcv_elc_400</t>
        </is>
      </c>
      <c r="F25" s="6" t="inlineStr">
        <is>
          <t>electric_range_km</t>
        </is>
      </c>
      <c r="G25" s="6" t="n">
        <v>400</v>
      </c>
      <c r="H25" s="6" t="n">
        <v>120</v>
      </c>
      <c r="J25" s="6" t="n">
        <v>98.82521699999999</v>
      </c>
      <c r="K25" s="6" t="n">
        <v>11859.02604</v>
      </c>
      <c r="L25" s="6" t="n">
        <v>36793</v>
      </c>
      <c r="M25" s="6" t="n">
        <v>24933.97396</v>
      </c>
      <c r="N25" s="6" t="n">
        <v>58.691111</v>
      </c>
      <c r="O25" s="6" t="n">
        <v>7042.93332</v>
      </c>
      <c r="P25" s="6" t="n">
        <v>24867</v>
      </c>
      <c r="Q25" s="6" t="n">
        <v>17824.06668</v>
      </c>
      <c r="R25" s="6" t="n">
        <v>37.356208</v>
      </c>
      <c r="S25" s="6" t="n">
        <v>4482.74496</v>
      </c>
      <c r="T25" s="6" t="n">
        <v>22150</v>
      </c>
      <c r="U25" s="6" t="n">
        <v>17667.25504</v>
      </c>
      <c r="V25" s="6" t="n">
        <v>29.258319</v>
      </c>
      <c r="W25" s="6" t="n">
        <v>3510.99828</v>
      </c>
      <c r="X25" s="6" t="n">
        <v>21355</v>
      </c>
      <c r="Y25" s="6" t="n">
        <v>17844.00172</v>
      </c>
      <c r="AC25">
        <f>E25</f>
        <v/>
      </c>
      <c r="AD25">
        <f>M25</f>
        <v/>
      </c>
      <c r="AE25">
        <f>Q25</f>
        <v/>
      </c>
      <c r="AF25">
        <f>U25</f>
        <v/>
      </c>
      <c r="AG25">
        <f>Y25</f>
        <v/>
      </c>
      <c r="AH25" s="208" t="n"/>
      <c r="AI25" s="208" t="n"/>
      <c r="AJ25" s="8" t="n"/>
      <c r="AK25" s="8" t="n"/>
      <c r="AL25" s="8" t="n"/>
      <c r="AM25" s="8" t="n"/>
    </row>
    <row r="26" ht="14.5" customHeight="1" s="213">
      <c r="C26" s="6" t="inlineStr">
        <is>
          <t>Battery electric LCV</t>
        </is>
      </c>
      <c r="D26" s="6" t="inlineStr">
        <is>
          <t>Trd_lcv_elc_500</t>
        </is>
      </c>
      <c r="E26" s="6" t="inlineStr">
        <is>
          <t>Trd_lcv_elc_500</t>
        </is>
      </c>
      <c r="F26" s="6" t="inlineStr">
        <is>
          <t>electric_range_km</t>
        </is>
      </c>
      <c r="G26" s="6" t="n">
        <v>500</v>
      </c>
      <c r="H26" s="6" t="n">
        <v>150</v>
      </c>
      <c r="J26" s="6" t="n">
        <v>98.82521699999999</v>
      </c>
      <c r="K26" s="6" t="n">
        <v>14823.78255</v>
      </c>
      <c r="L26" s="6" t="n">
        <v>44277</v>
      </c>
      <c r="M26" s="6" t="n">
        <v>29453.21745</v>
      </c>
      <c r="N26" s="6" t="n">
        <v>58.691111</v>
      </c>
      <c r="O26" s="6" t="n">
        <v>8803.666649999999</v>
      </c>
      <c r="P26" s="6" t="n">
        <v>27630</v>
      </c>
      <c r="Q26" s="6" t="n">
        <v>18826.33335</v>
      </c>
      <c r="R26" s="6" t="n">
        <v>37.356208</v>
      </c>
      <c r="S26" s="6" t="n">
        <v>5603.4312</v>
      </c>
      <c r="T26" s="6" t="n">
        <v>23637</v>
      </c>
      <c r="U26" s="6" t="n">
        <v>18033.5688</v>
      </c>
      <c r="V26" s="6" t="n">
        <v>29.258319</v>
      </c>
      <c r="W26" s="6" t="n">
        <v>4388.74785</v>
      </c>
      <c r="X26" s="6" t="n">
        <v>22393</v>
      </c>
      <c r="Y26" s="6" t="n">
        <v>18004.25215</v>
      </c>
      <c r="AC26">
        <f>E26</f>
        <v/>
      </c>
      <c r="AD26">
        <f>M26</f>
        <v/>
      </c>
      <c r="AE26">
        <f>Q26</f>
        <v/>
      </c>
      <c r="AF26">
        <f>U26</f>
        <v/>
      </c>
      <c r="AG26">
        <f>Y26</f>
        <v/>
      </c>
      <c r="AH26" s="208" t="n"/>
      <c r="AI26" s="208" t="n"/>
      <c r="AJ26" s="8" t="n"/>
      <c r="AK26" s="8" t="n"/>
      <c r="AL26" s="8" t="n"/>
      <c r="AM26" s="8" t="n"/>
    </row>
    <row r="27" ht="14.5" customHeight="1" s="213">
      <c r="C27" s="6" t="inlineStr">
        <is>
          <t>ICE gasoline plug-in hybrid LCV</t>
        </is>
      </c>
      <c r="D27" s="6" t="inlineStr">
        <is>
          <t>Trd_lcv_gsl-pih_83</t>
        </is>
      </c>
      <c r="E27" s="6" t="inlineStr">
        <is>
          <t>Trd_lcv_gsl-pih_83</t>
        </is>
      </c>
      <c r="F27" s="6" t="inlineStr">
        <is>
          <t>specific_energy_reduction_vs_2015_gasoline_vehicle</t>
        </is>
      </c>
      <c r="G27" s="12" t="n">
        <v>0.825</v>
      </c>
      <c r="H27" s="6" t="n">
        <v>18</v>
      </c>
      <c r="J27" s="6" t="n">
        <v>98.82521699999999</v>
      </c>
      <c r="K27" s="6" t="n">
        <v>1778.853906</v>
      </c>
      <c r="L27" s="6" t="n">
        <v>25855</v>
      </c>
      <c r="M27" s="6" t="n">
        <v>24076.146094</v>
      </c>
      <c r="N27" s="6" t="n">
        <v>58.691111</v>
      </c>
      <c r="O27" s="6" t="n">
        <v>1056.439998</v>
      </c>
      <c r="P27" s="6" t="n">
        <v>20946</v>
      </c>
      <c r="Q27" s="6" t="n">
        <v>19889.560002</v>
      </c>
      <c r="R27" s="6" t="n">
        <v>37.356208</v>
      </c>
      <c r="S27" s="6" t="n">
        <v>672.411744</v>
      </c>
      <c r="T27" s="6" t="n">
        <v>19751</v>
      </c>
      <c r="U27" s="6" t="n">
        <v>19078.588256</v>
      </c>
      <c r="V27" s="6" t="n">
        <v>29.258319</v>
      </c>
      <c r="W27" s="6" t="n">
        <v>526.6497419999999</v>
      </c>
      <c r="X27" s="6" t="n">
        <v>19403</v>
      </c>
      <c r="Y27" s="6" t="n">
        <v>18876.350258</v>
      </c>
      <c r="AC27">
        <f>E27</f>
        <v/>
      </c>
      <c r="AD27">
        <f>M27</f>
        <v/>
      </c>
      <c r="AE27">
        <f>Q27</f>
        <v/>
      </c>
      <c r="AF27">
        <f>U27</f>
        <v/>
      </c>
      <c r="AG27">
        <f>Y27</f>
        <v/>
      </c>
      <c r="AH27" s="208" t="n"/>
      <c r="AI27" s="208" t="n"/>
      <c r="AJ27" s="8" t="n"/>
      <c r="AK27" s="8" t="n"/>
      <c r="AL27" s="8" t="n"/>
      <c r="AM27" s="8" t="n"/>
    </row>
    <row r="28" ht="14.5" customHeight="1" s="213">
      <c r="C28" s="6" t="inlineStr">
        <is>
          <t>ICE gasoline plug-in hybrid LCV</t>
        </is>
      </c>
      <c r="D28" s="6" t="inlineStr">
        <is>
          <t>Trd_lcv_gsl-pih_84</t>
        </is>
      </c>
      <c r="E28" s="6" t="inlineStr">
        <is>
          <t>Trd_lcv_gsl-pih_84</t>
        </is>
      </c>
      <c r="F28" s="6" t="inlineStr">
        <is>
          <t>specific_energy_reduction_vs_2015_gasoline_vehicle</t>
        </is>
      </c>
      <c r="G28" s="12" t="n">
        <v>0.835</v>
      </c>
      <c r="H28" s="6" t="n">
        <v>18</v>
      </c>
      <c r="J28" s="6" t="n">
        <v>98.82521699999999</v>
      </c>
      <c r="K28" s="6" t="n">
        <v>1778.853906</v>
      </c>
      <c r="L28" s="6" t="n">
        <v>25937</v>
      </c>
      <c r="M28" s="6" t="n">
        <v>24158.146094</v>
      </c>
      <c r="N28" s="6" t="n">
        <v>58.691111</v>
      </c>
      <c r="O28" s="6" t="n">
        <v>1056.439998</v>
      </c>
      <c r="P28" s="6" t="n">
        <v>20973</v>
      </c>
      <c r="Q28" s="6" t="n">
        <v>19916.560002</v>
      </c>
      <c r="R28" s="6" t="n">
        <v>37.356208</v>
      </c>
      <c r="S28" s="6" t="n">
        <v>672.411744</v>
      </c>
      <c r="T28" s="6" t="n">
        <v>19767</v>
      </c>
      <c r="U28" s="6" t="n">
        <v>19094.588256</v>
      </c>
      <c r="V28" s="6" t="n">
        <v>29.258319</v>
      </c>
      <c r="W28" s="6" t="n">
        <v>526.6497419999999</v>
      </c>
      <c r="X28" s="6" t="n">
        <v>19415</v>
      </c>
      <c r="Y28" s="6" t="n">
        <v>18888.350258</v>
      </c>
      <c r="AC28">
        <f>E28</f>
        <v/>
      </c>
      <c r="AD28">
        <f>M28</f>
        <v/>
      </c>
      <c r="AE28">
        <f>Q28</f>
        <v/>
      </c>
      <c r="AF28">
        <f>U28</f>
        <v/>
      </c>
      <c r="AG28">
        <f>Y28</f>
        <v/>
      </c>
      <c r="AH28" s="208" t="n"/>
      <c r="AI28" s="208" t="n"/>
      <c r="AJ28" s="8" t="n"/>
      <c r="AK28" s="8" t="n"/>
      <c r="AL28" s="8" t="n"/>
      <c r="AM28" s="8" t="n"/>
    </row>
    <row r="29" ht="14.5" customHeight="1" s="213">
      <c r="C29" s="6" t="inlineStr">
        <is>
          <t>ICE gasoline plug-in hybrid LCV</t>
        </is>
      </c>
      <c r="D29" s="6" t="inlineStr">
        <is>
          <t>Trd_lcv_gsl-pih_85</t>
        </is>
      </c>
      <c r="E29" s="6" t="inlineStr">
        <is>
          <t>Trd_lcv_gsl-pih_85</t>
        </is>
      </c>
      <c r="F29" s="6" t="inlineStr">
        <is>
          <t>specific_energy_reduction_vs_2015_gasoline_vehicle</t>
        </is>
      </c>
      <c r="G29" s="12" t="n">
        <v>0.848</v>
      </c>
      <c r="H29" s="6" t="n">
        <v>18</v>
      </c>
      <c r="J29" s="6" t="n">
        <v>98.82521699999999</v>
      </c>
      <c r="K29" s="6" t="n">
        <v>1778.853906</v>
      </c>
      <c r="L29" s="6" t="n">
        <v>26068</v>
      </c>
      <c r="M29" s="6" t="n">
        <v>24289.146094</v>
      </c>
      <c r="N29" s="6" t="n">
        <v>58.691111</v>
      </c>
      <c r="O29" s="6" t="n">
        <v>1056.439998</v>
      </c>
      <c r="P29" s="6" t="n">
        <v>20984</v>
      </c>
      <c r="Q29" s="6" t="n">
        <v>19927.560002</v>
      </c>
      <c r="R29" s="6" t="n">
        <v>37.356208</v>
      </c>
      <c r="S29" s="6" t="n">
        <v>672.411744</v>
      </c>
      <c r="T29" s="6" t="n">
        <v>19772</v>
      </c>
      <c r="U29" s="6" t="n">
        <v>19099.588256</v>
      </c>
      <c r="V29" s="6" t="n">
        <v>29.258319</v>
      </c>
      <c r="W29" s="6" t="n">
        <v>526.6497419999999</v>
      </c>
      <c r="X29" s="6" t="n">
        <v>19418</v>
      </c>
      <c r="Y29" s="6" t="n">
        <v>18891.350258</v>
      </c>
      <c r="AC29">
        <f>E29</f>
        <v/>
      </c>
      <c r="AD29">
        <f>M29</f>
        <v/>
      </c>
      <c r="AE29">
        <f>Q29</f>
        <v/>
      </c>
      <c r="AF29">
        <f>U29</f>
        <v/>
      </c>
      <c r="AG29">
        <f>Y29</f>
        <v/>
      </c>
      <c r="AH29" s="208" t="n"/>
      <c r="AI29" s="208" t="n"/>
      <c r="AJ29" s="8" t="n"/>
      <c r="AK29" s="8" t="n"/>
      <c r="AL29" s="8" t="n"/>
      <c r="AM29" s="8" t="n"/>
    </row>
    <row r="30" ht="14.5" customHeight="1" s="213">
      <c r="C30" s="6" t="inlineStr">
        <is>
          <t>ICE gasoline plug-in hybrid LCV</t>
        </is>
      </c>
      <c r="D30" s="6" t="inlineStr">
        <is>
          <t>Trd_lcv_gsl-pih_86</t>
        </is>
      </c>
      <c r="E30" s="6" t="inlineStr">
        <is>
          <t>Trd_lcv_gsl-pih_86</t>
        </is>
      </c>
      <c r="F30" s="6" t="inlineStr">
        <is>
          <t>specific_energy_reduction_vs_2015_gasoline_vehicle</t>
        </is>
      </c>
      <c r="G30" s="12" t="n">
        <v>0.858</v>
      </c>
      <c r="H30" s="6" t="n">
        <v>18</v>
      </c>
      <c r="J30" s="6" t="n">
        <v>98.82521699999999</v>
      </c>
      <c r="K30" s="6" t="n">
        <v>1778.853906</v>
      </c>
      <c r="L30" s="6" t="n">
        <v>29189</v>
      </c>
      <c r="M30" s="6" t="n">
        <v>27410.146094</v>
      </c>
      <c r="N30" s="6" t="n">
        <v>58.691111</v>
      </c>
      <c r="O30" s="6" t="n">
        <v>1056.439998</v>
      </c>
      <c r="P30" s="6" t="n">
        <v>21014</v>
      </c>
      <c r="Q30" s="6" t="n">
        <v>19957.560002</v>
      </c>
      <c r="R30" s="6" t="n">
        <v>37.356208</v>
      </c>
      <c r="S30" s="6" t="n">
        <v>672.411744</v>
      </c>
      <c r="T30" s="6" t="n">
        <v>19796</v>
      </c>
      <c r="U30" s="6" t="n">
        <v>19123.588256</v>
      </c>
      <c r="V30" s="6" t="n">
        <v>29.258319</v>
      </c>
      <c r="W30" s="6" t="n">
        <v>526.6497419999999</v>
      </c>
      <c r="X30" s="6" t="n">
        <v>19441</v>
      </c>
      <c r="Y30" s="6" t="n">
        <v>18914.350258</v>
      </c>
      <c r="AC30">
        <f>E30</f>
        <v/>
      </c>
      <c r="AD30">
        <f>M30</f>
        <v/>
      </c>
      <c r="AE30">
        <f>Q30</f>
        <v/>
      </c>
      <c r="AF30">
        <f>U30</f>
        <v/>
      </c>
      <c r="AG30">
        <f>Y30</f>
        <v/>
      </c>
      <c r="AH30" s="208" t="n"/>
      <c r="AI30" s="208" t="n"/>
      <c r="AJ30" s="8" t="n"/>
      <c r="AK30" s="8" t="n"/>
      <c r="AL30" s="8" t="n"/>
      <c r="AM30" s="8" t="n"/>
    </row>
    <row r="31" ht="14.5" customHeight="1" s="213">
      <c r="C31" s="6" t="inlineStr">
        <is>
          <t>ICE gasoline plug-in hybrid LCV</t>
        </is>
      </c>
      <c r="D31" s="6" t="inlineStr">
        <is>
          <t>Trd_lcv_gsl-pih_87</t>
        </is>
      </c>
      <c r="E31" s="6" t="inlineStr">
        <is>
          <t>Trd_lcv_gsl-pih_87</t>
        </is>
      </c>
      <c r="F31" s="6" t="inlineStr">
        <is>
          <t>specific_energy_reduction_vs_2015_gasoline_vehicle</t>
        </is>
      </c>
      <c r="G31" s="12" t="n">
        <v>0.868</v>
      </c>
      <c r="H31" s="6" t="n">
        <v>18</v>
      </c>
      <c r="J31" s="6" t="n">
        <v>98.82521699999999</v>
      </c>
      <c r="K31" s="6" t="n">
        <v>1778.853906</v>
      </c>
      <c r="L31" s="6" t="n">
        <v>44990</v>
      </c>
      <c r="M31" s="6" t="n">
        <v>43211.146094</v>
      </c>
      <c r="N31" s="6" t="n">
        <v>58.691111</v>
      </c>
      <c r="O31" s="6" t="n">
        <v>1056.439998</v>
      </c>
      <c r="P31" s="6" t="n">
        <v>21033</v>
      </c>
      <c r="Q31" s="6" t="n">
        <v>19976.560002</v>
      </c>
      <c r="R31" s="6" t="n">
        <v>37.356208</v>
      </c>
      <c r="S31" s="6" t="n">
        <v>672.411744</v>
      </c>
      <c r="T31" s="6" t="n">
        <v>19824</v>
      </c>
      <c r="U31" s="6" t="n">
        <v>19151.588256</v>
      </c>
      <c r="V31" s="6" t="n">
        <v>29.258319</v>
      </c>
      <c r="W31" s="6" t="n">
        <v>526.6497419999999</v>
      </c>
      <c r="X31" s="6" t="n">
        <v>19473</v>
      </c>
      <c r="Y31" s="6" t="n">
        <v>18946.350258</v>
      </c>
      <c r="AC31">
        <f>E31</f>
        <v/>
      </c>
      <c r="AD31">
        <f>M31</f>
        <v/>
      </c>
      <c r="AE31">
        <f>Q31</f>
        <v/>
      </c>
      <c r="AF31">
        <f>U31</f>
        <v/>
      </c>
      <c r="AG31">
        <f>Y31</f>
        <v/>
      </c>
      <c r="AH31" s="208" t="n"/>
      <c r="AI31" s="208" t="n"/>
      <c r="AJ31" s="8" t="n"/>
      <c r="AK31" s="8" t="n"/>
      <c r="AL31" s="8" t="n"/>
      <c r="AM31" s="8" t="n"/>
    </row>
    <row r="32" ht="14.5" customHeight="1" s="213">
      <c r="C32" s="6" t="inlineStr">
        <is>
          <t>ICE gasoline plug-in hybrid LCV</t>
        </is>
      </c>
      <c r="D32" s="6" t="inlineStr">
        <is>
          <t>Trd_lcv_gsl-pih_92</t>
        </is>
      </c>
      <c r="E32" s="6" t="inlineStr">
        <is>
          <t>Trd_lcv_gsl-pih_92</t>
        </is>
      </c>
      <c r="F32" s="6" t="inlineStr">
        <is>
          <t>specific_energy_reduction_vs_2015_gasoline_vehicle</t>
        </is>
      </c>
      <c r="G32" s="12" t="n">
        <v>0.915</v>
      </c>
      <c r="H32" s="6" t="n">
        <v>18</v>
      </c>
      <c r="J32" s="6" t="n">
        <v>98.82521699999999</v>
      </c>
      <c r="K32" s="6" t="n">
        <v>1778.853906</v>
      </c>
      <c r="L32" s="6" t="n">
        <v>61079</v>
      </c>
      <c r="M32" s="6" t="n">
        <v>59300.146094</v>
      </c>
      <c r="N32" s="6" t="n">
        <v>58.691111</v>
      </c>
      <c r="O32" s="6" t="n">
        <v>1056.439998</v>
      </c>
      <c r="P32" s="6" t="n">
        <v>24621</v>
      </c>
      <c r="Q32" s="6" t="n">
        <v>23564.560002</v>
      </c>
      <c r="R32" s="6" t="n">
        <v>37.356208</v>
      </c>
      <c r="S32" s="6" t="n">
        <v>672.411744</v>
      </c>
      <c r="T32" s="6" t="n">
        <v>22832</v>
      </c>
      <c r="U32" s="6" t="n">
        <v>22159.588256</v>
      </c>
      <c r="V32" s="6" t="n">
        <v>29.258319</v>
      </c>
      <c r="W32" s="6" t="n">
        <v>526.6497419999999</v>
      </c>
      <c r="X32" s="6" t="n">
        <v>22357</v>
      </c>
      <c r="Y32" s="6" t="n">
        <v>21830.350258</v>
      </c>
      <c r="AC32">
        <f>E32</f>
        <v/>
      </c>
      <c r="AD32">
        <f>M32</f>
        <v/>
      </c>
      <c r="AE32">
        <f>Q32</f>
        <v/>
      </c>
      <c r="AF32">
        <f>U32</f>
        <v/>
      </c>
      <c r="AG32">
        <f>Y32</f>
        <v/>
      </c>
      <c r="AH32" s="208" t="n"/>
      <c r="AI32" s="208" t="n"/>
      <c r="AJ32" s="8" t="n"/>
      <c r="AK32" s="8" t="n"/>
      <c r="AL32" s="8" t="n"/>
      <c r="AM32" s="8" t="n"/>
    </row>
    <row r="33" ht="14.5" customHeight="1" s="213">
      <c r="C33" s="6" t="inlineStr">
        <is>
          <t>ICE gasoline plug-in hybrid LCV</t>
        </is>
      </c>
      <c r="D33" s="6" t="inlineStr">
        <is>
          <t>Trd_lcv_gsl-pih_93</t>
        </is>
      </c>
      <c r="E33" s="6" t="inlineStr">
        <is>
          <t>Trd_lcv_gsl-pih_93</t>
        </is>
      </c>
      <c r="F33" s="6" t="inlineStr">
        <is>
          <t>specific_energy_reduction_vs_2015_gasoline_vehicle</t>
        </is>
      </c>
      <c r="G33" s="12" t="n">
        <v>0.923</v>
      </c>
      <c r="H33" s="6" t="n">
        <v>18</v>
      </c>
      <c r="J33" s="6" t="n">
        <v>98.82521699999999</v>
      </c>
      <c r="K33" s="6" t="n">
        <v>1778.853906</v>
      </c>
      <c r="L33" s="6" t="n">
        <v>61659</v>
      </c>
      <c r="M33" s="6" t="n">
        <v>59880.146094</v>
      </c>
      <c r="N33" s="6" t="n">
        <v>58.691111</v>
      </c>
      <c r="O33" s="6" t="n">
        <v>1056.439998</v>
      </c>
      <c r="P33" s="6" t="n">
        <v>36663</v>
      </c>
      <c r="Q33" s="6" t="n">
        <v>35606.560002</v>
      </c>
      <c r="R33" s="6" t="n">
        <v>37.356208</v>
      </c>
      <c r="S33" s="6" t="n">
        <v>672.411744</v>
      </c>
      <c r="T33" s="6" t="n">
        <v>34512</v>
      </c>
      <c r="U33" s="6" t="n">
        <v>33839.588256</v>
      </c>
      <c r="V33" s="6" t="n">
        <v>29.258319</v>
      </c>
      <c r="W33" s="6" t="n">
        <v>526.6497419999999</v>
      </c>
      <c r="X33" s="6" t="n">
        <v>34243</v>
      </c>
      <c r="Y33" s="6" t="n">
        <v>33716.350258</v>
      </c>
      <c r="AC33">
        <f>E33</f>
        <v/>
      </c>
      <c r="AD33">
        <f>M33</f>
        <v/>
      </c>
      <c r="AE33">
        <f>Q33</f>
        <v/>
      </c>
      <c r="AF33">
        <f>U33</f>
        <v/>
      </c>
      <c r="AG33">
        <f>Y33</f>
        <v/>
      </c>
      <c r="AH33" s="208" t="n"/>
      <c r="AI33" s="208" t="n"/>
      <c r="AJ33" s="8" t="n"/>
      <c r="AK33" s="8" t="n"/>
      <c r="AL33" s="8" t="n"/>
      <c r="AM33" s="8" t="n"/>
    </row>
    <row r="34" ht="14.5" customHeight="1" s="213">
      <c r="C34" s="6" t="inlineStr">
        <is>
          <t>ICE gasoline plug-in hybrid LCV</t>
        </is>
      </c>
      <c r="D34" s="6" t="inlineStr">
        <is>
          <t>Trd_lcv_gsl-pih_93_high</t>
        </is>
      </c>
      <c r="E34" s="6" t="inlineStr">
        <is>
          <t>Trd_lcv_gsl-pih_93_high</t>
        </is>
      </c>
      <c r="F34" s="6" t="inlineStr">
        <is>
          <t>specific_energy_reduction_vs_2015_gasoline_vehicle</t>
        </is>
      </c>
      <c r="G34" s="12" t="n">
        <v>0.93</v>
      </c>
      <c r="H34" s="6" t="n">
        <v>18</v>
      </c>
      <c r="I34" s="6" t="inlineStr">
        <is>
          <t>Pasted capacity list has one Trd_lcv_gsl-pih_93 entry; 93.0% row kept separate with the same 18 kWh capacity.</t>
        </is>
      </c>
      <c r="J34" s="6" t="n">
        <v>98.82521699999999</v>
      </c>
      <c r="K34" s="6" t="n">
        <v>1778.853906</v>
      </c>
      <c r="L34" s="6" t="n">
        <v>99214</v>
      </c>
      <c r="M34" s="6" t="n">
        <v>97435.146094</v>
      </c>
      <c r="N34" s="6" t="n">
        <v>58.691111</v>
      </c>
      <c r="O34" s="6" t="n">
        <v>1056.439998</v>
      </c>
      <c r="P34" s="6" t="n">
        <v>52428</v>
      </c>
      <c r="Q34" s="6" t="n">
        <v>51371.560002</v>
      </c>
      <c r="R34" s="6" t="n">
        <v>37.356208</v>
      </c>
      <c r="S34" s="6" t="n">
        <v>672.411744</v>
      </c>
      <c r="T34" s="6" t="n">
        <v>50000</v>
      </c>
      <c r="U34" s="6" t="n">
        <v>49327.588256</v>
      </c>
      <c r="V34" s="6" t="n">
        <v>29.258319</v>
      </c>
      <c r="W34" s="6" t="n">
        <v>526.6497419999999</v>
      </c>
      <c r="X34" s="6" t="n">
        <v>50077</v>
      </c>
      <c r="Y34" s="6" t="n">
        <v>49550.350258</v>
      </c>
      <c r="AC34" t="inlineStr">
        <is>
          <t>*</t>
        </is>
      </c>
      <c r="AD34">
        <f>M34</f>
        <v/>
      </c>
      <c r="AE34">
        <f>Q34</f>
        <v/>
      </c>
      <c r="AF34">
        <f>U34</f>
        <v/>
      </c>
      <c r="AG34">
        <f>Y34</f>
        <v/>
      </c>
      <c r="AH34" s="208" t="n"/>
      <c r="AI34" s="208" t="n"/>
      <c r="AJ34" s="8" t="n"/>
      <c r="AK34" s="8" t="n"/>
      <c r="AL34" s="8" t="n"/>
      <c r="AM34" s="8" t="n"/>
    </row>
    <row r="35" ht="14.5" customHeight="1" s="213">
      <c r="C35" s="6" t="inlineStr">
        <is>
          <t>7.5-16t battery electric truck</t>
        </is>
      </c>
      <c r="D35" s="6" t="inlineStr">
        <is>
          <t>Trd_hdt_elc_150</t>
        </is>
      </c>
      <c r="E35" s="6" t="inlineStr">
        <is>
          <t>Trd_hdt_elc_150</t>
        </is>
      </c>
      <c r="F35" s="6" t="inlineStr">
        <is>
          <t>electric_range_km</t>
        </is>
      </c>
      <c r="G35" s="6" t="n">
        <v>150</v>
      </c>
      <c r="H35" s="6" t="n">
        <v>180</v>
      </c>
      <c r="J35" s="6" t="n">
        <v>98.82521699999999</v>
      </c>
      <c r="K35" s="6" t="n">
        <v>17788.53906</v>
      </c>
      <c r="L35" s="6" t="n">
        <v>144374</v>
      </c>
      <c r="M35" s="6" t="n">
        <v>126585.46094</v>
      </c>
      <c r="N35" s="6" t="n">
        <v>58.691111</v>
      </c>
      <c r="O35" s="6" t="n">
        <v>10564.39998</v>
      </c>
      <c r="P35" s="6" t="n">
        <v>95781</v>
      </c>
      <c r="Q35" s="6" t="n">
        <v>85216.60002</v>
      </c>
      <c r="R35" s="6" t="n">
        <v>37.356208</v>
      </c>
      <c r="S35" s="6" t="n">
        <v>6724.11744</v>
      </c>
      <c r="T35" s="6" t="n">
        <v>90630</v>
      </c>
      <c r="U35" s="6" t="n">
        <v>83905.88256</v>
      </c>
      <c r="V35" s="6" t="n">
        <v>29.258319</v>
      </c>
      <c r="W35" s="6" t="n">
        <v>5266.49742</v>
      </c>
      <c r="X35" s="6" t="n">
        <v>88753</v>
      </c>
      <c r="Y35" s="6" t="n">
        <v>83486.50258</v>
      </c>
      <c r="AC35">
        <f>E35</f>
        <v/>
      </c>
      <c r="AD35">
        <f>M35</f>
        <v/>
      </c>
      <c r="AE35">
        <f>Q35</f>
        <v/>
      </c>
      <c r="AF35">
        <f>U35</f>
        <v/>
      </c>
      <c r="AG35">
        <f>Y35</f>
        <v/>
      </c>
      <c r="AH35" s="208" t="n"/>
      <c r="AI35" s="208" t="n"/>
      <c r="AJ35" s="8" t="n"/>
      <c r="AK35" s="8" t="n"/>
      <c r="AL35" s="8" t="n"/>
      <c r="AM35" s="8" t="n"/>
    </row>
    <row r="36" ht="14.5" customHeight="1" s="213">
      <c r="C36" s="6" t="inlineStr">
        <is>
          <t>7.5-16t battery electric truck</t>
        </is>
      </c>
      <c r="D36" s="6" t="inlineStr">
        <is>
          <t>Trd_hdt_elc_179</t>
        </is>
      </c>
      <c r="E36" s="6" t="inlineStr">
        <is>
          <t>Trd_hdt_elc_179</t>
        </is>
      </c>
      <c r="F36" s="6" t="inlineStr">
        <is>
          <t>electric_range_km</t>
        </is>
      </c>
      <c r="G36" s="6" t="n">
        <v>179</v>
      </c>
      <c r="H36" s="6" t="n">
        <v>214.8</v>
      </c>
      <c r="J36" s="6" t="n">
        <v>98.82521699999999</v>
      </c>
      <c r="K36" s="6" t="n">
        <v>21227.656612</v>
      </c>
      <c r="L36" s="6" t="n">
        <v>147802</v>
      </c>
      <c r="M36" s="6" t="n">
        <v>126574.343388</v>
      </c>
      <c r="N36" s="6" t="n">
        <v>58.691111</v>
      </c>
      <c r="O36" s="6" t="n">
        <v>12606.850643</v>
      </c>
      <c r="P36" s="6" t="n">
        <v>97793</v>
      </c>
      <c r="Q36" s="6" t="n">
        <v>85186.149357</v>
      </c>
      <c r="R36" s="6" t="n">
        <v>37.356208</v>
      </c>
      <c r="S36" s="6" t="n">
        <v>8024.113478</v>
      </c>
      <c r="T36" s="6" t="n">
        <v>92047</v>
      </c>
      <c r="U36" s="6" t="n">
        <v>84022.886522</v>
      </c>
      <c r="V36" s="6" t="n">
        <v>29.258319</v>
      </c>
      <c r="W36" s="6" t="n">
        <v>6284.686921</v>
      </c>
      <c r="X36" s="6" t="n">
        <v>89777</v>
      </c>
      <c r="Y36" s="6" t="n">
        <v>83492.313079</v>
      </c>
      <c r="AC36">
        <f>E36</f>
        <v/>
      </c>
      <c r="AD36">
        <f>M36</f>
        <v/>
      </c>
      <c r="AE36">
        <f>Q36</f>
        <v/>
      </c>
      <c r="AF36">
        <f>U36</f>
        <v/>
      </c>
      <c r="AG36">
        <f>Y36</f>
        <v/>
      </c>
      <c r="AH36" s="208" t="n"/>
      <c r="AI36" s="208" t="n"/>
      <c r="AJ36" s="8" t="n"/>
      <c r="AK36" s="8" t="n"/>
      <c r="AL36" s="8" t="n"/>
      <c r="AM36" s="8" t="n"/>
    </row>
    <row r="37" ht="14.5" customHeight="1" s="213">
      <c r="C37" s="6" t="inlineStr">
        <is>
          <t>7.5-16t battery electric truck</t>
        </is>
      </c>
      <c r="D37" s="6" t="inlineStr">
        <is>
          <t>Trd_hdt_elc_207</t>
        </is>
      </c>
      <c r="E37" s="6" t="inlineStr">
        <is>
          <t>Trd_hdt_elc_207</t>
        </is>
      </c>
      <c r="F37" s="6" t="inlineStr">
        <is>
          <t>electric_range_km</t>
        </is>
      </c>
      <c r="G37" s="6" t="n">
        <v>207</v>
      </c>
      <c r="H37" s="6" t="n">
        <v>248.4</v>
      </c>
      <c r="J37" s="6" t="n">
        <v>98.82521699999999</v>
      </c>
      <c r="K37" s="6" t="n">
        <v>24548.183903</v>
      </c>
      <c r="L37" s="6" t="n">
        <v>149289</v>
      </c>
      <c r="M37" s="6" t="n">
        <v>124740.816097</v>
      </c>
      <c r="N37" s="6" t="n">
        <v>58.691111</v>
      </c>
      <c r="O37" s="6" t="n">
        <v>14578.871972</v>
      </c>
      <c r="P37" s="6" t="n">
        <v>100586</v>
      </c>
      <c r="Q37" s="6" t="n">
        <v>86007.12802800001</v>
      </c>
      <c r="R37" s="6" t="n">
        <v>37.356208</v>
      </c>
      <c r="S37" s="6" t="n">
        <v>9279.282067</v>
      </c>
      <c r="T37" s="6" t="n">
        <v>93658</v>
      </c>
      <c r="U37" s="6" t="n">
        <v>84378.71793300001</v>
      </c>
      <c r="V37" s="6" t="n">
        <v>29.258319</v>
      </c>
      <c r="W37" s="6" t="n">
        <v>7267.76644</v>
      </c>
      <c r="X37" s="6" t="n">
        <v>90964</v>
      </c>
      <c r="Y37" s="6" t="n">
        <v>83696.23355999999</v>
      </c>
      <c r="AC37">
        <f>E37</f>
        <v/>
      </c>
      <c r="AD37">
        <f>M37</f>
        <v/>
      </c>
      <c r="AE37">
        <f>Q37</f>
        <v/>
      </c>
      <c r="AF37">
        <f>U37</f>
        <v/>
      </c>
      <c r="AG37">
        <f>Y37</f>
        <v/>
      </c>
      <c r="AH37" s="208" t="n"/>
      <c r="AI37" s="208" t="n"/>
      <c r="AJ37" s="8" t="n"/>
      <c r="AK37" s="8" t="n"/>
      <c r="AL37" s="8" t="n"/>
      <c r="AM37" s="8" t="n"/>
    </row>
    <row r="38" ht="14.5" customHeight="1" s="213">
      <c r="C38" s="6" t="inlineStr">
        <is>
          <t>7.5-16t battery electric truck</t>
        </is>
      </c>
      <c r="D38" s="6" t="inlineStr">
        <is>
          <t>Trd_hdt_elc_236</t>
        </is>
      </c>
      <c r="E38" s="6" t="inlineStr">
        <is>
          <t>Trd_hdt_elc_236</t>
        </is>
      </c>
      <c r="F38" s="6" t="inlineStr">
        <is>
          <t>electric_range_km</t>
        </is>
      </c>
      <c r="G38" s="6" t="n">
        <v>236</v>
      </c>
      <c r="H38" s="6" t="n">
        <v>283.2</v>
      </c>
      <c r="J38" s="6" t="n">
        <v>98.82521699999999</v>
      </c>
      <c r="K38" s="6" t="n">
        <v>27987.301454</v>
      </c>
      <c r="L38" s="6" t="n">
        <v>152494</v>
      </c>
      <c r="M38" s="6" t="n">
        <v>124506.698546</v>
      </c>
      <c r="N38" s="6" t="n">
        <v>58.691111</v>
      </c>
      <c r="O38" s="6" t="n">
        <v>16621.322635</v>
      </c>
      <c r="P38" s="6" t="n">
        <v>102554</v>
      </c>
      <c r="Q38" s="6" t="n">
        <v>85932.677365</v>
      </c>
      <c r="R38" s="6" t="n">
        <v>37.356208</v>
      </c>
      <c r="S38" s="6" t="n">
        <v>10579.278106</v>
      </c>
      <c r="T38" s="6" t="n">
        <v>94660</v>
      </c>
      <c r="U38" s="6" t="n">
        <v>84080.721894</v>
      </c>
      <c r="V38" s="6" t="n">
        <v>29.258319</v>
      </c>
      <c r="W38" s="6" t="n">
        <v>8285.955941</v>
      </c>
      <c r="X38" s="6" t="n">
        <v>92015</v>
      </c>
      <c r="Y38" s="6" t="n">
        <v>83729.04405900001</v>
      </c>
      <c r="AC38">
        <f>E38</f>
        <v/>
      </c>
      <c r="AD38">
        <f>M38</f>
        <v/>
      </c>
      <c r="AE38">
        <f>Q38</f>
        <v/>
      </c>
      <c r="AF38">
        <f>U38</f>
        <v/>
      </c>
      <c r="AG38">
        <f>Y38</f>
        <v/>
      </c>
      <c r="AH38" s="208" t="n"/>
      <c r="AI38" s="208" t="n"/>
      <c r="AJ38" s="8" t="n"/>
      <c r="AK38" s="8" t="n"/>
      <c r="AL38" s="8" t="n"/>
      <c r="AM38" s="8" t="n"/>
    </row>
    <row r="39" ht="14.5" customHeight="1" s="213">
      <c r="C39" s="6" t="inlineStr">
        <is>
          <t>7.5-16t battery electric truck</t>
        </is>
      </c>
      <c r="D39" s="6" t="inlineStr">
        <is>
          <t>Trd_hdt_elc_264</t>
        </is>
      </c>
      <c r="E39" s="6" t="inlineStr">
        <is>
          <t>Trd_hdt_elc_264</t>
        </is>
      </c>
      <c r="F39" s="6" t="inlineStr">
        <is>
          <t>electric_range_km</t>
        </is>
      </c>
      <c r="G39" s="6" t="n">
        <v>264</v>
      </c>
      <c r="H39" s="6" t="n">
        <v>316.8</v>
      </c>
      <c r="J39" s="6" t="n">
        <v>98.82521699999999</v>
      </c>
      <c r="K39" s="6" t="n">
        <v>31307.828746</v>
      </c>
      <c r="L39" s="6" t="n">
        <v>155632</v>
      </c>
      <c r="M39" s="6" t="n">
        <v>124324.171254</v>
      </c>
      <c r="N39" s="6" t="n">
        <v>58.691111</v>
      </c>
      <c r="O39" s="6" t="n">
        <v>18593.343965</v>
      </c>
      <c r="P39" s="6" t="n">
        <v>104580</v>
      </c>
      <c r="Q39" s="6" t="n">
        <v>85986.65603500001</v>
      </c>
      <c r="R39" s="6" t="n">
        <v>37.356208</v>
      </c>
      <c r="S39" s="6" t="n">
        <v>11834.446694</v>
      </c>
      <c r="T39" s="6" t="n">
        <v>95570</v>
      </c>
      <c r="U39" s="6" t="n">
        <v>83735.553306</v>
      </c>
      <c r="V39" s="6" t="n">
        <v>29.258319</v>
      </c>
      <c r="W39" s="6" t="n">
        <v>9269.035459000001</v>
      </c>
      <c r="X39" s="6" t="n">
        <v>92931</v>
      </c>
      <c r="Y39" s="6" t="n">
        <v>83661.96454099999</v>
      </c>
      <c r="AC39">
        <f>E39</f>
        <v/>
      </c>
      <c r="AD39">
        <f>M39</f>
        <v/>
      </c>
      <c r="AE39">
        <f>Q39</f>
        <v/>
      </c>
      <c r="AF39">
        <f>U39</f>
        <v/>
      </c>
      <c r="AG39">
        <f>Y39</f>
        <v/>
      </c>
      <c r="AH39" s="208" t="n"/>
      <c r="AI39" s="208" t="n"/>
      <c r="AJ39" s="8" t="n"/>
      <c r="AK39" s="8" t="n"/>
      <c r="AL39" s="8" t="n"/>
      <c r="AM39" s="8" t="n"/>
    </row>
    <row r="40" ht="14.5" customHeight="1" s="213">
      <c r="C40" s="6" t="inlineStr">
        <is>
          <t>7.5-16t battery electric truck</t>
        </is>
      </c>
      <c r="D40" s="6" t="inlineStr">
        <is>
          <t>Trd_hdt_elc_350</t>
        </is>
      </c>
      <c r="E40" s="6" t="inlineStr">
        <is>
          <t>Trd_hdt_elc_350</t>
        </is>
      </c>
      <c r="F40" s="6" t="inlineStr">
        <is>
          <t>electric_range_km</t>
        </is>
      </c>
      <c r="G40" s="6" t="n">
        <v>350</v>
      </c>
      <c r="H40" s="6" t="n">
        <v>420</v>
      </c>
      <c r="J40" s="6" t="n">
        <v>98.82521699999999</v>
      </c>
      <c r="K40" s="6" t="n">
        <v>41506.59114</v>
      </c>
      <c r="L40" s="6" t="n">
        <v>159705</v>
      </c>
      <c r="M40" s="6" t="n">
        <v>118198.40886</v>
      </c>
      <c r="N40" s="6" t="n">
        <v>58.691111</v>
      </c>
      <c r="O40" s="6" t="n">
        <v>24650.26662</v>
      </c>
      <c r="P40" s="6" t="n">
        <v>107786</v>
      </c>
      <c r="Q40" s="6" t="n">
        <v>83135.73338000001</v>
      </c>
      <c r="R40" s="6" t="n">
        <v>37.356208</v>
      </c>
      <c r="S40" s="6" t="n">
        <v>15689.60736</v>
      </c>
      <c r="T40" s="6" t="n">
        <v>98254</v>
      </c>
      <c r="U40" s="6" t="n">
        <v>82564.39264000001</v>
      </c>
      <c r="V40" s="6" t="n">
        <v>29.258319</v>
      </c>
      <c r="W40" s="6" t="n">
        <v>12288.49398</v>
      </c>
      <c r="X40" s="6" t="n">
        <v>95332</v>
      </c>
      <c r="Y40" s="6" t="n">
        <v>83043.50602</v>
      </c>
      <c r="AC40">
        <f>E40</f>
        <v/>
      </c>
      <c r="AD40">
        <f>M40</f>
        <v/>
      </c>
      <c r="AE40">
        <f>Q40</f>
        <v/>
      </c>
      <c r="AF40">
        <f>U40</f>
        <v/>
      </c>
      <c r="AG40">
        <f>Y40</f>
        <v/>
      </c>
      <c r="AH40" s="208" t="n"/>
      <c r="AI40" s="208" t="n"/>
      <c r="AJ40" s="8" t="n"/>
      <c r="AK40" s="8" t="n"/>
      <c r="AL40" s="8" t="n"/>
      <c r="AM40" s="8" t="n"/>
    </row>
    <row r="41" ht="14.5" customHeight="1" s="213">
      <c r="C41" s="6" t="inlineStr">
        <is>
          <t>7.5-16t battery electric truck</t>
        </is>
      </c>
      <c r="D41" s="6" t="inlineStr">
        <is>
          <t>Trd_hdt_elc_500</t>
        </is>
      </c>
      <c r="E41" s="6" t="inlineStr">
        <is>
          <t>Trd_hdt_elc_500</t>
        </is>
      </c>
      <c r="F41" s="6" t="inlineStr">
        <is>
          <t>electric_range_km</t>
        </is>
      </c>
      <c r="G41" s="6" t="n">
        <v>500</v>
      </c>
      <c r="H41" s="6" t="n">
        <v>600</v>
      </c>
      <c r="J41" s="6" t="n">
        <v>98.82521699999999</v>
      </c>
      <c r="K41" s="6" t="n">
        <v>59295.1302</v>
      </c>
      <c r="L41" s="6" t="n">
        <v>179613</v>
      </c>
      <c r="M41" s="6" t="n">
        <v>120317.8698</v>
      </c>
      <c r="N41" s="6" t="n">
        <v>58.691111</v>
      </c>
      <c r="O41" s="6" t="n">
        <v>35214.6666</v>
      </c>
      <c r="P41" s="6" t="n">
        <v>119565</v>
      </c>
      <c r="Q41" s="6" t="n">
        <v>84350.3334</v>
      </c>
      <c r="R41" s="6" t="n">
        <v>37.356208</v>
      </c>
      <c r="S41" s="6" t="n">
        <v>22413.7248</v>
      </c>
      <c r="T41" s="6" t="n">
        <v>104087</v>
      </c>
      <c r="U41" s="6" t="n">
        <v>81673.2752</v>
      </c>
      <c r="V41" s="6" t="n">
        <v>29.258319</v>
      </c>
      <c r="W41" s="6" t="n">
        <v>17554.9914</v>
      </c>
      <c r="X41" s="6" t="n">
        <v>100030</v>
      </c>
      <c r="Y41" s="6" t="n">
        <v>82475.0086</v>
      </c>
      <c r="AC41">
        <f>E41</f>
        <v/>
      </c>
      <c r="AD41">
        <f>M41</f>
        <v/>
      </c>
      <c r="AE41">
        <f>Q41</f>
        <v/>
      </c>
      <c r="AF41">
        <f>U41</f>
        <v/>
      </c>
      <c r="AG41">
        <f>Y41</f>
        <v/>
      </c>
      <c r="AH41" s="208" t="n"/>
      <c r="AI41" s="208" t="n"/>
      <c r="AJ41" s="8" t="n"/>
      <c r="AK41" s="8" t="n"/>
      <c r="AL41" s="8" t="n"/>
      <c r="AM41" s="8" t="n"/>
    </row>
    <row r="42" ht="14.5" customHeight="1" s="213">
      <c r="C42" s="6" t="inlineStr">
        <is>
          <t>7.5-16t battery electric truck</t>
        </is>
      </c>
      <c r="D42" s="6" t="inlineStr">
        <is>
          <t>Trd_hdt_elc_600</t>
        </is>
      </c>
      <c r="E42" s="6" t="inlineStr">
        <is>
          <t>Trd_hdt_elc_600</t>
        </is>
      </c>
      <c r="F42" s="6" t="inlineStr">
        <is>
          <t>electric_range_km</t>
        </is>
      </c>
      <c r="G42" s="6" t="n">
        <v>600</v>
      </c>
      <c r="H42" s="6" t="n">
        <v>720</v>
      </c>
      <c r="J42" s="6" t="n">
        <v>98.82521699999999</v>
      </c>
      <c r="K42" s="6" t="n">
        <v>71154.15624</v>
      </c>
      <c r="L42" s="6" t="n">
        <v>193069</v>
      </c>
      <c r="M42" s="6" t="n">
        <v>121914.84376</v>
      </c>
      <c r="N42" s="6" t="n">
        <v>58.691111</v>
      </c>
      <c r="O42" s="6" t="n">
        <v>42257.59992</v>
      </c>
      <c r="P42" s="6" t="n">
        <v>125557</v>
      </c>
      <c r="Q42" s="6" t="n">
        <v>83299.40008000001</v>
      </c>
      <c r="R42" s="6" t="n">
        <v>37.356208</v>
      </c>
      <c r="S42" s="6" t="n">
        <v>26896.46976</v>
      </c>
      <c r="T42" s="6" t="n">
        <v>111128</v>
      </c>
      <c r="U42" s="6" t="n">
        <v>84231.53023999999</v>
      </c>
      <c r="V42" s="6" t="n">
        <v>29.258319</v>
      </c>
      <c r="W42" s="6" t="n">
        <v>21065.98968</v>
      </c>
      <c r="X42" s="6" t="n">
        <v>104587</v>
      </c>
      <c r="Y42" s="6" t="n">
        <v>83521.01032</v>
      </c>
      <c r="AC42">
        <f>E42</f>
        <v/>
      </c>
      <c r="AD42">
        <f>M42</f>
        <v/>
      </c>
      <c r="AE42">
        <f>Q42</f>
        <v/>
      </c>
      <c r="AF42">
        <f>U42</f>
        <v/>
      </c>
      <c r="AG42">
        <f>Y42</f>
        <v/>
      </c>
      <c r="AH42" s="208" t="n"/>
      <c r="AI42" s="208" t="n"/>
      <c r="AJ42" s="8" t="n"/>
      <c r="AK42" s="8" t="n"/>
      <c r="AL42" s="8" t="n"/>
      <c r="AM42" s="8" t="n"/>
    </row>
    <row r="43" ht="14.5" customHeight="1" s="213">
      <c r="C43" s="6" t="inlineStr">
        <is>
          <t>Battery electric motorcycle (equivalent to 50-250 cc motorcycle)</t>
        </is>
      </c>
      <c r="D43" s="6" t="inlineStr">
        <is>
          <t>Trd_2w_elc150_120</t>
        </is>
      </c>
      <c r="E43" s="6" t="inlineStr">
        <is>
          <t>Trd_2w_elc150_120</t>
        </is>
      </c>
      <c r="F43" s="6" t="inlineStr">
        <is>
          <t>electric_range_km</t>
        </is>
      </c>
      <c r="G43" s="6" t="n">
        <v>120</v>
      </c>
      <c r="H43" s="6" t="n">
        <v>3.6</v>
      </c>
      <c r="J43" s="6" t="n">
        <v>98.82521699999999</v>
      </c>
      <c r="K43" s="6" t="n">
        <v>355.770781</v>
      </c>
      <c r="L43" s="6" t="n">
        <v>5018</v>
      </c>
      <c r="M43" s="6" t="n">
        <v>4662.229219</v>
      </c>
      <c r="N43" s="6" t="n">
        <v>58.691111</v>
      </c>
      <c r="O43" s="6" t="n">
        <v>211.288</v>
      </c>
      <c r="P43" s="6" t="n">
        <v>3932</v>
      </c>
      <c r="Q43" s="6" t="n">
        <v>3720.712</v>
      </c>
      <c r="R43" s="6" t="n">
        <v>37.356208</v>
      </c>
      <c r="S43" s="6" t="n">
        <v>134.482349</v>
      </c>
      <c r="T43" s="6" t="n">
        <v>3378</v>
      </c>
      <c r="U43" s="6" t="n">
        <v>3243.517651</v>
      </c>
      <c r="V43" s="6" t="n">
        <v>29.258319</v>
      </c>
      <c r="W43" s="6" t="n">
        <v>105.329948</v>
      </c>
      <c r="X43" s="6" t="n">
        <v>3216</v>
      </c>
      <c r="Y43" s="6" t="n">
        <v>3110.670052</v>
      </c>
      <c r="AC43">
        <f>E43</f>
        <v/>
      </c>
      <c r="AD43">
        <f>M43</f>
        <v/>
      </c>
      <c r="AE43">
        <f>Q43</f>
        <v/>
      </c>
      <c r="AF43">
        <f>U43</f>
        <v/>
      </c>
      <c r="AG43">
        <f>Y43</f>
        <v/>
      </c>
      <c r="AH43" s="208" t="n"/>
      <c r="AI43" s="208" t="n"/>
      <c r="AJ43" s="8" t="n"/>
      <c r="AK43" s="8" t="n"/>
      <c r="AL43" s="8" t="n"/>
      <c r="AM43" s="8" t="n"/>
    </row>
    <row r="44" ht="14.5" customHeight="1" s="213">
      <c r="C44" s="6" t="inlineStr">
        <is>
          <t>Battery electric motorcycle (equivalent to 50-250 cc motorcycle)</t>
        </is>
      </c>
      <c r="D44" s="6" t="inlineStr">
        <is>
          <t>Trd_2w_elc150_131</t>
        </is>
      </c>
      <c r="E44" s="6" t="inlineStr">
        <is>
          <t>Trd_2w_elc150_131</t>
        </is>
      </c>
      <c r="F44" s="6" t="inlineStr">
        <is>
          <t>electric_range_km</t>
        </is>
      </c>
      <c r="G44" s="6" t="n">
        <v>131</v>
      </c>
      <c r="H44" s="6" t="n">
        <v>3.93</v>
      </c>
      <c r="J44" s="6" t="n">
        <v>98.82521699999999</v>
      </c>
      <c r="K44" s="6" t="n">
        <v>388.383103</v>
      </c>
      <c r="L44" s="6" t="n">
        <v>5255</v>
      </c>
      <c r="M44" s="6" t="n">
        <v>4866.616897</v>
      </c>
      <c r="N44" s="6" t="n">
        <v>58.691111</v>
      </c>
      <c r="O44" s="6" t="n">
        <v>230.656066</v>
      </c>
      <c r="P44" s="6" t="n">
        <v>4065</v>
      </c>
      <c r="Q44" s="6" t="n">
        <v>3834.343934</v>
      </c>
      <c r="R44" s="6" t="n">
        <v>37.356208</v>
      </c>
      <c r="S44" s="6" t="n">
        <v>146.809897</v>
      </c>
      <c r="T44" s="6" t="n">
        <v>3458</v>
      </c>
      <c r="U44" s="6" t="n">
        <v>3311.190103</v>
      </c>
      <c r="V44" s="6" t="n">
        <v>29.258319</v>
      </c>
      <c r="W44" s="6" t="n">
        <v>114.985194</v>
      </c>
      <c r="X44" s="6" t="n">
        <v>3281</v>
      </c>
      <c r="Y44" s="6" t="n">
        <v>3166.014806</v>
      </c>
      <c r="AC44">
        <f>E44</f>
        <v/>
      </c>
      <c r="AD44">
        <f>M44</f>
        <v/>
      </c>
      <c r="AE44">
        <f>Q44</f>
        <v/>
      </c>
      <c r="AF44">
        <f>U44</f>
        <v/>
      </c>
      <c r="AG44">
        <f>Y44</f>
        <v/>
      </c>
      <c r="AH44" s="208" t="n"/>
      <c r="AI44" s="208" t="n"/>
      <c r="AJ44" s="8" t="n"/>
      <c r="AK44" s="8" t="n"/>
      <c r="AL44" s="8" t="n"/>
      <c r="AM44" s="8" t="n"/>
    </row>
    <row r="45" ht="14.5" customHeight="1" s="213">
      <c r="C45" s="6" t="inlineStr">
        <is>
          <t>Battery electric motorcycle (equivalent to 50-250 cc motorcycle)</t>
        </is>
      </c>
      <c r="D45" s="6" t="inlineStr">
        <is>
          <t>Trd_2w_elc150_143</t>
        </is>
      </c>
      <c r="E45" s="6" t="inlineStr">
        <is>
          <t>Trd_2w_elc150_143</t>
        </is>
      </c>
      <c r="F45" s="6" t="inlineStr">
        <is>
          <t>electric_range_km</t>
        </is>
      </c>
      <c r="G45" s="6" t="n">
        <v>143</v>
      </c>
      <c r="H45" s="6" t="n">
        <v>4.29</v>
      </c>
      <c r="J45" s="6" t="n">
        <v>98.82521699999999</v>
      </c>
      <c r="K45" s="6" t="n">
        <v>423.960181</v>
      </c>
      <c r="L45" s="6" t="n">
        <v>5369</v>
      </c>
      <c r="M45" s="6" t="n">
        <v>4945.039819</v>
      </c>
      <c r="N45" s="6" t="n">
        <v>58.691111</v>
      </c>
      <c r="O45" s="6" t="n">
        <v>251.784866</v>
      </c>
      <c r="P45" s="6" t="n">
        <v>4129</v>
      </c>
      <c r="Q45" s="6" t="n">
        <v>3877.215134</v>
      </c>
      <c r="R45" s="6" t="n">
        <v>37.356208</v>
      </c>
      <c r="S45" s="6" t="n">
        <v>160.258132</v>
      </c>
      <c r="T45" s="6" t="n">
        <v>3497</v>
      </c>
      <c r="U45" s="6" t="n">
        <v>3336.741868</v>
      </c>
      <c r="V45" s="6" t="n">
        <v>29.258319</v>
      </c>
      <c r="W45" s="6" t="n">
        <v>125.518189</v>
      </c>
      <c r="X45" s="6" t="n">
        <v>3312</v>
      </c>
      <c r="Y45" s="6" t="n">
        <v>3186.481811</v>
      </c>
      <c r="AC45">
        <f>E45</f>
        <v/>
      </c>
      <c r="AD45">
        <f>M45</f>
        <v/>
      </c>
      <c r="AE45">
        <f>Q45</f>
        <v/>
      </c>
      <c r="AF45">
        <f>U45</f>
        <v/>
      </c>
      <c r="AG45">
        <f>Y45</f>
        <v/>
      </c>
      <c r="AH45" s="208" t="n"/>
      <c r="AI45" s="208" t="n"/>
      <c r="AJ45" s="8" t="n"/>
      <c r="AK45" s="8" t="n"/>
      <c r="AL45" s="8" t="n"/>
      <c r="AM45" s="8" t="n"/>
    </row>
    <row r="46" ht="14.5" customHeight="1" s="213">
      <c r="C46" s="6" t="inlineStr">
        <is>
          <t>Battery electric motorcycle (equivalent to 50-250 cc motorcycle)</t>
        </is>
      </c>
      <c r="D46" s="6" t="inlineStr">
        <is>
          <t>Trd_2w_elc150_154</t>
        </is>
      </c>
      <c r="E46" s="6" t="inlineStr">
        <is>
          <t>Trd_2w_elc150_154</t>
        </is>
      </c>
      <c r="F46" s="6" t="inlineStr">
        <is>
          <t>electric_range_km</t>
        </is>
      </c>
      <c r="G46" s="6" t="n">
        <v>154</v>
      </c>
      <c r="H46" s="6" t="n">
        <v>4.62</v>
      </c>
      <c r="J46" s="6" t="n">
        <v>98.82521699999999</v>
      </c>
      <c r="K46" s="6" t="n">
        <v>456.572503</v>
      </c>
      <c r="L46" s="6" t="n">
        <v>5409</v>
      </c>
      <c r="M46" s="6" t="n">
        <v>4952.427497</v>
      </c>
      <c r="N46" s="6" t="n">
        <v>58.691111</v>
      </c>
      <c r="O46" s="6" t="n">
        <v>271.152933</v>
      </c>
      <c r="P46" s="6" t="n">
        <v>4152</v>
      </c>
      <c r="Q46" s="6" t="n">
        <v>3880.847067</v>
      </c>
      <c r="R46" s="6" t="n">
        <v>37.356208</v>
      </c>
      <c r="S46" s="6" t="n">
        <v>172.585681</v>
      </c>
      <c r="T46" s="6" t="n">
        <v>3510</v>
      </c>
      <c r="U46" s="6" t="n">
        <v>3337.414319</v>
      </c>
      <c r="V46" s="6" t="n">
        <v>29.258319</v>
      </c>
      <c r="W46" s="6" t="n">
        <v>135.173434</v>
      </c>
      <c r="X46" s="6" t="n">
        <v>3324</v>
      </c>
      <c r="Y46" s="6" t="n">
        <v>3188.826566</v>
      </c>
      <c r="AC46">
        <f>E46</f>
        <v/>
      </c>
      <c r="AD46">
        <f>M46</f>
        <v/>
      </c>
      <c r="AE46">
        <f>Q46</f>
        <v/>
      </c>
      <c r="AF46">
        <f>U46</f>
        <v/>
      </c>
      <c r="AG46">
        <f>Y46</f>
        <v/>
      </c>
      <c r="AH46" s="208" t="n"/>
      <c r="AI46" s="208" t="n"/>
      <c r="AJ46" s="8" t="n"/>
      <c r="AK46" s="8" t="n"/>
      <c r="AL46" s="8" t="n"/>
      <c r="AM46" s="8" t="n"/>
    </row>
    <row r="47" ht="14.5" customHeight="1" s="213">
      <c r="C47" s="6" t="inlineStr">
        <is>
          <t>Battery electric motorcycle (equivalent to 50-250 cc motorcycle)</t>
        </is>
      </c>
      <c r="D47" s="6" t="inlineStr">
        <is>
          <t>Trd_2w_elc150_166</t>
        </is>
      </c>
      <c r="E47" s="6" t="inlineStr">
        <is>
          <t>Trd_2w_elc150_166</t>
        </is>
      </c>
      <c r="F47" s="6" t="inlineStr">
        <is>
          <t>electric_range_km</t>
        </is>
      </c>
      <c r="G47" s="6" t="n">
        <v>166</v>
      </c>
      <c r="H47" s="6" t="n">
        <v>4.98</v>
      </c>
      <c r="J47" s="6" t="n">
        <v>98.82521699999999</v>
      </c>
      <c r="K47" s="6" t="n">
        <v>492.149581</v>
      </c>
      <c r="L47" s="6" t="n">
        <v>5536</v>
      </c>
      <c r="M47" s="6" t="n">
        <v>5043.850419</v>
      </c>
      <c r="N47" s="6" t="n">
        <v>58.691111</v>
      </c>
      <c r="O47" s="6" t="n">
        <v>292.281733</v>
      </c>
      <c r="P47" s="6" t="n">
        <v>4223</v>
      </c>
      <c r="Q47" s="6" t="n">
        <v>3930.718267</v>
      </c>
      <c r="R47" s="6" t="n">
        <v>37.356208</v>
      </c>
      <c r="S47" s="6" t="n">
        <v>186.033916</v>
      </c>
      <c r="T47" s="6" t="n">
        <v>3554</v>
      </c>
      <c r="U47" s="6" t="n">
        <v>3367.966084</v>
      </c>
      <c r="V47" s="6" t="n">
        <v>29.258319</v>
      </c>
      <c r="W47" s="6" t="n">
        <v>145.706429</v>
      </c>
      <c r="X47" s="6" t="n">
        <v>3359</v>
      </c>
      <c r="Y47" s="6" t="n">
        <v>3213.293571</v>
      </c>
      <c r="AC47">
        <f>E47</f>
        <v/>
      </c>
      <c r="AD47">
        <f>M47</f>
        <v/>
      </c>
      <c r="AE47">
        <f>Q47</f>
        <v/>
      </c>
      <c r="AF47">
        <f>U47</f>
        <v/>
      </c>
      <c r="AG47">
        <f>Y47</f>
        <v/>
      </c>
      <c r="AH47" s="208" t="n"/>
      <c r="AI47" s="208" t="n"/>
      <c r="AJ47" s="8" t="n"/>
      <c r="AK47" s="8" t="n"/>
      <c r="AL47" s="8" t="n"/>
      <c r="AM47" s="8" t="n"/>
    </row>
    <row r="48" ht="14.5" customHeight="1" s="213">
      <c r="C48" s="6" t="inlineStr">
        <is>
          <t>Battery electric motorcycle (equivalent to 50-250 cc motorcycle)</t>
        </is>
      </c>
      <c r="D48" s="6" t="inlineStr">
        <is>
          <t>Trd_2w_elc150_177</t>
        </is>
      </c>
      <c r="E48" s="6" t="inlineStr">
        <is>
          <t>Trd_2w_elc150_177</t>
        </is>
      </c>
      <c r="F48" s="6" t="inlineStr">
        <is>
          <t>electric_range_km</t>
        </is>
      </c>
      <c r="G48" s="6" t="n">
        <v>177</v>
      </c>
      <c r="H48" s="6" t="n">
        <v>5.31</v>
      </c>
      <c r="J48" s="6" t="n">
        <v>98.82521699999999</v>
      </c>
      <c r="K48" s="6" t="n">
        <v>524.761902</v>
      </c>
      <c r="L48" s="6" t="n">
        <v>5652</v>
      </c>
      <c r="M48" s="6" t="n">
        <v>5127.238098</v>
      </c>
      <c r="N48" s="6" t="n">
        <v>58.691111</v>
      </c>
      <c r="O48" s="6" t="n">
        <v>311.649799</v>
      </c>
      <c r="P48" s="6" t="n">
        <v>4288</v>
      </c>
      <c r="Q48" s="6" t="n">
        <v>3976.350201</v>
      </c>
      <c r="R48" s="6" t="n">
        <v>37.356208</v>
      </c>
      <c r="S48" s="6" t="n">
        <v>198.361464</v>
      </c>
      <c r="T48" s="6" t="n">
        <v>3593</v>
      </c>
      <c r="U48" s="6" t="n">
        <v>3394.638536</v>
      </c>
      <c r="V48" s="6" t="n">
        <v>29.258319</v>
      </c>
      <c r="W48" s="6" t="n">
        <v>155.361674</v>
      </c>
      <c r="X48" s="6" t="n">
        <v>3390</v>
      </c>
      <c r="Y48" s="6" t="n">
        <v>3234.638326</v>
      </c>
      <c r="AC48">
        <f>E48</f>
        <v/>
      </c>
      <c r="AD48">
        <f>M48</f>
        <v/>
      </c>
      <c r="AE48">
        <f>Q48</f>
        <v/>
      </c>
      <c r="AF48">
        <f>U48</f>
        <v/>
      </c>
      <c r="AG48">
        <f>Y48</f>
        <v/>
      </c>
      <c r="AH48" s="208" t="n"/>
      <c r="AI48" s="208" t="n"/>
      <c r="AJ48" s="8" t="n"/>
      <c r="AK48" s="8" t="n"/>
      <c r="AL48" s="8" t="n"/>
      <c r="AM48" s="8" t="n"/>
    </row>
    <row r="49" ht="14.5" customHeight="1" s="213">
      <c r="C49" s="6" t="inlineStr">
        <is>
          <t>Battery electric motorcycle (equivalent to 50-250 cc motorcycle)</t>
        </is>
      </c>
      <c r="D49" s="6" t="inlineStr">
        <is>
          <t>Trd_2w_elc150_189</t>
        </is>
      </c>
      <c r="E49" s="6" t="inlineStr">
        <is>
          <t>Trd_2w_elc150_189</t>
        </is>
      </c>
      <c r="F49" s="6" t="inlineStr">
        <is>
          <t>electric_range_km</t>
        </is>
      </c>
      <c r="G49" s="6" t="n">
        <v>189</v>
      </c>
      <c r="H49" s="6" t="n">
        <v>5.67</v>
      </c>
      <c r="J49" s="6" t="n">
        <v>98.82521699999999</v>
      </c>
      <c r="K49" s="6" t="n">
        <v>560.33898</v>
      </c>
      <c r="L49" s="6" t="n">
        <v>5820</v>
      </c>
      <c r="M49" s="6" t="n">
        <v>5259.66102</v>
      </c>
      <c r="N49" s="6" t="n">
        <v>58.691111</v>
      </c>
      <c r="O49" s="6" t="n">
        <v>332.778599</v>
      </c>
      <c r="P49" s="6" t="n">
        <v>4383</v>
      </c>
      <c r="Q49" s="6" t="n">
        <v>4050.221401</v>
      </c>
      <c r="R49" s="6" t="n">
        <v>37.356208</v>
      </c>
      <c r="S49" s="6" t="n">
        <v>211.809699</v>
      </c>
      <c r="T49" s="6" t="n">
        <v>3650</v>
      </c>
      <c r="U49" s="6" t="n">
        <v>3438.190301</v>
      </c>
      <c r="V49" s="6" t="n">
        <v>29.258319</v>
      </c>
      <c r="W49" s="6" t="n">
        <v>165.894669</v>
      </c>
      <c r="X49" s="6" t="n">
        <v>3437</v>
      </c>
      <c r="Y49" s="6" t="n">
        <v>3271.105331</v>
      </c>
      <c r="AC49">
        <f>E49</f>
        <v/>
      </c>
      <c r="AD49">
        <f>M49</f>
        <v/>
      </c>
      <c r="AE49">
        <f>Q49</f>
        <v/>
      </c>
      <c r="AF49">
        <f>U49</f>
        <v/>
      </c>
      <c r="AG49">
        <f>Y49</f>
        <v/>
      </c>
      <c r="AH49" s="208" t="n"/>
      <c r="AI49" s="208" t="n"/>
      <c r="AJ49" s="8" t="n"/>
      <c r="AK49" s="8" t="n"/>
      <c r="AL49" s="8" t="n"/>
      <c r="AM49" s="8" t="n"/>
    </row>
    <row r="50" ht="14.5" customHeight="1" s="213">
      <c r="C50" s="6" t="inlineStr">
        <is>
          <t>Battery electric motorcycle (equivalent to 50-250 cc motorcycle)</t>
        </is>
      </c>
      <c r="D50" s="6" t="inlineStr">
        <is>
          <t>Trd_2w_elc150_200</t>
        </is>
      </c>
      <c r="E50" s="6" t="inlineStr">
        <is>
          <t>Trd_2w_elc150_200</t>
        </is>
      </c>
      <c r="F50" s="6" t="inlineStr">
        <is>
          <t>electric_range_km</t>
        </is>
      </c>
      <c r="G50" s="6" t="n">
        <v>200</v>
      </c>
      <c r="H50" s="6" t="n">
        <v>6</v>
      </c>
      <c r="J50" s="6" t="n">
        <v>98.82521699999999</v>
      </c>
      <c r="K50" s="6" t="n">
        <v>592.9513020000001</v>
      </c>
      <c r="L50" s="6" t="n">
        <v>5985</v>
      </c>
      <c r="M50" s="6" t="n">
        <v>5392.048698</v>
      </c>
      <c r="N50" s="6" t="n">
        <v>58.691111</v>
      </c>
      <c r="O50" s="6" t="n">
        <v>352.146666</v>
      </c>
      <c r="P50" s="6" t="n">
        <v>4476</v>
      </c>
      <c r="Q50" s="6" t="n">
        <v>4123.853334</v>
      </c>
      <c r="R50" s="6" t="n">
        <v>37.356208</v>
      </c>
      <c r="S50" s="6" t="n">
        <v>224.137248</v>
      </c>
      <c r="T50" s="6" t="n">
        <v>3706</v>
      </c>
      <c r="U50" s="6" t="n">
        <v>3481.862752</v>
      </c>
      <c r="V50" s="6" t="n">
        <v>29.258319</v>
      </c>
      <c r="W50" s="6" t="n">
        <v>175.549914</v>
      </c>
      <c r="X50" s="6" t="n">
        <v>3482</v>
      </c>
      <c r="Y50" s="6" t="n">
        <v>3306.450086</v>
      </c>
      <c r="AC50">
        <f>E50</f>
        <v/>
      </c>
      <c r="AD50">
        <f>M50</f>
        <v/>
      </c>
      <c r="AE50">
        <f>Q50</f>
        <v/>
      </c>
      <c r="AF50">
        <f>U50</f>
        <v/>
      </c>
      <c r="AG50">
        <f>Y50</f>
        <v/>
      </c>
      <c r="AH50" s="208" t="n"/>
      <c r="AI50" s="208" t="n"/>
      <c r="AJ50" s="8" t="n"/>
      <c r="AK50" s="8" t="n"/>
      <c r="AL50" s="8" t="n"/>
      <c r="AM50" s="8" t="n"/>
    </row>
    <row r="51" ht="14.5" customHeight="1" s="213">
      <c r="C51" s="6" t="inlineStr">
        <is>
          <t>Battery electric motorcycle (equivalent to 250-750 cc motorcycle)</t>
        </is>
      </c>
      <c r="D51" s="6" t="inlineStr">
        <is>
          <t>Trd_2w_elc500_120</t>
        </is>
      </c>
      <c r="E51" s="6" t="inlineStr">
        <is>
          <t>Trd_2w_elc500_120</t>
        </is>
      </c>
      <c r="F51" s="6" t="inlineStr">
        <is>
          <t>electric_range_km</t>
        </is>
      </c>
      <c r="G51" s="6" t="n">
        <v>120</v>
      </c>
      <c r="H51" s="6" t="n">
        <v>4.8</v>
      </c>
      <c r="J51" s="6" t="n">
        <v>98.82521699999999</v>
      </c>
      <c r="K51" s="6" t="n">
        <v>474.361042</v>
      </c>
      <c r="L51" s="6" t="n">
        <v>9005</v>
      </c>
      <c r="M51" s="6" t="n">
        <v>8530.638958</v>
      </c>
      <c r="N51" s="6" t="n">
        <v>58.691111</v>
      </c>
      <c r="O51" s="6" t="n">
        <v>281.717333</v>
      </c>
      <c r="P51" s="6" t="n">
        <v>7694</v>
      </c>
      <c r="Q51" s="6" t="n">
        <v>7412.282667</v>
      </c>
      <c r="R51" s="6" t="n">
        <v>37.356208</v>
      </c>
      <c r="S51" s="6" t="n">
        <v>179.309798</v>
      </c>
      <c r="T51" s="6" t="n">
        <v>7025</v>
      </c>
      <c r="U51" s="6" t="n">
        <v>6845.690202</v>
      </c>
      <c r="V51" s="6" t="n">
        <v>29.258319</v>
      </c>
      <c r="W51" s="6" t="n">
        <v>140.439931</v>
      </c>
      <c r="X51" s="6" t="n">
        <v>6831</v>
      </c>
      <c r="Y51" s="6" t="n">
        <v>6690.560069</v>
      </c>
      <c r="AC51">
        <f>E51</f>
        <v/>
      </c>
      <c r="AD51">
        <f>M51</f>
        <v/>
      </c>
      <c r="AE51">
        <f>Q51</f>
        <v/>
      </c>
      <c r="AF51">
        <f>U51</f>
        <v/>
      </c>
      <c r="AG51">
        <f>Y51</f>
        <v/>
      </c>
      <c r="AH51" s="208" t="n"/>
      <c r="AI51" s="208" t="n"/>
      <c r="AJ51" s="8" t="n"/>
      <c r="AK51" s="8" t="n"/>
      <c r="AL51" s="8" t="n"/>
      <c r="AM51" s="8" t="n"/>
    </row>
    <row r="52" ht="14.5" customHeight="1" s="213">
      <c r="C52" s="6" t="inlineStr">
        <is>
          <t>Battery electric motorcycle (equivalent to 250-750 cc motorcycle)</t>
        </is>
      </c>
      <c r="D52" s="6" t="inlineStr">
        <is>
          <t>Trd_2w_elc500_131</t>
        </is>
      </c>
      <c r="E52" s="6" t="inlineStr">
        <is>
          <t>Trd_2w_elc500_131</t>
        </is>
      </c>
      <c r="F52" s="6" t="inlineStr">
        <is>
          <t>electric_range_km</t>
        </is>
      </c>
      <c r="G52" s="6" t="n">
        <v>131</v>
      </c>
      <c r="H52" s="6" t="n">
        <v>5.24</v>
      </c>
      <c r="J52" s="6" t="n">
        <v>98.82521699999999</v>
      </c>
      <c r="K52" s="6" t="n">
        <v>517.844137</v>
      </c>
      <c r="L52" s="6" t="n">
        <v>9279</v>
      </c>
      <c r="M52" s="6" t="n">
        <v>8761.155863</v>
      </c>
      <c r="N52" s="6" t="n">
        <v>58.691111</v>
      </c>
      <c r="O52" s="6" t="n">
        <v>307.541422</v>
      </c>
      <c r="P52" s="6" t="n">
        <v>7849</v>
      </c>
      <c r="Q52" s="6" t="n">
        <v>7541.458578</v>
      </c>
      <c r="R52" s="6" t="n">
        <v>37.356208</v>
      </c>
      <c r="S52" s="6" t="n">
        <v>195.74653</v>
      </c>
      <c r="T52" s="6" t="n">
        <v>7118</v>
      </c>
      <c r="U52" s="6" t="n">
        <v>6922.25347</v>
      </c>
      <c r="V52" s="6" t="n">
        <v>29.258319</v>
      </c>
      <c r="W52" s="6" t="n">
        <v>153.313592</v>
      </c>
      <c r="X52" s="6" t="n">
        <v>6906</v>
      </c>
      <c r="Y52" s="6" t="n">
        <v>6752.686408</v>
      </c>
      <c r="AC52">
        <f>E52</f>
        <v/>
      </c>
      <c r="AD52">
        <f>M52</f>
        <v/>
      </c>
      <c r="AE52">
        <f>Q52</f>
        <v/>
      </c>
      <c r="AF52">
        <f>U52</f>
        <v/>
      </c>
      <c r="AG52">
        <f>Y52</f>
        <v/>
      </c>
      <c r="AH52" s="208" t="n"/>
      <c r="AI52" s="208" t="n"/>
      <c r="AJ52" s="8" t="n"/>
      <c r="AK52" s="8" t="n"/>
      <c r="AL52" s="8" t="n"/>
      <c r="AM52" s="8" t="n"/>
    </row>
    <row r="53" ht="14.5" customHeight="1" s="213">
      <c r="C53" s="6" t="inlineStr">
        <is>
          <t>Battery electric motorcycle (equivalent to 250-750 cc motorcycle)</t>
        </is>
      </c>
      <c r="D53" s="6" t="inlineStr">
        <is>
          <t>Trd_2w_elc500_143</t>
        </is>
      </c>
      <c r="E53" s="6" t="inlineStr">
        <is>
          <t>Trd_2w_elc500_143</t>
        </is>
      </c>
      <c r="F53" s="6" t="inlineStr">
        <is>
          <t>electric_range_km</t>
        </is>
      </c>
      <c r="G53" s="6" t="n">
        <v>143</v>
      </c>
      <c r="H53" s="6" t="n">
        <v>5.72</v>
      </c>
      <c r="J53" s="6" t="n">
        <v>98.82521699999999</v>
      </c>
      <c r="K53" s="6" t="n">
        <v>565.280241</v>
      </c>
      <c r="L53" s="6" t="n">
        <v>9404</v>
      </c>
      <c r="M53" s="6" t="n">
        <v>8838.719759</v>
      </c>
      <c r="N53" s="6" t="n">
        <v>58.691111</v>
      </c>
      <c r="O53" s="6" t="n">
        <v>335.713155</v>
      </c>
      <c r="P53" s="6" t="n">
        <v>7919</v>
      </c>
      <c r="Q53" s="6" t="n">
        <v>7583.286845</v>
      </c>
      <c r="R53" s="6" t="n">
        <v>37.356208</v>
      </c>
      <c r="S53" s="6" t="n">
        <v>213.67751</v>
      </c>
      <c r="T53" s="6" t="n">
        <v>7161</v>
      </c>
      <c r="U53" s="6" t="n">
        <v>6947.32249</v>
      </c>
      <c r="V53" s="6" t="n">
        <v>29.258319</v>
      </c>
      <c r="W53" s="6" t="n">
        <v>167.357585</v>
      </c>
      <c r="X53" s="6" t="n">
        <v>6940</v>
      </c>
      <c r="Y53" s="6" t="n">
        <v>6772.642415</v>
      </c>
      <c r="AC53">
        <f>E53</f>
        <v/>
      </c>
      <c r="AD53">
        <f>M53</f>
        <v/>
      </c>
      <c r="AE53">
        <f>Q53</f>
        <v/>
      </c>
      <c r="AF53">
        <f>U53</f>
        <v/>
      </c>
      <c r="AG53">
        <f>Y53</f>
        <v/>
      </c>
      <c r="AH53" s="208" t="n"/>
      <c r="AI53" s="208" t="n"/>
      <c r="AJ53" s="8" t="n"/>
      <c r="AK53" s="8" t="n"/>
      <c r="AL53" s="8" t="n"/>
      <c r="AM53" s="8" t="n"/>
    </row>
    <row r="54" ht="14.5" customHeight="1" s="213">
      <c r="C54" s="6" t="inlineStr">
        <is>
          <t>Battery electric motorcycle (equivalent to 250-750 cc motorcycle)</t>
        </is>
      </c>
      <c r="D54" s="6" t="inlineStr">
        <is>
          <t>Trd_2w_elc500_154</t>
        </is>
      </c>
      <c r="E54" s="6" t="inlineStr">
        <is>
          <t>Trd_2w_elc500_154</t>
        </is>
      </c>
      <c r="F54" s="6" t="inlineStr">
        <is>
          <t>electric_range_km</t>
        </is>
      </c>
      <c r="G54" s="6" t="n">
        <v>154</v>
      </c>
      <c r="H54" s="6" t="n">
        <v>6.16</v>
      </c>
      <c r="J54" s="6" t="n">
        <v>98.82521699999999</v>
      </c>
      <c r="K54" s="6" t="n">
        <v>608.763337</v>
      </c>
      <c r="L54" s="6" t="n">
        <v>9440</v>
      </c>
      <c r="M54" s="6" t="n">
        <v>8831.236663</v>
      </c>
      <c r="N54" s="6" t="n">
        <v>58.691111</v>
      </c>
      <c r="O54" s="6" t="n">
        <v>361.537244</v>
      </c>
      <c r="P54" s="6" t="n">
        <v>7939</v>
      </c>
      <c r="Q54" s="6" t="n">
        <v>7577.462756</v>
      </c>
      <c r="R54" s="6" t="n">
        <v>37.356208</v>
      </c>
      <c r="S54" s="6" t="n">
        <v>230.114241</v>
      </c>
      <c r="T54" s="6" t="n">
        <v>7173</v>
      </c>
      <c r="U54" s="6" t="n">
        <v>6942.885759</v>
      </c>
      <c r="V54" s="6" t="n">
        <v>29.258319</v>
      </c>
      <c r="W54" s="6" t="n">
        <v>180.231245</v>
      </c>
      <c r="X54" s="6" t="n">
        <v>6950</v>
      </c>
      <c r="Y54" s="6" t="n">
        <v>6769.768755</v>
      </c>
      <c r="AC54">
        <f>E54</f>
        <v/>
      </c>
      <c r="AD54">
        <f>M54</f>
        <v/>
      </c>
      <c r="AE54">
        <f>Q54</f>
        <v/>
      </c>
      <c r="AF54">
        <f>U54</f>
        <v/>
      </c>
      <c r="AG54">
        <f>Y54</f>
        <v/>
      </c>
      <c r="AH54" s="208" t="n"/>
      <c r="AI54" s="208" t="n"/>
      <c r="AJ54" s="8" t="n"/>
      <c r="AK54" s="8" t="n"/>
      <c r="AL54" s="8" t="n"/>
      <c r="AM54" s="8" t="n"/>
    </row>
    <row r="55" ht="14.5" customHeight="1" s="213">
      <c r="C55" s="6" t="inlineStr">
        <is>
          <t>Battery electric motorcycle (equivalent to 250-750 cc motorcycle)</t>
        </is>
      </c>
      <c r="D55" s="6" t="inlineStr">
        <is>
          <t>Trd_2w_elc500_166</t>
        </is>
      </c>
      <c r="E55" s="6" t="inlineStr">
        <is>
          <t>Trd_2w_elc500_166</t>
        </is>
      </c>
      <c r="F55" s="6" t="inlineStr">
        <is>
          <t>electric_range_km</t>
        </is>
      </c>
      <c r="G55" s="6" t="n">
        <v>166</v>
      </c>
      <c r="H55" s="6" t="n">
        <v>6.64</v>
      </c>
      <c r="J55" s="6" t="n">
        <v>98.82521699999999</v>
      </c>
      <c r="K55" s="6" t="n">
        <v>656.199441</v>
      </c>
      <c r="L55" s="6" t="n">
        <v>9579</v>
      </c>
      <c r="M55" s="6" t="n">
        <v>8922.800558999999</v>
      </c>
      <c r="N55" s="6" t="n">
        <v>58.691111</v>
      </c>
      <c r="O55" s="6" t="n">
        <v>389.708977</v>
      </c>
      <c r="P55" s="6" t="n">
        <v>8017</v>
      </c>
      <c r="Q55" s="6" t="n">
        <v>7627.291023</v>
      </c>
      <c r="R55" s="6" t="n">
        <v>37.356208</v>
      </c>
      <c r="S55" s="6" t="n">
        <v>248.045221</v>
      </c>
      <c r="T55" s="6" t="n">
        <v>7220</v>
      </c>
      <c r="U55" s="6" t="n">
        <v>6971.954779</v>
      </c>
      <c r="V55" s="6" t="n">
        <v>29.258319</v>
      </c>
      <c r="W55" s="6" t="n">
        <v>194.275238</v>
      </c>
      <c r="X55" s="6" t="n">
        <v>6988</v>
      </c>
      <c r="Y55" s="6" t="n">
        <v>6793.724762</v>
      </c>
      <c r="AC55">
        <f>E55</f>
        <v/>
      </c>
      <c r="AD55">
        <f>M55</f>
        <v/>
      </c>
      <c r="AE55">
        <f>Q55</f>
        <v/>
      </c>
      <c r="AF55">
        <f>U55</f>
        <v/>
      </c>
      <c r="AG55">
        <f>Y55</f>
        <v/>
      </c>
      <c r="AH55" s="208" t="n"/>
      <c r="AI55" s="208" t="n"/>
      <c r="AJ55" s="8" t="n"/>
      <c r="AK55" s="8" t="n"/>
      <c r="AL55" s="8" t="n"/>
      <c r="AM55" s="8" t="n"/>
    </row>
    <row r="56" ht="14.5" customHeight="1" s="213">
      <c r="C56" s="6" t="inlineStr">
        <is>
          <t>Battery electric motorcycle (equivalent to 250-750 cc motorcycle)</t>
        </is>
      </c>
      <c r="D56" s="6" t="inlineStr">
        <is>
          <t>Trd_2w_elc500_177</t>
        </is>
      </c>
      <c r="E56" s="6" t="inlineStr">
        <is>
          <t>Trd_2w_elc500_177</t>
        </is>
      </c>
      <c r="F56" s="6" t="inlineStr">
        <is>
          <t>electric_range_km</t>
        </is>
      </c>
      <c r="G56" s="6" t="n">
        <v>177</v>
      </c>
      <c r="H56" s="6" t="n">
        <v>7.08</v>
      </c>
      <c r="J56" s="6" t="n">
        <v>98.82521699999999</v>
      </c>
      <c r="K56" s="6" t="n">
        <v>699.682536</v>
      </c>
      <c r="L56" s="6" t="n">
        <v>9704</v>
      </c>
      <c r="M56" s="6" t="n">
        <v>9004.317464</v>
      </c>
      <c r="N56" s="6" t="n">
        <v>58.691111</v>
      </c>
      <c r="O56" s="6" t="n">
        <v>415.533066</v>
      </c>
      <c r="P56" s="6" t="n">
        <v>8087</v>
      </c>
      <c r="Q56" s="6" t="n">
        <v>7671.466934</v>
      </c>
      <c r="R56" s="6" t="n">
        <v>37.356208</v>
      </c>
      <c r="S56" s="6" t="n">
        <v>264.481953</v>
      </c>
      <c r="T56" s="6" t="n">
        <v>7263</v>
      </c>
      <c r="U56" s="6" t="n">
        <v>6998.518047</v>
      </c>
      <c r="V56" s="6" t="n">
        <v>29.258319</v>
      </c>
      <c r="W56" s="6" t="n">
        <v>207.148899</v>
      </c>
      <c r="X56" s="6" t="n">
        <v>7022</v>
      </c>
      <c r="Y56" s="6" t="n">
        <v>6814.851101</v>
      </c>
      <c r="AC56">
        <f>E56</f>
        <v/>
      </c>
      <c r="AD56">
        <f>M56</f>
        <v/>
      </c>
      <c r="AE56">
        <f>Q56</f>
        <v/>
      </c>
      <c r="AF56">
        <f>U56</f>
        <v/>
      </c>
      <c r="AG56">
        <f>Y56</f>
        <v/>
      </c>
      <c r="AH56" s="208" t="n"/>
      <c r="AI56" s="208" t="n"/>
      <c r="AJ56" s="8" t="n"/>
      <c r="AK56" s="8" t="n"/>
      <c r="AL56" s="8" t="n"/>
      <c r="AM56" s="8" t="n"/>
    </row>
    <row r="57" ht="14.5" customHeight="1" s="213">
      <c r="C57" s="6" t="inlineStr">
        <is>
          <t>Battery electric motorcycle (equivalent to 250-750 cc motorcycle)</t>
        </is>
      </c>
      <c r="D57" s="6" t="inlineStr">
        <is>
          <t>Trd_2w_elc500_189</t>
        </is>
      </c>
      <c r="E57" s="6" t="inlineStr">
        <is>
          <t>Trd_2w_elc500_189</t>
        </is>
      </c>
      <c r="F57" s="6" t="inlineStr">
        <is>
          <t>electric_range_km</t>
        </is>
      </c>
      <c r="G57" s="6" t="n">
        <v>189</v>
      </c>
      <c r="H57" s="6" t="n">
        <v>7.56</v>
      </c>
      <c r="J57" s="6" t="n">
        <v>98.82521699999999</v>
      </c>
      <c r="K57" s="6" t="n">
        <v>747.118641</v>
      </c>
      <c r="L57" s="6" t="n">
        <v>9890</v>
      </c>
      <c r="M57" s="6" t="n">
        <v>9142.881359000001</v>
      </c>
      <c r="N57" s="6" t="n">
        <v>58.691111</v>
      </c>
      <c r="O57" s="6" t="n">
        <v>443.704799</v>
      </c>
      <c r="P57" s="6" t="n">
        <v>8192</v>
      </c>
      <c r="Q57" s="6" t="n">
        <v>7748.295201</v>
      </c>
      <c r="R57" s="6" t="n">
        <v>37.356208</v>
      </c>
      <c r="S57" s="6" t="n">
        <v>282.412932</v>
      </c>
      <c r="T57" s="6" t="n">
        <v>7326</v>
      </c>
      <c r="U57" s="6" t="n">
        <v>7043.587068</v>
      </c>
      <c r="V57" s="6" t="n">
        <v>29.258319</v>
      </c>
      <c r="W57" s="6" t="n">
        <v>221.192892</v>
      </c>
      <c r="X57" s="6" t="n">
        <v>7074</v>
      </c>
      <c r="Y57" s="6" t="n">
        <v>6852.807108</v>
      </c>
      <c r="AC57">
        <f>E57</f>
        <v/>
      </c>
      <c r="AD57">
        <f>M57</f>
        <v/>
      </c>
      <c r="AE57">
        <f>Q57</f>
        <v/>
      </c>
      <c r="AF57">
        <f>U57</f>
        <v/>
      </c>
      <c r="AG57">
        <f>Y57</f>
        <v/>
      </c>
      <c r="AH57" s="208" t="n"/>
      <c r="AI57" s="208" t="n"/>
      <c r="AJ57" s="8" t="n"/>
      <c r="AK57" s="8" t="n"/>
      <c r="AL57" s="8" t="n"/>
      <c r="AM57" s="8" t="n"/>
    </row>
    <row r="58" ht="14.5" customHeight="1" s="213">
      <c r="C58" s="6" t="inlineStr">
        <is>
          <t>Battery electric motorcycle (equivalent to 250-750 cc motorcycle)</t>
        </is>
      </c>
      <c r="D58" s="6" t="inlineStr">
        <is>
          <t>Trd_2w_elc500_200</t>
        </is>
      </c>
      <c r="E58" s="6" t="inlineStr">
        <is>
          <t>Trd_2w_elc500_200</t>
        </is>
      </c>
      <c r="F58" s="6" t="inlineStr">
        <is>
          <t>electric_range_km</t>
        </is>
      </c>
      <c r="G58" s="6" t="n">
        <v>200</v>
      </c>
      <c r="H58" s="6" t="n">
        <v>8</v>
      </c>
      <c r="J58" s="6" t="n">
        <v>98.82521699999999</v>
      </c>
      <c r="K58" s="6" t="n">
        <v>790.601736</v>
      </c>
      <c r="L58" s="6" t="n">
        <v>10070</v>
      </c>
      <c r="M58" s="6" t="n">
        <v>9279.398263999999</v>
      </c>
      <c r="N58" s="6" t="n">
        <v>58.691111</v>
      </c>
      <c r="O58" s="6" t="n">
        <v>469.528888</v>
      </c>
      <c r="P58" s="6" t="n">
        <v>8293</v>
      </c>
      <c r="Q58" s="6" t="n">
        <v>7823.471112</v>
      </c>
      <c r="R58" s="6" t="n">
        <v>37.356208</v>
      </c>
      <c r="S58" s="6" t="n">
        <v>298.849664</v>
      </c>
      <c r="T58" s="6" t="n">
        <v>7387</v>
      </c>
      <c r="U58" s="6" t="n">
        <v>7088.150336</v>
      </c>
      <c r="V58" s="6" t="n">
        <v>29.258319</v>
      </c>
      <c r="W58" s="6" t="n">
        <v>234.066552</v>
      </c>
      <c r="X58" s="6" t="n">
        <v>7123</v>
      </c>
      <c r="Y58" s="6" t="n">
        <v>6888.933448</v>
      </c>
      <c r="AC58">
        <f>E58</f>
        <v/>
      </c>
      <c r="AD58">
        <f>M58</f>
        <v/>
      </c>
      <c r="AE58">
        <f>Q58</f>
        <v/>
      </c>
      <c r="AF58">
        <f>U58</f>
        <v/>
      </c>
      <c r="AG58">
        <f>Y58</f>
        <v/>
      </c>
      <c r="AH58" s="10" t="n"/>
      <c r="AI58" s="208" t="n"/>
      <c r="AJ58" s="11" t="n"/>
      <c r="AK58" s="8" t="n"/>
      <c r="AL58" s="8" t="n"/>
      <c r="AM58" s="8" t="n"/>
    </row>
    <row r="59" ht="14.5" customHeight="1" s="213">
      <c r="C59" s="6" t="inlineStr">
        <is>
          <t>Battery electric motorcycle (equivalent to &gt;750 cc motorcycle)</t>
        </is>
      </c>
      <c r="D59" s="6" t="inlineStr">
        <is>
          <t>Trd_2w_elc750_assumed_120</t>
        </is>
      </c>
      <c r="E59" s="6" t="inlineStr">
        <is>
          <t>Trd_3w_elc_120</t>
        </is>
      </c>
      <c r="F59" s="6" t="inlineStr">
        <is>
          <t>electric_range_km</t>
        </is>
      </c>
      <c r="G59" s="6" t="n">
        <v>120</v>
      </c>
      <c r="H59" s="6" t="n">
        <v>6</v>
      </c>
      <c r="I59" s="6" t="inlineStr">
        <is>
          <t>Uses the pasted Trd_3w_elc capacity series because it is the only 6-10 kWh range series; verify if Trd_3w_elc is meant to be a separate three-wheeler technology.</t>
        </is>
      </c>
      <c r="J59" s="6" t="n">
        <v>98.82521699999999</v>
      </c>
      <c r="K59" s="6" t="n">
        <v>592.9513020000001</v>
      </c>
      <c r="L59" s="6" t="n">
        <v>14417</v>
      </c>
      <c r="M59" s="6" t="n">
        <v>13824.048698</v>
      </c>
      <c r="N59" s="6" t="n">
        <v>58.691111</v>
      </c>
      <c r="O59" s="6" t="n">
        <v>352.146666</v>
      </c>
      <c r="P59" s="6" t="n">
        <v>12950</v>
      </c>
      <c r="Q59" s="6" t="n">
        <v>12597.853334</v>
      </c>
      <c r="R59" s="6" t="n">
        <v>37.356208</v>
      </c>
      <c r="S59" s="6" t="n">
        <v>224.137248</v>
      </c>
      <c r="T59" s="6" t="n">
        <v>12202</v>
      </c>
      <c r="U59" s="6" t="n">
        <v>11977.862752</v>
      </c>
      <c r="V59" s="6" t="n">
        <v>29.258319</v>
      </c>
      <c r="W59" s="6" t="n">
        <v>175.549914</v>
      </c>
      <c r="X59" s="6" t="n">
        <v>11984</v>
      </c>
      <c r="Y59" s="6" t="n">
        <v>11808.450086</v>
      </c>
      <c r="AC59">
        <f>E59</f>
        <v/>
      </c>
      <c r="AD59">
        <f>M59</f>
        <v/>
      </c>
      <c r="AE59">
        <f>Q59</f>
        <v/>
      </c>
      <c r="AF59">
        <f>U59</f>
        <v/>
      </c>
      <c r="AG59">
        <f>Y59</f>
        <v/>
      </c>
      <c r="AH59" s="208" t="n"/>
      <c r="AI59" s="208" t="n"/>
      <c r="AJ59" s="8" t="n"/>
      <c r="AK59" s="8" t="n"/>
      <c r="AL59" s="8" t="n"/>
      <c r="AM59" s="8" t="n"/>
    </row>
    <row r="60" ht="14.5" customHeight="1" s="213">
      <c r="C60" s="6" t="inlineStr">
        <is>
          <t>Battery electric motorcycle (equivalent to &gt;750 cc motorcycle)</t>
        </is>
      </c>
      <c r="D60" s="6" t="inlineStr">
        <is>
          <t>Trd_2w_elc750_assumed_131</t>
        </is>
      </c>
      <c r="E60" s="6" t="inlineStr">
        <is>
          <t>Trd_3w_elc_131</t>
        </is>
      </c>
      <c r="F60" s="6" t="inlineStr">
        <is>
          <t>electric_range_km</t>
        </is>
      </c>
      <c r="G60" s="6" t="n">
        <v>131</v>
      </c>
      <c r="H60" s="6" t="n">
        <v>6.55</v>
      </c>
      <c r="I60" s="6" t="inlineStr">
        <is>
          <t>Uses the pasted Trd_3w_elc capacity series because it is the only 6-10 kWh range series; verify if Trd_3w_elc is meant to be a separate three-wheeler technology.</t>
        </is>
      </c>
      <c r="J60" s="6" t="n">
        <v>98.82521699999999</v>
      </c>
      <c r="K60" s="6" t="n">
        <v>647.305171</v>
      </c>
      <c r="L60" s="6" t="n">
        <v>14725</v>
      </c>
      <c r="M60" s="6" t="n">
        <v>14077.694829</v>
      </c>
      <c r="N60" s="6" t="n">
        <v>58.691111</v>
      </c>
      <c r="O60" s="6" t="n">
        <v>384.426777</v>
      </c>
      <c r="P60" s="6" t="n">
        <v>13124</v>
      </c>
      <c r="Q60" s="6" t="n">
        <v>12739.573223</v>
      </c>
      <c r="R60" s="6" t="n">
        <v>37.356208</v>
      </c>
      <c r="S60" s="6" t="n">
        <v>244.683162</v>
      </c>
      <c r="T60" s="6" t="n">
        <v>12306</v>
      </c>
      <c r="U60" s="6" t="n">
        <v>12061.316838</v>
      </c>
      <c r="V60" s="6" t="n">
        <v>29.258319</v>
      </c>
      <c r="W60" s="6" t="n">
        <v>191.641989</v>
      </c>
      <c r="X60" s="6" t="n">
        <v>12069</v>
      </c>
      <c r="Y60" s="6" t="n">
        <v>11877.358011</v>
      </c>
      <c r="AC60">
        <f>E60</f>
        <v/>
      </c>
      <c r="AD60">
        <f>M60</f>
        <v/>
      </c>
      <c r="AE60">
        <f>Q60</f>
        <v/>
      </c>
      <c r="AF60">
        <f>U60</f>
        <v/>
      </c>
      <c r="AG60">
        <f>Y60</f>
        <v/>
      </c>
      <c r="AH60" s="208" t="n"/>
      <c r="AI60" s="208" t="n"/>
      <c r="AJ60" s="8" t="n"/>
      <c r="AK60" s="8" t="n"/>
      <c r="AL60" s="8" t="n"/>
      <c r="AM60" s="8" t="n"/>
    </row>
    <row r="61" ht="14.5" customHeight="1" s="213">
      <c r="C61" s="6" t="inlineStr">
        <is>
          <t>Battery electric motorcycle (equivalent to &gt;750 cc motorcycle)</t>
        </is>
      </c>
      <c r="D61" s="6" t="inlineStr">
        <is>
          <t>Trd_2w_elc750_assumed_143</t>
        </is>
      </c>
      <c r="E61" s="6" t="inlineStr">
        <is>
          <t>Trd_3w_elc_143</t>
        </is>
      </c>
      <c r="F61" s="6" t="inlineStr">
        <is>
          <t>electric_range_km</t>
        </is>
      </c>
      <c r="G61" s="6" t="n">
        <v>143</v>
      </c>
      <c r="H61" s="6" t="n">
        <v>7.15</v>
      </c>
      <c r="I61" s="6" t="inlineStr">
        <is>
          <t>Uses the pasted Trd_3w_elc capacity series because it is the only 6-10 kWh range series; verify if Trd_3w_elc is meant to be a separate three-wheeler technology.</t>
        </is>
      </c>
      <c r="J61" s="6" t="n">
        <v>98.82521699999999</v>
      </c>
      <c r="K61" s="6" t="n">
        <v>706.6003020000001</v>
      </c>
      <c r="L61" s="6" t="n">
        <v>14865</v>
      </c>
      <c r="M61" s="6" t="n">
        <v>14158.399698</v>
      </c>
      <c r="N61" s="6" t="n">
        <v>58.691111</v>
      </c>
      <c r="O61" s="6" t="n">
        <v>419.641444</v>
      </c>
      <c r="P61" s="6" t="n">
        <v>13203</v>
      </c>
      <c r="Q61" s="6" t="n">
        <v>12783.358556</v>
      </c>
      <c r="R61" s="6" t="n">
        <v>37.356208</v>
      </c>
      <c r="S61" s="6" t="n">
        <v>267.096887</v>
      </c>
      <c r="T61" s="6" t="n">
        <v>12354</v>
      </c>
      <c r="U61" s="6" t="n">
        <v>12086.903113</v>
      </c>
      <c r="V61" s="6" t="n">
        <v>29.258319</v>
      </c>
      <c r="W61" s="6" t="n">
        <v>209.196981</v>
      </c>
      <c r="X61" s="6" t="n">
        <v>12107</v>
      </c>
      <c r="Y61" s="6" t="n">
        <v>11897.803019</v>
      </c>
      <c r="AC61">
        <f>E61</f>
        <v/>
      </c>
      <c r="AD61">
        <f>M61</f>
        <v/>
      </c>
      <c r="AE61">
        <f>Q61</f>
        <v/>
      </c>
      <c r="AF61">
        <f>U61</f>
        <v/>
      </c>
      <c r="AG61">
        <f>Y61</f>
        <v/>
      </c>
      <c r="AH61" s="208" t="n"/>
      <c r="AI61" s="208" t="n"/>
      <c r="AJ61" s="8" t="n"/>
      <c r="AK61" s="8" t="n"/>
      <c r="AL61" s="8" t="n"/>
      <c r="AM61" s="8" t="n"/>
    </row>
    <row r="62" ht="14.5" customHeight="1" s="213">
      <c r="C62" s="6" t="inlineStr">
        <is>
          <t>Battery electric motorcycle (equivalent to &gt;750 cc motorcycle)</t>
        </is>
      </c>
      <c r="D62" s="6" t="inlineStr">
        <is>
          <t>Trd_2w_elc750_assumed_154</t>
        </is>
      </c>
      <c r="E62" s="6" t="inlineStr">
        <is>
          <t>Trd_3w_elc_154</t>
        </is>
      </c>
      <c r="F62" s="6" t="inlineStr">
        <is>
          <t>electric_range_km</t>
        </is>
      </c>
      <c r="G62" s="6" t="n">
        <v>154</v>
      </c>
      <c r="H62" s="6" t="n">
        <v>7.7</v>
      </c>
      <c r="I62" s="6" t="inlineStr">
        <is>
          <t>Uses the pasted Trd_3w_elc capacity series because it is the only 6-10 kWh range series; verify if Trd_3w_elc is meant to be a separate three-wheeler technology.</t>
        </is>
      </c>
      <c r="J62" s="6" t="n">
        <v>98.82521699999999</v>
      </c>
      <c r="K62" s="6" t="n">
        <v>760.954171</v>
      </c>
      <c r="L62" s="6" t="n">
        <v>14907</v>
      </c>
      <c r="M62" s="6" t="n">
        <v>14146.045829</v>
      </c>
      <c r="N62" s="6" t="n">
        <v>58.691111</v>
      </c>
      <c r="O62" s="6" t="n">
        <v>451.921555</v>
      </c>
      <c r="P62" s="6" t="n">
        <v>13226</v>
      </c>
      <c r="Q62" s="6" t="n">
        <v>12774.078445</v>
      </c>
      <c r="R62" s="6" t="n">
        <v>37.356208</v>
      </c>
      <c r="S62" s="6" t="n">
        <v>287.642802</v>
      </c>
      <c r="T62" s="6" t="n">
        <v>12368</v>
      </c>
      <c r="U62" s="6" t="n">
        <v>12080.357198</v>
      </c>
      <c r="V62" s="6" t="n">
        <v>29.258319</v>
      </c>
      <c r="W62" s="6" t="n">
        <v>225.289056</v>
      </c>
      <c r="X62" s="6" t="n">
        <v>12119</v>
      </c>
      <c r="Y62" s="6" t="n">
        <v>11893.710944</v>
      </c>
      <c r="AC62">
        <f>E62</f>
        <v/>
      </c>
      <c r="AD62">
        <f>M62</f>
        <v/>
      </c>
      <c r="AE62">
        <f>Q62</f>
        <v/>
      </c>
      <c r="AF62">
        <f>U62</f>
        <v/>
      </c>
      <c r="AG62">
        <f>Y62</f>
        <v/>
      </c>
      <c r="AH62" s="208" t="n"/>
      <c r="AI62" s="208" t="n"/>
      <c r="AJ62" s="8" t="n"/>
      <c r="AK62" s="8" t="n"/>
      <c r="AL62" s="8" t="n"/>
      <c r="AM62" s="8" t="n"/>
    </row>
    <row r="63" ht="14.5" customHeight="1" s="213">
      <c r="C63" s="6" t="inlineStr">
        <is>
          <t>Battery electric motorcycle (equivalent to &gt;750 cc motorcycle)</t>
        </is>
      </c>
      <c r="D63" s="6" t="inlineStr">
        <is>
          <t>Trd_2w_elc750_assumed_166</t>
        </is>
      </c>
      <c r="E63" s="6" t="inlineStr">
        <is>
          <t>Trd_3w_elc_166</t>
        </is>
      </c>
      <c r="F63" s="6" t="inlineStr">
        <is>
          <t>electric_range_km</t>
        </is>
      </c>
      <c r="G63" s="6" t="n">
        <v>166</v>
      </c>
      <c r="H63" s="6" t="n">
        <v>8.300000000000001</v>
      </c>
      <c r="I63" s="6" t="inlineStr">
        <is>
          <t>Uses the pasted Trd_3w_elc capacity series because it is the only 6-10 kWh range series; verify if Trd_3w_elc is meant to be a separate three-wheeler technology.</t>
        </is>
      </c>
      <c r="J63" s="6" t="n">
        <v>98.82521699999999</v>
      </c>
      <c r="K63" s="6" t="n">
        <v>820.2493009999999</v>
      </c>
      <c r="L63" s="6" t="n">
        <v>15065</v>
      </c>
      <c r="M63" s="6" t="n">
        <v>14244.750699</v>
      </c>
      <c r="N63" s="6" t="n">
        <v>58.691111</v>
      </c>
      <c r="O63" s="6" t="n">
        <v>487.136221</v>
      </c>
      <c r="P63" s="6" t="n">
        <v>13315</v>
      </c>
      <c r="Q63" s="6" t="n">
        <v>12827.863779</v>
      </c>
      <c r="R63" s="6" t="n">
        <v>37.356208</v>
      </c>
      <c r="S63" s="6" t="n">
        <v>310.056526</v>
      </c>
      <c r="T63" s="6" t="n">
        <v>12422</v>
      </c>
      <c r="U63" s="6" t="n">
        <v>12111.943474</v>
      </c>
      <c r="V63" s="6" t="n">
        <v>29.258319</v>
      </c>
      <c r="W63" s="6" t="n">
        <v>242.844048</v>
      </c>
      <c r="X63" s="6" t="n">
        <v>12162</v>
      </c>
      <c r="Y63" s="6" t="n">
        <v>11919.155952</v>
      </c>
      <c r="AC63">
        <f>E63</f>
        <v/>
      </c>
      <c r="AD63">
        <f>M63</f>
        <v/>
      </c>
      <c r="AE63">
        <f>Q63</f>
        <v/>
      </c>
      <c r="AF63">
        <f>U63</f>
        <v/>
      </c>
      <c r="AG63">
        <f>Y63</f>
        <v/>
      </c>
      <c r="AH63" s="208" t="n"/>
      <c r="AI63" s="208" t="n"/>
      <c r="AJ63" s="8" t="n"/>
      <c r="AK63" s="8" t="n"/>
      <c r="AL63" s="8" t="n"/>
      <c r="AM63" s="8" t="n"/>
    </row>
    <row r="64" ht="14.5" customHeight="1" s="213">
      <c r="C64" s="6" t="inlineStr">
        <is>
          <t>Battery electric motorcycle (equivalent to &gt;750 cc motorcycle)</t>
        </is>
      </c>
      <c r="D64" s="6" t="inlineStr">
        <is>
          <t>Trd_2w_elc750_assumed_177</t>
        </is>
      </c>
      <c r="E64" s="6" t="inlineStr">
        <is>
          <t>Trd_3w_elc_177</t>
        </is>
      </c>
      <c r="F64" s="6" t="inlineStr">
        <is>
          <t>electric_range_km</t>
        </is>
      </c>
      <c r="G64" s="6" t="n">
        <v>177</v>
      </c>
      <c r="H64" s="6" t="n">
        <v>8.85</v>
      </c>
      <c r="I64" s="6" t="inlineStr">
        <is>
          <t>Uses the pasted Trd_3w_elc capacity series because it is the only 6-10 kWh range series; verify if Trd_3w_elc is meant to be a separate three-wheeler technology.</t>
        </is>
      </c>
      <c r="J64" s="6" t="n">
        <v>98.82521699999999</v>
      </c>
      <c r="K64" s="6" t="n">
        <v>874.60317</v>
      </c>
      <c r="L64" s="6" t="n">
        <v>15205</v>
      </c>
      <c r="M64" s="6" t="n">
        <v>14330.39683</v>
      </c>
      <c r="N64" s="6" t="n">
        <v>58.691111</v>
      </c>
      <c r="O64" s="6" t="n">
        <v>519.416332</v>
      </c>
      <c r="P64" s="6" t="n">
        <v>13394</v>
      </c>
      <c r="Q64" s="6" t="n">
        <v>12874.583668</v>
      </c>
      <c r="R64" s="6" t="n">
        <v>37.356208</v>
      </c>
      <c r="S64" s="6" t="n">
        <v>330.602441</v>
      </c>
      <c r="T64" s="6" t="n">
        <v>12470</v>
      </c>
      <c r="U64" s="6" t="n">
        <v>12139.397559</v>
      </c>
      <c r="V64" s="6" t="n">
        <v>29.258319</v>
      </c>
      <c r="W64" s="6" t="n">
        <v>258.936123</v>
      </c>
      <c r="X64" s="6" t="n">
        <v>12201</v>
      </c>
      <c r="Y64" s="6" t="n">
        <v>11942.063877</v>
      </c>
      <c r="AC64">
        <f>E64</f>
        <v/>
      </c>
      <c r="AD64">
        <f>M64</f>
        <v/>
      </c>
      <c r="AE64">
        <f>Q64</f>
        <v/>
      </c>
      <c r="AF64">
        <f>U64</f>
        <v/>
      </c>
      <c r="AG64">
        <f>Y64</f>
        <v/>
      </c>
      <c r="AH64" s="208" t="n"/>
      <c r="AI64" s="208" t="n"/>
      <c r="AJ64" s="8" t="n"/>
      <c r="AK64" s="8" t="n"/>
      <c r="AL64" s="8" t="n"/>
      <c r="AM64" s="8" t="n"/>
    </row>
    <row r="65" ht="14.5" customHeight="1" s="213">
      <c r="C65" s="6" t="inlineStr">
        <is>
          <t>Battery electric motorcycle (equivalent to &gt;750 cc motorcycle)</t>
        </is>
      </c>
      <c r="D65" s="6" t="inlineStr">
        <is>
          <t>Trd_2w_elc750_assumed_189</t>
        </is>
      </c>
      <c r="E65" s="6" t="inlineStr">
        <is>
          <t>Trd_3w_elc_189</t>
        </is>
      </c>
      <c r="F65" s="6" t="inlineStr">
        <is>
          <t>electric_range_km</t>
        </is>
      </c>
      <c r="G65" s="6" t="n">
        <v>189</v>
      </c>
      <c r="H65" s="6" t="n">
        <v>9.449999999999999</v>
      </c>
      <c r="I65" s="6" t="inlineStr">
        <is>
          <t>Uses the pasted Trd_3w_elc capacity series because it is the only 6-10 kWh range series; verify if Trd_3w_elc is meant to be a separate three-wheeler technology.</t>
        </is>
      </c>
      <c r="J65" s="6" t="n">
        <v>98.82521699999999</v>
      </c>
      <c r="K65" s="6" t="n">
        <v>933.8983009999999</v>
      </c>
      <c r="L65" s="6" t="n">
        <v>15415</v>
      </c>
      <c r="M65" s="6" t="n">
        <v>14481.101699</v>
      </c>
      <c r="N65" s="6" t="n">
        <v>58.691111</v>
      </c>
      <c r="O65" s="6" t="n">
        <v>554.630999</v>
      </c>
      <c r="P65" s="6" t="n">
        <v>13512</v>
      </c>
      <c r="Q65" s="6" t="n">
        <v>12957.369001</v>
      </c>
      <c r="R65" s="6" t="n">
        <v>37.356208</v>
      </c>
      <c r="S65" s="6" t="n">
        <v>353.016166</v>
      </c>
      <c r="T65" s="6" t="n">
        <v>12541</v>
      </c>
      <c r="U65" s="6" t="n">
        <v>12187.983834</v>
      </c>
      <c r="V65" s="6" t="n">
        <v>29.258319</v>
      </c>
      <c r="W65" s="6" t="n">
        <v>276.491115</v>
      </c>
      <c r="X65" s="6" t="n">
        <v>12258</v>
      </c>
      <c r="Y65" s="6" t="n">
        <v>11981.508885</v>
      </c>
      <c r="AC65">
        <f>E65</f>
        <v/>
      </c>
      <c r="AD65">
        <f>M65</f>
        <v/>
      </c>
      <c r="AE65">
        <f>Q65</f>
        <v/>
      </c>
      <c r="AF65">
        <f>U65</f>
        <v/>
      </c>
      <c r="AG65">
        <f>Y65</f>
        <v/>
      </c>
      <c r="AH65" s="208" t="n"/>
      <c r="AI65" s="208" t="n"/>
      <c r="AJ65" s="8" t="n"/>
      <c r="AK65" s="8" t="n"/>
      <c r="AL65" s="8" t="n"/>
      <c r="AM65" s="8" t="n"/>
    </row>
    <row r="66" ht="14.5" customHeight="1" s="213">
      <c r="C66" s="6" t="inlineStr">
        <is>
          <t>Battery electric motorcycle (equivalent to &gt;750 cc motorcycle)</t>
        </is>
      </c>
      <c r="D66" s="6" t="inlineStr">
        <is>
          <t>Trd_2w_elc750_assumed_200</t>
        </is>
      </c>
      <c r="E66" s="6" t="inlineStr">
        <is>
          <t>Trd_3w_elc_200</t>
        </is>
      </c>
      <c r="F66" s="6" t="inlineStr">
        <is>
          <t>electric_range_km</t>
        </is>
      </c>
      <c r="G66" s="6" t="n">
        <v>200</v>
      </c>
      <c r="H66" s="6" t="n">
        <v>10</v>
      </c>
      <c r="I66" s="6" t="inlineStr">
        <is>
          <t>Uses the pasted Trd_3w_elc capacity series because it is the only 6-10 kWh range series; verify if Trd_3w_elc is meant to be a separate three-wheeler technology.</t>
        </is>
      </c>
      <c r="J66" s="6" t="n">
        <v>98.82521699999999</v>
      </c>
      <c r="K66" s="6" t="n">
        <v>988.25217</v>
      </c>
      <c r="L66" s="6" t="n">
        <v>15618</v>
      </c>
      <c r="M66" s="6" t="n">
        <v>14629.74783</v>
      </c>
      <c r="N66" s="6" t="n">
        <v>58.691111</v>
      </c>
      <c r="O66" s="6" t="n">
        <v>586.91111</v>
      </c>
      <c r="P66" s="6" t="n">
        <v>13626</v>
      </c>
      <c r="Q66" s="6" t="n">
        <v>13039.08889</v>
      </c>
      <c r="R66" s="6" t="n">
        <v>37.356208</v>
      </c>
      <c r="S66" s="6" t="n">
        <v>373.56208</v>
      </c>
      <c r="T66" s="6" t="n">
        <v>12610</v>
      </c>
      <c r="U66" s="6" t="n">
        <v>12236.43792</v>
      </c>
      <c r="V66" s="6" t="n">
        <v>29.258319</v>
      </c>
      <c r="W66" s="6" t="n">
        <v>292.58319</v>
      </c>
      <c r="X66" s="6" t="n">
        <v>12314</v>
      </c>
      <c r="Y66" s="6" t="n">
        <v>12021.41681</v>
      </c>
      <c r="AC66">
        <f>E66</f>
        <v/>
      </c>
      <c r="AD66">
        <f>M66</f>
        <v/>
      </c>
      <c r="AE66">
        <f>Q66</f>
        <v/>
      </c>
      <c r="AF66">
        <f>U66</f>
        <v/>
      </c>
      <c r="AG66">
        <f>Y66</f>
        <v/>
      </c>
      <c r="AH66" s="208" t="n"/>
      <c r="AI66" s="208" t="n"/>
      <c r="AJ66" s="8" t="n"/>
      <c r="AK66" s="8" t="n"/>
      <c r="AL66" s="8" t="n"/>
      <c r="AM66" s="8" t="n"/>
    </row>
    <row r="67" ht="14.5" customHeight="1" s="213">
      <c r="C67" s="6" t="inlineStr">
        <is>
          <t>Battery electric moped</t>
        </is>
      </c>
      <c r="D67" s="6" t="inlineStr">
        <is>
          <t>Trd_2w_elc50_100</t>
        </is>
      </c>
      <c r="E67" s="6" t="inlineStr">
        <is>
          <t>Trd_2w_elc50_100</t>
        </is>
      </c>
      <c r="F67" s="6" t="inlineStr">
        <is>
          <t>electric_range_km</t>
        </is>
      </c>
      <c r="G67" s="6" t="n">
        <v>100</v>
      </c>
      <c r="H67" s="6" t="n">
        <v>2</v>
      </c>
      <c r="J67" s="6" t="n">
        <v>98.82521699999999</v>
      </c>
      <c r="K67" s="6" t="n">
        <v>197.650434</v>
      </c>
      <c r="L67" s="6" t="n">
        <v>4599</v>
      </c>
      <c r="M67" s="6" t="n">
        <v>4401.349566</v>
      </c>
      <c r="N67" s="6" t="n">
        <v>58.691111</v>
      </c>
      <c r="O67" s="6" t="n">
        <v>117.382222</v>
      </c>
      <c r="P67" s="6" t="n">
        <v>3006</v>
      </c>
      <c r="Q67" s="6" t="n">
        <v>2888.617778</v>
      </c>
      <c r="R67" s="6" t="n">
        <v>37.356208</v>
      </c>
      <c r="S67" s="6" t="n">
        <v>74.712416</v>
      </c>
      <c r="T67" s="6" t="n">
        <v>2744</v>
      </c>
      <c r="U67" s="6" t="n">
        <v>2669.287584</v>
      </c>
      <c r="V67" s="6" t="n">
        <v>29.258319</v>
      </c>
      <c r="W67" s="6" t="n">
        <v>58.516638</v>
      </c>
      <c r="X67" s="6" t="n">
        <v>2562</v>
      </c>
      <c r="Y67" s="6" t="n">
        <v>2503.483362</v>
      </c>
      <c r="AC67">
        <f>E67</f>
        <v/>
      </c>
      <c r="AD67">
        <f>M67</f>
        <v/>
      </c>
      <c r="AE67">
        <f>Q67</f>
        <v/>
      </c>
      <c r="AF67">
        <f>U67</f>
        <v/>
      </c>
      <c r="AG67">
        <f>Y67</f>
        <v/>
      </c>
      <c r="AH67" s="208" t="n"/>
      <c r="AI67" s="208" t="n"/>
      <c r="AJ67" s="8" t="n"/>
      <c r="AK67" s="8" t="n"/>
      <c r="AL67" s="8" t="n"/>
      <c r="AM67" s="8" t="n"/>
    </row>
    <row r="68" ht="14.5" customHeight="1" s="213">
      <c r="C68" s="6" t="inlineStr">
        <is>
          <t>Battery electric moped</t>
        </is>
      </c>
      <c r="D68" s="6" t="inlineStr">
        <is>
          <t>Trd_2w_elc50_109</t>
        </is>
      </c>
      <c r="E68" s="6" t="inlineStr">
        <is>
          <t>Trd_2w_elc50_109</t>
        </is>
      </c>
      <c r="F68" s="6" t="inlineStr">
        <is>
          <t>electric_range_km</t>
        </is>
      </c>
      <c r="G68" s="6" t="n">
        <v>109</v>
      </c>
      <c r="H68" s="6" t="n">
        <v>2.18</v>
      </c>
      <c r="J68" s="6" t="n">
        <v>98.82521699999999</v>
      </c>
      <c r="K68" s="6" t="n">
        <v>215.438973</v>
      </c>
      <c r="L68" s="6" t="n">
        <v>4826</v>
      </c>
      <c r="M68" s="6" t="n">
        <v>4610.561027</v>
      </c>
      <c r="N68" s="6" t="n">
        <v>58.691111</v>
      </c>
      <c r="O68" s="6" t="n">
        <v>127.946622</v>
      </c>
      <c r="P68" s="6" t="n">
        <v>3104</v>
      </c>
      <c r="Q68" s="6" t="n">
        <v>2976.053378</v>
      </c>
      <c r="R68" s="6" t="n">
        <v>37.356208</v>
      </c>
      <c r="S68" s="6" t="n">
        <v>81.436533</v>
      </c>
      <c r="T68" s="6" t="n">
        <v>2821</v>
      </c>
      <c r="U68" s="6" t="n">
        <v>2739.563467</v>
      </c>
      <c r="V68" s="6" t="n">
        <v>29.258319</v>
      </c>
      <c r="W68" s="6" t="n">
        <v>63.783135</v>
      </c>
      <c r="X68" s="6" t="n">
        <v>2624</v>
      </c>
      <c r="Y68" s="6" t="n">
        <v>2560.216865</v>
      </c>
      <c r="AC68">
        <f>E68</f>
        <v/>
      </c>
      <c r="AD68">
        <f>M68</f>
        <v/>
      </c>
      <c r="AE68">
        <f>Q68</f>
        <v/>
      </c>
      <c r="AF68">
        <f>U68</f>
        <v/>
      </c>
      <c r="AG68">
        <f>Y68</f>
        <v/>
      </c>
      <c r="AH68" s="208" t="n"/>
      <c r="AI68" s="208" t="n"/>
      <c r="AJ68" s="8" t="n"/>
      <c r="AK68" s="8" t="n"/>
      <c r="AL68" s="8" t="n"/>
      <c r="AM68" s="8" t="n"/>
    </row>
    <row r="69" ht="14.5" customHeight="1" s="213">
      <c r="C69" s="6" t="inlineStr">
        <is>
          <t>Battery electric moped</t>
        </is>
      </c>
      <c r="D69" s="6" t="inlineStr">
        <is>
          <t>Trd_2w_elc50_117</t>
        </is>
      </c>
      <c r="E69" s="6" t="inlineStr">
        <is>
          <t>Trd_2w_elc50_117</t>
        </is>
      </c>
      <c r="F69" s="6" t="inlineStr">
        <is>
          <t>electric_range_km</t>
        </is>
      </c>
      <c r="G69" s="6" t="n">
        <v>117</v>
      </c>
      <c r="H69" s="6" t="n">
        <v>2.34</v>
      </c>
      <c r="J69" s="6" t="n">
        <v>98.82521699999999</v>
      </c>
      <c r="K69" s="6" t="n">
        <v>231.251008</v>
      </c>
      <c r="L69" s="6" t="n">
        <v>4915</v>
      </c>
      <c r="M69" s="6" t="n">
        <v>4683.748992</v>
      </c>
      <c r="N69" s="6" t="n">
        <v>58.691111</v>
      </c>
      <c r="O69" s="6" t="n">
        <v>137.3372</v>
      </c>
      <c r="P69" s="6" t="n">
        <v>3143</v>
      </c>
      <c r="Q69" s="6" t="n">
        <v>3005.6628</v>
      </c>
      <c r="R69" s="6" t="n">
        <v>37.356208</v>
      </c>
      <c r="S69" s="6" t="n">
        <v>87.413527</v>
      </c>
      <c r="T69" s="6" t="n">
        <v>2851</v>
      </c>
      <c r="U69" s="6" t="n">
        <v>2763.586473</v>
      </c>
      <c r="V69" s="6" t="n">
        <v>29.258319</v>
      </c>
      <c r="W69" s="6" t="n">
        <v>68.464466</v>
      </c>
      <c r="X69" s="6" t="n">
        <v>2648</v>
      </c>
      <c r="Y69" s="6" t="n">
        <v>2579.535534</v>
      </c>
      <c r="AC69">
        <f>E69</f>
        <v/>
      </c>
      <c r="AD69">
        <f>M69</f>
        <v/>
      </c>
      <c r="AE69">
        <f>Q69</f>
        <v/>
      </c>
      <c r="AF69">
        <f>U69</f>
        <v/>
      </c>
      <c r="AG69">
        <f>Y69</f>
        <v/>
      </c>
      <c r="AH69" s="208" t="n"/>
      <c r="AI69" s="208" t="n"/>
      <c r="AJ69" s="8" t="n"/>
      <c r="AK69" s="8" t="n"/>
      <c r="AL69" s="8" t="n"/>
      <c r="AM69" s="8" t="n"/>
    </row>
    <row r="70" ht="14.5" customHeight="1" s="213">
      <c r="C70" s="6" t="inlineStr">
        <is>
          <t>Battery electric moped</t>
        </is>
      </c>
      <c r="D70" s="6" t="inlineStr">
        <is>
          <t>Trd_2w_elc50_126</t>
        </is>
      </c>
      <c r="E70" s="6" t="inlineStr">
        <is>
          <t>Trd_2w_elc50_126</t>
        </is>
      </c>
      <c r="F70" s="6" t="inlineStr">
        <is>
          <t>electric_range_km</t>
        </is>
      </c>
      <c r="G70" s="6" t="n">
        <v>126</v>
      </c>
      <c r="H70" s="6" t="n">
        <v>2.52</v>
      </c>
      <c r="J70" s="6" t="n">
        <v>98.82521699999999</v>
      </c>
      <c r="K70" s="6" t="n">
        <v>249.039547</v>
      </c>
      <c r="L70" s="6" t="n">
        <v>4926</v>
      </c>
      <c r="M70" s="6" t="n">
        <v>4676.960453</v>
      </c>
      <c r="N70" s="6" t="n">
        <v>58.691111</v>
      </c>
      <c r="O70" s="6" t="n">
        <v>147.9016</v>
      </c>
      <c r="P70" s="6" t="n">
        <v>3147</v>
      </c>
      <c r="Q70" s="6" t="n">
        <v>2999.0984</v>
      </c>
      <c r="R70" s="6" t="n">
        <v>37.356208</v>
      </c>
      <c r="S70" s="6" t="n">
        <v>94.13764399999999</v>
      </c>
      <c r="T70" s="6" t="n">
        <v>2855</v>
      </c>
      <c r="U70" s="6" t="n">
        <v>2760.862356</v>
      </c>
      <c r="V70" s="6" t="n">
        <v>29.258319</v>
      </c>
      <c r="W70" s="6" t="n">
        <v>73.730964</v>
      </c>
      <c r="X70" s="6" t="n">
        <v>2651</v>
      </c>
      <c r="Y70" s="6" t="n">
        <v>2577.269036</v>
      </c>
      <c r="AC70">
        <f>E70</f>
        <v/>
      </c>
      <c r="AD70">
        <f>M70</f>
        <v/>
      </c>
      <c r="AE70">
        <f>Q70</f>
        <v/>
      </c>
      <c r="AF70">
        <f>U70</f>
        <v/>
      </c>
      <c r="AG70">
        <f>Y70</f>
        <v/>
      </c>
      <c r="AH70" s="208" t="n"/>
      <c r="AI70" s="208" t="n"/>
      <c r="AJ70" s="8" t="n"/>
      <c r="AK70" s="8" t="n"/>
      <c r="AL70" s="8" t="n"/>
      <c r="AM70" s="8" t="n"/>
    </row>
    <row r="71" ht="14.5" customHeight="1" s="213">
      <c r="C71" s="6" t="inlineStr">
        <is>
          <t>Battery electric moped</t>
        </is>
      </c>
      <c r="D71" s="6" t="inlineStr">
        <is>
          <t>Trd_2w_elc50_134</t>
        </is>
      </c>
      <c r="E71" s="6" t="inlineStr">
        <is>
          <t>Trd_2w_elc50_134</t>
        </is>
      </c>
      <c r="F71" s="6" t="inlineStr">
        <is>
          <t>electric_range_km</t>
        </is>
      </c>
      <c r="G71" s="6" t="n">
        <v>134</v>
      </c>
      <c r="H71" s="6" t="n">
        <v>2.68</v>
      </c>
      <c r="J71" s="6" t="n">
        <v>98.82521699999999</v>
      </c>
      <c r="K71" s="6" t="n">
        <v>264.851582</v>
      </c>
      <c r="L71" s="6" t="n">
        <v>5032</v>
      </c>
      <c r="M71" s="6" t="n">
        <v>4767.148418</v>
      </c>
      <c r="N71" s="6" t="n">
        <v>58.691111</v>
      </c>
      <c r="O71" s="6" t="n">
        <v>157.292177</v>
      </c>
      <c r="P71" s="6" t="n">
        <v>3193</v>
      </c>
      <c r="Q71" s="6" t="n">
        <v>3035.707823</v>
      </c>
      <c r="R71" s="6" t="n">
        <v>37.356208</v>
      </c>
      <c r="S71" s="6" t="n">
        <v>100.114637</v>
      </c>
      <c r="T71" s="6" t="n">
        <v>2891</v>
      </c>
      <c r="U71" s="6" t="n">
        <v>2790.885363</v>
      </c>
      <c r="V71" s="6" t="n">
        <v>29.258319</v>
      </c>
      <c r="W71" s="6" t="n">
        <v>78.412295</v>
      </c>
      <c r="X71" s="6" t="n">
        <v>2680</v>
      </c>
      <c r="Y71" s="6" t="n">
        <v>2601.587705</v>
      </c>
      <c r="AC71">
        <f>E71</f>
        <v/>
      </c>
      <c r="AD71">
        <f>M71</f>
        <v/>
      </c>
      <c r="AE71">
        <f>Q71</f>
        <v/>
      </c>
      <c r="AF71">
        <f>U71</f>
        <v/>
      </c>
      <c r="AG71">
        <f>Y71</f>
        <v/>
      </c>
      <c r="AH71" s="208" t="n"/>
      <c r="AI71" s="208" t="n"/>
      <c r="AJ71" s="8" t="n"/>
      <c r="AK71" s="8" t="n"/>
      <c r="AL71" s="8" t="n"/>
      <c r="AM71" s="8" t="n"/>
    </row>
    <row r="72" ht="14.5" customHeight="1" s="213">
      <c r="C72" s="6" t="inlineStr">
        <is>
          <t>Battery electric moped</t>
        </is>
      </c>
      <c r="D72" s="6" t="inlineStr">
        <is>
          <t>Trd_2w_elc50_143</t>
        </is>
      </c>
      <c r="E72" s="6" t="inlineStr">
        <is>
          <t>Trd_2w_elc50_143</t>
        </is>
      </c>
      <c r="F72" s="6" t="inlineStr">
        <is>
          <t>electric_range_km</t>
        </is>
      </c>
      <c r="G72" s="6" t="n">
        <v>143</v>
      </c>
      <c r="H72" s="6" t="n">
        <v>2.86</v>
      </c>
      <c r="J72" s="6" t="n">
        <v>98.82521699999999</v>
      </c>
      <c r="K72" s="6" t="n">
        <v>282.640121</v>
      </c>
      <c r="L72" s="6" t="n">
        <v>5125</v>
      </c>
      <c r="M72" s="6" t="n">
        <v>4842.359879</v>
      </c>
      <c r="N72" s="6" t="n">
        <v>58.691111</v>
      </c>
      <c r="O72" s="6" t="n">
        <v>167.856577</v>
      </c>
      <c r="P72" s="6" t="n">
        <v>3233</v>
      </c>
      <c r="Q72" s="6" t="n">
        <v>3065.143423</v>
      </c>
      <c r="R72" s="6" t="n">
        <v>37.356208</v>
      </c>
      <c r="S72" s="6" t="n">
        <v>106.838755</v>
      </c>
      <c r="T72" s="6" t="n">
        <v>2923</v>
      </c>
      <c r="U72" s="6" t="n">
        <v>2816.161245</v>
      </c>
      <c r="V72" s="6" t="n">
        <v>29.258319</v>
      </c>
      <c r="W72" s="6" t="n">
        <v>83.678792</v>
      </c>
      <c r="X72" s="6" t="n">
        <v>2706</v>
      </c>
      <c r="Y72" s="6" t="n">
        <v>2622.321208</v>
      </c>
      <c r="AC72">
        <f>E72</f>
        <v/>
      </c>
      <c r="AD72">
        <f>M72</f>
        <v/>
      </c>
      <c r="AE72">
        <f>Q72</f>
        <v/>
      </c>
      <c r="AF72">
        <f>U72</f>
        <v/>
      </c>
      <c r="AG72">
        <f>Y72</f>
        <v/>
      </c>
      <c r="AH72" s="208" t="n"/>
      <c r="AI72" s="208" t="n"/>
      <c r="AJ72" s="8" t="n"/>
      <c r="AK72" s="8" t="n"/>
      <c r="AL72" s="8" t="n"/>
      <c r="AM72" s="8" t="n"/>
    </row>
    <row r="73" ht="14.5" customHeight="1" s="213">
      <c r="C73" s="6" t="inlineStr">
        <is>
          <t>Battery electric moped</t>
        </is>
      </c>
      <c r="D73" s="6" t="inlineStr">
        <is>
          <t>Trd_2w_elc50_151</t>
        </is>
      </c>
      <c r="E73" s="6" t="inlineStr">
        <is>
          <t>Trd_2w_elc50_151</t>
        </is>
      </c>
      <c r="F73" s="6" t="inlineStr">
        <is>
          <t>electric_range_km</t>
        </is>
      </c>
      <c r="G73" s="6" t="n">
        <v>151</v>
      </c>
      <c r="H73" s="6" t="n">
        <v>3.02</v>
      </c>
      <c r="J73" s="6" t="n">
        <v>98.82521699999999</v>
      </c>
      <c r="K73" s="6" t="n">
        <v>298.452155</v>
      </c>
      <c r="L73" s="6" t="n">
        <v>5274</v>
      </c>
      <c r="M73" s="6" t="n">
        <v>4975.547845</v>
      </c>
      <c r="N73" s="6" t="n">
        <v>58.691111</v>
      </c>
      <c r="O73" s="6" t="n">
        <v>177.247155</v>
      </c>
      <c r="P73" s="6" t="n">
        <v>3298</v>
      </c>
      <c r="Q73" s="6" t="n">
        <v>3120.752845</v>
      </c>
      <c r="R73" s="6" t="n">
        <v>37.356208</v>
      </c>
      <c r="S73" s="6" t="n">
        <v>112.815748</v>
      </c>
      <c r="T73" s="6" t="n">
        <v>2974</v>
      </c>
      <c r="U73" s="6" t="n">
        <v>2861.184252</v>
      </c>
      <c r="V73" s="6" t="n">
        <v>29.258319</v>
      </c>
      <c r="W73" s="6" t="n">
        <v>88.360123</v>
      </c>
      <c r="X73" s="6" t="n">
        <v>2747</v>
      </c>
      <c r="Y73" s="6" t="n">
        <v>2658.639877</v>
      </c>
      <c r="AC73">
        <f>E73</f>
        <v/>
      </c>
      <c r="AD73">
        <f>M73</f>
        <v/>
      </c>
      <c r="AE73">
        <f>Q73</f>
        <v/>
      </c>
      <c r="AF73">
        <f>U73</f>
        <v/>
      </c>
      <c r="AG73">
        <f>Y73</f>
        <v/>
      </c>
      <c r="AH73" s="208" t="n"/>
      <c r="AI73" s="208" t="n"/>
      <c r="AJ73" s="8" t="n"/>
      <c r="AK73" s="8" t="n"/>
      <c r="AL73" s="8" t="n"/>
      <c r="AM73" s="8" t="n"/>
    </row>
    <row r="74" ht="14.5" customHeight="1" s="213">
      <c r="C74" s="6" t="inlineStr">
        <is>
          <t>Battery electric moped</t>
        </is>
      </c>
      <c r="D74" s="6" t="inlineStr">
        <is>
          <t>Trd_2w_elc50_160</t>
        </is>
      </c>
      <c r="E74" s="6" t="inlineStr">
        <is>
          <t>Trd_2w_elc50_160</t>
        </is>
      </c>
      <c r="F74" s="6" t="inlineStr">
        <is>
          <t>electric_range_km</t>
        </is>
      </c>
      <c r="G74" s="6" t="n">
        <v>160</v>
      </c>
      <c r="H74" s="6" t="n">
        <v>3.2</v>
      </c>
      <c r="J74" s="6" t="n">
        <v>98.82521699999999</v>
      </c>
      <c r="K74" s="6" t="n">
        <v>316.240694</v>
      </c>
      <c r="L74" s="6" t="n">
        <v>5418</v>
      </c>
      <c r="M74" s="6" t="n">
        <v>5101.759306</v>
      </c>
      <c r="N74" s="6" t="n">
        <v>58.691111</v>
      </c>
      <c r="O74" s="6" t="n">
        <v>187.811555</v>
      </c>
      <c r="P74" s="6" t="n">
        <v>3361</v>
      </c>
      <c r="Q74" s="6" t="n">
        <v>3173.188445</v>
      </c>
      <c r="R74" s="6" t="n">
        <v>37.356208</v>
      </c>
      <c r="S74" s="6" t="n">
        <v>119.539866</v>
      </c>
      <c r="T74" s="6" t="n">
        <v>3022</v>
      </c>
      <c r="U74" s="6" t="n">
        <v>2902.460134</v>
      </c>
      <c r="V74" s="6" t="n">
        <v>29.258319</v>
      </c>
      <c r="W74" s="6" t="n">
        <v>93.626621</v>
      </c>
      <c r="X74" s="6" t="n">
        <v>2787</v>
      </c>
      <c r="Y74" s="6" t="n">
        <v>2693.373379</v>
      </c>
      <c r="AC74">
        <f>E74</f>
        <v/>
      </c>
      <c r="AD74">
        <f>M74</f>
        <v/>
      </c>
      <c r="AE74">
        <f>Q74</f>
        <v/>
      </c>
      <c r="AF74">
        <f>U74</f>
        <v/>
      </c>
      <c r="AG74">
        <f>Y74</f>
        <v/>
      </c>
      <c r="AH74" s="208" t="n"/>
      <c r="AI74" s="208" t="n"/>
      <c r="AJ74" s="8" t="n"/>
      <c r="AK74" s="8" t="n"/>
      <c r="AL74" s="8" t="n"/>
      <c r="AM74" s="8" t="n"/>
    </row>
    <row r="75" ht="14.5" customHeight="1" s="213">
      <c r="C75" s="6" t="inlineStr">
        <is>
          <t>Battery electric bus</t>
        </is>
      </c>
      <c r="D75" s="6" t="inlineStr">
        <is>
          <t>Trd_bus_elc_120</t>
        </is>
      </c>
      <c r="E75" s="6" t="inlineStr">
        <is>
          <t>Trd_bus_elc_120</t>
        </is>
      </c>
      <c r="F75" s="6" t="inlineStr">
        <is>
          <t>electric_range_km</t>
        </is>
      </c>
      <c r="G75" s="6" t="n">
        <v>120</v>
      </c>
      <c r="H75" s="6" t="n">
        <v>120</v>
      </c>
      <c r="J75" s="6" t="n">
        <v>98.82521699999999</v>
      </c>
      <c r="K75" s="6" t="n">
        <v>11859.02604</v>
      </c>
      <c r="L75" s="6" t="n">
        <v>414283</v>
      </c>
      <c r="M75" s="6" t="n">
        <v>402423.97396</v>
      </c>
      <c r="N75" s="6" t="n">
        <v>58.691111</v>
      </c>
      <c r="O75" s="6" t="n">
        <v>7042.93332</v>
      </c>
      <c r="P75" s="6" t="n">
        <v>303169</v>
      </c>
      <c r="Q75" s="6" t="n">
        <v>296126.06668</v>
      </c>
      <c r="R75" s="6" t="n">
        <v>37.356208</v>
      </c>
      <c r="S75" s="6" t="n">
        <v>4482.74496</v>
      </c>
      <c r="T75" s="6" t="n">
        <v>289801</v>
      </c>
      <c r="U75" s="6" t="n">
        <v>285318.25504</v>
      </c>
      <c r="V75" s="6" t="n">
        <v>29.258319</v>
      </c>
      <c r="W75" s="6" t="n">
        <v>3510.99828</v>
      </c>
      <c r="X75" s="6" t="n">
        <v>284257</v>
      </c>
      <c r="Y75" s="6" t="n">
        <v>280746.00172</v>
      </c>
      <c r="AC75">
        <f>E75</f>
        <v/>
      </c>
      <c r="AD75">
        <f>M75</f>
        <v/>
      </c>
      <c r="AE75">
        <f>Q75</f>
        <v/>
      </c>
      <c r="AF75">
        <f>U75</f>
        <v/>
      </c>
      <c r="AG75">
        <f>Y75</f>
        <v/>
      </c>
      <c r="AH75" s="208" t="n"/>
      <c r="AI75" s="208" t="n"/>
      <c r="AJ75" s="8" t="n"/>
      <c r="AK75" s="8" t="n"/>
      <c r="AL75" s="8" t="n"/>
      <c r="AM75" s="8" t="n"/>
    </row>
    <row r="76" ht="14.5" customHeight="1" s="213">
      <c r="C76" s="6" t="inlineStr">
        <is>
          <t>Battery electric bus</t>
        </is>
      </c>
      <c r="D76" s="6" t="inlineStr">
        <is>
          <t>Trd_bus_elc_134</t>
        </is>
      </c>
      <c r="E76" s="6" t="inlineStr">
        <is>
          <t>Trd_bus_elc_134</t>
        </is>
      </c>
      <c r="F76" s="6" t="inlineStr">
        <is>
          <t>electric_range_km</t>
        </is>
      </c>
      <c r="G76" s="6" t="n">
        <v>134</v>
      </c>
      <c r="H76" s="6" t="n">
        <v>134</v>
      </c>
      <c r="J76" s="6" t="n">
        <v>98.82521699999999</v>
      </c>
      <c r="K76" s="6" t="n">
        <v>13242.579078</v>
      </c>
      <c r="L76" s="6" t="n">
        <v>418677</v>
      </c>
      <c r="M76" s="6" t="n">
        <v>405434.420922</v>
      </c>
      <c r="N76" s="6" t="n">
        <v>58.691111</v>
      </c>
      <c r="O76" s="6" t="n">
        <v>7864.608874</v>
      </c>
      <c r="P76" s="6" t="n">
        <v>306295</v>
      </c>
      <c r="Q76" s="6" t="n">
        <v>298430.391126</v>
      </c>
      <c r="R76" s="6" t="n">
        <v>37.356208</v>
      </c>
      <c r="S76" s="6" t="n">
        <v>5005.731872</v>
      </c>
      <c r="T76" s="6" t="n">
        <v>291399</v>
      </c>
      <c r="U76" s="6" t="n">
        <v>286393.268128</v>
      </c>
      <c r="V76" s="6" t="n">
        <v>29.258319</v>
      </c>
      <c r="W76" s="6" t="n">
        <v>3920.614746</v>
      </c>
      <c r="X76" s="6" t="n">
        <v>285221</v>
      </c>
      <c r="Y76" s="6" t="n">
        <v>281300.385254</v>
      </c>
      <c r="AC76">
        <f>E76</f>
        <v/>
      </c>
      <c r="AD76">
        <f>M76</f>
        <v/>
      </c>
      <c r="AE76">
        <f>Q76</f>
        <v/>
      </c>
      <c r="AF76">
        <f>U76</f>
        <v/>
      </c>
      <c r="AG76">
        <f>Y76</f>
        <v/>
      </c>
      <c r="AH76" s="208" t="n"/>
      <c r="AI76" s="208" t="n"/>
      <c r="AJ76" s="8" t="n"/>
      <c r="AK76" s="8" t="n"/>
      <c r="AL76" s="8" t="n"/>
      <c r="AM76" s="8" t="n"/>
    </row>
    <row r="77" ht="14.5" customHeight="1" s="213">
      <c r="C77" s="6" t="inlineStr">
        <is>
          <t>Battery electric bus</t>
        </is>
      </c>
      <c r="D77" s="6" t="inlineStr">
        <is>
          <t>Trd_bus_elc_149</t>
        </is>
      </c>
      <c r="E77" s="6" t="inlineStr">
        <is>
          <t>Trd_bus_elc_149</t>
        </is>
      </c>
      <c r="F77" s="6" t="inlineStr">
        <is>
          <t>electric_range_km</t>
        </is>
      </c>
      <c r="G77" s="6" t="n">
        <v>149</v>
      </c>
      <c r="H77" s="6" t="n">
        <v>149</v>
      </c>
      <c r="J77" s="6" t="n">
        <v>98.82521699999999</v>
      </c>
      <c r="K77" s="6" t="n">
        <v>14724.957333</v>
      </c>
      <c r="L77" s="6" t="n">
        <v>421066</v>
      </c>
      <c r="M77" s="6" t="n">
        <v>406341.042667</v>
      </c>
      <c r="N77" s="6" t="n">
        <v>58.691111</v>
      </c>
      <c r="O77" s="6" t="n">
        <v>8744.975538999999</v>
      </c>
      <c r="P77" s="6" t="n">
        <v>307993</v>
      </c>
      <c r="Q77" s="6" t="n">
        <v>299248.024461</v>
      </c>
      <c r="R77" s="6" t="n">
        <v>37.356208</v>
      </c>
      <c r="S77" s="6" t="n">
        <v>5566.074992</v>
      </c>
      <c r="T77" s="6" t="n">
        <v>292267</v>
      </c>
      <c r="U77" s="6" t="n">
        <v>286700.925008</v>
      </c>
      <c r="V77" s="6" t="n">
        <v>29.258319</v>
      </c>
      <c r="W77" s="6" t="n">
        <v>4359.489531</v>
      </c>
      <c r="X77" s="6" t="n">
        <v>285745</v>
      </c>
      <c r="Y77" s="6" t="n">
        <v>281385.510469</v>
      </c>
      <c r="AC77">
        <f>E77</f>
        <v/>
      </c>
      <c r="AD77">
        <f>M77</f>
        <v/>
      </c>
      <c r="AE77">
        <f>Q77</f>
        <v/>
      </c>
      <c r="AF77">
        <f>U77</f>
        <v/>
      </c>
      <c r="AG77">
        <f>Y77</f>
        <v/>
      </c>
      <c r="AH77" s="208" t="n"/>
      <c r="AI77" s="208" t="n"/>
      <c r="AJ77" s="8" t="n"/>
      <c r="AK77" s="8" t="n"/>
      <c r="AL77" s="8" t="n"/>
      <c r="AM77" s="8" t="n"/>
    </row>
    <row r="78" ht="14.5" customHeight="1" s="213">
      <c r="C78" s="6" t="inlineStr">
        <is>
          <t>Battery electric bus</t>
        </is>
      </c>
      <c r="D78" s="6" t="inlineStr">
        <is>
          <t>Trd_bus_elc_163</t>
        </is>
      </c>
      <c r="E78" s="6" t="inlineStr">
        <is>
          <t>Trd_bus_elc_163</t>
        </is>
      </c>
      <c r="F78" s="6" t="inlineStr">
        <is>
          <t>electric_range_km</t>
        </is>
      </c>
      <c r="G78" s="6" t="n">
        <v>163</v>
      </c>
      <c r="H78" s="6" t="n">
        <v>163</v>
      </c>
      <c r="J78" s="6" t="n">
        <v>98.82521699999999</v>
      </c>
      <c r="K78" s="6" t="n">
        <v>16108.510371</v>
      </c>
      <c r="L78" s="6" t="n">
        <v>423484</v>
      </c>
      <c r="M78" s="6" t="n">
        <v>407375.489629</v>
      </c>
      <c r="N78" s="6" t="n">
        <v>58.691111</v>
      </c>
      <c r="O78" s="6" t="n">
        <v>9566.651093</v>
      </c>
      <c r="P78" s="6" t="n">
        <v>309713</v>
      </c>
      <c r="Q78" s="6" t="n">
        <v>300146.348907</v>
      </c>
      <c r="R78" s="6" t="n">
        <v>37.356208</v>
      </c>
      <c r="S78" s="6" t="n">
        <v>6089.061904</v>
      </c>
      <c r="T78" s="6" t="n">
        <v>293146</v>
      </c>
      <c r="U78" s="6" t="n">
        <v>287056.938096</v>
      </c>
      <c r="V78" s="6" t="n">
        <v>29.258319</v>
      </c>
      <c r="W78" s="6" t="n">
        <v>4769.105997</v>
      </c>
      <c r="X78" s="6" t="n">
        <v>286276</v>
      </c>
      <c r="Y78" s="6" t="n">
        <v>281506.894003</v>
      </c>
      <c r="AC78">
        <f>E78</f>
        <v/>
      </c>
      <c r="AD78">
        <f>M78</f>
        <v/>
      </c>
      <c r="AE78">
        <f>Q78</f>
        <v/>
      </c>
      <c r="AF78">
        <f>U78</f>
        <v/>
      </c>
      <c r="AG78">
        <f>Y78</f>
        <v/>
      </c>
      <c r="AH78" s="208" t="n"/>
      <c r="AI78" s="208" t="n"/>
      <c r="AJ78" s="8" t="n"/>
      <c r="AK78" s="8" t="n"/>
      <c r="AL78" s="8" t="n"/>
      <c r="AM78" s="8" t="n"/>
    </row>
    <row r="79" ht="14.5" customHeight="1" s="213">
      <c r="C79" s="6" t="inlineStr">
        <is>
          <t>Battery electric bus</t>
        </is>
      </c>
      <c r="D79" s="6" t="inlineStr">
        <is>
          <t>Trd_bus_elc_177</t>
        </is>
      </c>
      <c r="E79" s="6" t="inlineStr">
        <is>
          <t>Trd_bus_elc_177</t>
        </is>
      </c>
      <c r="F79" s="6" t="inlineStr">
        <is>
          <t>electric_range_km</t>
        </is>
      </c>
      <c r="G79" s="6" t="n">
        <v>177</v>
      </c>
      <c r="H79" s="6" t="n">
        <v>177</v>
      </c>
      <c r="J79" s="6" t="n">
        <v>98.82521699999999</v>
      </c>
      <c r="K79" s="6" t="n">
        <v>17492.063409</v>
      </c>
      <c r="L79" s="6" t="n">
        <v>426045</v>
      </c>
      <c r="M79" s="6" t="n">
        <v>408552.936591</v>
      </c>
      <c r="N79" s="6" t="n">
        <v>58.691111</v>
      </c>
      <c r="O79" s="6" t="n">
        <v>10388.326647</v>
      </c>
      <c r="P79" s="6" t="n">
        <v>311534</v>
      </c>
      <c r="Q79" s="6" t="n">
        <v>301145.673353</v>
      </c>
      <c r="R79" s="6" t="n">
        <v>37.356208</v>
      </c>
      <c r="S79" s="6" t="n">
        <v>6612.048816</v>
      </c>
      <c r="T79" s="6" t="n">
        <v>294077</v>
      </c>
      <c r="U79" s="6" t="n">
        <v>287464.951184</v>
      </c>
      <c r="V79" s="6" t="n">
        <v>29.258319</v>
      </c>
      <c r="W79" s="6" t="n">
        <v>5178.722463</v>
      </c>
      <c r="X79" s="6" t="n">
        <v>286838</v>
      </c>
      <c r="Y79" s="6" t="n">
        <v>281659.277537</v>
      </c>
      <c r="AC79">
        <f>E79</f>
        <v/>
      </c>
      <c r="AD79">
        <f>M79</f>
        <v/>
      </c>
      <c r="AE79">
        <f>Q79</f>
        <v/>
      </c>
      <c r="AF79">
        <f>U79</f>
        <v/>
      </c>
      <c r="AG79">
        <f>Y79</f>
        <v/>
      </c>
      <c r="AH79" s="208" t="n"/>
      <c r="AI79" s="208" t="n"/>
      <c r="AJ79" s="8" t="n"/>
      <c r="AK79" s="8" t="n"/>
      <c r="AL79" s="8" t="n"/>
      <c r="AM79" s="8" t="n"/>
    </row>
    <row r="80" ht="14.5" customHeight="1" s="213">
      <c r="C80" s="6" t="inlineStr">
        <is>
          <t>Battery electric bus</t>
        </is>
      </c>
      <c r="D80" s="6" t="inlineStr">
        <is>
          <t>Trd_bus_elc_191</t>
        </is>
      </c>
      <c r="E80" s="6" t="inlineStr">
        <is>
          <t>Trd_bus_elc_191</t>
        </is>
      </c>
      <c r="F80" s="6" t="inlineStr">
        <is>
          <t>electric_range_km</t>
        </is>
      </c>
      <c r="G80" s="6" t="n">
        <v>191</v>
      </c>
      <c r="H80" s="6" t="n">
        <v>191</v>
      </c>
      <c r="J80" s="6" t="n">
        <v>98.82521699999999</v>
      </c>
      <c r="K80" s="6" t="n">
        <v>18875.616447</v>
      </c>
      <c r="L80" s="6" t="n">
        <v>429934</v>
      </c>
      <c r="M80" s="6" t="n">
        <v>411058.383553</v>
      </c>
      <c r="N80" s="6" t="n">
        <v>58.691111</v>
      </c>
      <c r="O80" s="6" t="n">
        <v>11210.002201</v>
      </c>
      <c r="P80" s="6" t="n">
        <v>314299</v>
      </c>
      <c r="Q80" s="6" t="n">
        <v>303088.997799</v>
      </c>
      <c r="R80" s="6" t="n">
        <v>37.356208</v>
      </c>
      <c r="S80" s="6" t="n">
        <v>7135.035728</v>
      </c>
      <c r="T80" s="6" t="n">
        <v>295873</v>
      </c>
      <c r="U80" s="6" t="n">
        <v>288737.964272</v>
      </c>
      <c r="V80" s="6" t="n">
        <v>29.258319</v>
      </c>
      <c r="W80" s="6" t="n">
        <v>5588.338929</v>
      </c>
      <c r="X80" s="6" t="n">
        <v>287922</v>
      </c>
      <c r="Y80" s="6" t="n">
        <v>282333.661071</v>
      </c>
      <c r="AC80">
        <f>E80</f>
        <v/>
      </c>
      <c r="AD80">
        <f>M80</f>
        <v/>
      </c>
      <c r="AE80">
        <f>Q80</f>
        <v/>
      </c>
      <c r="AF80">
        <f>U80</f>
        <v/>
      </c>
      <c r="AG80">
        <f>Y80</f>
        <v/>
      </c>
      <c r="AH80" s="208" t="n"/>
      <c r="AI80" s="208" t="n"/>
      <c r="AJ80" s="8" t="n"/>
      <c r="AK80" s="8" t="n"/>
      <c r="AL80" s="8" t="n"/>
      <c r="AM80" s="8" t="n"/>
    </row>
    <row r="81" ht="14.5" customHeight="1" s="213">
      <c r="C81" s="6" t="inlineStr">
        <is>
          <t>Battery electric bus</t>
        </is>
      </c>
      <c r="D81" s="6" t="inlineStr">
        <is>
          <t>Trd_bus_elc_206</t>
        </is>
      </c>
      <c r="E81" s="6" t="inlineStr">
        <is>
          <t>Trd_bus_elc_206</t>
        </is>
      </c>
      <c r="F81" s="6" t="inlineStr">
        <is>
          <t>electric_range_km</t>
        </is>
      </c>
      <c r="G81" s="6" t="n">
        <v>206</v>
      </c>
      <c r="H81" s="6" t="n">
        <v>206</v>
      </c>
      <c r="J81" s="6" t="n">
        <v>98.82521699999999</v>
      </c>
      <c r="K81" s="6" t="n">
        <v>20357.994702</v>
      </c>
      <c r="L81" s="6" t="n">
        <v>434837</v>
      </c>
      <c r="M81" s="6" t="n">
        <v>414479.005298</v>
      </c>
      <c r="N81" s="6" t="n">
        <v>58.691111</v>
      </c>
      <c r="O81" s="6" t="n">
        <v>12090.368866</v>
      </c>
      <c r="P81" s="6" t="n">
        <v>317786</v>
      </c>
      <c r="Q81" s="6" t="n">
        <v>305695.631134</v>
      </c>
      <c r="R81" s="6" t="n">
        <v>37.356208</v>
      </c>
      <c r="S81" s="6" t="n">
        <v>7695.378848</v>
      </c>
      <c r="T81" s="6" t="n">
        <v>297679</v>
      </c>
      <c r="U81" s="6" t="n">
        <v>289983.621152</v>
      </c>
      <c r="V81" s="6" t="n">
        <v>29.258319</v>
      </c>
      <c r="W81" s="6" t="n">
        <v>6027.213714</v>
      </c>
      <c r="X81" s="6" t="n">
        <v>289012</v>
      </c>
      <c r="Y81" s="6" t="n">
        <v>282984.786286</v>
      </c>
      <c r="AC81">
        <f>E81</f>
        <v/>
      </c>
      <c r="AD81">
        <f>M81</f>
        <v/>
      </c>
      <c r="AE81">
        <f>Q81</f>
        <v/>
      </c>
      <c r="AF81">
        <f>U81</f>
        <v/>
      </c>
      <c r="AG81">
        <f>Y81</f>
        <v/>
      </c>
      <c r="AH81" s="208" t="n"/>
      <c r="AI81" s="208" t="n"/>
      <c r="AJ81" s="8" t="n"/>
      <c r="AK81" s="8" t="n"/>
      <c r="AL81" s="8" t="n"/>
      <c r="AM81" s="8" t="n"/>
    </row>
    <row r="82" ht="14.5" customHeight="1" s="213">
      <c r="C82" s="6" t="inlineStr">
        <is>
          <t>Battery electric bus</t>
        </is>
      </c>
      <c r="D82" s="6" t="inlineStr">
        <is>
          <t>Trd_bus_elc_220</t>
        </is>
      </c>
      <c r="E82" s="6" t="inlineStr">
        <is>
          <t>Trd_bus_elc_220</t>
        </is>
      </c>
      <c r="F82" s="6" t="inlineStr">
        <is>
          <t>electric_range_km</t>
        </is>
      </c>
      <c r="G82" s="6" t="n">
        <v>220</v>
      </c>
      <c r="H82" s="6" t="n">
        <v>220</v>
      </c>
      <c r="J82" s="6" t="n">
        <v>98.82521699999999</v>
      </c>
      <c r="K82" s="6" t="n">
        <v>21741.54774</v>
      </c>
      <c r="L82" s="6" t="n">
        <v>439776</v>
      </c>
      <c r="M82" s="6" t="n">
        <v>418034.45226</v>
      </c>
      <c r="N82" s="6" t="n">
        <v>58.691111</v>
      </c>
      <c r="O82" s="6" t="n">
        <v>12912.04442</v>
      </c>
      <c r="P82" s="6" t="n">
        <v>321297</v>
      </c>
      <c r="Q82" s="6" t="n">
        <v>308384.95558</v>
      </c>
      <c r="R82" s="6" t="n">
        <v>37.356208</v>
      </c>
      <c r="S82" s="6" t="n">
        <v>8218.365760000001</v>
      </c>
      <c r="T82" s="6" t="n">
        <v>299069</v>
      </c>
      <c r="U82" s="6" t="n">
        <v>290850.63424</v>
      </c>
      <c r="V82" s="6" t="n">
        <v>29.258319</v>
      </c>
      <c r="W82" s="6" t="n">
        <v>6436.83018</v>
      </c>
      <c r="X82" s="6" t="n">
        <v>289851</v>
      </c>
      <c r="Y82" s="6" t="n">
        <v>283414.16982</v>
      </c>
      <c r="AC82">
        <f>E82</f>
        <v/>
      </c>
      <c r="AD82">
        <f>M82</f>
        <v/>
      </c>
      <c r="AE82">
        <f>Q82</f>
        <v/>
      </c>
      <c r="AF82">
        <f>U82</f>
        <v/>
      </c>
      <c r="AG82">
        <f>Y82</f>
        <v/>
      </c>
      <c r="AH82" s="208" t="n"/>
      <c r="AI82" s="208" t="n"/>
      <c r="AJ82" s="8" t="n"/>
      <c r="AK82" s="8" t="n"/>
      <c r="AL82" s="8" t="n"/>
      <c r="AM82" s="8" t="n"/>
    </row>
    <row r="83" ht="14.5" customHeight="1" s="213">
      <c r="AH83" s="208" t="n"/>
      <c r="AI83" s="208" t="n"/>
      <c r="AJ83" s="8" t="n"/>
      <c r="AK83" s="8" t="n"/>
      <c r="AL83" s="8" t="n"/>
      <c r="AM83" s="8" t="n"/>
    </row>
    <row r="84" ht="14.5" customHeight="1" s="213">
      <c r="AH84" s="208" t="n"/>
      <c r="AI84" s="208" t="n"/>
      <c r="AJ84" s="8" t="n"/>
      <c r="AK84" s="8" t="n"/>
      <c r="AL84" s="8" t="n"/>
      <c r="AM84" s="8" t="n"/>
    </row>
    <row r="85" ht="14.5" customHeight="1" s="213">
      <c r="AH85" s="208" t="n"/>
      <c r="AI85" s="208" t="n"/>
      <c r="AJ85" s="8" t="n"/>
      <c r="AK85" s="8" t="n"/>
      <c r="AL85" s="8" t="n"/>
      <c r="AM85" s="8" t="n"/>
    </row>
    <row r="86" ht="14.5" customHeight="1" s="213">
      <c r="AH86" s="208" t="n"/>
      <c r="AI86" s="208" t="n"/>
      <c r="AJ86" s="8" t="n"/>
      <c r="AK86" s="8" t="n"/>
      <c r="AL86" s="8" t="n"/>
      <c r="AM86" s="8" t="n"/>
    </row>
    <row r="87" ht="14.5" customHeight="1" s="213">
      <c r="AH87" s="208" t="n"/>
      <c r="AI87" s="208" t="n"/>
      <c r="AJ87" s="8" t="n"/>
      <c r="AK87" s="8" t="n"/>
      <c r="AL87" s="8" t="n"/>
      <c r="AM87" s="8" t="n"/>
    </row>
    <row r="88" ht="14.5" customHeight="1" s="213">
      <c r="AH88" s="208" t="n"/>
      <c r="AI88" s="208" t="n"/>
      <c r="AJ88" s="8" t="n"/>
      <c r="AK88" s="8" t="n"/>
      <c r="AL88" s="8" t="n"/>
      <c r="AM88" s="8" t="n"/>
    </row>
    <row r="89" ht="14.5" customHeight="1" s="213">
      <c r="AH89" s="208" t="n"/>
      <c r="AI89" s="208" t="n"/>
      <c r="AJ89" s="8" t="n"/>
      <c r="AK89" s="8" t="n"/>
      <c r="AL89" s="8" t="n"/>
      <c r="AM89" s="8" t="n"/>
    </row>
    <row r="90" ht="14.5" customHeight="1" s="213">
      <c r="AH90" s="208" t="n"/>
      <c r="AI90" s="208" t="n"/>
      <c r="AJ90" s="8" t="n"/>
      <c r="AK90" s="8" t="n"/>
      <c r="AL90" s="8" t="n"/>
      <c r="AM90" s="8" t="n"/>
    </row>
    <row r="91" ht="14.5" customHeight="1" s="213">
      <c r="AH91" s="208" t="n"/>
      <c r="AI91" s="208" t="n"/>
      <c r="AJ91" s="8" t="n"/>
      <c r="AK91" s="8" t="n"/>
      <c r="AL91" s="8" t="n"/>
      <c r="AM91" s="8" t="n"/>
    </row>
    <row r="92" ht="14.5" customHeight="1" s="213">
      <c r="AH92" s="208" t="n"/>
      <c r="AI92" s="208" t="n"/>
      <c r="AJ92" s="8" t="n"/>
      <c r="AK92" s="8" t="n"/>
      <c r="AL92" s="8" t="n"/>
      <c r="AM92" s="8" t="n"/>
    </row>
    <row r="93" ht="14.5" customHeight="1" s="213">
      <c r="AH93" s="208" t="n"/>
      <c r="AI93" s="208" t="n"/>
      <c r="AJ93" s="8" t="n"/>
      <c r="AK93" s="8" t="n"/>
      <c r="AL93" s="8" t="n"/>
      <c r="AM93" s="8" t="n"/>
    </row>
    <row r="94" ht="14.5" customHeight="1" s="213">
      <c r="AH94" s="208" t="n"/>
      <c r="AI94" s="208" t="n"/>
      <c r="AJ94" s="8" t="n"/>
      <c r="AK94" s="8" t="n"/>
      <c r="AL94" s="8" t="n"/>
      <c r="AM94" s="8" t="n"/>
    </row>
    <row r="95" ht="14.5" customHeight="1" s="213">
      <c r="AH95" s="208" t="n"/>
      <c r="AI95" s="208" t="n"/>
      <c r="AJ95" s="8" t="n"/>
      <c r="AK95" s="8" t="n"/>
      <c r="AL95" s="8" t="n"/>
      <c r="AM95" s="8" t="n"/>
    </row>
    <row r="96" ht="14.5" customHeight="1" s="213">
      <c r="AH96" s="208" t="n"/>
      <c r="AI96" s="208" t="n"/>
      <c r="AJ96" s="8" t="n"/>
      <c r="AK96" s="8" t="n"/>
      <c r="AL96" s="8" t="n"/>
      <c r="AM96" s="8" t="n"/>
    </row>
    <row r="97" ht="14.5" customHeight="1" s="213">
      <c r="AH97" s="208" t="n"/>
      <c r="AI97" s="208" t="n"/>
      <c r="AJ97" s="8" t="n"/>
      <c r="AK97" s="8" t="n"/>
      <c r="AL97" s="8" t="n"/>
      <c r="AM97" s="8" t="n"/>
    </row>
    <row r="98" ht="14.5" customHeight="1" s="213">
      <c r="AH98" s="208" t="n"/>
      <c r="AI98" s="208" t="n"/>
      <c r="AJ98" s="8" t="n"/>
      <c r="AK98" s="8" t="n"/>
      <c r="AL98" s="8" t="n"/>
      <c r="AM98" s="8" t="n"/>
    </row>
    <row r="99" ht="14.5" customHeight="1" s="213">
      <c r="AH99" s="208" t="n"/>
      <c r="AI99" s="208" t="n"/>
      <c r="AJ99" s="8" t="n"/>
      <c r="AK99" s="8" t="n"/>
      <c r="AL99" s="8" t="n"/>
      <c r="AM99" s="8" t="n"/>
    </row>
    <row r="100" ht="14.5" customHeight="1" s="213">
      <c r="AH100" s="208" t="n"/>
      <c r="AI100" s="208" t="n"/>
      <c r="AJ100" s="8" t="n"/>
      <c r="AK100" s="8" t="n"/>
      <c r="AL100" s="8" t="n"/>
      <c r="AM100" s="8" t="n"/>
    </row>
    <row r="101" ht="14.5" customHeight="1" s="213">
      <c r="AH101" s="208" t="n"/>
      <c r="AI101" s="208" t="n"/>
      <c r="AJ101" s="8" t="n"/>
      <c r="AK101" s="8" t="n"/>
      <c r="AL101" s="8" t="n"/>
      <c r="AM101" s="8" t="n"/>
    </row>
    <row r="102" ht="14.5" customHeight="1" s="213">
      <c r="AH102" s="208" t="n"/>
      <c r="AI102" s="208" t="n"/>
      <c r="AJ102" s="8" t="n"/>
      <c r="AK102" s="8" t="n"/>
      <c r="AL102" s="8" t="n"/>
      <c r="AM102" s="8" t="n"/>
    </row>
    <row r="103" ht="14.5" customHeight="1" s="213">
      <c r="AH103" s="208" t="n"/>
      <c r="AI103" s="208" t="n"/>
      <c r="AJ103" s="8" t="n"/>
      <c r="AK103" s="8" t="n"/>
      <c r="AL103" s="8" t="n"/>
      <c r="AM103" s="8" t="n"/>
    </row>
    <row r="104" ht="14.5" customHeight="1" s="213">
      <c r="AH104" s="208" t="n"/>
      <c r="AI104" s="208" t="n"/>
      <c r="AJ104" s="8" t="n"/>
      <c r="AK104" s="8" t="n"/>
      <c r="AL104" s="8" t="n"/>
      <c r="AM104" s="8" t="n"/>
    </row>
    <row r="105" ht="14.5" customHeight="1" s="213">
      <c r="AH105" s="208" t="n"/>
      <c r="AI105" s="208" t="n"/>
      <c r="AJ105" s="8" t="n"/>
      <c r="AK105" s="8" t="n"/>
      <c r="AL105" s="8" t="n"/>
      <c r="AM105" s="8" t="n"/>
    </row>
    <row r="106" ht="14.5" customHeight="1" s="213">
      <c r="AH106" s="208" t="n"/>
      <c r="AI106" s="208" t="n"/>
      <c r="AJ106" s="8" t="n"/>
      <c r="AK106" s="8" t="n"/>
      <c r="AL106" s="8" t="n"/>
      <c r="AM106" s="8" t="n"/>
    </row>
    <row r="107" ht="14.5" customHeight="1" s="213">
      <c r="AH107" s="10" t="n"/>
      <c r="AI107" s="208" t="n"/>
      <c r="AJ107" s="11" t="n"/>
      <c r="AK107" s="8" t="n"/>
      <c r="AL107" s="8" t="n"/>
      <c r="AM107" s="8" t="n"/>
    </row>
    <row r="108" ht="14.5" customHeight="1" s="213">
      <c r="AH108" s="208" t="n"/>
      <c r="AI108" s="208" t="n"/>
      <c r="AJ108" s="8" t="n"/>
      <c r="AK108" s="8" t="n"/>
      <c r="AL108" s="8" t="n"/>
      <c r="AM108" s="8" t="n"/>
    </row>
    <row r="109" ht="14.5" customHeight="1" s="213">
      <c r="AH109" s="208" t="n"/>
      <c r="AI109" s="208" t="n"/>
      <c r="AJ109" s="8" t="n"/>
      <c r="AK109" s="8" t="n"/>
      <c r="AL109" s="8" t="n"/>
      <c r="AM109" s="8" t="n"/>
    </row>
    <row r="110" ht="14.5" customHeight="1" s="213">
      <c r="AH110" s="208" t="n"/>
      <c r="AI110" s="208" t="n"/>
      <c r="AJ110" s="8" t="n"/>
      <c r="AK110" s="8" t="n"/>
      <c r="AL110" s="8" t="n"/>
      <c r="AM110" s="8" t="n"/>
    </row>
    <row r="111" ht="14.5" customHeight="1" s="213">
      <c r="AH111" s="208" t="n"/>
      <c r="AI111" s="208" t="n"/>
      <c r="AJ111" s="8" t="n"/>
      <c r="AK111" s="8" t="n"/>
      <c r="AL111" s="8" t="n"/>
      <c r="AM111" s="8" t="n"/>
    </row>
    <row r="112" ht="14.5" customHeight="1" s="213">
      <c r="AH112" s="208" t="n"/>
      <c r="AI112" s="208" t="n"/>
      <c r="AJ112" s="8" t="n"/>
      <c r="AK112" s="8" t="n"/>
      <c r="AL112" s="8" t="n"/>
      <c r="AM112" s="8" t="n"/>
    </row>
    <row r="113" ht="14.5" customHeight="1" s="213">
      <c r="AH113" s="208" t="n"/>
      <c r="AI113" s="208" t="n"/>
      <c r="AJ113" s="8" t="n"/>
      <c r="AK113" s="8" t="n"/>
      <c r="AL113" s="8" t="n"/>
      <c r="AM113" s="8" t="n"/>
    </row>
    <row r="114" ht="14.5" customHeight="1" s="213">
      <c r="AH114" s="208" t="n"/>
      <c r="AI114" s="208" t="n"/>
      <c r="AJ114" s="8" t="n"/>
      <c r="AK114" s="8" t="n"/>
      <c r="AL114" s="8" t="n"/>
      <c r="AM114" s="8" t="n"/>
    </row>
    <row r="115" ht="14.5" customHeight="1" s="213">
      <c r="AH115" s="208" t="n"/>
      <c r="AI115" s="208" t="n"/>
      <c r="AJ115" s="8" t="n"/>
      <c r="AK115" s="8" t="n"/>
      <c r="AL115" s="8" t="n"/>
      <c r="AM115" s="8" t="n"/>
    </row>
    <row r="116" ht="14.5" customHeight="1" s="213">
      <c r="AH116" s="208" t="n"/>
      <c r="AI116" s="208" t="n"/>
      <c r="AJ116" s="8" t="n"/>
      <c r="AK116" s="8" t="n"/>
      <c r="AL116" s="8" t="n"/>
      <c r="AM116" s="8" t="n"/>
    </row>
    <row r="117" ht="14.5" customHeight="1" s="213">
      <c r="AH117" s="208" t="n"/>
      <c r="AI117" s="208" t="n"/>
      <c r="AJ117" s="8" t="n"/>
      <c r="AK117" s="8" t="n"/>
      <c r="AL117" s="8" t="n"/>
      <c r="AM117" s="8" t="n"/>
    </row>
    <row r="118" ht="14.5" customHeight="1" s="213">
      <c r="AH118" s="208" t="n"/>
      <c r="AI118" s="208" t="n"/>
      <c r="AJ118" s="8" t="n"/>
      <c r="AK118" s="8" t="n"/>
      <c r="AL118" s="8" t="n"/>
      <c r="AM118" s="8" t="n"/>
    </row>
    <row r="119" ht="14.5" customHeight="1" s="213">
      <c r="AH119" s="208" t="n"/>
      <c r="AI119" s="208" t="n"/>
      <c r="AJ119" s="8" t="n"/>
      <c r="AK119" s="8" t="n"/>
      <c r="AL119" s="8" t="n"/>
      <c r="AM119" s="8" t="n"/>
    </row>
    <row r="120" ht="14.5" customHeight="1" s="213">
      <c r="AH120" s="208" t="n"/>
      <c r="AI120" s="208" t="n"/>
      <c r="AJ120" s="8" t="n"/>
      <c r="AK120" s="8" t="n"/>
      <c r="AL120" s="8" t="n"/>
      <c r="AM120" s="8" t="n"/>
    </row>
    <row r="121" ht="14.5" customHeight="1" s="213">
      <c r="AH121" s="208" t="n"/>
      <c r="AI121" s="208" t="n"/>
      <c r="AJ121" s="8" t="n"/>
      <c r="AK121" s="8" t="n"/>
      <c r="AL121" s="8" t="n"/>
      <c r="AM121" s="8" t="n"/>
    </row>
    <row r="122" ht="14.5" customHeight="1" s="213">
      <c r="AH122" s="208" t="n"/>
      <c r="AI122" s="208" t="n"/>
      <c r="AJ122" s="8" t="n"/>
      <c r="AK122" s="8" t="n"/>
      <c r="AL122" s="8" t="n"/>
      <c r="AM122" s="8" t="n"/>
    </row>
    <row r="123" ht="14.5" customHeight="1" s="213">
      <c r="AH123" s="208" t="n"/>
      <c r="AI123" s="208" t="n"/>
      <c r="AJ123" s="8" t="n"/>
      <c r="AK123" s="8" t="n"/>
      <c r="AL123" s="8" t="n"/>
      <c r="AM123" s="8" t="n"/>
    </row>
    <row r="124" ht="14.5" customHeight="1" s="213">
      <c r="AH124" s="208" t="n"/>
      <c r="AI124" s="208" t="n"/>
      <c r="AJ124" s="8" t="n"/>
      <c r="AK124" s="8" t="n"/>
      <c r="AL124" s="8" t="n"/>
      <c r="AM124" s="8" t="n"/>
    </row>
    <row r="125" ht="14.5" customHeight="1" s="213">
      <c r="AH125" s="208" t="n"/>
      <c r="AI125" s="208" t="n"/>
      <c r="AJ125" s="8" t="n"/>
      <c r="AK125" s="8" t="n"/>
      <c r="AL125" s="8" t="n"/>
      <c r="AM125" s="8" t="n"/>
    </row>
    <row r="126" ht="14.5" customHeight="1" s="213">
      <c r="AH126" s="208" t="n"/>
      <c r="AI126" s="208" t="n"/>
      <c r="AJ126" s="8" t="n"/>
      <c r="AK126" s="8" t="n"/>
      <c r="AL126" s="8" t="n"/>
      <c r="AM126" s="8" t="n"/>
    </row>
    <row r="127" ht="14.5" customHeight="1" s="213">
      <c r="AH127" s="208" t="n"/>
      <c r="AI127" s="208" t="n"/>
      <c r="AJ127" s="8" t="n"/>
      <c r="AK127" s="8" t="n"/>
      <c r="AL127" s="8" t="n"/>
      <c r="AM127" s="8" t="n"/>
    </row>
    <row r="128" ht="14.5" customHeight="1" s="213">
      <c r="AH128" s="208" t="n"/>
      <c r="AI128" s="208" t="n"/>
      <c r="AJ128" s="8" t="n"/>
      <c r="AK128" s="8" t="n"/>
      <c r="AL128" s="8" t="n"/>
      <c r="AM128" s="8" t="n"/>
    </row>
    <row r="129" ht="14.5" customHeight="1" s="213">
      <c r="AH129" s="208" t="n"/>
      <c r="AI129" s="208" t="n"/>
      <c r="AJ129" s="8" t="n"/>
      <c r="AK129" s="8" t="n"/>
      <c r="AL129" s="8" t="n"/>
      <c r="AM129" s="8" t="n"/>
    </row>
    <row r="130" ht="14.5" customHeight="1" s="213">
      <c r="AH130" s="208" t="n"/>
      <c r="AI130" s="208" t="n"/>
      <c r="AJ130" s="8" t="n"/>
      <c r="AK130" s="8" t="n"/>
      <c r="AL130" s="8" t="n"/>
      <c r="AM130" s="8" t="n"/>
    </row>
    <row r="131" ht="14.5" customHeight="1" s="213">
      <c r="AH131" s="208" t="n"/>
      <c r="AI131" s="208" t="n"/>
      <c r="AJ131" s="8" t="n"/>
      <c r="AK131" s="8" t="n"/>
      <c r="AL131" s="8" t="n"/>
      <c r="AM131" s="8" t="n"/>
    </row>
    <row r="132" ht="14.5" customHeight="1" s="213">
      <c r="AH132" s="208" t="n"/>
      <c r="AI132" s="208" t="n"/>
      <c r="AJ132" s="8" t="n"/>
      <c r="AK132" s="8" t="n"/>
      <c r="AL132" s="8" t="n"/>
      <c r="AM132" s="8" t="n"/>
    </row>
    <row r="133" ht="14.5" customHeight="1" s="213">
      <c r="AH133" s="208" t="n"/>
      <c r="AI133" s="208" t="n"/>
      <c r="AJ133" s="8" t="n"/>
      <c r="AK133" s="8" t="n"/>
      <c r="AL133" s="8" t="n"/>
      <c r="AM133" s="8" t="n"/>
    </row>
    <row r="134" ht="14.5" customHeight="1" s="213">
      <c r="AH134" s="208" t="n"/>
      <c r="AI134" s="208" t="n"/>
      <c r="AJ134" s="8" t="n"/>
      <c r="AK134" s="8" t="n"/>
      <c r="AL134" s="8" t="n"/>
      <c r="AM134" s="8" t="n"/>
    </row>
    <row r="135" ht="14.5" customHeight="1" s="213">
      <c r="AH135" s="208" t="n"/>
      <c r="AI135" s="208" t="n"/>
      <c r="AJ135" s="8" t="n"/>
      <c r="AK135" s="8" t="n"/>
      <c r="AL135" s="8" t="n"/>
      <c r="AM135" s="8" t="n"/>
    </row>
    <row r="136" ht="14.5" customHeight="1" s="213">
      <c r="AH136" s="208" t="n"/>
      <c r="AI136" s="208" t="n"/>
      <c r="AJ136" s="8" t="n"/>
      <c r="AK136" s="8" t="n"/>
      <c r="AL136" s="8" t="n"/>
      <c r="AM136" s="8" t="n"/>
    </row>
    <row r="137" ht="14.5" customHeight="1" s="213">
      <c r="AH137" s="208" t="n"/>
      <c r="AI137" s="208" t="n"/>
      <c r="AJ137" s="8" t="n"/>
      <c r="AK137" s="8" t="n"/>
      <c r="AL137" s="8" t="n"/>
      <c r="AM137" s="8" t="n"/>
    </row>
    <row r="138" ht="14.5" customHeight="1" s="213">
      <c r="AH138" s="208" t="n"/>
      <c r="AI138" s="208" t="n"/>
      <c r="AJ138" s="8" t="n"/>
      <c r="AK138" s="8" t="n"/>
      <c r="AL138" s="8" t="n"/>
      <c r="AM138" s="8" t="n"/>
    </row>
    <row r="139" ht="14.5" customHeight="1" s="213">
      <c r="AH139" s="208" t="n"/>
      <c r="AI139" s="208" t="n"/>
      <c r="AJ139" s="8" t="n"/>
      <c r="AK139" s="8" t="n"/>
      <c r="AL139" s="8" t="n"/>
      <c r="AM139" s="8" t="n"/>
    </row>
    <row r="140" ht="14.5" customHeight="1" s="213">
      <c r="AH140" s="208" t="n"/>
      <c r="AI140" s="208" t="n"/>
      <c r="AJ140" s="8" t="n"/>
      <c r="AK140" s="8" t="n"/>
      <c r="AL140" s="8" t="n"/>
      <c r="AM140" s="8" t="n"/>
    </row>
    <row r="141" ht="14.5" customHeight="1" s="213">
      <c r="AH141" s="208" t="n"/>
      <c r="AI141" s="208" t="n"/>
      <c r="AJ141" s="8" t="n"/>
      <c r="AK141" s="8" t="n"/>
      <c r="AL141" s="8" t="n"/>
      <c r="AM141" s="8" t="n"/>
    </row>
    <row r="142" ht="14.5" customHeight="1" s="213">
      <c r="AH142" s="208" t="n"/>
      <c r="AI142" s="208" t="n"/>
      <c r="AJ142" s="8" t="n"/>
      <c r="AK142" s="8" t="n"/>
      <c r="AL142" s="8" t="n"/>
      <c r="AM142" s="8" t="n"/>
    </row>
    <row r="143" ht="14.5" customHeight="1" s="213">
      <c r="AH143" s="208" t="n"/>
      <c r="AI143" s="208" t="n"/>
      <c r="AJ143" s="8" t="n"/>
      <c r="AK143" s="8" t="n"/>
      <c r="AL143" s="8" t="n"/>
      <c r="AM143" s="8" t="n"/>
    </row>
    <row r="144" ht="14.5" customHeight="1" s="213">
      <c r="AH144" s="208" t="n"/>
      <c r="AI144" s="208" t="n"/>
      <c r="AJ144" s="8" t="n"/>
      <c r="AK144" s="8" t="n"/>
      <c r="AL144" s="8" t="n"/>
      <c r="AM144" s="8" t="n"/>
    </row>
    <row r="145" ht="14.5" customHeight="1" s="213">
      <c r="AH145" s="208" t="n"/>
      <c r="AI145" s="208" t="n"/>
      <c r="AJ145" s="8" t="n"/>
      <c r="AK145" s="8" t="n"/>
      <c r="AL145" s="8" t="n"/>
      <c r="AM145" s="8" t="n"/>
    </row>
    <row r="146" ht="14.5" customHeight="1" s="213">
      <c r="AH146" s="208" t="n"/>
      <c r="AI146" s="208" t="n"/>
      <c r="AJ146" s="8" t="n"/>
      <c r="AK146" s="8" t="n"/>
      <c r="AL146" s="8" t="n"/>
      <c r="AM146" s="8" t="n"/>
    </row>
    <row r="147" ht="14.5" customHeight="1" s="213">
      <c r="AH147" s="208" t="n"/>
      <c r="AI147" s="208" t="n"/>
      <c r="AJ147" s="8" t="n"/>
      <c r="AK147" s="8" t="n"/>
      <c r="AL147" s="8" t="n"/>
      <c r="AM147" s="8" t="n"/>
    </row>
    <row r="148" ht="14.5" customHeight="1" s="213">
      <c r="AH148" s="208" t="n"/>
      <c r="AI148" s="208" t="n"/>
      <c r="AJ148" s="8" t="n"/>
      <c r="AK148" s="8" t="n"/>
      <c r="AL148" s="8" t="n"/>
      <c r="AM148" s="8" t="n"/>
    </row>
    <row r="149" ht="14.5" customHeight="1" s="213">
      <c r="AH149" s="208" t="n"/>
      <c r="AI149" s="208" t="n"/>
      <c r="AJ149" s="8" t="n"/>
      <c r="AK149" s="8" t="n"/>
      <c r="AL149" s="8" t="n"/>
      <c r="AM149" s="8" t="n"/>
    </row>
    <row r="150" ht="14.5" customHeight="1" s="213">
      <c r="AH150" s="208" t="n"/>
      <c r="AI150" s="208" t="n"/>
      <c r="AJ150" s="8" t="n"/>
      <c r="AK150" s="8" t="n"/>
      <c r="AL150" s="8" t="n"/>
      <c r="AM150" s="8" t="n"/>
    </row>
    <row r="151" ht="14.5" customHeight="1" s="213">
      <c r="AH151" s="208" t="n"/>
      <c r="AI151" s="208" t="n"/>
      <c r="AJ151" s="8" t="n"/>
      <c r="AK151" s="8" t="n"/>
      <c r="AL151" s="8" t="n"/>
      <c r="AM151" s="8" t="n"/>
    </row>
    <row r="152" ht="14.5" customHeight="1" s="213">
      <c r="AH152" s="208" t="n"/>
      <c r="AI152" s="208" t="n"/>
      <c r="AJ152" s="8" t="n"/>
      <c r="AK152" s="8" t="n"/>
      <c r="AL152" s="8" t="n"/>
      <c r="AM152" s="8" t="n"/>
    </row>
    <row r="153" ht="14.5" customHeight="1" s="213">
      <c r="AH153" s="208" t="n"/>
      <c r="AI153" s="208" t="n"/>
      <c r="AJ153" s="8" t="n"/>
      <c r="AK153" s="8" t="n"/>
      <c r="AL153" s="8" t="n"/>
      <c r="AM153" s="8" t="n"/>
    </row>
    <row r="154" ht="14.5" customHeight="1" s="213">
      <c r="AH154" s="208" t="n"/>
      <c r="AI154" s="208" t="n"/>
      <c r="AJ154" s="8" t="n"/>
      <c r="AK154" s="8" t="n"/>
      <c r="AL154" s="8" t="n"/>
      <c r="AM154" s="8" t="n"/>
    </row>
    <row r="155" ht="14.5" customHeight="1" s="213">
      <c r="AH155" s="208" t="n"/>
      <c r="AI155" s="208" t="n"/>
      <c r="AJ155" s="8" t="n"/>
      <c r="AK155" s="8" t="n"/>
      <c r="AL155" s="8" t="n"/>
      <c r="AM155" s="8" t="n"/>
    </row>
    <row r="156" ht="14.5" customHeight="1" s="213">
      <c r="AH156" s="208" t="n"/>
      <c r="AI156" s="208" t="n"/>
      <c r="AJ156" s="8" t="n"/>
      <c r="AK156" s="8" t="n"/>
      <c r="AL156" s="8" t="n"/>
      <c r="AM156" s="8" t="n"/>
    </row>
    <row r="157" ht="14.5" customHeight="1" s="213">
      <c r="AH157" s="208" t="n"/>
      <c r="AI157" s="208" t="n"/>
      <c r="AJ157" s="8" t="n"/>
      <c r="AK157" s="8" t="n"/>
      <c r="AL157" s="8" t="n"/>
      <c r="AM157" s="8" t="n"/>
    </row>
    <row r="158" ht="14.5" customHeight="1" s="213">
      <c r="AH158" s="208" t="n"/>
      <c r="AI158" s="208" t="n"/>
      <c r="AJ158" s="8" t="n"/>
      <c r="AK158" s="8" t="n"/>
      <c r="AL158" s="8" t="n"/>
      <c r="AM158" s="8" t="n"/>
    </row>
    <row r="159" ht="14.5" customHeight="1" s="213">
      <c r="AH159" s="208" t="n"/>
      <c r="AI159" s="208" t="n"/>
      <c r="AJ159" s="8" t="n"/>
      <c r="AK159" s="8" t="n"/>
      <c r="AL159" s="8" t="n"/>
      <c r="AM159" s="8" t="n"/>
    </row>
    <row r="160" ht="14.5" customHeight="1" s="213">
      <c r="AH160" s="208" t="n"/>
      <c r="AI160" s="208" t="n"/>
      <c r="AJ160" s="8" t="n"/>
      <c r="AK160" s="8" t="n"/>
      <c r="AL160" s="8" t="n"/>
      <c r="AM160" s="8" t="n"/>
    </row>
    <row r="161" ht="14.5" customHeight="1" s="213">
      <c r="AH161" s="208" t="n"/>
      <c r="AI161" s="208" t="n"/>
      <c r="AJ161" s="8" t="n"/>
      <c r="AK161" s="8" t="n"/>
      <c r="AL161" s="8" t="n"/>
      <c r="AM161" s="8" t="n"/>
    </row>
    <row r="162" ht="14.5" customHeight="1" s="213">
      <c r="AH162" s="208" t="n"/>
      <c r="AI162" s="208" t="n"/>
      <c r="AJ162" s="8" t="n"/>
      <c r="AK162" s="8" t="n"/>
      <c r="AL162" s="8" t="n"/>
      <c r="AM162" s="8" t="n"/>
    </row>
    <row r="163" ht="14.5" customHeight="1" s="213">
      <c r="AH163" s="208" t="n"/>
      <c r="AI163" s="208" t="n"/>
      <c r="AJ163" s="8" t="n"/>
      <c r="AK163" s="8" t="n"/>
      <c r="AL163" s="8" t="n"/>
      <c r="AM163" s="8" t="n"/>
    </row>
    <row r="164" ht="14.5" customHeight="1" s="213">
      <c r="AH164" s="208" t="n"/>
      <c r="AI164" s="208" t="n"/>
      <c r="AJ164" s="8" t="n"/>
      <c r="AK164" s="8" t="n"/>
      <c r="AL164" s="8" t="n"/>
      <c r="AM164" s="8" t="n"/>
    </row>
    <row r="165" ht="14.5" customHeight="1" s="213">
      <c r="AH165" s="208" t="n"/>
      <c r="AI165" s="208" t="n"/>
      <c r="AJ165" s="13" t="n"/>
      <c r="AK165" s="13" t="n"/>
      <c r="AL165" s="13" t="n"/>
      <c r="AM165" s="13" t="n"/>
    </row>
    <row r="166" ht="14.5" customHeight="1" s="213">
      <c r="AH166" s="208" t="n"/>
      <c r="AI166" s="208" t="n"/>
      <c r="AJ166" s="13" t="n"/>
      <c r="AK166" s="13" t="n"/>
      <c r="AL166" s="13" t="n"/>
      <c r="AM166" s="13" t="n"/>
    </row>
    <row r="167" ht="14.5" customHeight="1" s="213">
      <c r="AH167" s="208" t="n"/>
      <c r="AI167" s="208" t="n"/>
      <c r="AJ167" s="13" t="n"/>
      <c r="AK167" s="13" t="n"/>
      <c r="AL167" s="13" t="n"/>
      <c r="AM167" s="13" t="n"/>
    </row>
    <row r="168" ht="14.5" customHeight="1" s="213">
      <c r="AH168" s="208" t="n"/>
      <c r="AI168" s="208" t="n"/>
      <c r="AJ168" s="13" t="n"/>
      <c r="AK168" s="13" t="n"/>
      <c r="AL168" s="13" t="n"/>
      <c r="AM168" s="13" t="n"/>
    </row>
    <row r="169" ht="14.5" customHeight="1" s="213">
      <c r="AH169" s="208" t="n"/>
      <c r="AI169" s="208" t="n"/>
      <c r="AJ169" s="13" t="n"/>
      <c r="AK169" s="13" t="n"/>
      <c r="AL169" s="13" t="n"/>
      <c r="AM169" s="13" t="n"/>
    </row>
    <row r="170" ht="14.5" customHeight="1" s="213">
      <c r="AH170" s="208" t="n"/>
      <c r="AI170" s="208" t="n"/>
      <c r="AJ170" s="13" t="n"/>
      <c r="AK170" s="13" t="n"/>
      <c r="AL170" s="13" t="n"/>
      <c r="AM170" s="13" t="n"/>
    </row>
    <row r="171" ht="14.5" customHeight="1" s="213">
      <c r="AH171" s="208" t="n"/>
      <c r="AI171" s="208" t="n"/>
      <c r="AJ171" s="13" t="n"/>
      <c r="AK171" s="13" t="n"/>
      <c r="AL171" s="13" t="n"/>
      <c r="AM171" s="13" t="n"/>
    </row>
    <row r="172" ht="14.5" customHeight="1" s="213">
      <c r="AH172" s="208" t="n"/>
      <c r="AI172" s="208" t="n"/>
      <c r="AJ172" s="13" t="n"/>
      <c r="AK172" s="13" t="n"/>
      <c r="AL172" s="13" t="n"/>
      <c r="AM172" s="13" t="n"/>
    </row>
  </sheetData>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H2:L126"/>
  <sheetViews>
    <sheetView topLeftCell="A78" zoomScale="49" zoomScaleNormal="49" workbookViewId="0">
      <selection pane="topLeft" activeCell="P107" sqref="P107"/>
    </sheetView>
  </sheetViews>
  <sheetFormatPr baseColWidth="8" defaultColWidth="8.72428571428571" defaultRowHeight="14.5"/>
  <cols>
    <col width="28.5714285714286" customWidth="1" style="208" min="8" max="8"/>
    <col width="8.71428571428571" customWidth="1" style="208" min="9" max="9"/>
    <col width="10.5714285714286" customWidth="1" style="208" min="10" max="12"/>
  </cols>
  <sheetData>
    <row r="2" ht="14.5" customHeight="1" s="213">
      <c r="H2" s="208" t="inlineStr">
        <is>
          <t>~TFM_INS: attribute=INVCOST</t>
        </is>
      </c>
    </row>
    <row r="3" ht="14.5" customHeight="1" s="213">
      <c r="H3" s="208" t="inlineStr">
        <is>
          <t>process</t>
        </is>
      </c>
      <c r="I3" s="208" t="inlineStr">
        <is>
          <t>year</t>
        </is>
      </c>
      <c r="J3" s="208" t="inlineStr">
        <is>
          <t>AllRegions</t>
        </is>
      </c>
      <c r="K3" s="208" t="inlineStr">
        <is>
          <t>China</t>
        </is>
      </c>
      <c r="L3" s="208" t="inlineStr">
        <is>
          <t>NorthAm</t>
        </is>
      </c>
    </row>
    <row r="4" ht="12.5" customHeight="1" s="213">
      <c r="H4" s="141" t="inlineStr">
        <is>
          <t>Util_Rep_Batt-LFP</t>
        </is>
      </c>
      <c r="I4" s="201" t="n">
        <v>2023</v>
      </c>
      <c r="J4" s="201" t="n">
        <v>175</v>
      </c>
      <c r="K4">
        <f>J4*0.9</f>
        <v/>
      </c>
      <c r="L4">
        <f>J4</f>
        <v/>
      </c>
    </row>
    <row r="5" ht="12.5" customHeight="1" s="213">
      <c r="H5" s="141" t="inlineStr">
        <is>
          <t>Util_Rep_Batt-LMO</t>
        </is>
      </c>
      <c r="I5" s="209" t="n">
        <v>2023</v>
      </c>
      <c r="J5" s="209">
        <f>J4</f>
        <v/>
      </c>
      <c r="K5">
        <f>J5*0.9</f>
        <v/>
      </c>
      <c r="L5">
        <f>J5</f>
        <v/>
      </c>
    </row>
    <row r="6" ht="12.5" customHeight="1" s="213">
      <c r="H6" s="141" t="inlineStr">
        <is>
          <t>Util_Rep_Batt-NCA</t>
        </is>
      </c>
      <c r="I6" s="209" t="n">
        <v>2023</v>
      </c>
      <c r="J6" s="209">
        <f>J5</f>
        <v/>
      </c>
      <c r="K6">
        <f>J6*0.9</f>
        <v/>
      </c>
      <c r="L6">
        <f>J6</f>
        <v/>
      </c>
    </row>
    <row r="7" ht="12.5" customHeight="1" s="213">
      <c r="H7" s="141" t="inlineStr">
        <is>
          <t>Util_Rep_Batt-NMC111</t>
        </is>
      </c>
      <c r="I7" s="209" t="n">
        <v>2023</v>
      </c>
      <c r="J7" s="209">
        <f>J6</f>
        <v/>
      </c>
      <c r="K7">
        <f>J7*0.9</f>
        <v/>
      </c>
      <c r="L7">
        <f>J7</f>
        <v/>
      </c>
    </row>
    <row r="8" ht="12.5" customHeight="1" s="213">
      <c r="H8" s="141" t="inlineStr">
        <is>
          <t>Util_Rep_Batt-NMC532</t>
        </is>
      </c>
      <c r="I8" s="209" t="n">
        <v>2023</v>
      </c>
      <c r="J8" s="209">
        <f>J7</f>
        <v/>
      </c>
      <c r="K8">
        <f>J8*0.9</f>
        <v/>
      </c>
      <c r="L8">
        <f>J8</f>
        <v/>
      </c>
    </row>
    <row r="9" ht="12.5" customHeight="1" s="213">
      <c r="H9" s="141" t="inlineStr">
        <is>
          <t>Util_Rep_Batt-NMC622</t>
        </is>
      </c>
      <c r="I9" s="209" t="n">
        <v>2023</v>
      </c>
      <c r="J9" s="209">
        <f>J8</f>
        <v/>
      </c>
      <c r="K9">
        <f>J9*0.9</f>
        <v/>
      </c>
      <c r="L9">
        <f>J9</f>
        <v/>
      </c>
    </row>
    <row r="10" ht="12.5" customHeight="1" s="213">
      <c r="H10" s="141" t="inlineStr">
        <is>
          <t>Util_Rep_Batt-NMC811</t>
        </is>
      </c>
      <c r="I10" s="209" t="n">
        <v>2023</v>
      </c>
      <c r="J10" s="209">
        <f>J9</f>
        <v/>
      </c>
      <c r="K10">
        <f>J10*0.9</f>
        <v/>
      </c>
      <c r="L10">
        <f>J10</f>
        <v/>
      </c>
    </row>
    <row r="11" ht="14.5" customHeight="1" s="213">
      <c r="H11" s="209" t="n"/>
      <c r="I11" s="209" t="n"/>
      <c r="J11" s="209" t="n"/>
      <c r="K11" s="6" t="n"/>
      <c r="L11" s="6" t="n"/>
    </row>
    <row r="12" ht="14.5" customHeight="1" s="213">
      <c r="H12" s="7" t="n"/>
      <c r="I12" s="7" t="n"/>
      <c r="J12" s="7" t="n"/>
      <c r="K12" s="6" t="n"/>
      <c r="L12" s="6" t="n"/>
    </row>
    <row r="16" ht="14.5" customHeight="1" s="213">
      <c r="H16" s="209" t="n"/>
    </row>
    <row r="17" ht="14.5" customHeight="1" s="213">
      <c r="H17" s="201" t="n"/>
      <c r="I17" s="201" t="n"/>
      <c r="J17" s="201" t="n"/>
    </row>
    <row r="18" ht="14.5" customHeight="1" s="213">
      <c r="H18" s="209" t="n"/>
      <c r="I18" s="209" t="n"/>
      <c r="J18" s="209" t="n"/>
    </row>
    <row r="19" ht="14.5" customHeight="1" s="213">
      <c r="H19" s="209" t="n"/>
      <c r="I19" s="209" t="n"/>
      <c r="J19" s="209" t="n"/>
    </row>
    <row r="20" ht="14.5" customHeight="1" s="213">
      <c r="H20" s="209" t="n"/>
      <c r="I20" s="209" t="n"/>
      <c r="J20" s="209" t="n"/>
    </row>
    <row r="21" ht="14.5" customHeight="1" s="213">
      <c r="H21" s="209" t="n"/>
      <c r="I21" s="209" t="n"/>
      <c r="J21" s="209" t="n"/>
    </row>
    <row r="22" ht="14.5" customHeight="1" s="213">
      <c r="H22" s="209" t="n"/>
      <c r="I22" s="209" t="n"/>
      <c r="J22" s="209" t="n"/>
    </row>
    <row r="23" ht="14.5" customHeight="1" s="213">
      <c r="H23" s="209" t="n"/>
      <c r="I23" s="209" t="n"/>
      <c r="J23" s="209" t="n"/>
    </row>
    <row r="24" ht="14.5" customHeight="1" s="213">
      <c r="H24" s="209" t="n"/>
      <c r="I24" s="209" t="n"/>
      <c r="J24" s="209" t="n"/>
    </row>
    <row r="25" ht="14.5" customHeight="1" s="213">
      <c r="H25" s="209" t="n"/>
      <c r="I25" s="209" t="n"/>
      <c r="J25" s="209" t="n"/>
    </row>
    <row r="30" ht="14.5" customHeight="1" s="213">
      <c r="H30" s="208" t="inlineStr">
        <is>
          <t>~TFM_INS: attribute=INVCOST</t>
        </is>
      </c>
    </row>
    <row r="31" ht="14.5" customHeight="1" s="213">
      <c r="H31" s="209" t="inlineStr">
        <is>
          <t>process</t>
        </is>
      </c>
      <c r="I31" s="208" t="inlineStr">
        <is>
          <t>year</t>
        </is>
      </c>
      <c r="J31" s="208" t="inlineStr">
        <is>
          <t>AllRegions</t>
        </is>
      </c>
      <c r="K31" s="208" t="inlineStr">
        <is>
          <t>China</t>
        </is>
      </c>
      <c r="L31" s="208" t="inlineStr">
        <is>
          <t>NorthAm</t>
        </is>
      </c>
    </row>
    <row r="32" ht="12.5" customHeight="1" s="213">
      <c r="H32" s="141" t="inlineStr">
        <is>
          <t>Util_Rep_Batt-LFP</t>
        </is>
      </c>
      <c r="I32" s="201" t="n">
        <v>2030</v>
      </c>
      <c r="J32" s="201" t="n">
        <v>154</v>
      </c>
      <c r="K32">
        <f>J32*0.9</f>
        <v/>
      </c>
      <c r="L32">
        <f>J32</f>
        <v/>
      </c>
    </row>
    <row r="33" ht="12.5" customHeight="1" s="213">
      <c r="H33" s="141" t="inlineStr">
        <is>
          <t>Util_Rep_Batt-LMO</t>
        </is>
      </c>
      <c r="I33" s="209" t="n">
        <v>2030</v>
      </c>
      <c r="J33" s="209">
        <f>J32</f>
        <v/>
      </c>
      <c r="K33">
        <f>J33*0.9</f>
        <v/>
      </c>
      <c r="L33">
        <f>J33</f>
        <v/>
      </c>
    </row>
    <row r="34" ht="12.5" customHeight="1" s="213">
      <c r="H34" s="141" t="inlineStr">
        <is>
          <t>Util_Rep_Batt-NCA</t>
        </is>
      </c>
      <c r="I34" s="209" t="n">
        <v>2030</v>
      </c>
      <c r="J34" s="209">
        <f>J33</f>
        <v/>
      </c>
      <c r="K34">
        <f>J34*0.9</f>
        <v/>
      </c>
      <c r="L34">
        <f>J34</f>
        <v/>
      </c>
    </row>
    <row r="35" ht="12.5" customHeight="1" s="213">
      <c r="H35" s="141" t="inlineStr">
        <is>
          <t>Util_Rep_Batt-NMC111</t>
        </is>
      </c>
      <c r="I35" s="209" t="n">
        <v>2030</v>
      </c>
      <c r="J35" s="209">
        <f>J34</f>
        <v/>
      </c>
      <c r="K35">
        <f>J35*0.9</f>
        <v/>
      </c>
      <c r="L35">
        <f>J35</f>
        <v/>
      </c>
    </row>
    <row r="36" ht="12.5" customHeight="1" s="213">
      <c r="H36" s="141" t="inlineStr">
        <is>
          <t>Util_Rep_Batt-NMC532</t>
        </is>
      </c>
      <c r="I36" s="209" t="n">
        <v>2030</v>
      </c>
      <c r="J36" s="209">
        <f>J35</f>
        <v/>
      </c>
      <c r="K36">
        <f>J36*0.9</f>
        <v/>
      </c>
      <c r="L36">
        <f>J36</f>
        <v/>
      </c>
    </row>
    <row r="37" ht="12.5" customHeight="1" s="213">
      <c r="H37" s="141" t="inlineStr">
        <is>
          <t>Util_Rep_Batt-NMC622</t>
        </is>
      </c>
      <c r="I37" s="209" t="n">
        <v>2030</v>
      </c>
      <c r="J37" s="209">
        <f>J36</f>
        <v/>
      </c>
      <c r="K37">
        <f>J37*0.9</f>
        <v/>
      </c>
      <c r="L37">
        <f>J37</f>
        <v/>
      </c>
    </row>
    <row r="38" ht="12.5" customHeight="1" s="213">
      <c r="H38" s="141" t="inlineStr">
        <is>
          <t>Util_Rep_Batt-NMC811</t>
        </is>
      </c>
      <c r="I38" s="209" t="n">
        <v>2030</v>
      </c>
      <c r="J38" s="209">
        <f>J37</f>
        <v/>
      </c>
      <c r="K38">
        <f>J38*0.9</f>
        <v/>
      </c>
      <c r="L38">
        <f>J38</f>
        <v/>
      </c>
    </row>
    <row r="39" ht="14.5" customHeight="1" s="213">
      <c r="H39" s="209" t="n"/>
      <c r="I39" s="209" t="n"/>
      <c r="J39" s="209" t="n"/>
    </row>
    <row r="40" ht="14.5" customHeight="1" s="213">
      <c r="H40" s="209" t="n"/>
      <c r="I40" s="209" t="n"/>
      <c r="J40" s="209" t="n"/>
    </row>
    <row r="45" ht="14.5" customHeight="1" s="213">
      <c r="H45" s="209" t="n"/>
    </row>
    <row r="46" ht="14.5" customHeight="1" s="213">
      <c r="H46" s="201" t="n"/>
      <c r="I46" s="201" t="n"/>
      <c r="J46" s="201" t="n"/>
    </row>
    <row r="47" ht="14.5" customHeight="1" s="213">
      <c r="H47" s="209" t="n"/>
      <c r="I47" s="209" t="n"/>
      <c r="J47" s="209" t="n"/>
    </row>
    <row r="48" ht="14.5" customHeight="1" s="213">
      <c r="H48" s="209" t="n"/>
      <c r="I48" s="209" t="n"/>
      <c r="J48" s="209" t="n"/>
    </row>
    <row r="49" ht="14.5" customHeight="1" s="213">
      <c r="H49" s="209" t="n"/>
      <c r="I49" s="209" t="n"/>
      <c r="J49" s="209" t="n"/>
    </row>
    <row r="50" ht="14.5" customHeight="1" s="213">
      <c r="H50" s="209" t="n"/>
      <c r="I50" s="209" t="n"/>
      <c r="J50" s="209" t="n"/>
    </row>
    <row r="51" ht="14.5" customHeight="1" s="213">
      <c r="H51" s="209" t="n"/>
      <c r="I51" s="209" t="n"/>
      <c r="J51" s="209" t="n"/>
    </row>
    <row r="52" ht="14.5" customHeight="1" s="213">
      <c r="H52" s="209" t="n"/>
      <c r="I52" s="209" t="n"/>
      <c r="J52" s="209" t="n"/>
    </row>
    <row r="53" ht="14.5" customHeight="1" s="213">
      <c r="H53" s="209" t="n"/>
      <c r="I53" s="209" t="n"/>
      <c r="J53" s="209" t="n"/>
    </row>
    <row r="54" ht="14.5" customHeight="1" s="213">
      <c r="H54" s="209" t="n"/>
      <c r="I54" s="209" t="n"/>
      <c r="J54" s="209" t="n"/>
    </row>
    <row r="58" ht="14.5" customHeight="1" s="213">
      <c r="H58" s="208" t="inlineStr">
        <is>
          <t>~TFM_INS: attribute=INVCOST</t>
        </is>
      </c>
    </row>
    <row r="59" ht="14.5" customHeight="1" s="213">
      <c r="H59" s="209" t="inlineStr">
        <is>
          <t>process</t>
        </is>
      </c>
      <c r="I59" s="208" t="inlineStr">
        <is>
          <t>year</t>
        </is>
      </c>
      <c r="J59" s="208" t="inlineStr">
        <is>
          <t>AllRegions</t>
        </is>
      </c>
      <c r="K59" s="208" t="inlineStr">
        <is>
          <t>China</t>
        </is>
      </c>
      <c r="L59" s="208" t="inlineStr">
        <is>
          <t>NorthAm</t>
        </is>
      </c>
    </row>
    <row r="60" ht="12.5" customHeight="1" s="213">
      <c r="H60" s="141" t="inlineStr">
        <is>
          <t>Util_Rep_Batt-LFP</t>
        </is>
      </c>
      <c r="I60" s="201" t="n">
        <v>2040</v>
      </c>
      <c r="J60" s="201" t="n">
        <v>144</v>
      </c>
      <c r="K60">
        <f>J60*0.9</f>
        <v/>
      </c>
      <c r="L60">
        <f>J60</f>
        <v/>
      </c>
    </row>
    <row r="61" ht="12.5" customHeight="1" s="213">
      <c r="H61" s="141" t="inlineStr">
        <is>
          <t>Util_Rep_Batt-LMO</t>
        </is>
      </c>
      <c r="I61" s="209" t="n">
        <v>2040</v>
      </c>
      <c r="J61" s="209">
        <f>J60</f>
        <v/>
      </c>
      <c r="K61">
        <f>J61*0.9</f>
        <v/>
      </c>
      <c r="L61">
        <f>J61</f>
        <v/>
      </c>
    </row>
    <row r="62" ht="12.5" customHeight="1" s="213">
      <c r="H62" s="141" t="inlineStr">
        <is>
          <t>Util_Rep_Batt-NCA</t>
        </is>
      </c>
      <c r="I62" s="209" t="n">
        <v>2040</v>
      </c>
      <c r="J62" s="209">
        <f>J61</f>
        <v/>
      </c>
      <c r="K62">
        <f>J62*0.9</f>
        <v/>
      </c>
      <c r="L62">
        <f>J62</f>
        <v/>
      </c>
    </row>
    <row r="63" ht="12.5" customHeight="1" s="213">
      <c r="H63" s="141" t="inlineStr">
        <is>
          <t>Util_Rep_Batt-NMC111</t>
        </is>
      </c>
      <c r="I63" s="209" t="n">
        <v>2040</v>
      </c>
      <c r="J63" s="209">
        <f>J62</f>
        <v/>
      </c>
      <c r="K63">
        <f>J63*0.9</f>
        <v/>
      </c>
      <c r="L63">
        <f>J63</f>
        <v/>
      </c>
    </row>
    <row r="64" ht="12.5" customHeight="1" s="213">
      <c r="H64" s="141" t="inlineStr">
        <is>
          <t>Util_Rep_Batt-NMC532</t>
        </is>
      </c>
      <c r="I64" s="209" t="n">
        <v>2040</v>
      </c>
      <c r="J64" s="209">
        <f>J63</f>
        <v/>
      </c>
      <c r="K64">
        <f>J64*0.9</f>
        <v/>
      </c>
      <c r="L64">
        <f>J64</f>
        <v/>
      </c>
    </row>
    <row r="65" ht="12.5" customHeight="1" s="213">
      <c r="H65" s="141" t="inlineStr">
        <is>
          <t>Util_Rep_Batt-NMC622</t>
        </is>
      </c>
      <c r="I65" s="209" t="n">
        <v>2040</v>
      </c>
      <c r="J65" s="209">
        <f>J64</f>
        <v/>
      </c>
      <c r="K65">
        <f>J65*0.9</f>
        <v/>
      </c>
      <c r="L65">
        <f>J65</f>
        <v/>
      </c>
    </row>
    <row r="66" ht="12.5" customHeight="1" s="213">
      <c r="H66" s="141" t="inlineStr">
        <is>
          <t>Util_Rep_Batt-NMC811</t>
        </is>
      </c>
      <c r="I66" s="209" t="n">
        <v>2040</v>
      </c>
      <c r="J66" s="209">
        <f>J65</f>
        <v/>
      </c>
      <c r="K66">
        <f>J66*0.9</f>
        <v/>
      </c>
      <c r="L66">
        <f>J66</f>
        <v/>
      </c>
    </row>
    <row r="67" ht="14.5" customHeight="1" s="213">
      <c r="H67" s="209" t="n"/>
      <c r="I67" s="209" t="n"/>
      <c r="J67" s="209" t="n"/>
    </row>
    <row r="68" ht="14.5" customHeight="1" s="213">
      <c r="H68" s="209" t="n"/>
      <c r="I68" s="209" t="n"/>
      <c r="J68" s="209" t="n"/>
    </row>
    <row r="75" ht="14.5" customHeight="1" s="213">
      <c r="H75" s="209" t="n"/>
    </row>
    <row r="76" ht="14.5" customHeight="1" s="213">
      <c r="H76" s="201" t="n"/>
      <c r="I76" s="201" t="n"/>
      <c r="J76" s="201" t="n"/>
    </row>
    <row r="77" ht="14.5" customHeight="1" s="213">
      <c r="H77" s="209" t="n"/>
      <c r="I77" s="209" t="n"/>
      <c r="J77" s="209" t="n"/>
    </row>
    <row r="78" ht="14.5" customHeight="1" s="213">
      <c r="H78" s="209" t="n"/>
      <c r="I78" s="209" t="n"/>
      <c r="J78" s="209" t="n"/>
    </row>
    <row r="79" ht="14.5" customHeight="1" s="213">
      <c r="H79" s="209" t="n"/>
      <c r="I79" s="209" t="n"/>
      <c r="J79" s="209" t="n"/>
    </row>
    <row r="80" ht="14.5" customHeight="1" s="213">
      <c r="H80" s="209" t="n"/>
      <c r="I80" s="209" t="n"/>
      <c r="J80" s="209" t="n"/>
    </row>
    <row r="81" ht="14.5" customHeight="1" s="213">
      <c r="H81" s="209" t="n"/>
      <c r="I81" s="209" t="n"/>
      <c r="J81" s="209" t="n"/>
    </row>
    <row r="82" ht="14.5" customHeight="1" s="213">
      <c r="H82" s="209" t="n"/>
      <c r="I82" s="209" t="n"/>
      <c r="J82" s="209" t="n"/>
    </row>
    <row r="83" ht="14.5" customHeight="1" s="213">
      <c r="H83" s="209" t="n"/>
      <c r="I83" s="209" t="n"/>
      <c r="J83" s="209" t="n"/>
    </row>
    <row r="84" ht="14.5" customHeight="1" s="213">
      <c r="H84" s="209" t="n"/>
      <c r="I84" s="209" t="n"/>
      <c r="J84" s="209" t="n"/>
    </row>
    <row r="87" ht="14.5" customHeight="1" s="213">
      <c r="H87" s="208" t="inlineStr">
        <is>
          <t>~TFM_INS: attribute=INVCOST</t>
        </is>
      </c>
    </row>
    <row r="88" ht="14.5" customHeight="1" s="213">
      <c r="H88" s="209" t="inlineStr">
        <is>
          <t>process</t>
        </is>
      </c>
      <c r="I88" s="208" t="inlineStr">
        <is>
          <t>year</t>
        </is>
      </c>
      <c r="J88" s="208" t="inlineStr">
        <is>
          <t>AllRegions</t>
        </is>
      </c>
      <c r="K88" s="208" t="inlineStr">
        <is>
          <t>China</t>
        </is>
      </c>
      <c r="L88" s="208" t="inlineStr">
        <is>
          <t>NorthAm</t>
        </is>
      </c>
    </row>
    <row r="89" ht="12.5" customHeight="1" s="213">
      <c r="H89" s="141" t="inlineStr">
        <is>
          <t>Util_Rep_Batt-LFP</t>
        </is>
      </c>
      <c r="I89" s="201" t="n">
        <v>2050</v>
      </c>
      <c r="J89" s="201" t="n">
        <v>132</v>
      </c>
      <c r="K89">
        <f>J89*0.9</f>
        <v/>
      </c>
      <c r="L89">
        <f>J89</f>
        <v/>
      </c>
    </row>
    <row r="90" ht="12.5" customHeight="1" s="213">
      <c r="H90" s="141" t="inlineStr">
        <is>
          <t>Util_Rep_Batt-LMO</t>
        </is>
      </c>
      <c r="I90" s="209" t="n">
        <v>2050</v>
      </c>
      <c r="J90" s="209">
        <f>J89</f>
        <v/>
      </c>
      <c r="K90">
        <f>J90*0.9</f>
        <v/>
      </c>
      <c r="L90">
        <f>J90</f>
        <v/>
      </c>
    </row>
    <row r="91" ht="12.5" customHeight="1" s="213">
      <c r="H91" s="141" t="inlineStr">
        <is>
          <t>Util_Rep_Batt-NCA</t>
        </is>
      </c>
      <c r="I91" s="209" t="n">
        <v>2050</v>
      </c>
      <c r="J91" s="209">
        <f>J90</f>
        <v/>
      </c>
      <c r="K91">
        <f>J91*0.9</f>
        <v/>
      </c>
      <c r="L91">
        <f>J91</f>
        <v/>
      </c>
    </row>
    <row r="92" ht="12.5" customHeight="1" s="213">
      <c r="H92" s="141" t="inlineStr">
        <is>
          <t>Util_Rep_Batt-NMC111</t>
        </is>
      </c>
      <c r="I92" s="209" t="n">
        <v>2050</v>
      </c>
      <c r="J92" s="209">
        <f>J91</f>
        <v/>
      </c>
      <c r="K92">
        <f>J92*0.9</f>
        <v/>
      </c>
      <c r="L92">
        <f>J92</f>
        <v/>
      </c>
    </row>
    <row r="93" ht="12.5" customHeight="1" s="213">
      <c r="H93" s="141" t="inlineStr">
        <is>
          <t>Util_Rep_Batt-NMC532</t>
        </is>
      </c>
      <c r="I93" s="209" t="n">
        <v>2050</v>
      </c>
      <c r="J93" s="209">
        <f>J92</f>
        <v/>
      </c>
      <c r="K93">
        <f>J93*0.9</f>
        <v/>
      </c>
      <c r="L93">
        <f>J93</f>
        <v/>
      </c>
    </row>
    <row r="94" ht="12.5" customHeight="1" s="213">
      <c r="H94" s="141" t="inlineStr">
        <is>
          <t>Util_Rep_Batt-NMC622</t>
        </is>
      </c>
      <c r="I94" s="209" t="n">
        <v>2050</v>
      </c>
      <c r="J94" s="209">
        <f>J93</f>
        <v/>
      </c>
      <c r="K94">
        <f>J94*0.9</f>
        <v/>
      </c>
      <c r="L94">
        <f>J94</f>
        <v/>
      </c>
    </row>
    <row r="95" ht="12.5" customHeight="1" s="213">
      <c r="H95" s="141" t="inlineStr">
        <is>
          <t>Util_Rep_Batt-NMC811</t>
        </is>
      </c>
      <c r="I95" s="209" t="n">
        <v>2050</v>
      </c>
      <c r="J95" s="209">
        <f>J94</f>
        <v/>
      </c>
      <c r="K95">
        <f>J95*0.9</f>
        <v/>
      </c>
      <c r="L95">
        <f>J95</f>
        <v/>
      </c>
    </row>
    <row r="96" ht="14.5" customHeight="1" s="213">
      <c r="H96" s="209" t="n"/>
      <c r="I96" s="209" t="n"/>
      <c r="J96" s="209" t="n"/>
    </row>
    <row r="97" ht="14.5" customHeight="1" s="213">
      <c r="H97" s="209" t="n"/>
      <c r="I97" s="209" t="n"/>
      <c r="J97" s="209" t="n"/>
    </row>
    <row r="101" ht="14.5" customHeight="1" s="213">
      <c r="H101" s="208" t="inlineStr">
        <is>
          <t>~TFM_INS: attribute=INVCOST</t>
        </is>
      </c>
    </row>
    <row r="102" ht="14.5" customHeight="1" s="213">
      <c r="H102" s="209" t="inlineStr">
        <is>
          <t>process</t>
        </is>
      </c>
      <c r="I102" s="208" t="inlineStr">
        <is>
          <t>year</t>
        </is>
      </c>
      <c r="J102" s="208" t="inlineStr">
        <is>
          <t>AllRegions</t>
        </is>
      </c>
      <c r="K102" s="208" t="inlineStr">
        <is>
          <t>China</t>
        </is>
      </c>
      <c r="L102" s="208" t="inlineStr">
        <is>
          <t>NorthAm</t>
        </is>
      </c>
    </row>
    <row r="103" ht="12.5" customHeight="1" s="213">
      <c r="H103" s="141" t="inlineStr">
        <is>
          <t>Util_Rep_Batt-LFP</t>
        </is>
      </c>
      <c r="I103" s="201" t="n">
        <v>2100</v>
      </c>
      <c r="J103" s="201">
        <f>J89*0.8</f>
        <v/>
      </c>
      <c r="K103">
        <f>J103*0.9</f>
        <v/>
      </c>
      <c r="L103">
        <f>J103</f>
        <v/>
      </c>
    </row>
    <row r="104" ht="12.5" customHeight="1" s="213">
      <c r="H104" s="141" t="inlineStr">
        <is>
          <t>Util_Rep_Batt-LMO</t>
        </is>
      </c>
      <c r="I104" s="209" t="n">
        <v>2100</v>
      </c>
      <c r="J104" s="209">
        <f>J103</f>
        <v/>
      </c>
      <c r="K104">
        <f>J104*0.9</f>
        <v/>
      </c>
      <c r="L104">
        <f>J104</f>
        <v/>
      </c>
    </row>
    <row r="105" ht="12.5" customHeight="1" s="213">
      <c r="H105" s="141" t="inlineStr">
        <is>
          <t>Util_Rep_Batt-NCA</t>
        </is>
      </c>
      <c r="I105" s="201" t="n">
        <v>2100</v>
      </c>
      <c r="J105" s="209">
        <f>J104</f>
        <v/>
      </c>
      <c r="K105">
        <f>J105*0.9</f>
        <v/>
      </c>
      <c r="L105">
        <f>J105</f>
        <v/>
      </c>
    </row>
    <row r="106" ht="12.5" customHeight="1" s="213">
      <c r="H106" s="141" t="inlineStr">
        <is>
          <t>Util_Rep_Batt-NMC111</t>
        </is>
      </c>
      <c r="I106" s="209" t="n">
        <v>2100</v>
      </c>
      <c r="J106" s="209">
        <f>J105</f>
        <v/>
      </c>
      <c r="K106">
        <f>J106*0.9</f>
        <v/>
      </c>
      <c r="L106">
        <f>J106</f>
        <v/>
      </c>
    </row>
    <row r="107" ht="12.5" customHeight="1" s="213">
      <c r="H107" s="141" t="inlineStr">
        <is>
          <t>Util_Rep_Batt-NMC532</t>
        </is>
      </c>
      <c r="I107" s="201" t="n">
        <v>2100</v>
      </c>
      <c r="J107" s="209">
        <f>J106</f>
        <v/>
      </c>
      <c r="K107">
        <f>J107*0.9</f>
        <v/>
      </c>
      <c r="L107">
        <f>J107</f>
        <v/>
      </c>
    </row>
    <row r="108" ht="12.5" customHeight="1" s="213">
      <c r="H108" s="141" t="inlineStr">
        <is>
          <t>Util_Rep_Batt-NMC622</t>
        </is>
      </c>
      <c r="I108" s="209" t="n">
        <v>2100</v>
      </c>
      <c r="J108" s="209">
        <f>J107</f>
        <v/>
      </c>
      <c r="K108">
        <f>J108*0.9</f>
        <v/>
      </c>
      <c r="L108">
        <f>J108</f>
        <v/>
      </c>
    </row>
    <row r="109" ht="12.5" customHeight="1" s="213">
      <c r="H109" s="141" t="inlineStr">
        <is>
          <t>Util_Rep_Batt-NMC811</t>
        </is>
      </c>
      <c r="I109" s="201" t="n">
        <v>2100</v>
      </c>
      <c r="J109" s="209">
        <f>J108</f>
        <v/>
      </c>
      <c r="K109">
        <f>J109*0.9</f>
        <v/>
      </c>
      <c r="L109">
        <f>J109</f>
        <v/>
      </c>
    </row>
    <row r="110" ht="14.5" customHeight="1" s="213">
      <c r="H110" s="209" t="n"/>
      <c r="I110" s="209" t="n"/>
      <c r="J110" s="209" t="n"/>
    </row>
    <row r="111" ht="14.5" customHeight="1" s="213">
      <c r="H111" s="209" t="n"/>
      <c r="I111" s="209" t="n"/>
      <c r="J111" s="209" t="n"/>
    </row>
    <row r="112" ht="14.5" customHeight="1" s="213">
      <c r="H112" s="209" t="n"/>
      <c r="I112" s="209" t="n"/>
      <c r="J112" s="209" t="n"/>
    </row>
    <row r="113" ht="14.5" customHeight="1" s="213">
      <c r="H113" s="209" t="n"/>
      <c r="I113" s="209" t="n"/>
      <c r="J113" s="209" t="n"/>
    </row>
    <row r="118" ht="14.5" customHeight="1" s="213">
      <c r="H118" s="208" t="inlineStr">
        <is>
          <t>~TFM_INS: attribute=INVCOST</t>
        </is>
      </c>
    </row>
    <row r="119" ht="14.5" customHeight="1" s="213">
      <c r="H119" s="208" t="inlineStr">
        <is>
          <t>process</t>
        </is>
      </c>
      <c r="I119" s="208" t="inlineStr">
        <is>
          <t>year</t>
        </is>
      </c>
      <c r="J119" s="208" t="inlineStr">
        <is>
          <t>AllRegions</t>
        </is>
      </c>
      <c r="K119" s="208" t="inlineStr">
        <is>
          <t>China</t>
        </is>
      </c>
      <c r="L119" s="208" t="inlineStr">
        <is>
          <t>NorthAm</t>
        </is>
      </c>
    </row>
    <row r="120" ht="14.5" customHeight="1" s="213">
      <c r="H120" s="141" t="inlineStr">
        <is>
          <t>Util_Rep_Batt-LFP</t>
        </is>
      </c>
      <c r="I120" s="208" t="n">
        <v>0</v>
      </c>
      <c r="J120" s="208" t="n">
        <v>3</v>
      </c>
      <c r="K120" s="208" t="n">
        <v>3</v>
      </c>
      <c r="L120" s="208" t="n">
        <v>3</v>
      </c>
    </row>
    <row r="121" ht="14.5" customHeight="1" s="213">
      <c r="H121" s="141" t="inlineStr">
        <is>
          <t>Util_Rep_Batt-LMO</t>
        </is>
      </c>
      <c r="I121" s="208" t="n">
        <v>0</v>
      </c>
      <c r="J121" s="208" t="n">
        <v>3</v>
      </c>
      <c r="K121" s="208" t="n">
        <v>3</v>
      </c>
      <c r="L121" s="208" t="n">
        <v>3</v>
      </c>
    </row>
    <row r="122" ht="14.5" customHeight="1" s="213">
      <c r="H122" s="141" t="inlineStr">
        <is>
          <t>Util_Rep_Batt-NCA</t>
        </is>
      </c>
      <c r="I122" s="208" t="n">
        <v>0</v>
      </c>
      <c r="J122" s="208" t="n">
        <v>3</v>
      </c>
      <c r="K122" s="208" t="n">
        <v>3</v>
      </c>
      <c r="L122" s="208" t="n">
        <v>3</v>
      </c>
    </row>
    <row r="123" ht="14.5" customHeight="1" s="213">
      <c r="H123" s="141" t="inlineStr">
        <is>
          <t>Util_Rep_Batt-NMC111</t>
        </is>
      </c>
      <c r="I123" s="208" t="n">
        <v>0</v>
      </c>
      <c r="J123" s="208" t="n">
        <v>3</v>
      </c>
      <c r="K123" s="208" t="n">
        <v>3</v>
      </c>
      <c r="L123" s="208" t="n">
        <v>3</v>
      </c>
    </row>
    <row r="124" ht="14.5" customHeight="1" s="213">
      <c r="H124" s="141" t="inlineStr">
        <is>
          <t>Util_Rep_Batt-NMC532</t>
        </is>
      </c>
      <c r="I124" s="208" t="n">
        <v>0</v>
      </c>
      <c r="J124" s="208" t="n">
        <v>3</v>
      </c>
      <c r="K124" s="208" t="n">
        <v>3</v>
      </c>
      <c r="L124" s="208" t="n">
        <v>3</v>
      </c>
    </row>
    <row r="125" ht="14.5" customHeight="1" s="213">
      <c r="H125" s="141" t="inlineStr">
        <is>
          <t>Util_Rep_Batt-NMC622</t>
        </is>
      </c>
      <c r="I125" s="208" t="n">
        <v>0</v>
      </c>
      <c r="J125" s="208" t="n">
        <v>3</v>
      </c>
      <c r="K125" s="208" t="n">
        <v>3</v>
      </c>
      <c r="L125" s="208" t="n">
        <v>3</v>
      </c>
    </row>
    <row r="126" ht="14.5" customHeight="1" s="213">
      <c r="H126" s="141" t="inlineStr">
        <is>
          <t>Util_Rep_Batt-NMC811</t>
        </is>
      </c>
      <c r="I126" s="208" t="n">
        <v>0</v>
      </c>
      <c r="J126" s="208" t="n">
        <v>3</v>
      </c>
      <c r="K126" s="208" t="n">
        <v>3</v>
      </c>
      <c r="L126" s="208"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Amit Kanudia</dc:creator>
  <dcterms:created xsi:type="dcterms:W3CDTF">2001-09-28T18:48:00Z</dcterms:created>
  <dcterms:modified xsi:type="dcterms:W3CDTF">2026-09-15T14:08:23Z</dcterms:modified>
  <cp:lastModifiedBy>李潇</cp:lastModifiedBy>
  <cp:lastPrinted>2001-09-28T20:39:00Z</cp:lastPrinted>
</cp:coreProperties>
</file>

<file path=docProps/custom.xml><?xml version="1.0" encoding="utf-8"?>
<Properties xmlns:vt="http://schemas.openxmlformats.org/officeDocument/2006/docPropsVTypes" xmlns="http://schemas.openxmlformats.org/officeDocument/2006/custom-properties">
  <property name="{A44787D4-0540-4523-9961-78E4036D8C6D}" fmtid="{D5CDD505-2E9C-101B-9397-08002B2CF9AE}" pid="2">
    <vt:lpwstr>{EB3971F8-0E88-4138-9B5F-5661BAE86EB6}</vt:lpwstr>
  </property>
  <property name="SaveCode" fmtid="{D5CDD505-2E9C-101B-9397-08002B2CF9AE}" pid="3">
    <vt:r8>471264078594048</vt:r8>
  </property>
  <property name="ICV" fmtid="{D5CDD505-2E9C-101B-9397-08002B2CF9AE}" pid="4">
    <vt:lpwstr>45D5F3D94C4940779DA6D9ECCC51C81A_12</vt:lpwstr>
  </property>
  <property name="KSOProductBuildVer" fmtid="{D5CDD505-2E9C-101B-9397-08002B2CF9AE}" pid="5">
    <vt:lpwstr>1033-12.1.0.28032</vt:lpwstr>
  </property>
  <property name="CalculationRule" fmtid="{D5CDD505-2E9C-101B-9397-08002B2CF9AE}" pid="6">
    <vt:i4>0</vt:i4>
  </property>
</Properties>
</file>