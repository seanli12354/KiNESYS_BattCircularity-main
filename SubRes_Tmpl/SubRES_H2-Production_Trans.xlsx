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3"/>
  </bookViews>
  <sheets>
    <sheet name="misc." sheetId="26" r:id="rId1"/>
    <sheet name="Stationary_storage_EnergyNeeds" sheetId="27" r:id="rId2"/>
    <sheet name="Existing_stock-MOVE TO PASTI" sheetId="28" r:id="rId3"/>
    <sheet name="HPS bound" sheetId="29" r:id="rId4"/>
  </sheets>
  <externalReferences>
    <externalReference r:id="rId5"/>
    <externalReference r:id="rId6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be revised to be higher level</t>
        </r>
      </text>
    </comment>
  </commentList>
</comments>
</file>

<file path=xl/sharedStrings.xml><?xml version="1.0" encoding="utf-8"?>
<sst xmlns="http://schemas.openxmlformats.org/spreadsheetml/2006/main" count="630" uniqueCount="77">
  <si>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</si>
  <si>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</si>
  <si>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</si>
  <si>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</si>
  <si>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</si>
  <si>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</si>
  <si>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</si>
  <si>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</si>
  <si>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</si>
  <si>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</si>
  <si>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</si>
  <si>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</si>
  <si>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</si>
  <si>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</si>
  <si>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</si>
  <si>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</si>
  <si>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</si>
  <si>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</si>
  <si>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</si>
  <si>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</si>
  <si>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</si>
  <si>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</si>
  <si>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</si>
  <si>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</si>
  <si>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</si>
  <si>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TEST::</t>
  </si>
  <si>
    <t>DELETE</t>
  </si>
  <si>
    <t>For EV LFP pack cost</t>
  </si>
  <si>
    <t>~TFM_INS: attribute=INVCOST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</si>
  <si>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</si>
  <si>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</si>
  <si>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</si>
  <si>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</si>
  <si>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</si>
  <si>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</si>
  <si>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</si>
  <si>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</si>
  <si>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</si>
  <si>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</si>
  <si>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</si>
  <si>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</si>
  <si>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</si>
  <si>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</si>
  <si>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</si>
  <si>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</si>
  <si>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</si>
  <si>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</si>
  <si>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</si>
  <si>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</si>
  <si>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</si>
  <si>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</si>
  <si>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</si>
  <si>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</si>
  <si>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</si>
  <si>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</si>
  <si>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</si>
  <si>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</si>
  <si>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</si>
  <si>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</si>
  <si>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</si>
  <si>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</si>
  <si>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</si>
  <si>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</si>
  <si>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</si>
  <si>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</si>
  <si>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</si>
  <si>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</si>
  <si>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</si>
  <si>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</si>
  <si>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</si>
  <si>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</si>
  <si>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</si>
  <si>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</si>
  <si>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</si>
  <si>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</si>
  <si>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~TFM_INS: attribute= CAP_BND</t>
  </si>
  <si>
    <t>EN_HPS_Storage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</si>
</sst>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1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6" fillId="0" borderId="0"/>
    <xf numFmtId="0" fontId="25" fillId="0" borderId="0"/>
    <xf numFmtId="0" fontId="24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4" fillId="0" borderId="0"/>
    <xf numFmtId="0" fontId="24" fillId="0" borderId="0"/>
    <xf numFmtId="0" fontId="26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4" fillId="0" borderId="0">
      <alignment horizontal="center"/>
    </xf>
    <xf numFmtId="49" fontId="28" fillId="0" borderId="0" applyFill="0" applyBorder="0">
      <alignment horizontal="left"/>
    </xf>
    <xf numFmtId="0" fontId="29" fillId="0" borderId="10" applyNumberFormat="0" applyFont="0" applyAlignment="0">
      <alignment vertical="center"/>
    </xf>
    <xf numFmtId="0" fontId="30" fillId="0" borderId="0" applyFill="0" applyBorder="0">
      <alignment vertical="center"/>
    </xf>
    <xf numFmtId="181" fontId="31" fillId="0" borderId="0" applyFill="0" applyBorder="0">
      <alignment horizontal="right" vertical="center"/>
    </xf>
    <xf numFmtId="181" fontId="29" fillId="0" borderId="0" applyFill="0" applyBorder="0">
      <alignment horizontal="right" vertical="center"/>
    </xf>
    <xf numFmtId="182" fontId="29" fillId="0" borderId="0" applyFill="0" applyBorder="0">
      <alignment horizontal="right" vertical="center"/>
    </xf>
    <xf numFmtId="0" fontId="31" fillId="0" borderId="10" applyFill="0" applyBorder="0">
      <alignment vertical="center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39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2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47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36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2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37" borderId="0" applyNumberFormat="0" applyBorder="0" applyAlignment="0" applyProtection="0"/>
    <xf numFmtId="183" fontId="36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3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4" fillId="58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47" borderId="0" applyNumberFormat="0" applyBorder="0" applyAlignment="0" applyProtection="0"/>
    <xf numFmtId="0" fontId="32" fillId="60" borderId="0" applyNumberFormat="0" applyBorder="0" applyAlignment="0" applyProtection="0"/>
    <xf numFmtId="0" fontId="32" fillId="61" borderId="0" applyNumberFormat="0" applyBorder="0" applyAlignment="0" applyProtection="0"/>
    <xf numFmtId="0" fontId="34" fillId="62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45" borderId="0" applyNumberFormat="0" applyBorder="0" applyAlignment="0" applyProtection="0"/>
    <xf numFmtId="0" fontId="32" fillId="61" borderId="0" applyNumberFormat="0" applyBorder="0" applyAlignment="0" applyProtection="0"/>
    <xf numFmtId="0" fontId="32" fillId="62" borderId="0" applyNumberFormat="0" applyBorder="0" applyAlignment="0" applyProtection="0"/>
    <xf numFmtId="0" fontId="34" fillId="62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6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2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2" fillId="65" borderId="0" applyNumberFormat="0" applyBorder="0" applyAlignment="0" applyProtection="0"/>
    <xf numFmtId="0" fontId="32" fillId="57" borderId="0" applyNumberFormat="0" applyBorder="0" applyAlignment="0" applyProtection="0"/>
    <xf numFmtId="0" fontId="34" fillId="66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59" borderId="0" applyNumberFormat="0" applyBorder="0" applyAlignment="0" applyProtection="0"/>
    <xf numFmtId="184" fontId="37" fillId="35" borderId="11">
      <alignment horizontal="center" vertical="center"/>
    </xf>
    <xf numFmtId="4" fontId="38" fillId="42" borderId="1">
      <alignment horizontal="right" vertical="center"/>
    </xf>
    <xf numFmtId="185" fontId="39" fillId="0" borderId="0" applyFont="0" applyFill="0" applyBorder="0" applyAlignment="0" applyProtection="0"/>
    <xf numFmtId="186" fontId="39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5" fontId="24" fillId="0" borderId="0" applyFont="0" applyFill="0" applyBorder="0" applyAlignment="0" applyProtection="0"/>
    <xf numFmtId="186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193" fontId="24" fillId="0" borderId="0" applyFont="0" applyFill="0" applyBorder="0" applyAlignment="0" applyProtection="0"/>
    <xf numFmtId="0" fontId="40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41" fillId="67" borderId="0" applyNumberFormat="0" applyBorder="0" applyProtection="0"/>
    <xf numFmtId="0" fontId="40" fillId="39" borderId="0" applyNumberFormat="0" applyFont="0" applyAlignment="0" applyProtection="0">
      <protection locked="0"/>
    </xf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40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3" fontId="46" fillId="0" borderId="12" applyNumberFormat="0" applyFill="0" applyBorder="0" applyProtection="0">
      <alignment horizontal="center" vertical="center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4" fontId="48" fillId="0" borderId="14" applyFill="0" applyBorder="0" applyProtection="0">
      <alignment horizontal="right" vertical="center"/>
    </xf>
    <xf numFmtId="4" fontId="48" fillId="0" borderId="14" applyFill="0" applyBorder="0" applyProtection="0">
      <alignment horizontal="right" vertical="center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38" borderId="0"/>
    <xf numFmtId="1" fontId="49" fillId="38" borderId="0">
      <alignment horizontal="center" vertical="center" wrapText="1"/>
    </xf>
    <xf numFmtId="0" fontId="50" fillId="0" borderId="0">
      <alignment horizontal="right"/>
    </xf>
    <xf numFmtId="195" fontId="51" fillId="0" borderId="0">
      <alignment horizontal="right" vertical="center"/>
    </xf>
    <xf numFmtId="49" fontId="51" fillId="0" borderId="0">
      <alignment horizontal="right"/>
    </xf>
    <xf numFmtId="196" fontId="51" fillId="0" borderId="0">
      <alignment horizontal="right" vertical="center"/>
    </xf>
    <xf numFmtId="195" fontId="52" fillId="0" borderId="0">
      <alignment horizontal="right" vertical="center"/>
    </xf>
    <xf numFmtId="0" fontId="53" fillId="0" borderId="15" applyNumberFormat="0" applyAlignment="0"/>
    <xf numFmtId="197" fontId="54" fillId="0" borderId="0">
      <alignment horizontal="right"/>
    </xf>
    <xf numFmtId="196" fontId="55" fillId="0" borderId="0">
      <alignment horizontal="right" vertical="center"/>
    </xf>
    <xf numFmtId="0" fontId="30" fillId="0" borderId="0">
      <alignment horizontal="right"/>
    </xf>
    <xf numFmtId="196" fontId="55" fillId="0" borderId="0">
      <alignment horizontal="right" vertical="center"/>
    </xf>
    <xf numFmtId="182" fontId="30" fillId="0" borderId="0">
      <alignment horizontal="right"/>
    </xf>
    <xf numFmtId="196" fontId="55" fillId="0" borderId="0">
      <alignment horizontal="right" vertical="center"/>
    </xf>
    <xf numFmtId="198" fontId="29" fillId="0" borderId="0">
      <alignment horizontal="right" vertical="center"/>
    </xf>
    <xf numFmtId="198" fontId="56" fillId="0" borderId="0">
      <alignment horizontal="right" vertical="center"/>
    </xf>
    <xf numFmtId="198" fontId="57" fillId="0" borderId="0">
      <alignment horizontal="right" vertical="center"/>
    </xf>
    <xf numFmtId="198" fontId="58" fillId="0" borderId="0">
      <alignment horizontal="right" vertical="center"/>
    </xf>
    <xf numFmtId="0" fontId="30" fillId="0" borderId="0"/>
    <xf numFmtId="199" fontId="29" fillId="0" borderId="0" applyFont="0" applyFill="0" applyBorder="0" applyAlignment="0" applyProtection="0">
      <alignment horizontal="right"/>
    </xf>
    <xf numFmtId="200" fontId="59" fillId="0" borderId="0">
      <alignment horizontal="right"/>
    </xf>
    <xf numFmtId="201" fontId="60" fillId="69" borderId="0">
      <alignment horizontal="right" vertical="center"/>
    </xf>
    <xf numFmtId="202" fontId="60" fillId="69" borderId="0">
      <alignment horizontal="right"/>
    </xf>
    <xf numFmtId="9" fontId="60" fillId="69" borderId="0">
      <alignment horizontal="right" vertical="center"/>
    </xf>
    <xf numFmtId="203" fontId="60" fillId="69" borderId="0">
      <alignment horizontal="right" vertical="center"/>
    </xf>
    <xf numFmtId="204" fontId="60" fillId="0" borderId="16" applyBorder="0">
      <alignment horizontal="right"/>
    </xf>
    <xf numFmtId="199" fontId="57" fillId="0" borderId="0">
      <alignment horizontal="right"/>
    </xf>
    <xf numFmtId="200" fontId="60" fillId="0" borderId="0">
      <alignment horizontal="right"/>
    </xf>
    <xf numFmtId="202" fontId="60" fillId="0" borderId="0">
      <alignment horizontal="right"/>
    </xf>
    <xf numFmtId="9" fontId="60" fillId="0" borderId="0">
      <alignment horizontal="right" vertical="center"/>
    </xf>
    <xf numFmtId="203" fontId="60" fillId="0" borderId="0">
      <alignment horizontal="right" vertical="center"/>
    </xf>
    <xf numFmtId="204" fontId="57" fillId="63" borderId="0">
      <alignment horizontal="right"/>
    </xf>
    <xf numFmtId="200" fontId="31" fillId="0" borderId="0">
      <alignment horizontal="right"/>
    </xf>
    <xf numFmtId="205" fontId="29" fillId="0" borderId="0">
      <alignment horizontal="right"/>
    </xf>
    <xf numFmtId="205" fontId="61" fillId="0" borderId="0">
      <alignment horizontal="right"/>
    </xf>
    <xf numFmtId="205" fontId="29" fillId="0" borderId="0">
      <alignment horizontal="right"/>
    </xf>
    <xf numFmtId="205" fontId="56" fillId="0" borderId="0">
      <alignment horizontal="right"/>
    </xf>
    <xf numFmtId="205" fontId="57" fillId="0" borderId="0">
      <alignment horizontal="right"/>
    </xf>
    <xf numFmtId="0" fontId="62" fillId="0" borderId="0">
      <alignment vertical="center"/>
    </xf>
    <xf numFmtId="0" fontId="62" fillId="0" borderId="0">
      <alignment horizontal="right" vertical="center"/>
    </xf>
    <xf numFmtId="0" fontId="63" fillId="0" borderId="0"/>
    <xf numFmtId="0" fontId="1" fillId="0" borderId="0">
      <alignment horizontal="center"/>
    </xf>
    <xf numFmtId="0" fontId="64" fillId="70" borderId="5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9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70" fillId="0" borderId="0" applyNumberFormat="0" applyBorder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3" fillId="73" borderId="18" applyNumberFormat="0" applyAlignment="0" applyProtection="0"/>
    <xf numFmtId="0" fontId="73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71" fillId="72" borderId="18" applyNumberFormat="0" applyAlignment="0" applyProtection="0"/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1" fontId="75" fillId="0" borderId="0">
      <alignment horizontal="center" vertical="center" wrapText="1"/>
    </xf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7" fillId="0" borderId="0" applyFont="0" applyFill="0" applyBorder="0" applyProtection="0">
      <alignment horizontal="right"/>
    </xf>
    <xf numFmtId="210" fontId="1" fillId="0" borderId="0"/>
    <xf numFmtId="4" fontId="77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8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80" fillId="0" borderId="0">
      <protection locked="0"/>
    </xf>
    <xf numFmtId="0" fontId="81" fillId="0" borderId="0"/>
    <xf numFmtId="0" fontId="81" fillId="0" borderId="0"/>
    <xf numFmtId="0" fontId="81" fillId="0" borderId="0"/>
    <xf numFmtId="0" fontId="82" fillId="0" borderId="0"/>
    <xf numFmtId="0" fontId="82" fillId="0" borderId="0"/>
    <xf numFmtId="0" fontId="82" fillId="0" borderId="0"/>
    <xf numFmtId="3" fontId="1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3" fontId="26" fillId="74" borderId="0" applyFont="0" applyBorder="0" applyAlignment="0" applyProtection="0"/>
    <xf numFmtId="37" fontId="1" fillId="75" borderId="0" applyFont="0" applyBorder="0" applyAlignment="0" applyProtection="0"/>
    <xf numFmtId="218" fontId="26" fillId="74" borderId="0" applyFont="0" applyBorder="0" applyAlignment="0" applyProtection="0">
      <alignment horizontal="right"/>
    </xf>
    <xf numFmtId="39" fontId="26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9" fillId="0" borderId="0" applyFont="0" applyFill="0" applyBorder="0" applyAlignment="0" applyProtection="0"/>
    <xf numFmtId="219" fontId="29" fillId="0" borderId="0" applyFont="0" applyFill="0" applyBorder="0" applyAlignment="0" applyProtection="0"/>
    <xf numFmtId="220" fontId="80" fillId="0" borderId="0">
      <protection locked="0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0" fontId="40" fillId="38" borderId="0">
      <alignment horizontal="center"/>
    </xf>
    <xf numFmtId="222" fontId="83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4" fillId="0" borderId="22"/>
    <xf numFmtId="1" fontId="84" fillId="0" borderId="22"/>
    <xf numFmtId="1" fontId="84" fillId="0" borderId="22"/>
    <xf numFmtId="1" fontId="84" fillId="0" borderId="22"/>
    <xf numFmtId="0" fontId="85" fillId="0" borderId="22"/>
    <xf numFmtId="0" fontId="86" fillId="0" borderId="0">
      <alignment horizontal="left"/>
    </xf>
    <xf numFmtId="17" fontId="37" fillId="0" borderId="0"/>
    <xf numFmtId="224" fontId="87" fillId="0" borderId="0" applyAlignment="0"/>
    <xf numFmtId="0" fontId="88" fillId="76" borderId="0" applyNumberFormat="0" applyBorder="0" applyAlignment="0"/>
    <xf numFmtId="37" fontId="85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225" fontId="90" fillId="0" borderId="0"/>
    <xf numFmtId="5" fontId="91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2" fillId="77" borderId="0" applyNumberFormat="0" applyBorder="0" applyAlignment="0" applyProtection="0"/>
    <xf numFmtId="0" fontId="92" fillId="78" borderId="0" applyNumberFormat="0" applyBorder="0" applyAlignment="0" applyProtection="0"/>
    <xf numFmtId="0" fontId="92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9" fillId="71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6" fillId="0" borderId="0"/>
    <xf numFmtId="0" fontId="26" fillId="0" borderId="0"/>
    <xf numFmtId="0" fontId="26" fillId="0" borderId="0"/>
    <xf numFmtId="0" fontId="95" fillId="0" borderId="0"/>
    <xf numFmtId="1" fontId="96" fillId="0" borderId="0"/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97" fillId="0" borderId="0"/>
    <xf numFmtId="0" fontId="97" fillId="0" borderId="0"/>
    <xf numFmtId="0" fontId="59" fillId="0" borderId="0">
      <alignment vertical="center"/>
    </xf>
    <xf numFmtId="198" fontId="98" fillId="0" borderId="0">
      <alignment horizontal="right" vertical="center"/>
    </xf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42" borderId="0" applyNumberFormat="0" applyBorder="0" applyAlignment="0" applyProtection="0"/>
    <xf numFmtId="0" fontId="99" fillId="42" borderId="0" applyNumberFormat="0" applyBorder="0" applyAlignment="0" applyProtection="0"/>
    <xf numFmtId="0" fontId="101" fillId="7" borderId="0" applyNumberFormat="0" applyBorder="0" applyAlignment="0" applyProtection="0"/>
    <xf numFmtId="0" fontId="102" fillId="7" borderId="0" applyNumberFormat="0" applyBorder="0" applyAlignment="0" applyProtection="0"/>
    <xf numFmtId="0" fontId="103" fillId="0" borderId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1" fontId="89" fillId="0" borderId="0" applyNumberFormat="0" applyAlignment="0">
      <alignment vertical="top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218" fontId="40" fillId="39" borderId="0">
      <alignment horizontal="center" vertical="top"/>
    </xf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26" applyNumberFormat="0" applyProtection="0">
      <alignment wrapText="1"/>
    </xf>
    <xf numFmtId="0" fontId="106" fillId="80" borderId="0">
      <alignment horizontal="left" wrapText="1"/>
    </xf>
    <xf numFmtId="0" fontId="107" fillId="0" borderId="27" applyNumberFormat="0" applyFill="0" applyAlignment="0" applyProtection="0"/>
    <xf numFmtId="0" fontId="80" fillId="0" borderId="0">
      <protection locked="0"/>
    </xf>
    <xf numFmtId="0" fontId="108" fillId="0" borderId="28" applyNumberFormat="0" applyFill="0" applyAlignment="0" applyProtection="0"/>
    <xf numFmtId="0" fontId="80" fillId="0" borderId="0">
      <protection locked="0"/>
    </xf>
    <xf numFmtId="0" fontId="107" fillId="0" borderId="27" applyNumberFormat="0" applyFill="0" applyAlignment="0" applyProtection="0"/>
    <xf numFmtId="0" fontId="109" fillId="0" borderId="28" applyNumberFormat="0" applyFill="0" applyAlignment="0" applyProtection="0"/>
    <xf numFmtId="0" fontId="110" fillId="0" borderId="29" applyNumberFormat="0" applyFill="0" applyAlignment="0" applyProtection="0"/>
    <xf numFmtId="0" fontId="80" fillId="0" borderId="0">
      <protection locked="0"/>
    </xf>
    <xf numFmtId="0" fontId="111" fillId="0" borderId="30" applyNumberFormat="0" applyFill="0" applyAlignment="0" applyProtection="0"/>
    <xf numFmtId="0" fontId="80" fillId="0" borderId="0">
      <protection locked="0"/>
    </xf>
    <xf numFmtId="0" fontId="110" fillId="0" borderId="29" applyNumberFormat="0" applyFill="0" applyAlignment="0" applyProtection="0"/>
    <xf numFmtId="0" fontId="112" fillId="0" borderId="30" applyNumberFormat="0" applyFill="0" applyAlignment="0" applyProtection="0"/>
    <xf numFmtId="0" fontId="110" fillId="0" borderId="29" applyNumberFormat="0" applyFill="0" applyAlignment="0" applyProtection="0"/>
    <xf numFmtId="0" fontId="113" fillId="0" borderId="31" applyNumberFormat="0" applyFill="0" applyAlignment="0" applyProtection="0"/>
    <xf numFmtId="0" fontId="113" fillId="0" borderId="31" applyNumberFormat="0" applyFill="0" applyAlignment="0" applyProtection="0"/>
    <xf numFmtId="0" fontId="114" fillId="0" borderId="31" applyNumberFormat="0" applyFill="0" applyAlignment="0" applyProtection="0"/>
    <xf numFmtId="0" fontId="115" fillId="0" borderId="32" applyNumberFormat="0" applyFill="0" applyAlignment="0" applyProtection="0"/>
    <xf numFmtId="0" fontId="116" fillId="0" borderId="33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06" fillId="80" borderId="0">
      <alignment horizontal="left" wrapText="1"/>
    </xf>
    <xf numFmtId="230" fontId="117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8" fillId="81" borderId="0"/>
    <xf numFmtId="0" fontId="119" fillId="82" borderId="0"/>
    <xf numFmtId="0" fontId="120" fillId="0" borderId="0"/>
    <xf numFmtId="0" fontId="85" fillId="0" borderId="34" applyNumberFormat="0" applyFill="0" applyAlignment="0" applyProtection="0"/>
    <xf numFmtId="232" fontId="121" fillId="0" borderId="0">
      <alignment horizontal="right"/>
    </xf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38" fontId="1" fillId="83" borderId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39" fillId="0" borderId="0"/>
    <xf numFmtId="0" fontId="39" fillId="0" borderId="0"/>
    <xf numFmtId="0" fontId="24" fillId="0" borderId="35" applyNumberFormat="0">
      <alignment vertical="center" wrapText="1"/>
    </xf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4" fontId="38" fillId="0" borderId="36">
      <alignment horizontal="right" vertical="center"/>
    </xf>
    <xf numFmtId="0" fontId="133" fillId="0" borderId="37" applyNumberFormat="0" applyFill="0" applyAlignment="0" applyProtection="0"/>
    <xf numFmtId="0" fontId="133" fillId="0" borderId="37" applyNumberFormat="0" applyFill="0" applyAlignment="0" applyProtection="0"/>
    <xf numFmtId="0" fontId="134" fillId="0" borderId="37" applyNumberFormat="0" applyFill="0" applyAlignment="0" applyProtection="0"/>
    <xf numFmtId="0" fontId="135" fillId="0" borderId="38" applyNumberFormat="0" applyFill="0" applyAlignment="0" applyProtection="0"/>
    <xf numFmtId="233" fontId="136" fillId="0" borderId="0" applyFont="0" applyFill="0" applyBorder="0" applyAlignment="0" applyProtection="0"/>
    <xf numFmtId="234" fontId="136" fillId="0" borderId="0" applyFont="0" applyFill="0" applyBorder="0" applyAlignment="0" applyProtection="0"/>
    <xf numFmtId="2" fontId="137" fillId="0" borderId="0"/>
    <xf numFmtId="0" fontId="138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9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8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3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4" fillId="0" borderId="0"/>
    <xf numFmtId="240" fontId="37" fillId="0" borderId="0"/>
    <xf numFmtId="40" fontId="7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7" fillId="0" borderId="0"/>
    <xf numFmtId="0" fontId="47" fillId="0" borderId="0"/>
    <xf numFmtId="0" fontId="0" fillId="0" borderId="0"/>
    <xf numFmtId="0" fontId="0" fillId="0" borderId="0"/>
    <xf numFmtId="0" fontId="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6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8" fillId="0" borderId="0"/>
    <xf numFmtId="0" fontId="1" fillId="0" borderId="0"/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32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9" fillId="0" borderId="0"/>
    <xf numFmtId="0" fontId="32" fillId="0" borderId="0"/>
    <xf numFmtId="0" fontId="148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2" fillId="0" borderId="0"/>
    <xf numFmtId="0" fontId="32" fillId="0" borderId="0"/>
    <xf numFmtId="0" fontId="148" fillId="0" borderId="0"/>
    <xf numFmtId="0" fontId="1" fillId="0" borderId="0"/>
    <xf numFmtId="0" fontId="29" fillId="0" borderId="0" applyFill="0" applyBorder="0"/>
    <xf numFmtId="0" fontId="146" fillId="0" borderId="0"/>
    <xf numFmtId="0" fontId="15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73" borderId="0" applyNumberFormat="0" applyFont="0" applyBorder="0" applyAlignment="0" applyProtection="0"/>
    <xf numFmtId="39" fontId="1" fillId="0" borderId="0"/>
    <xf numFmtId="0" fontId="151" fillId="0" borderId="0"/>
    <xf numFmtId="0" fontId="25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2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7" fillId="0" borderId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39" fillId="0" borderId="0" applyFont="0" applyFill="0" applyBorder="0" applyAlignment="0" applyProtection="0"/>
    <xf numFmtId="247" fontId="39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24" fillId="0" borderId="0" applyFont="0" applyFill="0" applyBorder="0" applyAlignment="0" applyProtection="0"/>
    <xf numFmtId="247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39" fillId="0" borderId="0" applyFont="0" applyFill="0" applyBorder="0" applyAlignment="0" applyProtection="0"/>
    <xf numFmtId="251" fontId="39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24" fillId="0" borderId="0" applyFont="0" applyFill="0" applyBorder="0" applyAlignment="0" applyProtection="0"/>
    <xf numFmtId="251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3" fillId="0" borderId="0">
      <alignment vertical="top"/>
    </xf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6" fillId="0" borderId="0">
      <alignment vertical="top"/>
    </xf>
    <xf numFmtId="0" fontId="105" fillId="0" borderId="42" applyNumberFormat="0" applyProtection="0">
      <alignment wrapText="1"/>
    </xf>
    <xf numFmtId="182" fontId="70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37" fillId="0" borderId="0" applyFont="0" applyFill="0" applyBorder="0" applyAlignment="0" applyProtection="0"/>
    <xf numFmtId="256" fontId="80" fillId="0" borderId="0">
      <protection locked="0"/>
    </xf>
    <xf numFmtId="0" fontId="158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9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8" fillId="86" borderId="0" applyNumberFormat="0" applyFont="0" applyBorder="0" applyAlignment="0"/>
    <xf numFmtId="259" fontId="1" fillId="0" borderId="0">
      <alignment horizontal="center"/>
    </xf>
    <xf numFmtId="3" fontId="159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3" fontId="70" fillId="0" borderId="0" applyFont="0" applyFill="0" applyBorder="0" applyAlignment="0" applyProtection="0"/>
    <xf numFmtId="0" fontId="70" fillId="87" borderId="0" applyNumberFormat="0" applyFont="0" applyBorder="0" applyAlignment="0" applyProtection="0"/>
    <xf numFmtId="230" fontId="37" fillId="0" borderId="0" applyFill="0" applyBorder="0" applyAlignment="0" applyProtection="0"/>
    <xf numFmtId="218" fontId="160" fillId="0" borderId="0"/>
    <xf numFmtId="0" fontId="1" fillId="0" borderId="0"/>
    <xf numFmtId="0" fontId="1" fillId="0" borderId="0"/>
    <xf numFmtId="3" fontId="161" fillId="0" borderId="44" applyBorder="0">
      <alignment horizontal="right" wrapText="1"/>
    </xf>
    <xf numFmtId="3" fontId="161" fillId="0" borderId="44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0" fontId="1" fillId="0" borderId="0"/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0" fontId="1" fillId="0" borderId="0"/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4" fillId="44" borderId="47" applyNumberFormat="0" applyProtection="0">
      <alignment vertical="center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0" fontId="1" fillId="0" borderId="0"/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5" fillId="54" borderId="47" applyNumberFormat="0" applyProtection="0">
      <alignment horizontal="left" vertical="center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" fillId="0" borderId="0"/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4" fontId="167" fillId="0" borderId="0" applyNumberFormat="0" applyProtection="0">
      <alignment horizontal="left" vertical="center" indent="1"/>
    </xf>
    <xf numFmtId="4" fontId="166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0" fontId="1" fillId="0" borderId="0"/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70" fillId="36" borderId="47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0" fontId="1" fillId="0" borderId="0"/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70" fillId="37" borderId="47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0" fontId="1" fillId="0" borderId="0"/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70" fillId="59" borderId="47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0" fontId="1" fillId="0" borderId="0"/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70" fillId="45" borderId="47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0" fontId="1" fillId="0" borderId="0"/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70" fillId="50" borderId="47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0" fontId="1" fillId="0" borderId="0"/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70" fillId="47" borderId="47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0" fontId="1" fillId="0" borderId="0"/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79" fillId="63" borderId="47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0" fontId="1" fillId="0" borderId="0"/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70" fillId="84" borderId="47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0" fontId="1" fillId="0" borderId="0"/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70" fillId="43" borderId="47" applyNumberFormat="0" applyProtection="0">
      <alignment horizontal="right" vertical="center"/>
    </xf>
    <xf numFmtId="4" fontId="162" fillId="89" borderId="35" applyNumberFormat="0" applyProtection="0">
      <alignment horizontal="left" vertical="center" indent="1"/>
    </xf>
    <xf numFmtId="0" fontId="1" fillId="0" borderId="0"/>
    <xf numFmtId="4" fontId="171" fillId="89" borderId="47" applyNumberFormat="0" applyProtection="0">
      <alignment horizontal="left" vertical="center" indent="1"/>
    </xf>
    <xf numFmtId="4" fontId="172" fillId="74" borderId="35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0" fontId="1" fillId="0" borderId="0"/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0" fillId="55" borderId="47" applyNumberFormat="0" applyProtection="0">
      <alignment horizontal="right" vertical="center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79" fillId="68" borderId="47" applyNumberFormat="0" applyProtection="0">
      <alignment horizontal="left" vertical="center" indent="1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88" borderId="0" applyNumberFormat="0" applyProtection="0">
      <alignment horizontal="left" vertical="center" indent="1"/>
    </xf>
    <xf numFmtId="4" fontId="170" fillId="54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4" fontId="79" fillId="91" borderId="47">
      <protection locked="0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0" fontId="1" fillId="0" borderId="0"/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70" fillId="55" borderId="47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0" fontId="1" fillId="0" borderId="0"/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0" fontId="1" fillId="0" borderId="0"/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1" fillId="55" borderId="47" applyNumberFormat="0" applyProtection="0">
      <alignment horizontal="left" vertical="center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" fillId="0" borderId="0"/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0" fillId="55" borderId="47" applyNumberFormat="0" applyProtection="0">
      <alignment horizontal="left" vertical="top" indent="1"/>
    </xf>
    <xf numFmtId="4" fontId="176" fillId="0" borderId="0" applyNumberFormat="0" applyProtection="0">
      <alignment horizontal="right" vertical="center"/>
    </xf>
    <xf numFmtId="0" fontId="1" fillId="0" borderId="0"/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70" fillId="0" borderId="47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0" fontId="1" fillId="0" borderId="0"/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8" fillId="55" borderId="47" applyNumberFormat="0" applyProtection="0">
      <alignment horizontal="right" vertical="center"/>
    </xf>
    <xf numFmtId="4" fontId="172" fillId="0" borderId="0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67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80" fillId="0" borderId="0" applyNumberFormat="0" applyProtection="0">
      <alignment horizontal="left" vertical="center" indent="1"/>
    </xf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0" fontId="1" fillId="0" borderId="0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79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181" fillId="0" borderId="0" applyNumberFormat="0" applyFill="0" applyBorder="0" applyAlignment="0" applyProtection="0"/>
    <xf numFmtId="0" fontId="97" fillId="0" borderId="49"/>
    <xf numFmtId="0" fontId="182" fillId="0" borderId="0"/>
    <xf numFmtId="0" fontId="97" fillId="0" borderId="0">
      <alignment horizontal="right"/>
    </xf>
    <xf numFmtId="0" fontId="97" fillId="0" borderId="0">
      <alignment horizontal="left"/>
    </xf>
    <xf numFmtId="0" fontId="29" fillId="0" borderId="0"/>
    <xf numFmtId="0" fontId="1" fillId="0" borderId="0"/>
    <xf numFmtId="0" fontId="1" fillId="0" borderId="0">
      <alignment vertical="top"/>
    </xf>
    <xf numFmtId="0" fontId="183" fillId="92" borderId="50" applyBorder="0"/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4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273" fontId="185" fillId="0" borderId="0" applyNumberFormat="0" applyFill="0" applyBorder="0" applyAlignment="0" applyProtection="0">
      <alignment horizontal="right" vertical="center" wrapText="1"/>
    </xf>
    <xf numFmtId="0" fontId="186" fillId="0" borderId="0" applyNumberFormat="0" applyFill="0" applyBorder="0" applyAlignment="0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8" fillId="0" borderId="0" applyFill="0" applyBorder="0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37" fontId="189" fillId="0" borderId="0"/>
    <xf numFmtId="0" fontId="1" fillId="0" borderId="0">
      <alignment horizontal="left"/>
    </xf>
    <xf numFmtId="38" fontId="190" fillId="0" borderId="0"/>
    <xf numFmtId="0" fontId="191" fillId="0" borderId="0" applyNumberFormat="0" applyProtection="0">
      <alignment horizontal="left"/>
    </xf>
    <xf numFmtId="0" fontId="192" fillId="0" borderId="0"/>
    <xf numFmtId="0" fontId="19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194" fillId="0" borderId="0">
      <alignment horizontal="left" vertical="top"/>
    </xf>
    <xf numFmtId="0" fontId="195" fillId="0" borderId="0">
      <alignment horizontal="left"/>
    </xf>
    <xf numFmtId="274" fontId="196" fillId="98" borderId="0" applyNumberFormat="0" applyBorder="0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6" fillId="99" borderId="0" applyNumberFormat="0" applyBorder="0">
      <protection locked="0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8" fillId="0" borderId="0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0" borderId="0"/>
    <xf numFmtId="37" fontId="29" fillId="0" borderId="0"/>
    <xf numFmtId="37" fontId="29" fillId="0" borderId="0"/>
    <xf numFmtId="37" fontId="29" fillId="0" borderId="0"/>
    <xf numFmtId="37" fontId="29" fillId="44" borderId="0" applyNumberFormat="0" applyBorder="0" applyAlignment="0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200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7" fillId="0" borderId="0" applyFont="0" applyFill="0" applyBorder="0" applyAlignment="0" applyProtection="0"/>
    <xf numFmtId="285" fontId="37" fillId="0" borderId="0" applyFon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2" fillId="0" borderId="0"/>
    <xf numFmtId="10" fontId="203" fillId="100" borderId="1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7" fillId="0" borderId="0" applyFont="0" applyFill="0" applyBorder="0" applyAlignment="0" applyProtection="0">
      <alignment horizontal="right"/>
    </xf>
    <xf numFmtId="0" fontId="204" fillId="44" borderId="0">
      <alignment horizontal="left" vertical="center" indent="1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287" fontId="29" fillId="0" borderId="0">
      <alignment horizontal="center"/>
    </xf>
    <xf numFmtId="2" fontId="205" fillId="0" borderId="0"/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4" fontId="38" fillId="0" borderId="0"/>
    <xf numFmtId="0" fontId="24" fillId="0" borderId="35" applyNumberFormat="0">
      <alignment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288" fontId="24" fillId="0" borderId="0" applyFont="0" applyFill="0" applyBorder="0" applyAlignment="0" applyProtection="0"/>
    <xf numFmtId="3" fontId="206" fillId="0" borderId="12" applyFont="0" applyBorder="0">
      <alignment horizontal="right"/>
      <protection locked="0"/>
    </xf>
    <xf numFmtId="289" fontId="24" fillId="0" borderId="0" applyFont="0" applyFill="0" applyBorder="0" applyAlignment="0" applyProtection="0"/>
    <xf numFmtId="0" fontId="207" fillId="0" borderId="0"/>
  </cellStyleXfs>
  <cellXfs count="2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0" fillId="2" borderId="0" xfId="0" applyFill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1" fillId="0" borderId="1" xfId="7428" applyFont="1" applyFill="1" applyBorder="1" applyAlignment="1"/>
    <xf numFmtId="0" fontId="1" fillId="0" borderId="0" xfId="0" applyFont="1" applyFill="1"/>
    <xf numFmtId="0" fontId="1" fillId="0" borderId="0" xfId="7428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3" fillId="0" borderId="0" xfId="7428" applyFont="1" applyFill="1" applyAlignment="1">
      <alignment horizont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4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K25" sqref="K25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21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6"/>
  <sheetViews>
    <sheetView zoomScale="70" zoomScaleNormal="70" workbookViewId="0">
      <selection activeCell="X127" sqref="X127"/>
    </sheetView>
  </sheetViews>
  <sheetFormatPr defaultColWidth="8.72727272727273" defaultRowHeight="14.5"/>
  <cols>
    <col min="1" max="1" width="10.5272727272727" style="6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14" max="16" width="8.72727272727273" style="7"/>
    <col min="17" max="17" width="28.5454545454545" style="7" customWidth="1"/>
    <col min="18" max="18" width="8.72727272727273" style="7"/>
    <col min="19" max="19" width="10.5454545454545" style="7"/>
    <col min="20" max="21" width="10.5454545454545"/>
    <col min="25" max="25" width="28.5272727272727" customWidth="1"/>
    <col min="37" max="37" width="28.5272727272727" customWidth="1"/>
    <col min="43" max="43" width="139.8" customWidth="1"/>
  </cols>
  <sheetData>
    <row r="1" spans="4:41">
      <c r="O1" s="7" t="s">
        <v>25</v>
      </c>
    </row>
    <row r="2" spans="4:41">
      <c r="D2" s="8" t="s">
        <v>26</v>
      </c>
      <c r="K2" s="9" t="s">
        <v>27</v>
      </c>
      <c r="L2" s="9"/>
      <c r="M2" s="9"/>
      <c r="Q2" s="7" t="s">
        <v>28</v>
      </c>
    </row>
    <row r="3" spans="4:41">
      <c r="D3" t="s">
        <v>29</v>
      </c>
      <c r="E3" t="s">
        <v>30</v>
      </c>
      <c r="F3" t="s">
        <v>31</v>
      </c>
      <c r="G3" t="s">
        <v>32</v>
      </c>
      <c r="H3" t="s">
        <v>33</v>
      </c>
      <c r="Q3" s="7" t="s">
        <v>29</v>
      </c>
      <c r="R3" s="7" t="s">
        <v>30</v>
      </c>
      <c r="S3" s="7" t="s">
        <v>31</v>
      </c>
      <c r="T3" t="s">
        <v>32</v>
      </c>
      <c r="U3" t="s">
        <v>33</v>
      </c>
    </row>
    <row r="4" spans="4:41">
      <c r="D4" s="10" t="s">
        <v>34</v>
      </c>
      <c r="E4" s="10">
        <v>2023</v>
      </c>
      <c r="F4">
        <f>K4</f>
        <v>24.114953</v>
      </c>
      <c r="G4">
        <f t="shared" ref="G4:G10" si="0">L4</f>
        <v>16.646019</v>
      </c>
      <c r="H4">
        <f t="shared" ref="H4:H10" si="1">M4</f>
        <v>32.047515</v>
      </c>
      <c r="I4" s="11"/>
      <c r="J4" s="11"/>
      <c r="K4" s="12">
        <v>24.114953</v>
      </c>
      <c r="L4" s="12">
        <v>16.646019</v>
      </c>
      <c r="M4" s="12">
        <v>32.047515</v>
      </c>
      <c r="N4" s="13"/>
      <c r="O4" s="14"/>
      <c r="P4" s="14"/>
      <c r="Q4" s="12" t="s">
        <v>34</v>
      </c>
      <c r="R4" s="12">
        <v>2023</v>
      </c>
      <c r="S4" s="12">
        <v>175</v>
      </c>
      <c r="T4" s="11">
        <f>S4*0.9</f>
        <v>157.5</v>
      </c>
      <c r="U4" s="11">
        <f>S4</f>
        <v>175</v>
      </c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 spans="4:41">
      <c r="D5" s="10" t="s">
        <v>35</v>
      </c>
      <c r="E5" s="10">
        <v>2023</v>
      </c>
      <c r="F5">
        <f t="shared" ref="F5:F10" si="2">K5</f>
        <v>28.62258</v>
      </c>
      <c r="G5">
        <f t="shared" si="0"/>
        <v>19.897695</v>
      </c>
      <c r="H5">
        <f t="shared" si="1"/>
        <v>37.879065</v>
      </c>
      <c r="I5" s="15"/>
      <c r="J5" s="15"/>
      <c r="K5" s="14">
        <v>28.62258</v>
      </c>
      <c r="L5" s="14">
        <v>19.897695</v>
      </c>
      <c r="M5" s="14">
        <v>37.879065</v>
      </c>
      <c r="N5" s="16"/>
      <c r="O5" s="14"/>
      <c r="P5" s="14"/>
      <c r="Q5" s="14" t="s">
        <v>35</v>
      </c>
      <c r="R5" s="14">
        <v>2023</v>
      </c>
      <c r="S5" s="14">
        <f t="shared" ref="S5:S10" si="3">S4</f>
        <v>175</v>
      </c>
      <c r="T5" s="11">
        <f t="shared" ref="T5:T10" si="4">S5*0.9</f>
        <v>157.5</v>
      </c>
      <c r="U5" s="11">
        <f t="shared" ref="U5:U10" si="5">S5</f>
        <v>175</v>
      </c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</row>
    <row r="6" spans="4:41">
      <c r="D6" s="10" t="s">
        <v>36</v>
      </c>
      <c r="E6" s="10">
        <v>2023</v>
      </c>
      <c r="F6">
        <f t="shared" si="2"/>
        <v>25.604309</v>
      </c>
      <c r="G6">
        <f t="shared" si="0"/>
        <v>16.830441</v>
      </c>
      <c r="H6">
        <f t="shared" si="1"/>
        <v>34.898388</v>
      </c>
      <c r="I6" s="15"/>
      <c r="J6" s="15"/>
      <c r="K6" s="14">
        <v>25.604309</v>
      </c>
      <c r="L6" s="14">
        <v>16.830441</v>
      </c>
      <c r="M6" s="14">
        <v>34.898388</v>
      </c>
      <c r="N6" s="16"/>
      <c r="O6" s="14"/>
      <c r="P6" s="14"/>
      <c r="Q6" s="14" t="s">
        <v>36</v>
      </c>
      <c r="R6" s="14">
        <v>2023</v>
      </c>
      <c r="S6" s="14">
        <f t="shared" si="3"/>
        <v>175</v>
      </c>
      <c r="T6" s="11">
        <f t="shared" si="4"/>
        <v>157.5</v>
      </c>
      <c r="U6" s="11">
        <f t="shared" si="5"/>
        <v>175</v>
      </c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</row>
    <row r="7" spans="4:41">
      <c r="D7" s="10" t="s">
        <v>37</v>
      </c>
      <c r="E7" s="10">
        <v>2023</v>
      </c>
      <c r="F7">
        <f t="shared" si="2"/>
        <v>25.656471</v>
      </c>
      <c r="G7">
        <f t="shared" si="0"/>
        <v>16.667853</v>
      </c>
      <c r="H7">
        <f t="shared" si="1"/>
        <v>35.191293</v>
      </c>
      <c r="I7" s="15"/>
      <c r="J7" s="15"/>
      <c r="K7" s="14">
        <v>25.656471</v>
      </c>
      <c r="L7" s="14">
        <v>16.667853</v>
      </c>
      <c r="M7" s="14">
        <v>35.191293</v>
      </c>
      <c r="N7" s="16"/>
      <c r="O7" s="14"/>
      <c r="P7" s="14"/>
      <c r="Q7" s="14" t="s">
        <v>37</v>
      </c>
      <c r="R7" s="14">
        <v>2023</v>
      </c>
      <c r="S7" s="14">
        <f t="shared" si="3"/>
        <v>175</v>
      </c>
      <c r="T7" s="11">
        <f t="shared" si="4"/>
        <v>157.5</v>
      </c>
      <c r="U7" s="11">
        <f t="shared" si="5"/>
        <v>175</v>
      </c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</row>
    <row r="8" spans="4:41">
      <c r="D8" s="10" t="s">
        <v>38</v>
      </c>
      <c r="E8" s="10">
        <v>2023</v>
      </c>
      <c r="F8">
        <f t="shared" si="2"/>
        <v>27.027875</v>
      </c>
      <c r="G8">
        <f t="shared" si="0"/>
        <v>17.81031</v>
      </c>
      <c r="H8">
        <f t="shared" si="1"/>
        <v>36.800715</v>
      </c>
      <c r="I8" s="15"/>
      <c r="J8" s="15"/>
      <c r="K8" s="14">
        <v>27.027875</v>
      </c>
      <c r="L8" s="14">
        <v>17.81031</v>
      </c>
      <c r="M8" s="14">
        <v>36.800715</v>
      </c>
      <c r="N8" s="16"/>
      <c r="O8" s="14"/>
      <c r="P8" s="14"/>
      <c r="Q8" s="14" t="s">
        <v>38</v>
      </c>
      <c r="R8" s="14">
        <v>2023</v>
      </c>
      <c r="S8" s="14">
        <f t="shared" si="3"/>
        <v>175</v>
      </c>
      <c r="T8" s="11">
        <f t="shared" si="4"/>
        <v>157.5</v>
      </c>
      <c r="U8" s="11">
        <f t="shared" si="5"/>
        <v>175</v>
      </c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</row>
    <row r="9" spans="4:41">
      <c r="D9" s="10" t="s">
        <v>39</v>
      </c>
      <c r="E9" s="10">
        <v>2023</v>
      </c>
      <c r="F9">
        <f t="shared" si="2"/>
        <v>26.076665</v>
      </c>
      <c r="G9">
        <f t="shared" si="0"/>
        <v>17.201265</v>
      </c>
      <c r="H9">
        <f t="shared" si="1"/>
        <v>35.48169</v>
      </c>
      <c r="I9" s="15"/>
      <c r="J9" s="15"/>
      <c r="K9" s="14">
        <v>26.076665</v>
      </c>
      <c r="L9" s="14">
        <v>17.201265</v>
      </c>
      <c r="M9" s="14">
        <v>35.48169</v>
      </c>
      <c r="N9" s="16"/>
      <c r="O9" s="14"/>
      <c r="P9" s="14"/>
      <c r="Q9" s="14" t="s">
        <v>39</v>
      </c>
      <c r="R9" s="14">
        <v>2023</v>
      </c>
      <c r="S9" s="14">
        <f t="shared" si="3"/>
        <v>175</v>
      </c>
      <c r="T9" s="11">
        <f t="shared" si="4"/>
        <v>157.5</v>
      </c>
      <c r="U9" s="11">
        <f t="shared" si="5"/>
        <v>175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</row>
    <row r="10" spans="4:41">
      <c r="D10" s="10" t="s">
        <v>40</v>
      </c>
      <c r="E10" s="10">
        <v>2023</v>
      </c>
      <c r="F10">
        <f t="shared" si="2"/>
        <v>26.8658</v>
      </c>
      <c r="G10">
        <f t="shared" si="0"/>
        <v>17.996844</v>
      </c>
      <c r="H10">
        <f t="shared" si="1"/>
        <v>36.262356</v>
      </c>
      <c r="I10" s="15"/>
      <c r="J10" s="15"/>
      <c r="K10" s="14">
        <v>26.8658</v>
      </c>
      <c r="L10" s="14">
        <v>17.996844</v>
      </c>
      <c r="M10" s="14">
        <v>36.262356</v>
      </c>
      <c r="N10" s="16"/>
      <c r="O10" s="14"/>
      <c r="P10" s="14"/>
      <c r="Q10" s="14" t="s">
        <v>40</v>
      </c>
      <c r="R10" s="14">
        <v>2023</v>
      </c>
      <c r="S10" s="14">
        <f t="shared" si="3"/>
        <v>175</v>
      </c>
      <c r="T10" s="11">
        <f t="shared" si="4"/>
        <v>157.5</v>
      </c>
      <c r="U10" s="11">
        <f t="shared" si="5"/>
        <v>175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</row>
    <row r="11" spans="4:41">
      <c r="D11" s="13"/>
      <c r="E11" s="13"/>
      <c r="F11" s="13"/>
      <c r="G11" s="15"/>
      <c r="H11" s="15"/>
      <c r="I11" s="15"/>
      <c r="J11" s="15"/>
      <c r="K11" s="14"/>
      <c r="L11" s="14"/>
      <c r="M11" s="14"/>
      <c r="N11" s="16"/>
      <c r="O11" s="14"/>
      <c r="P11" s="14"/>
      <c r="Q11" s="14"/>
      <c r="R11" s="14"/>
      <c r="S11" s="14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</row>
    <row r="12" spans="4:41">
      <c r="D12" s="13"/>
      <c r="E12" s="13"/>
      <c r="F12" s="13"/>
      <c r="G12" s="15"/>
      <c r="H12" s="15"/>
      <c r="I12" s="15"/>
      <c r="J12" s="15"/>
      <c r="K12" s="15"/>
      <c r="L12" s="15"/>
      <c r="M12" s="15"/>
      <c r="N12" s="16"/>
      <c r="O12" s="17"/>
      <c r="P12" s="14"/>
      <c r="Q12" s="17"/>
      <c r="R12" s="17"/>
      <c r="S12" s="17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</row>
    <row r="13" spans="4:41">
      <c r="O13" s="18"/>
      <c r="P13" s="18"/>
      <c r="Q13" s="18"/>
      <c r="R13" s="18"/>
      <c r="S13" s="18"/>
    </row>
    <row r="14" spans="4:41">
      <c r="O14" s="18"/>
      <c r="P14" s="18"/>
      <c r="Q14" s="18"/>
      <c r="R14" s="18"/>
      <c r="S14" s="18"/>
    </row>
    <row r="15" spans="4:41">
      <c r="D15" t="s">
        <v>26</v>
      </c>
      <c r="O15" s="18"/>
      <c r="P15" s="18"/>
      <c r="Q15" s="18"/>
      <c r="R15" s="18"/>
      <c r="S15" s="18"/>
    </row>
    <row r="16" spans="4:41">
      <c r="D16" t="s">
        <v>29</v>
      </c>
      <c r="E16" t="s">
        <v>30</v>
      </c>
      <c r="F16" t="s">
        <v>31</v>
      </c>
      <c r="G16" t="s">
        <v>32</v>
      </c>
      <c r="H16" t="s">
        <v>33</v>
      </c>
      <c r="O16" s="19"/>
      <c r="P16" s="19"/>
      <c r="Q16" s="14"/>
      <c r="R16" s="18"/>
      <c r="S16" s="18"/>
    </row>
    <row r="17" spans="1:21">
      <c r="D17" s="10" t="s">
        <v>34</v>
      </c>
      <c r="E17">
        <v>2025</v>
      </c>
      <c r="F17">
        <f t="shared" ref="F17:F23" si="6">K17/1</f>
        <v>21.8757073642856</v>
      </c>
      <c r="G17">
        <f t="shared" ref="G17:G23" si="7">L17/1</f>
        <v>15.1003172357142</v>
      </c>
      <c r="H17">
        <f t="shared" ref="H17:H23" si="8">M17/1</f>
        <v>29.0716743214285</v>
      </c>
      <c r="K17" s="12">
        <v>21.8757073642856</v>
      </c>
      <c r="L17" s="12">
        <v>15.1003172357142</v>
      </c>
      <c r="M17" s="12">
        <v>29.0716743214285</v>
      </c>
      <c r="O17" s="14"/>
      <c r="P17" s="14"/>
      <c r="Q17" s="12"/>
      <c r="R17" s="12"/>
      <c r="S17" s="12"/>
    </row>
    <row r="18" spans="1:21">
      <c r="D18" s="10" t="s">
        <v>35</v>
      </c>
      <c r="E18">
        <v>2025</v>
      </c>
      <c r="F18">
        <f t="shared" si="6"/>
        <v>25.9647689999999</v>
      </c>
      <c r="G18">
        <f t="shared" si="7"/>
        <v>18.0500518928571</v>
      </c>
      <c r="H18">
        <f t="shared" si="8"/>
        <v>34.36172325</v>
      </c>
      <c r="K18" s="14">
        <v>25.9647689999999</v>
      </c>
      <c r="L18" s="14">
        <v>18.0500518928571</v>
      </c>
      <c r="M18" s="14">
        <v>34.36172325</v>
      </c>
      <c r="O18" s="14"/>
      <c r="P18" s="14"/>
      <c r="Q18" s="14"/>
      <c r="R18" s="14"/>
      <c r="S18" s="14"/>
    </row>
    <row r="19" spans="1:21">
      <c r="D19" s="10" t="s">
        <v>36</v>
      </c>
      <c r="E19">
        <v>2025</v>
      </c>
      <c r="F19">
        <f t="shared" si="6"/>
        <v>23.2267660214285</v>
      </c>
      <c r="G19">
        <f t="shared" si="7"/>
        <v>15.2676143357142</v>
      </c>
      <c r="H19">
        <f t="shared" si="8"/>
        <v>31.6578234</v>
      </c>
      <c r="K19" s="14">
        <v>23.2267660214285</v>
      </c>
      <c r="L19" s="14">
        <v>15.2676143357142</v>
      </c>
      <c r="M19" s="14">
        <v>31.6578234</v>
      </c>
      <c r="O19" s="14"/>
      <c r="P19" s="14"/>
      <c r="Q19" s="14"/>
      <c r="R19" s="14"/>
      <c r="S19" s="14"/>
    </row>
    <row r="20" spans="1:21">
      <c r="D20" s="10" t="s">
        <v>37</v>
      </c>
      <c r="E20">
        <v>2025</v>
      </c>
      <c r="F20">
        <f t="shared" si="6"/>
        <v>23.2740844071428</v>
      </c>
      <c r="G20">
        <f t="shared" si="7"/>
        <v>15.1201237928571</v>
      </c>
      <c r="H20">
        <f t="shared" si="8"/>
        <v>31.9235300785713</v>
      </c>
      <c r="K20" s="14">
        <v>23.2740844071428</v>
      </c>
      <c r="L20" s="14">
        <v>15.1201237928571</v>
      </c>
      <c r="M20" s="14">
        <v>31.9235300785713</v>
      </c>
      <c r="O20" s="14"/>
      <c r="P20" s="14"/>
      <c r="Q20" s="14"/>
      <c r="R20" s="14"/>
      <c r="S20" s="14"/>
    </row>
    <row r="21" spans="1:21">
      <c r="D21" s="10" t="s">
        <v>38</v>
      </c>
      <c r="E21">
        <v>2025</v>
      </c>
      <c r="F21">
        <f t="shared" si="6"/>
        <v>24.5181437499999</v>
      </c>
      <c r="G21">
        <f t="shared" si="7"/>
        <v>16.1564954999999</v>
      </c>
      <c r="H21">
        <f t="shared" si="8"/>
        <v>33.38350575</v>
      </c>
      <c r="K21" s="14">
        <v>24.5181437499999</v>
      </c>
      <c r="L21" s="14">
        <v>16.1564954999999</v>
      </c>
      <c r="M21" s="14">
        <v>33.38350575</v>
      </c>
      <c r="O21" s="14"/>
      <c r="P21" s="14"/>
      <c r="Q21" s="14"/>
      <c r="R21" s="14"/>
      <c r="S21" s="14"/>
    </row>
    <row r="22" spans="1:21">
      <c r="D22" s="10" t="s">
        <v>39</v>
      </c>
      <c r="E22">
        <v>2025</v>
      </c>
      <c r="F22">
        <f t="shared" si="6"/>
        <v>23.6552603928571</v>
      </c>
      <c r="G22">
        <f t="shared" si="7"/>
        <v>15.6040046785714</v>
      </c>
      <c r="H22">
        <f t="shared" si="8"/>
        <v>32.1869616428571</v>
      </c>
      <c r="K22" s="14">
        <v>23.6552603928571</v>
      </c>
      <c r="L22" s="14">
        <v>15.6040046785714</v>
      </c>
      <c r="M22" s="14">
        <v>32.1869616428571</v>
      </c>
      <c r="O22" s="14"/>
      <c r="P22" s="14"/>
      <c r="Q22" s="14"/>
      <c r="R22" s="14"/>
      <c r="S22" s="14"/>
    </row>
    <row r="23" spans="1:21">
      <c r="D23" s="10" t="s">
        <v>40</v>
      </c>
      <c r="E23">
        <v>2025</v>
      </c>
      <c r="F23">
        <f t="shared" si="6"/>
        <v>24.3711185714285</v>
      </c>
      <c r="G23">
        <f t="shared" si="7"/>
        <v>16.3257084857142</v>
      </c>
      <c r="H23">
        <f t="shared" si="8"/>
        <v>32.8951372285713</v>
      </c>
      <c r="K23" s="14">
        <v>24.3711185714285</v>
      </c>
      <c r="L23" s="14">
        <v>16.3257084857142</v>
      </c>
      <c r="M23" s="14">
        <v>32.8951372285713</v>
      </c>
      <c r="O23" s="14"/>
      <c r="P23" s="14"/>
      <c r="Q23" s="14"/>
      <c r="R23" s="14"/>
      <c r="S23" s="14"/>
    </row>
    <row r="24" ht="16" spans="1:21">
      <c r="A24" s="20"/>
      <c r="K24" s="14"/>
      <c r="L24" s="14"/>
      <c r="M24" s="14"/>
      <c r="O24" s="14"/>
      <c r="P24" s="14"/>
      <c r="Q24" s="14"/>
      <c r="R24" s="14"/>
      <c r="S24" s="14"/>
    </row>
    <row r="25" spans="1:21">
      <c r="O25" s="17"/>
      <c r="P25" s="14"/>
      <c r="Q25" s="14"/>
      <c r="R25" s="14"/>
      <c r="S25" s="14"/>
    </row>
    <row r="26" spans="1:21">
      <c r="O26" s="18"/>
      <c r="P26" s="18"/>
      <c r="Q26" s="18"/>
      <c r="R26" s="18"/>
      <c r="S26" s="18"/>
    </row>
    <row r="27" spans="1:21">
      <c r="O27" s="18"/>
      <c r="P27" s="18"/>
      <c r="Q27" s="18"/>
      <c r="R27" s="18"/>
      <c r="S27" s="18"/>
    </row>
    <row r="28" spans="1:21">
      <c r="O28" s="18"/>
      <c r="P28" s="18"/>
      <c r="Q28" s="18"/>
      <c r="R28" s="18"/>
      <c r="S28" s="18"/>
    </row>
    <row r="29" spans="1:21">
      <c r="O29" s="18"/>
      <c r="P29" s="18"/>
      <c r="Q29" s="18"/>
      <c r="R29" s="18"/>
      <c r="S29" s="18"/>
    </row>
    <row r="30" spans="1:21">
      <c r="D30" t="s">
        <v>26</v>
      </c>
      <c r="O30" s="18"/>
      <c r="P30" s="18"/>
      <c r="Q30" s="18" t="s">
        <v>28</v>
      </c>
      <c r="R30" s="18"/>
      <c r="S30" s="18"/>
    </row>
    <row r="31" spans="1:21">
      <c r="D31" t="s">
        <v>29</v>
      </c>
      <c r="E31" t="s">
        <v>30</v>
      </c>
      <c r="F31" t="s">
        <v>31</v>
      </c>
      <c r="G31" t="s">
        <v>32</v>
      </c>
      <c r="H31" t="s">
        <v>33</v>
      </c>
      <c r="O31" s="19"/>
      <c r="P31" s="19"/>
      <c r="Q31" s="14" t="s">
        <v>29</v>
      </c>
      <c r="R31" s="18" t="s">
        <v>30</v>
      </c>
      <c r="S31" s="18" t="s">
        <v>31</v>
      </c>
      <c r="T31" t="s">
        <v>32</v>
      </c>
      <c r="U31" t="s">
        <v>33</v>
      </c>
    </row>
    <row r="32" spans="1:21">
      <c r="D32" s="10" t="s">
        <v>34</v>
      </c>
      <c r="E32">
        <v>2030</v>
      </c>
      <c r="F32">
        <f t="shared" ref="F32:F38" si="9">K32/1</f>
        <v>18.9474630714286</v>
      </c>
      <c r="G32">
        <f t="shared" ref="G32:G38" si="10">L32/1</f>
        <v>13.0790149285714</v>
      </c>
      <c r="H32">
        <f t="shared" ref="H32:H38" si="11">M32/1</f>
        <v>25.1801903571428</v>
      </c>
      <c r="K32" s="12">
        <v>18.9474630714286</v>
      </c>
      <c r="L32" s="12">
        <v>13.0790149285714</v>
      </c>
      <c r="M32" s="12">
        <v>25.1801903571428</v>
      </c>
      <c r="O32" s="14"/>
      <c r="P32" s="14"/>
      <c r="Q32" s="12" t="s">
        <v>34</v>
      </c>
      <c r="R32" s="12">
        <v>2030</v>
      </c>
      <c r="S32" s="12">
        <v>154</v>
      </c>
      <c r="T32" s="11">
        <f t="shared" ref="T32:T38" si="12">S32*0.9</f>
        <v>138.6</v>
      </c>
      <c r="U32" s="11">
        <f t="shared" ref="U32:U38" si="13">S32</f>
        <v>154</v>
      </c>
    </row>
    <row r="33" spans="4:21">
      <c r="D33" s="10" t="s">
        <v>35</v>
      </c>
      <c r="E33">
        <v>2030</v>
      </c>
      <c r="F33">
        <f t="shared" si="9"/>
        <v>22.48917</v>
      </c>
      <c r="G33">
        <f t="shared" si="10"/>
        <v>15.6339032142857</v>
      </c>
      <c r="H33">
        <f t="shared" si="11"/>
        <v>29.7621225</v>
      </c>
      <c r="K33" s="14">
        <v>22.48917</v>
      </c>
      <c r="L33" s="14">
        <v>15.6339032142857</v>
      </c>
      <c r="M33" s="14">
        <v>29.7621225</v>
      </c>
      <c r="O33" s="14"/>
      <c r="P33" s="14"/>
      <c r="Q33" s="14" t="s">
        <v>35</v>
      </c>
      <c r="R33" s="14">
        <v>2030</v>
      </c>
      <c r="S33" s="14">
        <f t="shared" ref="S33:S38" si="14">S32</f>
        <v>154</v>
      </c>
      <c r="T33" s="11">
        <f t="shared" si="12"/>
        <v>138.6</v>
      </c>
      <c r="U33" s="11">
        <f t="shared" si="13"/>
        <v>154</v>
      </c>
    </row>
    <row r="34" spans="4:21">
      <c r="D34" s="10" t="s">
        <v>36</v>
      </c>
      <c r="E34">
        <v>2030</v>
      </c>
      <c r="F34">
        <f t="shared" si="9"/>
        <v>20.1176713571428</v>
      </c>
      <c r="G34">
        <f t="shared" si="10"/>
        <v>13.2239179285714</v>
      </c>
      <c r="H34">
        <f t="shared" si="11"/>
        <v>27.420162</v>
      </c>
      <c r="K34" s="14">
        <v>20.1176713571428</v>
      </c>
      <c r="L34" s="14">
        <v>13.2239179285714</v>
      </c>
      <c r="M34" s="14">
        <v>27.420162</v>
      </c>
      <c r="O34" s="14"/>
      <c r="P34" s="14"/>
      <c r="Q34" s="14" t="s">
        <v>36</v>
      </c>
      <c r="R34" s="14">
        <v>2030</v>
      </c>
      <c r="S34" s="14">
        <f t="shared" si="14"/>
        <v>154</v>
      </c>
      <c r="T34" s="11">
        <f t="shared" si="12"/>
        <v>138.6</v>
      </c>
      <c r="U34" s="11">
        <f t="shared" si="13"/>
        <v>154</v>
      </c>
    </row>
    <row r="35" spans="4:21">
      <c r="D35" s="10" t="s">
        <v>37</v>
      </c>
      <c r="E35">
        <v>2030</v>
      </c>
      <c r="F35">
        <f t="shared" si="9"/>
        <v>20.1586557857143</v>
      </c>
      <c r="G35">
        <f t="shared" si="10"/>
        <v>13.0961702142857</v>
      </c>
      <c r="H35">
        <f t="shared" si="11"/>
        <v>27.6503016428571</v>
      </c>
      <c r="K35" s="14">
        <v>20.1586557857143</v>
      </c>
      <c r="L35" s="14">
        <v>13.0961702142857</v>
      </c>
      <c r="M35" s="14">
        <v>27.6503016428571</v>
      </c>
      <c r="O35" s="14"/>
      <c r="P35" s="14"/>
      <c r="Q35" s="14" t="s">
        <v>37</v>
      </c>
      <c r="R35" s="14">
        <v>2030</v>
      </c>
      <c r="S35" s="14">
        <f t="shared" si="14"/>
        <v>154</v>
      </c>
      <c r="T35" s="11">
        <f t="shared" si="12"/>
        <v>138.6</v>
      </c>
      <c r="U35" s="11">
        <f t="shared" si="13"/>
        <v>154</v>
      </c>
    </row>
    <row r="36" spans="4:21">
      <c r="D36" s="10" t="s">
        <v>38</v>
      </c>
      <c r="E36">
        <v>2030</v>
      </c>
      <c r="F36">
        <f t="shared" si="9"/>
        <v>21.2361875</v>
      </c>
      <c r="G36">
        <f t="shared" si="10"/>
        <v>13.993815</v>
      </c>
      <c r="H36">
        <f t="shared" si="11"/>
        <v>28.9148475</v>
      </c>
      <c r="K36" s="14">
        <v>21.2361875</v>
      </c>
      <c r="L36" s="14">
        <v>13.993815</v>
      </c>
      <c r="M36" s="14">
        <v>28.9148475</v>
      </c>
      <c r="O36" s="14"/>
      <c r="P36" s="14"/>
      <c r="Q36" s="14" t="s">
        <v>38</v>
      </c>
      <c r="R36" s="14">
        <v>2030</v>
      </c>
      <c r="S36" s="14">
        <f t="shared" si="14"/>
        <v>154</v>
      </c>
      <c r="T36" s="11">
        <f t="shared" si="12"/>
        <v>138.6</v>
      </c>
      <c r="U36" s="11">
        <f t="shared" si="13"/>
        <v>154</v>
      </c>
    </row>
    <row r="37" spans="4:21">
      <c r="D37" s="10" t="s">
        <v>39</v>
      </c>
      <c r="E37">
        <v>2030</v>
      </c>
      <c r="F37">
        <f t="shared" si="9"/>
        <v>20.4888082142857</v>
      </c>
      <c r="G37">
        <f t="shared" si="10"/>
        <v>13.5152796428571</v>
      </c>
      <c r="H37">
        <f t="shared" si="11"/>
        <v>27.8784707142857</v>
      </c>
      <c r="K37" s="14">
        <v>20.4888082142857</v>
      </c>
      <c r="L37" s="14">
        <v>13.5152796428571</v>
      </c>
      <c r="M37" s="14">
        <v>27.8784707142857</v>
      </c>
      <c r="O37" s="14"/>
      <c r="P37" s="14"/>
      <c r="Q37" s="14" t="s">
        <v>39</v>
      </c>
      <c r="R37" s="14">
        <v>2030</v>
      </c>
      <c r="S37" s="14">
        <f t="shared" si="14"/>
        <v>154</v>
      </c>
      <c r="T37" s="11">
        <f t="shared" si="12"/>
        <v>138.6</v>
      </c>
      <c r="U37" s="11">
        <f t="shared" si="13"/>
        <v>154</v>
      </c>
    </row>
    <row r="38" spans="4:21">
      <c r="D38" s="10" t="s">
        <v>40</v>
      </c>
      <c r="E38">
        <v>2030</v>
      </c>
      <c r="F38">
        <f t="shared" si="9"/>
        <v>21.1088428571428</v>
      </c>
      <c r="G38">
        <f t="shared" si="10"/>
        <v>14.1403774285714</v>
      </c>
      <c r="H38">
        <f t="shared" si="11"/>
        <v>28.4918511428571</v>
      </c>
      <c r="K38" s="14">
        <v>21.1088428571428</v>
      </c>
      <c r="L38" s="14">
        <v>14.1403774285714</v>
      </c>
      <c r="M38" s="14">
        <v>28.4918511428571</v>
      </c>
      <c r="O38" s="14"/>
      <c r="P38" s="14"/>
      <c r="Q38" s="14" t="s">
        <v>40</v>
      </c>
      <c r="R38" s="14">
        <v>2030</v>
      </c>
      <c r="S38" s="14">
        <f t="shared" si="14"/>
        <v>154</v>
      </c>
      <c r="T38" s="11">
        <f t="shared" si="12"/>
        <v>138.6</v>
      </c>
      <c r="U38" s="11">
        <f t="shared" si="13"/>
        <v>154</v>
      </c>
    </row>
    <row r="39" spans="4:21">
      <c r="O39" s="14"/>
      <c r="P39" s="14"/>
      <c r="Q39" s="14"/>
      <c r="R39" s="14"/>
      <c r="S39" s="14"/>
    </row>
    <row r="40" spans="4:21">
      <c r="O40" s="17"/>
      <c r="P40" s="14"/>
      <c r="Q40" s="14"/>
      <c r="R40" s="14"/>
      <c r="S40" s="14"/>
    </row>
    <row r="41" spans="4:21">
      <c r="O41" s="18"/>
      <c r="P41" s="18"/>
      <c r="Q41" s="18"/>
      <c r="R41" s="18"/>
      <c r="S41" s="18"/>
    </row>
    <row r="42" spans="4:21">
      <c r="O42" s="18"/>
      <c r="P42" s="18"/>
      <c r="Q42" s="18"/>
      <c r="R42" s="18"/>
      <c r="S42" s="18"/>
    </row>
    <row r="43" spans="4:21">
      <c r="O43" s="18"/>
      <c r="P43" s="18"/>
      <c r="Q43" s="18"/>
      <c r="R43" s="18"/>
      <c r="S43" s="18"/>
    </row>
    <row r="44" spans="4:21">
      <c r="D44" t="s">
        <v>26</v>
      </c>
      <c r="O44" s="18"/>
      <c r="P44" s="18"/>
      <c r="Q44" s="18"/>
      <c r="R44" s="18"/>
      <c r="S44" s="18"/>
    </row>
    <row r="45" spans="4:21">
      <c r="D45" t="s">
        <v>29</v>
      </c>
      <c r="E45" t="s">
        <v>30</v>
      </c>
      <c r="F45" t="s">
        <v>31</v>
      </c>
      <c r="G45" t="s">
        <v>32</v>
      </c>
      <c r="H45" t="s">
        <v>33</v>
      </c>
      <c r="O45" s="19"/>
      <c r="P45" s="19"/>
      <c r="Q45" s="14"/>
      <c r="R45" s="18"/>
      <c r="S45" s="18"/>
    </row>
    <row r="46" spans="4:21">
      <c r="D46" s="10" t="s">
        <v>34</v>
      </c>
      <c r="E46">
        <v>2035</v>
      </c>
      <c r="F46">
        <f t="shared" ref="F46:F52" si="15">K46/1</f>
        <v>17.2249664285715</v>
      </c>
      <c r="G46">
        <f t="shared" ref="G46:G52" si="16">L46/1</f>
        <v>11.8900135714286</v>
      </c>
      <c r="H46">
        <f t="shared" ref="H46:H52" si="17">M46/1</f>
        <v>22.8910821428572</v>
      </c>
      <c r="K46" s="12">
        <v>17.2249664285715</v>
      </c>
      <c r="L46" s="12">
        <v>11.8900135714286</v>
      </c>
      <c r="M46" s="12">
        <v>22.8910821428572</v>
      </c>
      <c r="O46" s="14"/>
      <c r="P46" s="14"/>
      <c r="Q46" s="12"/>
      <c r="R46" s="12"/>
      <c r="S46" s="12"/>
    </row>
    <row r="47" spans="4:21">
      <c r="D47" s="10" t="s">
        <v>35</v>
      </c>
      <c r="E47">
        <v>2035</v>
      </c>
      <c r="F47">
        <f t="shared" si="15"/>
        <v>20.4447000000001</v>
      </c>
      <c r="G47">
        <f t="shared" si="16"/>
        <v>14.2126392857143</v>
      </c>
      <c r="H47">
        <f t="shared" si="17"/>
        <v>27.0564750000001</v>
      </c>
      <c r="K47" s="14">
        <v>20.4447000000001</v>
      </c>
      <c r="L47" s="14">
        <v>14.2126392857143</v>
      </c>
      <c r="M47" s="14">
        <v>27.0564750000001</v>
      </c>
      <c r="O47" s="14"/>
      <c r="P47" s="14"/>
      <c r="Q47" s="14"/>
      <c r="R47" s="14"/>
      <c r="S47" s="14"/>
    </row>
    <row r="48" spans="4:21">
      <c r="D48" s="10" t="s">
        <v>36</v>
      </c>
      <c r="E48">
        <v>2035</v>
      </c>
      <c r="F48">
        <f t="shared" si="15"/>
        <v>18.2887921428572</v>
      </c>
      <c r="G48">
        <f t="shared" si="16"/>
        <v>12.0217435714286</v>
      </c>
      <c r="H48">
        <f t="shared" si="17"/>
        <v>24.9274200000001</v>
      </c>
      <c r="K48" s="14">
        <v>18.2887921428572</v>
      </c>
      <c r="L48" s="14">
        <v>12.0217435714286</v>
      </c>
      <c r="M48" s="14">
        <v>24.9274200000001</v>
      </c>
      <c r="O48" s="14"/>
      <c r="P48" s="14"/>
      <c r="Q48" s="14"/>
      <c r="R48" s="14"/>
      <c r="S48" s="14"/>
    </row>
    <row r="49" spans="4:21">
      <c r="D49" s="10" t="s">
        <v>37</v>
      </c>
      <c r="E49">
        <v>2035</v>
      </c>
      <c r="F49">
        <f t="shared" si="15"/>
        <v>18.3260507142858</v>
      </c>
      <c r="G49">
        <f t="shared" si="16"/>
        <v>11.9056092857143</v>
      </c>
      <c r="H49">
        <f t="shared" si="17"/>
        <v>25.1366378571429</v>
      </c>
      <c r="K49" s="14">
        <v>18.3260507142858</v>
      </c>
      <c r="L49" s="14">
        <v>11.9056092857143</v>
      </c>
      <c r="M49" s="14">
        <v>25.1366378571429</v>
      </c>
      <c r="O49" s="14"/>
      <c r="P49" s="14"/>
      <c r="Q49" s="14"/>
      <c r="R49" s="14"/>
      <c r="S49" s="14"/>
    </row>
    <row r="50" spans="4:21">
      <c r="D50" s="10" t="s">
        <v>38</v>
      </c>
      <c r="E50">
        <v>2035</v>
      </c>
      <c r="F50">
        <f t="shared" si="15"/>
        <v>19.305625</v>
      </c>
      <c r="G50">
        <f t="shared" si="16"/>
        <v>12.72165</v>
      </c>
      <c r="H50">
        <f t="shared" si="17"/>
        <v>26.2862250000001</v>
      </c>
      <c r="K50" s="14">
        <v>19.305625</v>
      </c>
      <c r="L50" s="14">
        <v>12.72165</v>
      </c>
      <c r="M50" s="14">
        <v>26.2862250000001</v>
      </c>
      <c r="O50" s="14"/>
      <c r="P50" s="14"/>
      <c r="Q50" s="14"/>
      <c r="R50" s="14"/>
      <c r="S50" s="14"/>
    </row>
    <row r="51" spans="4:21">
      <c r="D51" s="10" t="s">
        <v>39</v>
      </c>
      <c r="E51">
        <v>2035</v>
      </c>
      <c r="F51">
        <f t="shared" si="15"/>
        <v>18.6261892857143</v>
      </c>
      <c r="G51">
        <f t="shared" si="16"/>
        <v>12.2866178571429</v>
      </c>
      <c r="H51">
        <f t="shared" si="17"/>
        <v>25.3440642857143</v>
      </c>
      <c r="K51" s="14">
        <v>18.6261892857143</v>
      </c>
      <c r="L51" s="14">
        <v>12.2866178571429</v>
      </c>
      <c r="M51" s="14">
        <v>25.3440642857143</v>
      </c>
      <c r="O51" s="14"/>
      <c r="P51" s="14"/>
      <c r="Q51" s="14"/>
      <c r="R51" s="14"/>
      <c r="S51" s="14"/>
    </row>
    <row r="52" spans="4:21">
      <c r="D52" s="10" t="s">
        <v>40</v>
      </c>
      <c r="E52">
        <v>2035</v>
      </c>
      <c r="F52">
        <f t="shared" si="15"/>
        <v>19.1898571428572</v>
      </c>
      <c r="G52">
        <f t="shared" si="16"/>
        <v>12.8548885714286</v>
      </c>
      <c r="H52">
        <f t="shared" si="17"/>
        <v>25.9016828571429</v>
      </c>
      <c r="K52" s="14">
        <v>19.1898571428572</v>
      </c>
      <c r="L52" s="14">
        <v>12.8548885714286</v>
      </c>
      <c r="M52" s="14">
        <v>25.9016828571429</v>
      </c>
      <c r="O52" s="14"/>
      <c r="P52" s="14"/>
      <c r="Q52" s="14"/>
      <c r="R52" s="14"/>
      <c r="S52" s="14"/>
    </row>
    <row r="53" spans="4:21">
      <c r="O53" s="14"/>
      <c r="P53" s="14"/>
      <c r="Q53" s="14"/>
      <c r="R53" s="14"/>
      <c r="S53" s="14"/>
    </row>
    <row r="54" spans="4:21">
      <c r="O54" s="17"/>
      <c r="P54" s="14"/>
      <c r="Q54" s="14"/>
      <c r="R54" s="14"/>
      <c r="S54" s="14"/>
    </row>
    <row r="55" spans="4:21">
      <c r="O55" s="18"/>
      <c r="P55" s="18"/>
      <c r="Q55" s="18"/>
      <c r="R55" s="18"/>
      <c r="S55" s="18"/>
    </row>
    <row r="56" spans="4:21">
      <c r="O56" s="18"/>
      <c r="P56" s="18"/>
      <c r="Q56" s="18"/>
      <c r="R56" s="18"/>
      <c r="S56" s="18"/>
    </row>
    <row r="57" spans="4:21">
      <c r="O57" s="18"/>
      <c r="P57" s="18"/>
      <c r="Q57" s="18"/>
      <c r="R57" s="18"/>
      <c r="S57" s="18"/>
    </row>
    <row r="58" spans="4:21">
      <c r="D58" t="s">
        <v>26</v>
      </c>
      <c r="O58" s="18"/>
      <c r="P58" s="18"/>
      <c r="Q58" s="18" t="s">
        <v>28</v>
      </c>
      <c r="R58" s="18"/>
      <c r="S58" s="18"/>
    </row>
    <row r="59" spans="4:21">
      <c r="D59" t="s">
        <v>29</v>
      </c>
      <c r="E59" t="s">
        <v>30</v>
      </c>
      <c r="F59" t="s">
        <v>31</v>
      </c>
      <c r="G59" t="s">
        <v>32</v>
      </c>
      <c r="H59" t="s">
        <v>33</v>
      </c>
      <c r="O59" s="19"/>
      <c r="P59" s="19"/>
      <c r="Q59" s="14" t="s">
        <v>29</v>
      </c>
      <c r="R59" s="18" t="s">
        <v>30</v>
      </c>
      <c r="S59" s="18" t="s">
        <v>31</v>
      </c>
      <c r="T59" t="s">
        <v>32</v>
      </c>
      <c r="U59" t="s">
        <v>33</v>
      </c>
    </row>
    <row r="60" spans="4:21">
      <c r="D60" s="10" t="s">
        <v>34</v>
      </c>
      <c r="E60">
        <v>2040</v>
      </c>
      <c r="F60">
        <f t="shared" ref="F60:F66" si="18">K60/1</f>
        <v>16.7082174357143</v>
      </c>
      <c r="G60">
        <f t="shared" ref="G60:G66" si="19">L60/1</f>
        <v>11.5333131642857</v>
      </c>
      <c r="H60">
        <f t="shared" ref="H60:H66" si="20">M60/1</f>
        <v>22.2043496785715</v>
      </c>
      <c r="K60" s="12">
        <v>16.7082174357143</v>
      </c>
      <c r="L60" s="12">
        <v>11.5333131642857</v>
      </c>
      <c r="M60" s="12">
        <v>22.2043496785715</v>
      </c>
      <c r="O60" s="14"/>
      <c r="P60" s="14"/>
      <c r="Q60" s="12" t="s">
        <v>34</v>
      </c>
      <c r="R60" s="12">
        <v>2040</v>
      </c>
      <c r="S60" s="12">
        <v>144</v>
      </c>
      <c r="T60" s="11">
        <f t="shared" ref="T60:T66" si="21">S60*0.9</f>
        <v>129.6</v>
      </c>
      <c r="U60" s="11">
        <f t="shared" ref="U60:U66" si="22">S60</f>
        <v>144</v>
      </c>
    </row>
    <row r="61" spans="4:21">
      <c r="D61" s="10" t="s">
        <v>35</v>
      </c>
      <c r="E61">
        <v>2040</v>
      </c>
      <c r="F61">
        <f t="shared" si="18"/>
        <v>19.8313590000001</v>
      </c>
      <c r="G61">
        <f t="shared" si="19"/>
        <v>13.7862601071429</v>
      </c>
      <c r="H61">
        <f t="shared" si="20"/>
        <v>26.2447807500001</v>
      </c>
      <c r="K61" s="14">
        <v>19.8313590000001</v>
      </c>
      <c r="L61" s="14">
        <v>13.7862601071429</v>
      </c>
      <c r="M61" s="14">
        <v>26.2447807500001</v>
      </c>
      <c r="O61" s="14"/>
      <c r="P61" s="14"/>
      <c r="Q61" s="14" t="s">
        <v>35</v>
      </c>
      <c r="R61" s="14">
        <v>2040</v>
      </c>
      <c r="S61" s="14">
        <f t="shared" ref="S61:S66" si="23">S60</f>
        <v>144</v>
      </c>
      <c r="T61" s="11">
        <f t="shared" si="21"/>
        <v>129.6</v>
      </c>
      <c r="U61" s="11">
        <f t="shared" si="22"/>
        <v>144</v>
      </c>
    </row>
    <row r="62" spans="4:21">
      <c r="D62" s="10" t="s">
        <v>36</v>
      </c>
      <c r="E62">
        <v>2040</v>
      </c>
      <c r="F62">
        <f t="shared" si="18"/>
        <v>17.7401283785715</v>
      </c>
      <c r="G62">
        <f t="shared" si="19"/>
        <v>11.6610912642857</v>
      </c>
      <c r="H62">
        <f t="shared" si="20"/>
        <v>24.1795974000001</v>
      </c>
      <c r="K62" s="14">
        <v>17.7401283785715</v>
      </c>
      <c r="L62" s="14">
        <v>11.6610912642857</v>
      </c>
      <c r="M62" s="14">
        <v>24.1795974000001</v>
      </c>
      <c r="O62" s="14"/>
      <c r="P62" s="14"/>
      <c r="Q62" s="14" t="s">
        <v>36</v>
      </c>
      <c r="R62" s="14">
        <v>2040</v>
      </c>
      <c r="S62" s="14">
        <f t="shared" si="23"/>
        <v>144</v>
      </c>
      <c r="T62" s="11">
        <f t="shared" si="21"/>
        <v>129.6</v>
      </c>
      <c r="U62" s="11">
        <f t="shared" si="22"/>
        <v>144</v>
      </c>
    </row>
    <row r="63" spans="4:21">
      <c r="D63" s="10" t="s">
        <v>37</v>
      </c>
      <c r="E63">
        <v>2040</v>
      </c>
      <c r="F63">
        <f t="shared" si="18"/>
        <v>17.7762691928572</v>
      </c>
      <c r="G63">
        <f t="shared" si="19"/>
        <v>11.5484410071429</v>
      </c>
      <c r="H63">
        <f t="shared" si="20"/>
        <v>24.3825387214286</v>
      </c>
      <c r="K63" s="14">
        <v>17.7762691928572</v>
      </c>
      <c r="L63" s="14">
        <v>11.5484410071429</v>
      </c>
      <c r="M63" s="14">
        <v>24.3825387214286</v>
      </c>
      <c r="O63" s="14"/>
      <c r="P63" s="14"/>
      <c r="Q63" s="14" t="s">
        <v>37</v>
      </c>
      <c r="R63" s="14">
        <v>2040</v>
      </c>
      <c r="S63" s="14">
        <f t="shared" si="23"/>
        <v>144</v>
      </c>
      <c r="T63" s="11">
        <f t="shared" si="21"/>
        <v>129.6</v>
      </c>
      <c r="U63" s="11">
        <f t="shared" si="22"/>
        <v>144</v>
      </c>
    </row>
    <row r="64" spans="4:21">
      <c r="D64" s="10" t="s">
        <v>38</v>
      </c>
      <c r="E64">
        <v>2040</v>
      </c>
      <c r="F64">
        <f t="shared" si="18"/>
        <v>18.72645625</v>
      </c>
      <c r="G64">
        <f t="shared" si="19"/>
        <v>12.3400005</v>
      </c>
      <c r="H64">
        <f t="shared" si="20"/>
        <v>25.4976382500001</v>
      </c>
      <c r="K64" s="14">
        <v>18.72645625</v>
      </c>
      <c r="L64" s="14">
        <v>12.3400005</v>
      </c>
      <c r="M64" s="14">
        <v>25.4976382500001</v>
      </c>
      <c r="O64" s="14"/>
      <c r="P64" s="14"/>
      <c r="Q64" s="14" t="s">
        <v>38</v>
      </c>
      <c r="R64" s="14">
        <v>2040</v>
      </c>
      <c r="S64" s="14">
        <f t="shared" si="23"/>
        <v>144</v>
      </c>
      <c r="T64" s="11">
        <f t="shared" si="21"/>
        <v>129.6</v>
      </c>
      <c r="U64" s="11">
        <f t="shared" si="22"/>
        <v>144</v>
      </c>
    </row>
    <row r="65" spans="4:21">
      <c r="D65" s="10" t="s">
        <v>39</v>
      </c>
      <c r="E65">
        <v>2040</v>
      </c>
      <c r="F65">
        <f t="shared" si="18"/>
        <v>18.0674036071429</v>
      </c>
      <c r="G65">
        <f t="shared" si="19"/>
        <v>11.9180193214286</v>
      </c>
      <c r="H65">
        <f t="shared" si="20"/>
        <v>24.5837423571429</v>
      </c>
      <c r="K65" s="14">
        <v>18.0674036071429</v>
      </c>
      <c r="L65" s="14">
        <v>11.9180193214286</v>
      </c>
      <c r="M65" s="14">
        <v>24.5837423571429</v>
      </c>
      <c r="O65" s="14"/>
      <c r="P65" s="14"/>
      <c r="Q65" s="14" t="s">
        <v>39</v>
      </c>
      <c r="R65" s="14">
        <v>2040</v>
      </c>
      <c r="S65" s="14">
        <f t="shared" si="23"/>
        <v>144</v>
      </c>
      <c r="T65" s="11">
        <f t="shared" si="21"/>
        <v>129.6</v>
      </c>
      <c r="U65" s="11">
        <f t="shared" si="22"/>
        <v>144</v>
      </c>
    </row>
    <row r="66" spans="4:21">
      <c r="D66" s="10" t="s">
        <v>40</v>
      </c>
      <c r="E66">
        <v>2040</v>
      </c>
      <c r="F66">
        <f t="shared" si="18"/>
        <v>18.6141614285715</v>
      </c>
      <c r="G66">
        <f t="shared" si="19"/>
        <v>12.4692419142857</v>
      </c>
      <c r="H66">
        <f t="shared" si="20"/>
        <v>25.1246323714286</v>
      </c>
      <c r="K66" s="14">
        <v>18.6141614285715</v>
      </c>
      <c r="L66" s="14">
        <v>12.4692419142857</v>
      </c>
      <c r="M66" s="14">
        <v>25.1246323714286</v>
      </c>
      <c r="O66" s="14"/>
      <c r="P66" s="14"/>
      <c r="Q66" s="14" t="s">
        <v>40</v>
      </c>
      <c r="R66" s="14">
        <v>2040</v>
      </c>
      <c r="S66" s="14">
        <f t="shared" si="23"/>
        <v>144</v>
      </c>
      <c r="T66" s="11">
        <f t="shared" si="21"/>
        <v>129.6</v>
      </c>
      <c r="U66" s="11">
        <f t="shared" si="22"/>
        <v>144</v>
      </c>
    </row>
    <row r="67" spans="4:21">
      <c r="O67" s="14"/>
      <c r="P67" s="14"/>
      <c r="Q67" s="14"/>
      <c r="R67" s="14"/>
      <c r="S67" s="14"/>
    </row>
    <row r="68" spans="4:21">
      <c r="O68" s="17"/>
      <c r="P68" s="14"/>
      <c r="Q68" s="14"/>
      <c r="R68" s="14"/>
      <c r="S68" s="14"/>
    </row>
    <row r="69" spans="4:21">
      <c r="O69" s="18"/>
      <c r="P69" s="18"/>
      <c r="Q69" s="18"/>
      <c r="R69" s="18"/>
      <c r="S69" s="18"/>
    </row>
    <row r="70" spans="4:21">
      <c r="O70" s="18"/>
      <c r="P70" s="18"/>
      <c r="Q70" s="18"/>
      <c r="R70" s="18"/>
      <c r="S70" s="18"/>
    </row>
    <row r="71" spans="4:21">
      <c r="O71" s="18"/>
      <c r="P71" s="18"/>
      <c r="Q71" s="18"/>
      <c r="R71" s="18"/>
      <c r="S71" s="18"/>
    </row>
    <row r="72" spans="4:21">
      <c r="O72" s="18"/>
      <c r="P72" s="18"/>
      <c r="Q72" s="18"/>
      <c r="R72" s="18"/>
      <c r="S72" s="18"/>
    </row>
    <row r="73" spans="4:21">
      <c r="O73" s="18"/>
      <c r="P73" s="18"/>
      <c r="Q73" s="18"/>
      <c r="R73" s="18"/>
      <c r="S73" s="18"/>
    </row>
    <row r="74" spans="4:21">
      <c r="D74" t="s">
        <v>26</v>
      </c>
      <c r="O74" s="18"/>
      <c r="P74" s="18"/>
      <c r="Q74" s="18"/>
      <c r="R74" s="18"/>
      <c r="S74" s="18"/>
    </row>
    <row r="75" spans="4:21">
      <c r="D75" t="s">
        <v>29</v>
      </c>
      <c r="E75" t="s">
        <v>30</v>
      </c>
      <c r="F75" t="s">
        <v>31</v>
      </c>
      <c r="G75" t="s">
        <v>32</v>
      </c>
      <c r="H75" t="s">
        <v>33</v>
      </c>
      <c r="O75" s="19"/>
      <c r="P75" s="19"/>
      <c r="Q75" s="14"/>
      <c r="R75" s="18"/>
      <c r="S75" s="18"/>
    </row>
    <row r="76" spans="4:21">
      <c r="D76" s="10" t="s">
        <v>34</v>
      </c>
      <c r="E76">
        <v>2045</v>
      </c>
      <c r="F76">
        <f t="shared" ref="F76:F82" si="24">K76/1</f>
        <v>16.0398887382858</v>
      </c>
      <c r="G76">
        <f t="shared" ref="G76:G82" si="25">L76/1</f>
        <v>11.0719806377143</v>
      </c>
      <c r="H76">
        <f t="shared" ref="H76:H82" si="26">M76/1</f>
        <v>21.3161756914286</v>
      </c>
      <c r="K76" s="12">
        <v>16.0398887382858</v>
      </c>
      <c r="L76" s="12">
        <v>11.0719806377143</v>
      </c>
      <c r="M76" s="12">
        <v>21.3161756914286</v>
      </c>
      <c r="O76" s="14"/>
      <c r="P76" s="14"/>
      <c r="Q76" s="12"/>
      <c r="R76" s="12"/>
      <c r="S76" s="12"/>
    </row>
    <row r="77" spans="4:21">
      <c r="D77" s="10" t="s">
        <v>35</v>
      </c>
      <c r="E77">
        <v>2045</v>
      </c>
      <c r="F77">
        <f t="shared" si="24"/>
        <v>19.0381046400001</v>
      </c>
      <c r="G77">
        <f t="shared" si="25"/>
        <v>13.2348097028572</v>
      </c>
      <c r="H77">
        <f t="shared" si="26"/>
        <v>25.1949895200001</v>
      </c>
      <c r="K77" s="14">
        <v>19.0381046400001</v>
      </c>
      <c r="L77" s="14">
        <v>13.2348097028572</v>
      </c>
      <c r="M77" s="14">
        <v>25.1949895200001</v>
      </c>
      <c r="O77" s="14"/>
      <c r="P77" s="14"/>
      <c r="Q77" s="14"/>
      <c r="R77" s="14"/>
      <c r="S77" s="14"/>
    </row>
    <row r="78" spans="4:21">
      <c r="D78" s="10" t="s">
        <v>36</v>
      </c>
      <c r="E78">
        <v>2045</v>
      </c>
      <c r="F78">
        <f t="shared" si="24"/>
        <v>17.0305232434286</v>
      </c>
      <c r="G78">
        <f t="shared" si="25"/>
        <v>11.1946476137143</v>
      </c>
      <c r="H78">
        <f t="shared" si="26"/>
        <v>23.2124135040001</v>
      </c>
      <c r="K78" s="14">
        <v>17.0305232434286</v>
      </c>
      <c r="L78" s="14">
        <v>11.1946476137143</v>
      </c>
      <c r="M78" s="14">
        <v>23.2124135040001</v>
      </c>
      <c r="O78" s="14"/>
      <c r="P78" s="14"/>
      <c r="Q78" s="14"/>
      <c r="R78" s="14"/>
      <c r="S78" s="14"/>
    </row>
    <row r="79" spans="4:21">
      <c r="D79" s="10" t="s">
        <v>37</v>
      </c>
      <c r="E79">
        <v>2045</v>
      </c>
      <c r="F79">
        <f t="shared" si="24"/>
        <v>17.0652184251429</v>
      </c>
      <c r="G79">
        <f t="shared" si="25"/>
        <v>11.0865033668572</v>
      </c>
      <c r="H79">
        <f t="shared" si="26"/>
        <v>23.4072371725715</v>
      </c>
      <c r="K79" s="14">
        <v>17.0652184251429</v>
      </c>
      <c r="L79" s="14">
        <v>11.0865033668572</v>
      </c>
      <c r="M79" s="14">
        <v>23.4072371725715</v>
      </c>
      <c r="O79" s="14"/>
      <c r="P79" s="14"/>
      <c r="Q79" s="14"/>
      <c r="R79" s="14"/>
      <c r="S79" s="14"/>
    </row>
    <row r="80" spans="4:21">
      <c r="D80" s="10" t="s">
        <v>38</v>
      </c>
      <c r="E80">
        <v>2045</v>
      </c>
      <c r="F80">
        <f t="shared" si="24"/>
        <v>17.977398</v>
      </c>
      <c r="G80">
        <f t="shared" si="25"/>
        <v>11.84640048</v>
      </c>
      <c r="H80">
        <f t="shared" si="26"/>
        <v>24.4777327200001</v>
      </c>
      <c r="K80" s="14">
        <v>17.977398</v>
      </c>
      <c r="L80" s="14">
        <v>11.84640048</v>
      </c>
      <c r="M80" s="14">
        <v>24.4777327200001</v>
      </c>
      <c r="O80" s="14"/>
      <c r="P80" s="14"/>
      <c r="Q80" s="14"/>
      <c r="R80" s="14"/>
      <c r="S80" s="14"/>
    </row>
    <row r="81" spans="4:21">
      <c r="D81" s="10" t="s">
        <v>39</v>
      </c>
      <c r="E81">
        <v>2045</v>
      </c>
      <c r="F81">
        <f t="shared" si="24"/>
        <v>17.3447074628572</v>
      </c>
      <c r="G81">
        <f t="shared" si="25"/>
        <v>11.4412985485715</v>
      </c>
      <c r="H81">
        <f t="shared" si="26"/>
        <v>23.6003926628572</v>
      </c>
      <c r="K81" s="14">
        <v>17.3447074628572</v>
      </c>
      <c r="L81" s="14">
        <v>11.4412985485715</v>
      </c>
      <c r="M81" s="14">
        <v>23.6003926628572</v>
      </c>
      <c r="O81" s="14"/>
      <c r="P81" s="14"/>
      <c r="Q81" s="14"/>
      <c r="R81" s="14"/>
      <c r="S81" s="14"/>
    </row>
    <row r="82" spans="4:21">
      <c r="D82" s="10" t="s">
        <v>40</v>
      </c>
      <c r="E82">
        <v>2045</v>
      </c>
      <c r="F82">
        <f t="shared" si="24"/>
        <v>17.8695949714286</v>
      </c>
      <c r="G82">
        <f t="shared" si="25"/>
        <v>11.9704722377143</v>
      </c>
      <c r="H82">
        <f t="shared" si="26"/>
        <v>24.1196470765715</v>
      </c>
      <c r="K82" s="14">
        <v>17.8695949714286</v>
      </c>
      <c r="L82" s="14">
        <v>11.9704722377143</v>
      </c>
      <c r="M82" s="14">
        <v>24.1196470765715</v>
      </c>
      <c r="O82" s="14"/>
      <c r="P82" s="14"/>
      <c r="Q82" s="14"/>
      <c r="R82" s="14"/>
      <c r="S82" s="14"/>
    </row>
    <row r="83" spans="4:21">
      <c r="O83" s="14"/>
      <c r="P83" s="14"/>
      <c r="Q83" s="14"/>
      <c r="R83" s="14"/>
      <c r="S83" s="14"/>
    </row>
    <row r="84" spans="4:21">
      <c r="O84" s="17"/>
      <c r="P84" s="14"/>
      <c r="Q84" s="14"/>
      <c r="R84" s="14"/>
      <c r="S84" s="14"/>
    </row>
    <row r="85" spans="4:21">
      <c r="O85" s="18"/>
      <c r="P85" s="18"/>
      <c r="Q85" s="18"/>
      <c r="R85" s="18"/>
      <c r="S85" s="18"/>
    </row>
    <row r="86" spans="4:21">
      <c r="O86" s="18"/>
      <c r="P86" s="18"/>
      <c r="Q86" s="18"/>
      <c r="R86" s="18"/>
      <c r="S86" s="18"/>
    </row>
    <row r="87" spans="4:21">
      <c r="D87" t="s">
        <v>26</v>
      </c>
      <c r="O87" s="18"/>
      <c r="P87" s="18"/>
      <c r="Q87" s="18" t="s">
        <v>28</v>
      </c>
      <c r="R87" s="18"/>
      <c r="S87" s="18"/>
    </row>
    <row r="88" spans="4:21">
      <c r="D88" t="s">
        <v>29</v>
      </c>
      <c r="E88" t="s">
        <v>30</v>
      </c>
      <c r="F88" t="s">
        <v>31</v>
      </c>
      <c r="G88" t="s">
        <v>32</v>
      </c>
      <c r="H88" t="s">
        <v>33</v>
      </c>
      <c r="O88" s="19"/>
      <c r="P88" s="19"/>
      <c r="Q88" s="14" t="s">
        <v>29</v>
      </c>
      <c r="R88" s="18" t="s">
        <v>30</v>
      </c>
      <c r="S88" s="18" t="s">
        <v>31</v>
      </c>
      <c r="T88" t="s">
        <v>32</v>
      </c>
      <c r="U88" t="s">
        <v>33</v>
      </c>
    </row>
    <row r="89" spans="4:21">
      <c r="D89" s="10" t="s">
        <v>34</v>
      </c>
      <c r="E89">
        <v>2050</v>
      </c>
      <c r="F89">
        <f t="shared" ref="F89:F95" si="27">K89/1</f>
        <v>15.3982931887543</v>
      </c>
      <c r="G89">
        <f t="shared" ref="G89:G95" si="28">L89/1</f>
        <v>10.6291014122057</v>
      </c>
      <c r="H89">
        <f t="shared" ref="H89:H95" si="29">M89/1</f>
        <v>20.4635286637715</v>
      </c>
      <c r="K89" s="12">
        <v>15.3982931887543</v>
      </c>
      <c r="L89" s="12">
        <v>10.6291014122057</v>
      </c>
      <c r="M89" s="12">
        <v>20.4635286637715</v>
      </c>
      <c r="O89" s="14"/>
      <c r="P89" s="14"/>
      <c r="Q89" s="12" t="s">
        <v>34</v>
      </c>
      <c r="R89" s="12">
        <v>2050</v>
      </c>
      <c r="S89" s="12">
        <v>132</v>
      </c>
      <c r="T89" s="11">
        <f t="shared" ref="T89:T95" si="30">S89*0.9</f>
        <v>118.8</v>
      </c>
      <c r="U89" s="11">
        <f t="shared" ref="U89:U95" si="31">S89</f>
        <v>132</v>
      </c>
    </row>
    <row r="90" spans="4:21">
      <c r="D90" s="10" t="s">
        <v>35</v>
      </c>
      <c r="E90">
        <v>2050</v>
      </c>
      <c r="F90">
        <f t="shared" si="27"/>
        <v>18.2765804544001</v>
      </c>
      <c r="G90">
        <f t="shared" si="28"/>
        <v>12.7054173147429</v>
      </c>
      <c r="H90">
        <f t="shared" si="29"/>
        <v>24.1871899392001</v>
      </c>
      <c r="K90" s="14">
        <v>18.2765804544001</v>
      </c>
      <c r="L90" s="14">
        <v>12.7054173147429</v>
      </c>
      <c r="M90" s="14">
        <v>24.1871899392001</v>
      </c>
      <c r="O90" s="14"/>
      <c r="P90" s="14"/>
      <c r="Q90" s="14" t="s">
        <v>35</v>
      </c>
      <c r="R90" s="14">
        <v>2050</v>
      </c>
      <c r="S90" s="14">
        <f t="shared" ref="S90:S95" si="32">S89</f>
        <v>132</v>
      </c>
      <c r="T90" s="11">
        <f t="shared" si="30"/>
        <v>118.8</v>
      </c>
      <c r="U90" s="11">
        <f t="shared" si="31"/>
        <v>132</v>
      </c>
    </row>
    <row r="91" spans="4:21">
      <c r="D91" s="10" t="s">
        <v>36</v>
      </c>
      <c r="E91">
        <v>2050</v>
      </c>
      <c r="F91">
        <f t="shared" si="27"/>
        <v>16.3493023136914</v>
      </c>
      <c r="G91">
        <f t="shared" si="28"/>
        <v>10.7468617091657</v>
      </c>
      <c r="H91">
        <f t="shared" si="29"/>
        <v>22.2839169638401</v>
      </c>
      <c r="K91" s="14">
        <v>16.3493023136914</v>
      </c>
      <c r="L91" s="14">
        <v>10.7468617091657</v>
      </c>
      <c r="M91" s="14">
        <v>22.2839169638401</v>
      </c>
      <c r="O91" s="14"/>
      <c r="P91" s="14"/>
      <c r="Q91" s="14" t="s">
        <v>36</v>
      </c>
      <c r="R91" s="14">
        <v>2050</v>
      </c>
      <c r="S91" s="14">
        <f t="shared" si="32"/>
        <v>132</v>
      </c>
      <c r="T91" s="11">
        <f t="shared" si="30"/>
        <v>118.8</v>
      </c>
      <c r="U91" s="11">
        <f t="shared" si="31"/>
        <v>132</v>
      </c>
    </row>
    <row r="92" spans="4:21">
      <c r="D92" s="10" t="s">
        <v>37</v>
      </c>
      <c r="E92">
        <v>2050</v>
      </c>
      <c r="F92">
        <f t="shared" si="27"/>
        <v>16.3826096881372</v>
      </c>
      <c r="G92">
        <f t="shared" si="28"/>
        <v>10.6430432321829</v>
      </c>
      <c r="H92">
        <f t="shared" si="29"/>
        <v>22.4709476856686</v>
      </c>
      <c r="K92" s="14">
        <v>16.3826096881372</v>
      </c>
      <c r="L92" s="14">
        <v>10.6430432321829</v>
      </c>
      <c r="M92" s="14">
        <v>22.4709476856686</v>
      </c>
      <c r="O92" s="14"/>
      <c r="P92" s="14"/>
      <c r="Q92" s="14" t="s">
        <v>37</v>
      </c>
      <c r="R92" s="14">
        <v>2050</v>
      </c>
      <c r="S92" s="14">
        <f t="shared" si="32"/>
        <v>132</v>
      </c>
      <c r="T92" s="11">
        <f t="shared" si="30"/>
        <v>118.8</v>
      </c>
      <c r="U92" s="11">
        <f t="shared" si="31"/>
        <v>132</v>
      </c>
    </row>
    <row r="93" spans="4:21">
      <c r="D93" s="10" t="s">
        <v>38</v>
      </c>
      <c r="E93">
        <v>2050</v>
      </c>
      <c r="F93">
        <f t="shared" si="27"/>
        <v>17.25830208</v>
      </c>
      <c r="G93">
        <f t="shared" si="28"/>
        <v>11.3725444608</v>
      </c>
      <c r="H93">
        <f t="shared" si="29"/>
        <v>23.4986234112001</v>
      </c>
      <c r="K93" s="14">
        <v>17.25830208</v>
      </c>
      <c r="L93" s="14">
        <v>11.3725444608</v>
      </c>
      <c r="M93" s="14">
        <v>23.4986234112001</v>
      </c>
      <c r="O93" s="14"/>
      <c r="P93" s="14"/>
      <c r="Q93" s="14" t="s">
        <v>38</v>
      </c>
      <c r="R93" s="14">
        <v>2050</v>
      </c>
      <c r="S93" s="14">
        <f t="shared" si="32"/>
        <v>132</v>
      </c>
      <c r="T93" s="11">
        <f t="shared" si="30"/>
        <v>118.8</v>
      </c>
      <c r="U93" s="11">
        <f t="shared" si="31"/>
        <v>132</v>
      </c>
    </row>
    <row r="94" spans="4:21">
      <c r="D94" s="10" t="s">
        <v>39</v>
      </c>
      <c r="E94">
        <v>2050</v>
      </c>
      <c r="F94">
        <f t="shared" si="27"/>
        <v>16.6509191643429</v>
      </c>
      <c r="G94">
        <f t="shared" si="28"/>
        <v>10.9836466066286</v>
      </c>
      <c r="H94">
        <f t="shared" si="29"/>
        <v>22.6563769563429</v>
      </c>
      <c r="K94" s="14">
        <v>16.6509191643429</v>
      </c>
      <c r="L94" s="14">
        <v>10.9836466066286</v>
      </c>
      <c r="M94" s="14">
        <v>22.6563769563429</v>
      </c>
      <c r="O94" s="14"/>
      <c r="P94" s="14"/>
      <c r="Q94" s="14" t="s">
        <v>39</v>
      </c>
      <c r="R94" s="14">
        <v>2050</v>
      </c>
      <c r="S94" s="14">
        <f t="shared" si="32"/>
        <v>132</v>
      </c>
      <c r="T94" s="11">
        <f t="shared" si="30"/>
        <v>118.8</v>
      </c>
      <c r="U94" s="11">
        <f t="shared" si="31"/>
        <v>132</v>
      </c>
    </row>
    <row r="95" spans="4:21">
      <c r="D95" s="10" t="s">
        <v>40</v>
      </c>
      <c r="E95">
        <v>2050</v>
      </c>
      <c r="F95">
        <f t="shared" si="27"/>
        <v>17.1548111725715</v>
      </c>
      <c r="G95">
        <f t="shared" si="28"/>
        <v>11.4916533482057</v>
      </c>
      <c r="H95">
        <f t="shared" si="29"/>
        <v>23.1548611935086</v>
      </c>
      <c r="K95" s="14">
        <v>17.1548111725715</v>
      </c>
      <c r="L95" s="14">
        <v>11.4916533482057</v>
      </c>
      <c r="M95" s="14">
        <v>23.1548611935086</v>
      </c>
      <c r="O95" s="14"/>
      <c r="P95" s="14"/>
      <c r="Q95" s="14" t="s">
        <v>40</v>
      </c>
      <c r="R95" s="14">
        <v>2050</v>
      </c>
      <c r="S95" s="14">
        <f t="shared" si="32"/>
        <v>132</v>
      </c>
      <c r="T95" s="11">
        <f t="shared" si="30"/>
        <v>118.8</v>
      </c>
      <c r="U95" s="11">
        <f t="shared" si="31"/>
        <v>132</v>
      </c>
    </row>
    <row r="96" spans="4:21">
      <c r="O96" s="14"/>
      <c r="P96" s="14"/>
      <c r="Q96" s="14"/>
      <c r="R96" s="14"/>
      <c r="S96" s="14"/>
    </row>
    <row r="97" spans="4:19">
      <c r="O97" s="17"/>
      <c r="P97" s="14"/>
      <c r="Q97" s="14"/>
      <c r="R97" s="14"/>
      <c r="S97" s="14"/>
    </row>
    <row r="98" spans="4:19">
      <c r="O98" s="18"/>
      <c r="P98" s="18"/>
      <c r="Q98" s="18"/>
      <c r="R98" s="18"/>
      <c r="S98" s="18"/>
    </row>
    <row r="99" spans="4:19">
      <c r="O99" s="18"/>
      <c r="P99" s="18"/>
      <c r="Q99" s="18"/>
      <c r="R99" s="18"/>
      <c r="S99" s="18"/>
    </row>
    <row r="100" spans="4:19">
      <c r="O100" s="18"/>
      <c r="P100" s="18"/>
      <c r="Q100" s="18"/>
      <c r="R100" s="18"/>
      <c r="S100" s="18"/>
    </row>
    <row r="101" spans="4:19">
      <c r="O101" s="18"/>
      <c r="P101" s="18"/>
      <c r="Q101" s="18"/>
      <c r="R101" s="18"/>
      <c r="S101" s="18"/>
    </row>
    <row r="102" spans="4:19">
      <c r="O102" s="18"/>
      <c r="P102" s="18"/>
      <c r="Q102" s="18"/>
      <c r="R102" s="18"/>
      <c r="S102" s="18"/>
    </row>
    <row r="103" spans="4:19">
      <c r="O103" s="18"/>
      <c r="P103" s="18"/>
      <c r="Q103" s="18"/>
      <c r="R103" s="18"/>
      <c r="S103" s="18"/>
    </row>
    <row r="104" spans="4:19">
      <c r="D104" t="s">
        <v>26</v>
      </c>
      <c r="K104" s="9" t="s">
        <v>27</v>
      </c>
      <c r="L104" s="9"/>
      <c r="M104" s="9"/>
      <c r="O104" s="18"/>
      <c r="P104" s="18"/>
      <c r="Q104" s="18"/>
      <c r="R104" s="18"/>
      <c r="S104" s="18"/>
    </row>
    <row r="105" spans="4:19">
      <c r="D105" t="s">
        <v>29</v>
      </c>
      <c r="E105" t="s">
        <v>30</v>
      </c>
      <c r="F105" t="s">
        <v>31</v>
      </c>
      <c r="G105" t="s">
        <v>32</v>
      </c>
      <c r="H105" t="s">
        <v>33</v>
      </c>
      <c r="O105" s="19"/>
      <c r="P105" s="19"/>
      <c r="Q105" s="14"/>
      <c r="R105" s="18"/>
      <c r="S105" s="18"/>
    </row>
    <row r="106" spans="4:19">
      <c r="D106" s="10" t="s">
        <v>34</v>
      </c>
      <c r="E106">
        <v>2100</v>
      </c>
      <c r="F106">
        <f t="shared" ref="F106:F112" si="33">K106/1</f>
        <v>15.3982931887543</v>
      </c>
      <c r="G106">
        <f t="shared" ref="G106:G112" si="34">L106/1</f>
        <v>10.6291014122057</v>
      </c>
      <c r="H106">
        <f t="shared" ref="H106:H112" si="35">M106/1</f>
        <v>20.4635286637715</v>
      </c>
      <c r="K106" s="12">
        <v>15.3982931887543</v>
      </c>
      <c r="L106" s="12">
        <v>10.6291014122057</v>
      </c>
      <c r="M106" s="12">
        <v>20.4635286637715</v>
      </c>
      <c r="O106" s="14"/>
      <c r="P106" s="14"/>
      <c r="Q106" s="12"/>
      <c r="R106" s="12"/>
      <c r="S106" s="12"/>
    </row>
    <row r="107" spans="4:19">
      <c r="D107" s="10" t="s">
        <v>35</v>
      </c>
      <c r="E107">
        <v>2100</v>
      </c>
      <c r="F107">
        <f t="shared" si="33"/>
        <v>18.2765804544001</v>
      </c>
      <c r="G107">
        <f t="shared" si="34"/>
        <v>12.7054173147429</v>
      </c>
      <c r="H107">
        <f t="shared" si="35"/>
        <v>24.1871899392001</v>
      </c>
      <c r="K107" s="14">
        <v>18.2765804544001</v>
      </c>
      <c r="L107" s="14">
        <v>12.7054173147429</v>
      </c>
      <c r="M107" s="14">
        <v>24.1871899392001</v>
      </c>
      <c r="O107" s="14"/>
      <c r="P107" s="14"/>
      <c r="Q107" s="14"/>
      <c r="R107" s="14"/>
      <c r="S107" s="14"/>
    </row>
    <row r="108" spans="4:19">
      <c r="D108" s="10" t="s">
        <v>36</v>
      </c>
      <c r="E108">
        <v>2100</v>
      </c>
      <c r="F108">
        <f t="shared" si="33"/>
        <v>16.3493023136914</v>
      </c>
      <c r="G108">
        <f t="shared" si="34"/>
        <v>10.7468617091657</v>
      </c>
      <c r="H108">
        <f t="shared" si="35"/>
        <v>22.2839169638401</v>
      </c>
      <c r="K108" s="14">
        <v>16.3493023136914</v>
      </c>
      <c r="L108" s="14">
        <v>10.7468617091657</v>
      </c>
      <c r="M108" s="14">
        <v>22.2839169638401</v>
      </c>
      <c r="O108" s="14"/>
      <c r="P108" s="14"/>
      <c r="Q108" s="14"/>
      <c r="R108" s="14"/>
      <c r="S108" s="14"/>
    </row>
    <row r="109" spans="4:19">
      <c r="D109" s="10" t="s">
        <v>37</v>
      </c>
      <c r="E109">
        <v>2100</v>
      </c>
      <c r="F109">
        <f t="shared" si="33"/>
        <v>16.3826096881372</v>
      </c>
      <c r="G109">
        <f t="shared" si="34"/>
        <v>10.6430432321829</v>
      </c>
      <c r="H109">
        <f t="shared" si="35"/>
        <v>22.4709476856686</v>
      </c>
      <c r="K109" s="14">
        <v>16.3826096881372</v>
      </c>
      <c r="L109" s="14">
        <v>10.6430432321829</v>
      </c>
      <c r="M109" s="14">
        <v>22.4709476856686</v>
      </c>
      <c r="O109" s="14"/>
      <c r="P109" s="14"/>
      <c r="Q109" s="14"/>
      <c r="R109" s="14"/>
      <c r="S109" s="14"/>
    </row>
    <row r="110" spans="4:19">
      <c r="D110" s="10" t="s">
        <v>38</v>
      </c>
      <c r="E110">
        <v>2100</v>
      </c>
      <c r="F110">
        <f t="shared" si="33"/>
        <v>17.25830208</v>
      </c>
      <c r="G110">
        <f t="shared" si="34"/>
        <v>11.3725444608</v>
      </c>
      <c r="H110">
        <f t="shared" si="35"/>
        <v>23.4986234112001</v>
      </c>
      <c r="K110" s="14">
        <v>17.25830208</v>
      </c>
      <c r="L110" s="14">
        <v>11.3725444608</v>
      </c>
      <c r="M110" s="14">
        <v>23.4986234112001</v>
      </c>
      <c r="O110" s="14"/>
      <c r="P110" s="14"/>
      <c r="Q110" s="14"/>
      <c r="R110" s="14"/>
      <c r="S110" s="14"/>
    </row>
    <row r="111" spans="4:19">
      <c r="D111" s="10" t="s">
        <v>39</v>
      </c>
      <c r="E111">
        <v>2100</v>
      </c>
      <c r="F111">
        <f t="shared" si="33"/>
        <v>16.6509191643429</v>
      </c>
      <c r="G111">
        <f t="shared" si="34"/>
        <v>10.9836466066286</v>
      </c>
      <c r="H111">
        <f t="shared" si="35"/>
        <v>22.6563769563429</v>
      </c>
      <c r="K111" s="14">
        <v>16.6509191643429</v>
      </c>
      <c r="L111" s="14">
        <v>10.9836466066286</v>
      </c>
      <c r="M111" s="14">
        <v>22.6563769563429</v>
      </c>
      <c r="O111" s="14"/>
      <c r="P111" s="14"/>
      <c r="Q111" s="14"/>
      <c r="R111" s="14"/>
      <c r="S111" s="14"/>
    </row>
    <row r="112" spans="4:19">
      <c r="D112" s="10" t="s">
        <v>40</v>
      </c>
      <c r="E112">
        <v>2100</v>
      </c>
      <c r="F112">
        <f t="shared" si="33"/>
        <v>17.1548111725715</v>
      </c>
      <c r="G112">
        <f t="shared" si="34"/>
        <v>11.4916533482057</v>
      </c>
      <c r="H112">
        <f t="shared" si="35"/>
        <v>23.1548611935086</v>
      </c>
      <c r="K112" s="14">
        <v>17.1548111725715</v>
      </c>
      <c r="L112" s="14">
        <v>11.4916533482057</v>
      </c>
      <c r="M112" s="14">
        <v>23.1548611935086</v>
      </c>
      <c r="O112" s="14"/>
      <c r="P112" s="14"/>
      <c r="Q112" s="14"/>
      <c r="R112" s="14"/>
      <c r="S112" s="14"/>
    </row>
    <row r="113" spans="4:21">
      <c r="O113" s="14"/>
      <c r="P113" s="14"/>
      <c r="Q113" s="14"/>
      <c r="R113" s="14"/>
      <c r="S113" s="14"/>
    </row>
    <row r="118" spans="4:21">
      <c r="D118" t="s">
        <v>26</v>
      </c>
      <c r="Q118" s="7" t="s">
        <v>28</v>
      </c>
    </row>
    <row r="119" spans="4:21">
      <c r="D119" t="s">
        <v>29</v>
      </c>
      <c r="E119" t="s">
        <v>30</v>
      </c>
      <c r="F119" t="s">
        <v>31</v>
      </c>
      <c r="G119" t="s">
        <v>32</v>
      </c>
      <c r="H119" t="s">
        <v>33</v>
      </c>
      <c r="Q119" s="7" t="s">
        <v>29</v>
      </c>
      <c r="R119" s="7" t="s">
        <v>30</v>
      </c>
      <c r="S119" s="7" t="s">
        <v>31</v>
      </c>
      <c r="T119" t="s">
        <v>32</v>
      </c>
      <c r="U119" t="s">
        <v>33</v>
      </c>
    </row>
    <row r="120" spans="4:21">
      <c r="D120" s="10" t="s">
        <v>34</v>
      </c>
      <c r="E120">
        <v>0</v>
      </c>
      <c r="F120">
        <v>3</v>
      </c>
      <c r="G120">
        <v>3</v>
      </c>
      <c r="H120">
        <v>3</v>
      </c>
      <c r="Q120" s="7" t="s">
        <v>34</v>
      </c>
      <c r="R120" s="7">
        <v>0</v>
      </c>
      <c r="S120" s="7">
        <v>3</v>
      </c>
      <c r="T120">
        <v>3</v>
      </c>
      <c r="U120">
        <v>3</v>
      </c>
    </row>
    <row r="121" spans="4:21">
      <c r="D121" s="10" t="s">
        <v>35</v>
      </c>
      <c r="E121">
        <v>0</v>
      </c>
      <c r="F121">
        <v>3</v>
      </c>
      <c r="G121">
        <v>3</v>
      </c>
      <c r="H121">
        <v>3</v>
      </c>
      <c r="Q121" s="7" t="s">
        <v>35</v>
      </c>
      <c r="R121" s="7">
        <v>0</v>
      </c>
      <c r="S121" s="7">
        <v>3</v>
      </c>
      <c r="T121">
        <v>3</v>
      </c>
      <c r="U121">
        <v>3</v>
      </c>
    </row>
    <row r="122" spans="4:21">
      <c r="D122" s="10" t="s">
        <v>36</v>
      </c>
      <c r="E122">
        <v>0</v>
      </c>
      <c r="F122">
        <v>3</v>
      </c>
      <c r="G122">
        <v>3</v>
      </c>
      <c r="H122">
        <v>3</v>
      </c>
      <c r="Q122" s="7" t="s">
        <v>36</v>
      </c>
      <c r="R122" s="7">
        <v>0</v>
      </c>
      <c r="S122" s="7">
        <v>3</v>
      </c>
      <c r="T122">
        <v>3</v>
      </c>
      <c r="U122">
        <v>3</v>
      </c>
    </row>
    <row r="123" spans="4:21">
      <c r="D123" s="10" t="s">
        <v>37</v>
      </c>
      <c r="E123">
        <v>0</v>
      </c>
      <c r="F123">
        <v>3</v>
      </c>
      <c r="G123">
        <v>3</v>
      </c>
      <c r="H123">
        <v>3</v>
      </c>
      <c r="Q123" s="7" t="s">
        <v>37</v>
      </c>
      <c r="R123" s="7">
        <v>0</v>
      </c>
      <c r="S123" s="7">
        <v>3</v>
      </c>
      <c r="T123">
        <v>3</v>
      </c>
      <c r="U123">
        <v>3</v>
      </c>
    </row>
    <row r="124" spans="4:21">
      <c r="D124" s="10" t="s">
        <v>38</v>
      </c>
      <c r="E124">
        <v>0</v>
      </c>
      <c r="F124">
        <v>3</v>
      </c>
      <c r="G124">
        <v>3</v>
      </c>
      <c r="H124">
        <v>3</v>
      </c>
      <c r="Q124" s="7" t="s">
        <v>38</v>
      </c>
      <c r="R124" s="7">
        <v>0</v>
      </c>
      <c r="S124" s="7">
        <v>3</v>
      </c>
      <c r="T124">
        <v>3</v>
      </c>
      <c r="U124">
        <v>3</v>
      </c>
    </row>
    <row r="125" spans="4:21">
      <c r="D125" s="10" t="s">
        <v>39</v>
      </c>
      <c r="E125">
        <v>0</v>
      </c>
      <c r="F125">
        <v>3</v>
      </c>
      <c r="G125">
        <v>3</v>
      </c>
      <c r="H125">
        <v>3</v>
      </c>
      <c r="Q125" s="7" t="s">
        <v>39</v>
      </c>
      <c r="R125" s="7">
        <v>0</v>
      </c>
      <c r="S125" s="7">
        <v>3</v>
      </c>
      <c r="T125">
        <v>3</v>
      </c>
      <c r="U125">
        <v>3</v>
      </c>
    </row>
    <row r="126" spans="4:21">
      <c r="D126" s="10" t="s">
        <v>40</v>
      </c>
      <c r="E126">
        <v>0</v>
      </c>
      <c r="F126">
        <v>3</v>
      </c>
      <c r="G126">
        <v>3</v>
      </c>
      <c r="H126">
        <v>3</v>
      </c>
      <c r="Q126" s="7" t="s">
        <v>40</v>
      </c>
      <c r="R126" s="7">
        <v>0</v>
      </c>
      <c r="S126" s="7">
        <v>3</v>
      </c>
      <c r="T126">
        <v>3</v>
      </c>
      <c r="U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41</v>
      </c>
    </row>
    <row r="3" spans="3:91">
      <c r="C3" t="s">
        <v>29</v>
      </c>
      <c r="D3" t="s">
        <v>30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32</v>
      </c>
      <c r="M3" t="s">
        <v>49</v>
      </c>
      <c r="N3" t="s">
        <v>50</v>
      </c>
      <c r="O3" t="s">
        <v>51</v>
      </c>
      <c r="P3" t="s">
        <v>52</v>
      </c>
      <c r="Q3" t="s">
        <v>53</v>
      </c>
      <c r="R3" t="s">
        <v>54</v>
      </c>
      <c r="S3" t="s">
        <v>55</v>
      </c>
      <c r="T3" t="s">
        <v>56</v>
      </c>
      <c r="U3" t="s">
        <v>57</v>
      </c>
      <c r="V3" t="s">
        <v>58</v>
      </c>
      <c r="W3" t="s">
        <v>59</v>
      </c>
      <c r="X3" t="s">
        <v>60</v>
      </c>
      <c r="Y3" t="s">
        <v>61</v>
      </c>
      <c r="Z3" t="s">
        <v>33</v>
      </c>
      <c r="AA3" t="s">
        <v>62</v>
      </c>
      <c r="AB3" t="s">
        <v>63</v>
      </c>
      <c r="AC3" t="s">
        <v>64</v>
      </c>
      <c r="AD3" t="s">
        <v>65</v>
      </c>
      <c r="AE3" t="s">
        <v>66</v>
      </c>
      <c r="AF3" t="s">
        <v>67</v>
      </c>
      <c r="AG3" t="s">
        <v>68</v>
      </c>
      <c r="AH3" t="s">
        <v>69</v>
      </c>
      <c r="AI3" t="s">
        <v>70</v>
      </c>
      <c r="AJ3" t="s">
        <v>71</v>
      </c>
      <c r="AK3" t="s">
        <v>72</v>
      </c>
      <c r="AL3" t="s">
        <v>73</v>
      </c>
      <c r="AM3" t="s">
        <v>74</v>
      </c>
    </row>
    <row r="4" spans="3:91">
      <c r="C4" t="s">
        <v>34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35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36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37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38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39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40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42</v>
      </c>
      <c r="W14" t="s">
        <v>43</v>
      </c>
      <c r="X14" t="s">
        <v>44</v>
      </c>
      <c r="Y14" t="s">
        <v>45</v>
      </c>
      <c r="Z14" t="s">
        <v>46</v>
      </c>
      <c r="AA14" t="s">
        <v>47</v>
      </c>
      <c r="AB14" t="s">
        <v>48</v>
      </c>
      <c r="AC14" t="s">
        <v>32</v>
      </c>
      <c r="AD14" t="s">
        <v>49</v>
      </c>
      <c r="AE14" t="s">
        <v>50</v>
      </c>
      <c r="AF14" t="s">
        <v>51</v>
      </c>
      <c r="AG14" t="s">
        <v>52</v>
      </c>
      <c r="AH14" t="s">
        <v>53</v>
      </c>
      <c r="AI14" t="s">
        <v>54</v>
      </c>
      <c r="AJ14" t="s">
        <v>55</v>
      </c>
      <c r="AK14" t="s">
        <v>56</v>
      </c>
      <c r="AL14" t="s">
        <v>57</v>
      </c>
      <c r="AM14" t="s">
        <v>58</v>
      </c>
      <c r="AN14" t="s">
        <v>59</v>
      </c>
      <c r="AO14" t="s">
        <v>60</v>
      </c>
      <c r="AP14" t="s">
        <v>61</v>
      </c>
      <c r="AQ14" t="s">
        <v>33</v>
      </c>
      <c r="AR14" t="s">
        <v>62</v>
      </c>
      <c r="AS14" t="s">
        <v>63</v>
      </c>
      <c r="AT14" t="s">
        <v>64</v>
      </c>
      <c r="AU14" t="s">
        <v>65</v>
      </c>
      <c r="AV14" t="s">
        <v>66</v>
      </c>
      <c r="AW14" t="s">
        <v>67</v>
      </c>
      <c r="AX14" t="s">
        <v>68</v>
      </c>
      <c r="AY14" t="s">
        <v>69</v>
      </c>
      <c r="AZ14" t="s">
        <v>70</v>
      </c>
      <c r="BA14" t="s">
        <v>71</v>
      </c>
      <c r="BB14" t="s">
        <v>72</v>
      </c>
      <c r="BC14" t="s">
        <v>73</v>
      </c>
      <c r="BD14" t="s">
        <v>74</v>
      </c>
      <c r="BE14" t="s">
        <v>42</v>
      </c>
      <c r="BF14" t="s">
        <v>43</v>
      </c>
      <c r="BG14" t="s">
        <v>44</v>
      </c>
      <c r="BH14" t="s">
        <v>45</v>
      </c>
      <c r="BI14" t="s">
        <v>46</v>
      </c>
      <c r="BJ14" t="s">
        <v>47</v>
      </c>
      <c r="BK14" t="s">
        <v>48</v>
      </c>
      <c r="BL14" t="s">
        <v>32</v>
      </c>
      <c r="BM14" t="s">
        <v>49</v>
      </c>
      <c r="BN14" t="s">
        <v>50</v>
      </c>
      <c r="BO14" t="s">
        <v>51</v>
      </c>
      <c r="BP14" t="s">
        <v>52</v>
      </c>
      <c r="BQ14" t="s">
        <v>53</v>
      </c>
      <c r="BR14" t="s">
        <v>54</v>
      </c>
      <c r="BS14" t="s">
        <v>55</v>
      </c>
      <c r="BT14" t="s">
        <v>56</v>
      </c>
      <c r="BU14" t="s">
        <v>57</v>
      </c>
      <c r="BV14" t="s">
        <v>58</v>
      </c>
      <c r="BW14" t="s">
        <v>59</v>
      </c>
      <c r="BX14" t="s">
        <v>60</v>
      </c>
      <c r="BY14" t="s">
        <v>61</v>
      </c>
      <c r="BZ14" t="s">
        <v>33</v>
      </c>
      <c r="CA14" t="s">
        <v>62</v>
      </c>
      <c r="CB14" t="s">
        <v>63</v>
      </c>
      <c r="CC14" t="s">
        <v>64</v>
      </c>
      <c r="CD14" t="s">
        <v>65</v>
      </c>
      <c r="CE14" t="s">
        <v>66</v>
      </c>
      <c r="CF14" t="s">
        <v>67</v>
      </c>
      <c r="CG14" t="s">
        <v>68</v>
      </c>
      <c r="CH14" t="s">
        <v>69</v>
      </c>
      <c r="CI14" t="s">
        <v>70</v>
      </c>
      <c r="CJ14" t="s">
        <v>71</v>
      </c>
      <c r="CK14" t="s">
        <v>72</v>
      </c>
      <c r="CL14" t="s">
        <v>73</v>
      </c>
      <c r="CM14" t="s">
        <v>74</v>
      </c>
    </row>
    <row r="15" spans="3:91"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34</v>
      </c>
      <c r="AN15" t="s">
        <v>34</v>
      </c>
      <c r="AO15" t="s">
        <v>34</v>
      </c>
      <c r="AP15" t="s">
        <v>34</v>
      </c>
      <c r="AQ15" t="s">
        <v>34</v>
      </c>
      <c r="AR15" t="s">
        <v>34</v>
      </c>
      <c r="AS15" t="s">
        <v>34</v>
      </c>
      <c r="AT15" t="s">
        <v>34</v>
      </c>
      <c r="AU15" t="s">
        <v>34</v>
      </c>
      <c r="AV15" t="s">
        <v>34</v>
      </c>
      <c r="AW15" t="s">
        <v>34</v>
      </c>
      <c r="AX15" t="s">
        <v>34</v>
      </c>
      <c r="AY15" t="s">
        <v>34</v>
      </c>
      <c r="AZ15" t="s">
        <v>34</v>
      </c>
      <c r="BA15" t="s">
        <v>34</v>
      </c>
      <c r="BB15" t="s">
        <v>34</v>
      </c>
      <c r="BC15" t="s">
        <v>34</v>
      </c>
      <c r="BD15" t="s">
        <v>34</v>
      </c>
      <c r="BE15" t="s">
        <v>34</v>
      </c>
      <c r="BF15" t="s">
        <v>34</v>
      </c>
      <c r="BG15" t="s">
        <v>34</v>
      </c>
      <c r="BH15" t="s">
        <v>34</v>
      </c>
      <c r="BI15" t="s">
        <v>34</v>
      </c>
      <c r="BJ15" t="s">
        <v>34</v>
      </c>
      <c r="BK15" t="s">
        <v>34</v>
      </c>
      <c r="BL15" t="s">
        <v>34</v>
      </c>
      <c r="BM15" t="s">
        <v>34</v>
      </c>
      <c r="BN15" t="s">
        <v>34</v>
      </c>
      <c r="BO15" t="s">
        <v>34</v>
      </c>
      <c r="BP15" t="s">
        <v>34</v>
      </c>
      <c r="BQ15" t="s">
        <v>34</v>
      </c>
      <c r="BR15" t="s">
        <v>34</v>
      </c>
      <c r="BS15" t="s">
        <v>34</v>
      </c>
      <c r="BT15" t="s">
        <v>34</v>
      </c>
      <c r="BU15" t="s">
        <v>34</v>
      </c>
      <c r="BV15" t="s">
        <v>34</v>
      </c>
      <c r="BW15" t="s">
        <v>34</v>
      </c>
      <c r="BX15" t="s">
        <v>34</v>
      </c>
      <c r="BY15" t="s">
        <v>34</v>
      </c>
      <c r="BZ15" t="s">
        <v>34</v>
      </c>
      <c r="CA15" t="s">
        <v>34</v>
      </c>
      <c r="CB15" t="s">
        <v>34</v>
      </c>
      <c r="CC15" t="s">
        <v>34</v>
      </c>
      <c r="CD15" t="s">
        <v>34</v>
      </c>
      <c r="CE15" t="s">
        <v>34</v>
      </c>
      <c r="CF15" t="s">
        <v>34</v>
      </c>
      <c r="CG15" t="s">
        <v>34</v>
      </c>
      <c r="CH15" t="s">
        <v>34</v>
      </c>
      <c r="CI15" t="s">
        <v>34</v>
      </c>
      <c r="CJ15" t="s">
        <v>34</v>
      </c>
      <c r="CK15" t="s">
        <v>34</v>
      </c>
      <c r="CL15" t="s">
        <v>34</v>
      </c>
      <c r="CM15" t="s">
        <v>34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5" t="s">
        <v>41</v>
      </c>
    </row>
    <row r="28" spans="3:91">
      <c r="C28" t="s">
        <v>29</v>
      </c>
      <c r="D28" t="s">
        <v>30</v>
      </c>
      <c r="E28" t="s">
        <v>42</v>
      </c>
      <c r="F28" t="s">
        <v>43</v>
      </c>
      <c r="G28" t="s">
        <v>44</v>
      </c>
      <c r="H28" t="s">
        <v>45</v>
      </c>
      <c r="I28" t="s">
        <v>46</v>
      </c>
      <c r="J28" t="s">
        <v>47</v>
      </c>
      <c r="K28" t="s">
        <v>48</v>
      </c>
      <c r="L28" t="s">
        <v>32</v>
      </c>
      <c r="M28" t="s">
        <v>49</v>
      </c>
      <c r="N28" t="s">
        <v>50</v>
      </c>
      <c r="O28" t="s">
        <v>51</v>
      </c>
      <c r="P28" t="s">
        <v>52</v>
      </c>
      <c r="Q28" t="s">
        <v>53</v>
      </c>
      <c r="R28" t="s">
        <v>54</v>
      </c>
      <c r="S28" t="s">
        <v>55</v>
      </c>
      <c r="T28" t="s">
        <v>56</v>
      </c>
      <c r="U28" t="s">
        <v>57</v>
      </c>
      <c r="V28" t="s">
        <v>58</v>
      </c>
      <c r="W28" t="s">
        <v>59</v>
      </c>
      <c r="X28" t="s">
        <v>60</v>
      </c>
      <c r="Y28" t="s">
        <v>61</v>
      </c>
      <c r="Z28" t="s">
        <v>33</v>
      </c>
      <c r="AA28" t="s">
        <v>62</v>
      </c>
      <c r="AB28" t="s">
        <v>63</v>
      </c>
      <c r="AC28" t="s">
        <v>64</v>
      </c>
      <c r="AD28" t="s">
        <v>65</v>
      </c>
      <c r="AE28" t="s">
        <v>66</v>
      </c>
      <c r="AF28" t="s">
        <v>67</v>
      </c>
      <c r="AG28" t="s">
        <v>68</v>
      </c>
      <c r="AH28" t="s">
        <v>69</v>
      </c>
      <c r="AI28" t="s">
        <v>70</v>
      </c>
      <c r="AJ28" t="s">
        <v>71</v>
      </c>
      <c r="AK28" t="s">
        <v>72</v>
      </c>
      <c r="AL28" t="s">
        <v>73</v>
      </c>
      <c r="AM28" t="s">
        <v>74</v>
      </c>
    </row>
    <row r="29" spans="3:91">
      <c r="C29" t="s">
        <v>34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35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36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37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38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39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40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AP17"/>
  <sheetViews>
    <sheetView tabSelected="1" zoomScale="54" zoomScaleNormal="54" topLeftCell="O1" workbookViewId="0">
      <selection activeCell="L30" sqref="L30"/>
    </sheetView>
  </sheetViews>
  <sheetFormatPr defaultColWidth="8.72727272727273" defaultRowHeight="14.5"/>
  <cols>
    <col min="7" max="7" width="30.0909090909091" customWidth="1"/>
  </cols>
  <sheetData>
    <row r="15" spans="6:42">
      <c r="F15" s="1"/>
      <c r="G15" s="1" t="s">
        <v>75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6:42">
      <c r="F16" s="1" t="s">
        <v>30</v>
      </c>
      <c r="G16" s="1" t="s">
        <v>3</v>
      </c>
      <c r="H16" s="2" t="s">
        <v>42</v>
      </c>
      <c r="I16" s="2" t="s">
        <v>43</v>
      </c>
      <c r="J16" s="2" t="s">
        <v>44</v>
      </c>
      <c r="K16" s="2" t="s">
        <v>45</v>
      </c>
      <c r="L16" s="2" t="s">
        <v>46</v>
      </c>
      <c r="M16" s="2" t="s">
        <v>47</v>
      </c>
      <c r="N16" s="2" t="s">
        <v>48</v>
      </c>
      <c r="O16" s="2" t="s">
        <v>32</v>
      </c>
      <c r="P16" s="2" t="s">
        <v>49</v>
      </c>
      <c r="Q16" s="2" t="s">
        <v>50</v>
      </c>
      <c r="R16" s="2" t="s">
        <v>51</v>
      </c>
      <c r="S16" s="2" t="s">
        <v>52</v>
      </c>
      <c r="T16" s="2" t="s">
        <v>53</v>
      </c>
      <c r="U16" s="2" t="s">
        <v>54</v>
      </c>
      <c r="V16" s="2" t="s">
        <v>55</v>
      </c>
      <c r="W16" s="2" t="s">
        <v>56</v>
      </c>
      <c r="X16" s="2" t="s">
        <v>57</v>
      </c>
      <c r="Y16" s="2" t="s">
        <v>58</v>
      </c>
      <c r="Z16" s="2" t="s">
        <v>59</v>
      </c>
      <c r="AA16" s="2" t="s">
        <v>60</v>
      </c>
      <c r="AB16" s="2" t="s">
        <v>61</v>
      </c>
      <c r="AC16" s="2" t="s">
        <v>33</v>
      </c>
      <c r="AD16" s="2" t="s">
        <v>62</v>
      </c>
      <c r="AE16" s="2" t="s">
        <v>63</v>
      </c>
      <c r="AF16" s="2" t="s">
        <v>64</v>
      </c>
      <c r="AG16" s="2" t="s">
        <v>65</v>
      </c>
      <c r="AH16" s="2" t="s">
        <v>66</v>
      </c>
      <c r="AI16" s="2" t="s">
        <v>67</v>
      </c>
      <c r="AJ16" s="2" t="s">
        <v>68</v>
      </c>
      <c r="AK16" s="2" t="s">
        <v>69</v>
      </c>
      <c r="AL16" s="2" t="s">
        <v>70</v>
      </c>
      <c r="AM16" s="2" t="s">
        <v>71</v>
      </c>
      <c r="AN16" s="2" t="s">
        <v>72</v>
      </c>
      <c r="AO16" s="2" t="s">
        <v>73</v>
      </c>
      <c r="AP16" s="3" t="s">
        <v>74</v>
      </c>
    </row>
    <row r="17" spans="6:42">
      <c r="F17" s="4"/>
      <c r="G17" t="s">
        <v>76</v>
      </c>
      <c r="H17" s="2">
        <f t="shared" ref="H17:N17" si="0">AY17*$AS$45</f>
        <v>0</v>
      </c>
      <c r="I17" s="2">
        <f t="shared" si="0"/>
        <v>0</v>
      </c>
      <c r="J17" s="2">
        <f t="shared" si="0"/>
        <v>0</v>
      </c>
      <c r="K17" s="2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>BF17*$CI17</f>
        <v>0</v>
      </c>
      <c r="P17" s="2">
        <f t="shared" ref="P17:AP17" si="1">BG17*$AS$45</f>
        <v>0</v>
      </c>
      <c r="Q17" s="2">
        <f t="shared" si="1"/>
        <v>0</v>
      </c>
      <c r="R17" s="2">
        <f t="shared" si="1"/>
        <v>0</v>
      </c>
      <c r="S17" s="2">
        <f t="shared" si="1"/>
        <v>0</v>
      </c>
      <c r="T17" s="2">
        <f t="shared" si="1"/>
        <v>0</v>
      </c>
      <c r="U17" s="2">
        <f t="shared" si="1"/>
        <v>0</v>
      </c>
      <c r="V17" s="2">
        <f t="shared" si="1"/>
        <v>0</v>
      </c>
      <c r="W17" s="2">
        <f t="shared" si="1"/>
        <v>0</v>
      </c>
      <c r="X17" s="2">
        <f t="shared" si="1"/>
        <v>0</v>
      </c>
      <c r="Y17" s="2">
        <f t="shared" si="1"/>
        <v>0</v>
      </c>
      <c r="Z17" s="2">
        <f t="shared" si="1"/>
        <v>0</v>
      </c>
      <c r="AA17" s="2">
        <f t="shared" si="1"/>
        <v>0</v>
      </c>
      <c r="AB17" s="2">
        <f t="shared" si="1"/>
        <v>0</v>
      </c>
      <c r="AC17" s="2">
        <f t="shared" si="1"/>
        <v>0</v>
      </c>
      <c r="AD17" s="2">
        <f t="shared" si="1"/>
        <v>0</v>
      </c>
      <c r="AE17" s="2">
        <f t="shared" si="1"/>
        <v>0</v>
      </c>
      <c r="AF17" s="2">
        <f t="shared" si="1"/>
        <v>0</v>
      </c>
      <c r="AG17" s="2">
        <f t="shared" si="1"/>
        <v>0</v>
      </c>
      <c r="AH17" s="2">
        <f t="shared" si="1"/>
        <v>0</v>
      </c>
      <c r="AI17" s="2">
        <f t="shared" si="1"/>
        <v>0</v>
      </c>
      <c r="AJ17" s="2">
        <f t="shared" si="1"/>
        <v>0</v>
      </c>
      <c r="AK17" s="2">
        <f t="shared" si="1"/>
        <v>0</v>
      </c>
      <c r="AL17" s="2">
        <f t="shared" si="1"/>
        <v>0</v>
      </c>
      <c r="AM17" s="2">
        <f t="shared" si="1"/>
        <v>0</v>
      </c>
      <c r="AN17" s="2">
        <f t="shared" si="1"/>
        <v>0</v>
      </c>
      <c r="AO17" s="2">
        <f t="shared" si="1"/>
        <v>0</v>
      </c>
      <c r="AP17" s="2">
        <f t="shared" si="1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misc.</vt:lpstr>
      <vt:lpstr>Stationary_storage_EnergyNeeds</vt:lpstr>
      <vt:lpstr>Existing_stock-MOVE TO PASTI</vt:lpstr>
      <vt:lpstr>HPS 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xli9</cp:lastModifiedBy>
  <dcterms:created xsi:type="dcterms:W3CDTF">2016-10-13T06:09:00Z</dcterms:created>
  <dcterms:modified xsi:type="dcterms:W3CDTF">2026-08-18T18:59:08Z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1033-12.1.0.28032</vt:lpwstr>
  </property>
  <property fmtid="{D5CDD505-2E9C-101B-9397-08002B2CF9AE}" pid="15" name="CalculationRule">
    <vt:i4>0</vt:i4>
  </property>
</Properties>
</file>