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1"/>
  </bookViews>
  <sheets>
    <sheet name="misc." sheetId="26" r:id="rId1"/>
    <sheet name="Stationary_storage_EnergyNeeds" sheetId="27" r:id="rId2"/>
    <sheet name="Existing_stock-MOVE TO PASTI" sheetId="28" r:id="rId3"/>
    <sheet name="HPS bound" sheetId="29" r:id="rId4"/>
  </sheets>
  <externalReferences>
    <externalReference r:id="rId5"/>
    <externalReference r:id="rId6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be revised to be higher level</t>
        </r>
      </text>
    </comment>
  </commentList>
</comments>
</file>

<file path=xl/sharedStrings.xml><?xml version="1.0" encoding="utf-8"?>
<sst xmlns="http://schemas.openxmlformats.org/spreadsheetml/2006/main" count="1138" uniqueCount="81">
  <si>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</si>
  <si>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</si>
  <si>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</si>
  <si>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</si>
  <si>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</si>
  <si>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</si>
  <si>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</si>
  <si>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</si>
  <si>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</si>
  <si>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</si>
  <si>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</si>
  <si>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</si>
  <si>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</si>
  <si>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</si>
  <si>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</si>
  <si>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</si>
  <si>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</si>
  <si>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</si>
  <si>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</si>
  <si>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</si>
  <si>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</si>
  <si>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</si>
  <si>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</si>
  <si>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</si>
  <si>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</si>
  <si>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TEST::</t>
  </si>
  <si>
    <t>DELETE</t>
  </si>
  <si>
    <t>For EV LFP pack cost</t>
  </si>
  <si>
    <t>~TFM_INS: attribute=INVCOST</t>
  </si>
  <si>
    <t>process</t>
  </si>
  <si>
    <t>year</t>
  </si>
  <si>
    <t>AllRegions</t>
  </si>
  <si>
    <t>China</t>
  </si>
  <si>
    <t>NorthAm</t>
  </si>
  <si>
    <t>~TFM_INS</t>
  </si>
  <si>
    <t>EN_STG_4hBatt</t>
  </si>
  <si>
    <t>Region</t>
  </si>
  <si>
    <t>Year</t>
  </si>
  <si>
    <t>PASTI</t>
  </si>
  <si>
    <t>EN_STG_4hBatt_LMO</t>
  </si>
  <si>
    <t>Africa_North</t>
  </si>
  <si>
    <t>EN_STG_4hBatt_NCA</t>
  </si>
  <si>
    <t>Africa_Other</t>
  </si>
  <si>
    <t>EN_STG_4hBatt_NMC111</t>
  </si>
  <si>
    <t>Australia</t>
  </si>
  <si>
    <t>EN_STG_4hBatt_NMC532</t>
  </si>
  <si>
    <t>Austria</t>
  </si>
  <si>
    <t>EN_STG_4hBatt_NMC622</t>
  </si>
  <si>
    <t>Baltics</t>
  </si>
  <si>
    <t>EN_STG_4hBatt_NMC811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</si>
  <si>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</si>
  <si>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</si>
  <si>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</si>
  <si>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</si>
  <si>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</si>
  <si>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</si>
  <si>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</si>
  <si>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</si>
  <si>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</si>
  <si>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</si>
  <si>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</si>
  <si>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</si>
  <si>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</si>
  <si>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</si>
  <si>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</si>
  <si>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</si>
  <si>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</si>
  <si>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</si>
  <si>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</si>
  <si>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</si>
  <si>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</si>
  <si>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</si>
  <si>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</si>
  <si>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</si>
  <si>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</si>
  <si>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</si>
  <si>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</si>
  <si>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</si>
  <si>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~TFM_INS: attribute=PRC_RESID</t>
  </si>
  <si>
    <t>~TFM_INS: attribute= CAP_BND</t>
  </si>
  <si>
    <t>EN_HPS_Storage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</si>
</sst>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1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6" fillId="0" borderId="0"/>
    <xf numFmtId="0" fontId="25" fillId="0" borderId="0"/>
    <xf numFmtId="0" fontId="24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25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4" fillId="0" borderId="0"/>
    <xf numFmtId="0" fontId="24" fillId="0" borderId="0"/>
    <xf numFmtId="0" fontId="26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4" fillId="0" borderId="0">
      <alignment horizontal="center"/>
    </xf>
    <xf numFmtId="49" fontId="28" fillId="0" borderId="0" applyFill="0" applyBorder="0">
      <alignment horizontal="left"/>
    </xf>
    <xf numFmtId="0" fontId="29" fillId="0" borderId="10" applyNumberFormat="0" applyFont="0" applyAlignment="0">
      <alignment vertical="center"/>
    </xf>
    <xf numFmtId="0" fontId="30" fillId="0" borderId="0" applyFill="0" applyBorder="0">
      <alignment vertical="center"/>
    </xf>
    <xf numFmtId="181" fontId="31" fillId="0" borderId="0" applyFill="0" applyBorder="0">
      <alignment horizontal="right" vertical="center"/>
    </xf>
    <xf numFmtId="181" fontId="29" fillId="0" borderId="0" applyFill="0" applyBorder="0">
      <alignment horizontal="right" vertical="center"/>
    </xf>
    <xf numFmtId="182" fontId="29" fillId="0" borderId="0" applyFill="0" applyBorder="0">
      <alignment horizontal="right" vertical="center"/>
    </xf>
    <xf numFmtId="0" fontId="31" fillId="0" borderId="10" applyFill="0" applyBorder="0">
      <alignment vertical="center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34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39" borderId="0" applyNumberFormat="0" applyBorder="0" applyAlignment="0" applyProtection="0"/>
    <xf numFmtId="0" fontId="24" fillId="0" borderId="0" applyNumberFormat="0" applyFont="0" applyFill="0" applyBorder="0" applyProtection="0">
      <alignment horizontal="left" vertical="center" indent="5"/>
    </xf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2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47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36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2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37" borderId="0" applyNumberFormat="0" applyBorder="0" applyAlignment="0" applyProtection="0"/>
    <xf numFmtId="183" fontId="36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3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4" fillId="58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47" borderId="0" applyNumberFormat="0" applyBorder="0" applyAlignment="0" applyProtection="0"/>
    <xf numFmtId="0" fontId="32" fillId="60" borderId="0" applyNumberFormat="0" applyBorder="0" applyAlignment="0" applyProtection="0"/>
    <xf numFmtId="0" fontId="32" fillId="61" borderId="0" applyNumberFormat="0" applyBorder="0" applyAlignment="0" applyProtection="0"/>
    <xf numFmtId="0" fontId="34" fillId="62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45" borderId="0" applyNumberFormat="0" applyBorder="0" applyAlignment="0" applyProtection="0"/>
    <xf numFmtId="0" fontId="32" fillId="61" borderId="0" applyNumberFormat="0" applyBorder="0" applyAlignment="0" applyProtection="0"/>
    <xf numFmtId="0" fontId="32" fillId="62" borderId="0" applyNumberFormat="0" applyBorder="0" applyAlignment="0" applyProtection="0"/>
    <xf numFmtId="0" fontId="34" fillId="62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6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2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2" fillId="65" borderId="0" applyNumberFormat="0" applyBorder="0" applyAlignment="0" applyProtection="0"/>
    <xf numFmtId="0" fontId="32" fillId="57" borderId="0" applyNumberFormat="0" applyBorder="0" applyAlignment="0" applyProtection="0"/>
    <xf numFmtId="0" fontId="34" fillId="66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59" borderId="0" applyNumberFormat="0" applyBorder="0" applyAlignment="0" applyProtection="0"/>
    <xf numFmtId="184" fontId="37" fillId="35" borderId="11">
      <alignment horizontal="center" vertical="center"/>
    </xf>
    <xf numFmtId="4" fontId="38" fillId="42" borderId="1">
      <alignment horizontal="right" vertical="center"/>
    </xf>
    <xf numFmtId="185" fontId="39" fillId="0" borderId="0" applyFont="0" applyFill="0" applyBorder="0" applyAlignment="0" applyProtection="0"/>
    <xf numFmtId="186" fontId="39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5" fontId="24" fillId="0" borderId="0" applyFont="0" applyFill="0" applyBorder="0" applyAlignment="0" applyProtection="0"/>
    <xf numFmtId="186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193" fontId="24" fillId="0" borderId="0" applyFont="0" applyFill="0" applyBorder="0" applyAlignment="0" applyProtection="0"/>
    <xf numFmtId="0" fontId="40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41" fillId="67" borderId="0" applyNumberFormat="0" applyBorder="0" applyProtection="0"/>
    <xf numFmtId="0" fontId="40" fillId="39" borderId="0" applyNumberFormat="0" applyFont="0" applyAlignment="0" applyProtection="0">
      <protection locked="0"/>
    </xf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40" borderId="0" applyNumberFormat="0" applyBorder="0" applyAlignment="0" applyProtection="0"/>
    <xf numFmtId="0" fontId="44" fillId="8" borderId="0" applyNumberFormat="0" applyBorder="0" applyAlignment="0" applyProtection="0"/>
    <xf numFmtId="0" fontId="45" fillId="8" borderId="0" applyNumberFormat="0" applyBorder="0" applyAlignment="0" applyProtection="0"/>
    <xf numFmtId="3" fontId="46" fillId="0" borderId="12" applyNumberFormat="0" applyFill="0" applyBorder="0" applyProtection="0">
      <alignment horizontal="center" vertical="center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4" fontId="48" fillId="0" borderId="14" applyFill="0" applyBorder="0" applyProtection="0">
      <alignment horizontal="right" vertical="center"/>
    </xf>
    <xf numFmtId="4" fontId="48" fillId="0" borderId="14" applyFill="0" applyBorder="0" applyProtection="0">
      <alignment horizontal="right" vertical="center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38" borderId="0"/>
    <xf numFmtId="1" fontId="49" fillId="38" borderId="0">
      <alignment horizontal="center" vertical="center" wrapText="1"/>
    </xf>
    <xf numFmtId="0" fontId="50" fillId="0" borderId="0">
      <alignment horizontal="right"/>
    </xf>
    <xf numFmtId="195" fontId="51" fillId="0" borderId="0">
      <alignment horizontal="right" vertical="center"/>
    </xf>
    <xf numFmtId="49" fontId="51" fillId="0" borderId="0">
      <alignment horizontal="right"/>
    </xf>
    <xf numFmtId="196" fontId="51" fillId="0" borderId="0">
      <alignment horizontal="right" vertical="center"/>
    </xf>
    <xf numFmtId="195" fontId="52" fillId="0" borderId="0">
      <alignment horizontal="right" vertical="center"/>
    </xf>
    <xf numFmtId="0" fontId="53" fillId="0" borderId="15" applyNumberFormat="0" applyAlignment="0"/>
    <xf numFmtId="197" fontId="54" fillId="0" borderId="0">
      <alignment horizontal="right"/>
    </xf>
    <xf numFmtId="196" fontId="55" fillId="0" borderId="0">
      <alignment horizontal="right" vertical="center"/>
    </xf>
    <xf numFmtId="0" fontId="30" fillId="0" borderId="0">
      <alignment horizontal="right"/>
    </xf>
    <xf numFmtId="196" fontId="55" fillId="0" borderId="0">
      <alignment horizontal="right" vertical="center"/>
    </xf>
    <xf numFmtId="182" fontId="30" fillId="0" borderId="0">
      <alignment horizontal="right"/>
    </xf>
    <xf numFmtId="196" fontId="55" fillId="0" borderId="0">
      <alignment horizontal="right" vertical="center"/>
    </xf>
    <xf numFmtId="198" fontId="29" fillId="0" borderId="0">
      <alignment horizontal="right" vertical="center"/>
    </xf>
    <xf numFmtId="198" fontId="56" fillId="0" borderId="0">
      <alignment horizontal="right" vertical="center"/>
    </xf>
    <xf numFmtId="198" fontId="57" fillId="0" borderId="0">
      <alignment horizontal="right" vertical="center"/>
    </xf>
    <xf numFmtId="198" fontId="58" fillId="0" borderId="0">
      <alignment horizontal="right" vertical="center"/>
    </xf>
    <xf numFmtId="0" fontId="30" fillId="0" borderId="0"/>
    <xf numFmtId="199" fontId="29" fillId="0" borderId="0" applyFont="0" applyFill="0" applyBorder="0" applyAlignment="0" applyProtection="0">
      <alignment horizontal="right"/>
    </xf>
    <xf numFmtId="200" fontId="59" fillId="0" borderId="0">
      <alignment horizontal="right"/>
    </xf>
    <xf numFmtId="201" fontId="60" fillId="69" borderId="0">
      <alignment horizontal="right" vertical="center"/>
    </xf>
    <xf numFmtId="202" fontId="60" fillId="69" borderId="0">
      <alignment horizontal="right"/>
    </xf>
    <xf numFmtId="9" fontId="60" fillId="69" borderId="0">
      <alignment horizontal="right" vertical="center"/>
    </xf>
    <xf numFmtId="203" fontId="60" fillId="69" borderId="0">
      <alignment horizontal="right" vertical="center"/>
    </xf>
    <xf numFmtId="204" fontId="60" fillId="0" borderId="16" applyBorder="0">
      <alignment horizontal="right"/>
    </xf>
    <xf numFmtId="199" fontId="57" fillId="0" borderId="0">
      <alignment horizontal="right"/>
    </xf>
    <xf numFmtId="200" fontId="60" fillId="0" borderId="0">
      <alignment horizontal="right"/>
    </xf>
    <xf numFmtId="202" fontId="60" fillId="0" borderId="0">
      <alignment horizontal="right"/>
    </xf>
    <xf numFmtId="9" fontId="60" fillId="0" borderId="0">
      <alignment horizontal="right" vertical="center"/>
    </xf>
    <xf numFmtId="203" fontId="60" fillId="0" borderId="0">
      <alignment horizontal="right" vertical="center"/>
    </xf>
    <xf numFmtId="204" fontId="57" fillId="63" borderId="0">
      <alignment horizontal="right"/>
    </xf>
    <xf numFmtId="200" fontId="31" fillId="0" borderId="0">
      <alignment horizontal="right"/>
    </xf>
    <xf numFmtId="205" fontId="29" fillId="0" borderId="0">
      <alignment horizontal="right"/>
    </xf>
    <xf numFmtId="205" fontId="61" fillId="0" borderId="0">
      <alignment horizontal="right"/>
    </xf>
    <xf numFmtId="205" fontId="29" fillId="0" borderId="0">
      <alignment horizontal="right"/>
    </xf>
    <xf numFmtId="205" fontId="56" fillId="0" borderId="0">
      <alignment horizontal="right"/>
    </xf>
    <xf numFmtId="205" fontId="57" fillId="0" borderId="0">
      <alignment horizontal="right"/>
    </xf>
    <xf numFmtId="0" fontId="62" fillId="0" borderId="0">
      <alignment vertical="center"/>
    </xf>
    <xf numFmtId="0" fontId="62" fillId="0" borderId="0">
      <alignment horizontal="right" vertical="center"/>
    </xf>
    <xf numFmtId="0" fontId="63" fillId="0" borderId="0"/>
    <xf numFmtId="0" fontId="1" fillId="0" borderId="0">
      <alignment horizontal="center"/>
    </xf>
    <xf numFmtId="0" fontId="64" fillId="70" borderId="5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9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70" fillId="0" borderId="0" applyNumberFormat="0" applyBorder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3" fillId="73" borderId="18" applyNumberFormat="0" applyAlignment="0" applyProtection="0"/>
    <xf numFmtId="0" fontId="73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71" fillId="72" borderId="18" applyNumberFormat="0" applyAlignment="0" applyProtection="0"/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1" fontId="75" fillId="0" borderId="0">
      <alignment horizontal="center" vertical="center" wrapText="1"/>
    </xf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7" fillId="0" borderId="0" applyFont="0" applyFill="0" applyBorder="0" applyProtection="0">
      <alignment horizontal="right"/>
    </xf>
    <xf numFmtId="210" fontId="1" fillId="0" borderId="0"/>
    <xf numFmtId="4" fontId="77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8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80" fillId="0" borderId="0">
      <protection locked="0"/>
    </xf>
    <xf numFmtId="0" fontId="81" fillId="0" borderId="0"/>
    <xf numFmtId="0" fontId="81" fillId="0" borderId="0"/>
    <xf numFmtId="0" fontId="81" fillId="0" borderId="0"/>
    <xf numFmtId="0" fontId="82" fillId="0" borderId="0"/>
    <xf numFmtId="0" fontId="82" fillId="0" borderId="0"/>
    <xf numFmtId="0" fontId="82" fillId="0" borderId="0"/>
    <xf numFmtId="3" fontId="1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3" fontId="26" fillId="74" borderId="0" applyFont="0" applyBorder="0" applyAlignment="0" applyProtection="0"/>
    <xf numFmtId="37" fontId="1" fillId="75" borderId="0" applyFont="0" applyBorder="0" applyAlignment="0" applyProtection="0"/>
    <xf numFmtId="218" fontId="26" fillId="74" borderId="0" applyFont="0" applyBorder="0" applyAlignment="0" applyProtection="0">
      <alignment horizontal="right"/>
    </xf>
    <xf numFmtId="39" fontId="26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9" fillId="0" borderId="0" applyFont="0" applyFill="0" applyBorder="0" applyAlignment="0" applyProtection="0"/>
    <xf numFmtId="219" fontId="29" fillId="0" borderId="0" applyFont="0" applyFill="0" applyBorder="0" applyAlignment="0" applyProtection="0"/>
    <xf numFmtId="220" fontId="80" fillId="0" borderId="0">
      <protection locked="0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0" fontId="40" fillId="38" borderId="0">
      <alignment horizontal="center"/>
    </xf>
    <xf numFmtId="222" fontId="83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4" fillId="0" borderId="22"/>
    <xf numFmtId="1" fontId="84" fillId="0" borderId="22"/>
    <xf numFmtId="1" fontId="84" fillId="0" borderId="22"/>
    <xf numFmtId="1" fontId="84" fillId="0" borderId="22"/>
    <xf numFmtId="0" fontId="85" fillId="0" borderId="22"/>
    <xf numFmtId="0" fontId="86" fillId="0" borderId="0">
      <alignment horizontal="left"/>
    </xf>
    <xf numFmtId="17" fontId="37" fillId="0" borderId="0"/>
    <xf numFmtId="224" fontId="87" fillId="0" borderId="0" applyAlignment="0"/>
    <xf numFmtId="0" fontId="88" fillId="76" borderId="0" applyNumberFormat="0" applyBorder="0" applyAlignment="0"/>
    <xf numFmtId="37" fontId="85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225" fontId="90" fillId="0" borderId="0"/>
    <xf numFmtId="5" fontId="91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2" fillId="77" borderId="0" applyNumberFormat="0" applyBorder="0" applyAlignment="0" applyProtection="0"/>
    <xf numFmtId="0" fontId="92" fillId="78" borderId="0" applyNumberFormat="0" applyBorder="0" applyAlignment="0" applyProtection="0"/>
    <xf numFmtId="0" fontId="92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9" fillId="71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6" fillId="0" borderId="0"/>
    <xf numFmtId="0" fontId="26" fillId="0" borderId="0"/>
    <xf numFmtId="0" fontId="26" fillId="0" borderId="0"/>
    <xf numFmtId="0" fontId="95" fillId="0" borderId="0"/>
    <xf numFmtId="1" fontId="96" fillId="0" borderId="0"/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97" fillId="0" borderId="0"/>
    <xf numFmtId="0" fontId="97" fillId="0" borderId="0"/>
    <xf numFmtId="0" fontId="59" fillId="0" borderId="0">
      <alignment vertical="center"/>
    </xf>
    <xf numFmtId="198" fontId="98" fillId="0" borderId="0">
      <alignment horizontal="right" vertical="center"/>
    </xf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42" borderId="0" applyNumberFormat="0" applyBorder="0" applyAlignment="0" applyProtection="0"/>
    <xf numFmtId="0" fontId="99" fillId="42" borderId="0" applyNumberFormat="0" applyBorder="0" applyAlignment="0" applyProtection="0"/>
    <xf numFmtId="0" fontId="101" fillId="7" borderId="0" applyNumberFormat="0" applyBorder="0" applyAlignment="0" applyProtection="0"/>
    <xf numFmtId="0" fontId="102" fillId="7" borderId="0" applyNumberFormat="0" applyBorder="0" applyAlignment="0" applyProtection="0"/>
    <xf numFmtId="0" fontId="103" fillId="0" borderId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1" fontId="89" fillId="0" borderId="0" applyNumberFormat="0" applyAlignment="0">
      <alignment vertical="top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218" fontId="40" fillId="39" borderId="0">
      <alignment horizontal="center" vertical="top"/>
    </xf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26" applyNumberFormat="0" applyProtection="0">
      <alignment wrapText="1"/>
    </xf>
    <xf numFmtId="0" fontId="106" fillId="80" borderId="0">
      <alignment horizontal="left" wrapText="1"/>
    </xf>
    <xf numFmtId="0" fontId="107" fillId="0" borderId="27" applyNumberFormat="0" applyFill="0" applyAlignment="0" applyProtection="0"/>
    <xf numFmtId="0" fontId="80" fillId="0" borderId="0">
      <protection locked="0"/>
    </xf>
    <xf numFmtId="0" fontId="108" fillId="0" borderId="28" applyNumberFormat="0" applyFill="0" applyAlignment="0" applyProtection="0"/>
    <xf numFmtId="0" fontId="80" fillId="0" borderId="0">
      <protection locked="0"/>
    </xf>
    <xf numFmtId="0" fontId="107" fillId="0" borderId="27" applyNumberFormat="0" applyFill="0" applyAlignment="0" applyProtection="0"/>
    <xf numFmtId="0" fontId="109" fillId="0" borderId="28" applyNumberFormat="0" applyFill="0" applyAlignment="0" applyProtection="0"/>
    <xf numFmtId="0" fontId="110" fillId="0" borderId="29" applyNumberFormat="0" applyFill="0" applyAlignment="0" applyProtection="0"/>
    <xf numFmtId="0" fontId="80" fillId="0" borderId="0">
      <protection locked="0"/>
    </xf>
    <xf numFmtId="0" fontId="111" fillId="0" borderId="30" applyNumberFormat="0" applyFill="0" applyAlignment="0" applyProtection="0"/>
    <xf numFmtId="0" fontId="80" fillId="0" borderId="0">
      <protection locked="0"/>
    </xf>
    <xf numFmtId="0" fontId="110" fillId="0" borderId="29" applyNumberFormat="0" applyFill="0" applyAlignment="0" applyProtection="0"/>
    <xf numFmtId="0" fontId="112" fillId="0" borderId="30" applyNumberFormat="0" applyFill="0" applyAlignment="0" applyProtection="0"/>
    <xf numFmtId="0" fontId="110" fillId="0" borderId="29" applyNumberFormat="0" applyFill="0" applyAlignment="0" applyProtection="0"/>
    <xf numFmtId="0" fontId="113" fillId="0" borderId="31" applyNumberFormat="0" applyFill="0" applyAlignment="0" applyProtection="0"/>
    <xf numFmtId="0" fontId="113" fillId="0" borderId="31" applyNumberFormat="0" applyFill="0" applyAlignment="0" applyProtection="0"/>
    <xf numFmtId="0" fontId="114" fillId="0" borderId="31" applyNumberFormat="0" applyFill="0" applyAlignment="0" applyProtection="0"/>
    <xf numFmtId="0" fontId="115" fillId="0" borderId="32" applyNumberFormat="0" applyFill="0" applyAlignment="0" applyProtection="0"/>
    <xf numFmtId="0" fontId="116" fillId="0" borderId="33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06" fillId="80" borderId="0">
      <alignment horizontal="left" wrapText="1"/>
    </xf>
    <xf numFmtId="230" fontId="117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8" fillId="81" borderId="0"/>
    <xf numFmtId="0" fontId="119" fillId="82" borderId="0"/>
    <xf numFmtId="0" fontId="120" fillId="0" borderId="0"/>
    <xf numFmtId="0" fontId="85" fillId="0" borderId="34" applyNumberFormat="0" applyFill="0" applyAlignment="0" applyProtection="0"/>
    <xf numFmtId="232" fontId="121" fillId="0" borderId="0">
      <alignment horizontal="right"/>
    </xf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38" fontId="1" fillId="83" borderId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0" fontId="39" fillId="0" borderId="0"/>
    <xf numFmtId="0" fontId="39" fillId="0" borderId="0"/>
    <xf numFmtId="0" fontId="24" fillId="0" borderId="35" applyNumberFormat="0">
      <alignment vertical="center" wrapText="1"/>
    </xf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4" fontId="38" fillId="0" borderId="36">
      <alignment horizontal="right" vertical="center"/>
    </xf>
    <xf numFmtId="0" fontId="133" fillId="0" borderId="37" applyNumberFormat="0" applyFill="0" applyAlignment="0" applyProtection="0"/>
    <xf numFmtId="0" fontId="133" fillId="0" borderId="37" applyNumberFormat="0" applyFill="0" applyAlignment="0" applyProtection="0"/>
    <xf numFmtId="0" fontId="134" fillId="0" borderId="37" applyNumberFormat="0" applyFill="0" applyAlignment="0" applyProtection="0"/>
    <xf numFmtId="0" fontId="135" fillId="0" borderId="38" applyNumberFormat="0" applyFill="0" applyAlignment="0" applyProtection="0"/>
    <xf numFmtId="233" fontId="136" fillId="0" borderId="0" applyFont="0" applyFill="0" applyBorder="0" applyAlignment="0" applyProtection="0"/>
    <xf numFmtId="234" fontId="136" fillId="0" borderId="0" applyFont="0" applyFill="0" applyBorder="0" applyAlignment="0" applyProtection="0"/>
    <xf numFmtId="2" fontId="137" fillId="0" borderId="0"/>
    <xf numFmtId="0" fontId="138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9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8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3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4" fillId="0" borderId="0"/>
    <xf numFmtId="240" fontId="37" fillId="0" borderId="0"/>
    <xf numFmtId="40" fontId="7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7" fillId="0" borderId="0"/>
    <xf numFmtId="0" fontId="47" fillId="0" borderId="0"/>
    <xf numFmtId="0" fontId="0" fillId="0" borderId="0"/>
    <xf numFmtId="0" fontId="0" fillId="0" borderId="0"/>
    <xf numFmtId="0" fontId="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6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8" fillId="0" borderId="0"/>
    <xf numFmtId="0" fontId="1" fillId="0" borderId="0"/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32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9" fillId="0" borderId="0"/>
    <xf numFmtId="0" fontId="32" fillId="0" borderId="0"/>
    <xf numFmtId="0" fontId="148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2" fillId="0" borderId="0"/>
    <xf numFmtId="0" fontId="32" fillId="0" borderId="0"/>
    <xf numFmtId="0" fontId="148" fillId="0" borderId="0"/>
    <xf numFmtId="0" fontId="1" fillId="0" borderId="0"/>
    <xf numFmtId="0" fontId="29" fillId="0" borderId="0" applyFill="0" applyBorder="0"/>
    <xf numFmtId="0" fontId="146" fillId="0" borderId="0"/>
    <xf numFmtId="0" fontId="15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73" borderId="0" applyNumberFormat="0" applyFont="0" applyBorder="0" applyAlignment="0" applyProtection="0"/>
    <xf numFmtId="39" fontId="1" fillId="0" borderId="0"/>
    <xf numFmtId="0" fontId="151" fillId="0" borderId="0"/>
    <xf numFmtId="0" fontId="25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2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7" fillId="0" borderId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39" fillId="0" borderId="0" applyFont="0" applyFill="0" applyBorder="0" applyAlignment="0" applyProtection="0"/>
    <xf numFmtId="247" fontId="39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24" fillId="0" borderId="0" applyFont="0" applyFill="0" applyBorder="0" applyAlignment="0" applyProtection="0"/>
    <xf numFmtId="247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39" fillId="0" borderId="0" applyFont="0" applyFill="0" applyBorder="0" applyAlignment="0" applyProtection="0"/>
    <xf numFmtId="251" fontId="39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24" fillId="0" borderId="0" applyFont="0" applyFill="0" applyBorder="0" applyAlignment="0" applyProtection="0"/>
    <xf numFmtId="251" fontId="2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3" fillId="0" borderId="0">
      <alignment vertical="top"/>
    </xf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6" fillId="0" borderId="0">
      <alignment vertical="top"/>
    </xf>
    <xf numFmtId="0" fontId="105" fillId="0" borderId="42" applyNumberFormat="0" applyProtection="0">
      <alignment wrapText="1"/>
    </xf>
    <xf numFmtId="182" fontId="70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37" fillId="0" borderId="0" applyFont="0" applyFill="0" applyBorder="0" applyAlignment="0" applyProtection="0"/>
    <xf numFmtId="256" fontId="80" fillId="0" borderId="0">
      <protection locked="0"/>
    </xf>
    <xf numFmtId="0" fontId="158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9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8" fillId="86" borderId="0" applyNumberFormat="0" applyFont="0" applyBorder="0" applyAlignment="0"/>
    <xf numFmtId="259" fontId="1" fillId="0" borderId="0">
      <alignment horizontal="center"/>
    </xf>
    <xf numFmtId="3" fontId="159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3" fontId="70" fillId="0" borderId="0" applyFont="0" applyFill="0" applyBorder="0" applyAlignment="0" applyProtection="0"/>
    <xf numFmtId="0" fontId="70" fillId="87" borderId="0" applyNumberFormat="0" applyFont="0" applyBorder="0" applyAlignment="0" applyProtection="0"/>
    <xf numFmtId="230" fontId="37" fillId="0" borderId="0" applyFill="0" applyBorder="0" applyAlignment="0" applyProtection="0"/>
    <xf numFmtId="218" fontId="160" fillId="0" borderId="0"/>
    <xf numFmtId="0" fontId="1" fillId="0" borderId="0"/>
    <xf numFmtId="0" fontId="1" fillId="0" borderId="0"/>
    <xf numFmtId="3" fontId="161" fillId="0" borderId="44" applyBorder="0">
      <alignment horizontal="right" wrapText="1"/>
    </xf>
    <xf numFmtId="3" fontId="161" fillId="0" borderId="44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0" fontId="1" fillId="0" borderId="0"/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0" fontId="1" fillId="0" borderId="0"/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4" fillId="44" borderId="47" applyNumberFormat="0" applyProtection="0">
      <alignment vertical="center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0" fontId="1" fillId="0" borderId="0"/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5" fillId="54" borderId="47" applyNumberFormat="0" applyProtection="0">
      <alignment horizontal="left" vertical="center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" fillId="0" borderId="0"/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4" fontId="167" fillId="0" borderId="0" applyNumberFormat="0" applyProtection="0">
      <alignment horizontal="left" vertical="center" indent="1"/>
    </xf>
    <xf numFmtId="4" fontId="166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0" fontId="1" fillId="0" borderId="0"/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70" fillId="36" borderId="47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0" fontId="1" fillId="0" borderId="0"/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70" fillId="37" borderId="47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0" fontId="1" fillId="0" borderId="0"/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70" fillId="59" borderId="47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0" fontId="1" fillId="0" borderId="0"/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70" fillId="45" borderId="47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0" fontId="1" fillId="0" borderId="0"/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70" fillId="50" borderId="47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0" fontId="1" fillId="0" borderId="0"/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70" fillId="47" borderId="47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0" fontId="1" fillId="0" borderId="0"/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79" fillId="63" borderId="47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0" fontId="1" fillId="0" borderId="0"/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70" fillId="84" borderId="47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0" fontId="1" fillId="0" borderId="0"/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70" fillId="43" borderId="47" applyNumberFormat="0" applyProtection="0">
      <alignment horizontal="right" vertical="center"/>
    </xf>
    <xf numFmtId="4" fontId="162" fillId="89" borderId="35" applyNumberFormat="0" applyProtection="0">
      <alignment horizontal="left" vertical="center" indent="1"/>
    </xf>
    <xf numFmtId="0" fontId="1" fillId="0" borderId="0"/>
    <xf numFmtId="4" fontId="171" fillId="89" borderId="47" applyNumberFormat="0" applyProtection="0">
      <alignment horizontal="left" vertical="center" indent="1"/>
    </xf>
    <xf numFmtId="4" fontId="172" fillId="74" borderId="35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0" fontId="1" fillId="0" borderId="0"/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0" fillId="55" borderId="47" applyNumberFormat="0" applyProtection="0">
      <alignment horizontal="right" vertical="center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79" fillId="68" borderId="47" applyNumberFormat="0" applyProtection="0">
      <alignment horizontal="left" vertical="center" indent="1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88" borderId="0" applyNumberFormat="0" applyProtection="0">
      <alignment horizontal="left" vertical="center" indent="1"/>
    </xf>
    <xf numFmtId="4" fontId="170" fillId="54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4" fontId="79" fillId="91" borderId="47">
      <protection locked="0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0" fontId="1" fillId="0" borderId="0"/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70" fillId="55" borderId="47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0" fontId="1" fillId="0" borderId="0"/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0" fontId="1" fillId="0" borderId="0"/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1" fillId="55" borderId="47" applyNumberFormat="0" applyProtection="0">
      <alignment horizontal="left" vertical="center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" fillId="0" borderId="0"/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0" fillId="55" borderId="47" applyNumberFormat="0" applyProtection="0">
      <alignment horizontal="left" vertical="top" indent="1"/>
    </xf>
    <xf numFmtId="4" fontId="176" fillId="0" borderId="0" applyNumberFormat="0" applyProtection="0">
      <alignment horizontal="right" vertical="center"/>
    </xf>
    <xf numFmtId="0" fontId="1" fillId="0" borderId="0"/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70" fillId="0" borderId="47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0" fontId="1" fillId="0" borderId="0"/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8" fillId="55" borderId="47" applyNumberFormat="0" applyProtection="0">
      <alignment horizontal="right" vertical="center"/>
    </xf>
    <xf numFmtId="4" fontId="172" fillId="0" borderId="0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67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80" fillId="0" borderId="0" applyNumberFormat="0" applyProtection="0">
      <alignment horizontal="left" vertical="center" indent="1"/>
    </xf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0" fontId="1" fillId="0" borderId="0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79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181" fillId="0" borderId="0" applyNumberFormat="0" applyFill="0" applyBorder="0" applyAlignment="0" applyProtection="0"/>
    <xf numFmtId="0" fontId="97" fillId="0" borderId="49"/>
    <xf numFmtId="0" fontId="182" fillId="0" borderId="0"/>
    <xf numFmtId="0" fontId="97" fillId="0" borderId="0">
      <alignment horizontal="right"/>
    </xf>
    <xf numFmtId="0" fontId="97" fillId="0" borderId="0">
      <alignment horizontal="left"/>
    </xf>
    <xf numFmtId="0" fontId="29" fillId="0" borderId="0"/>
    <xf numFmtId="0" fontId="1" fillId="0" borderId="0"/>
    <xf numFmtId="0" fontId="1" fillId="0" borderId="0">
      <alignment vertical="top"/>
    </xf>
    <xf numFmtId="0" fontId="183" fillId="92" borderId="50" applyBorder="0"/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4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273" fontId="185" fillId="0" borderId="0" applyNumberFormat="0" applyFill="0" applyBorder="0" applyAlignment="0" applyProtection="0">
      <alignment horizontal="right" vertical="center" wrapText="1"/>
    </xf>
    <xf numFmtId="0" fontId="186" fillId="0" borderId="0" applyNumberFormat="0" applyFill="0" applyBorder="0" applyAlignment="0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8" fillId="0" borderId="0" applyFill="0" applyBorder="0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37" fontId="189" fillId="0" borderId="0"/>
    <xf numFmtId="0" fontId="1" fillId="0" borderId="0">
      <alignment horizontal="left"/>
    </xf>
    <xf numFmtId="38" fontId="190" fillId="0" borderId="0"/>
    <xf numFmtId="0" fontId="191" fillId="0" borderId="0" applyNumberFormat="0" applyProtection="0">
      <alignment horizontal="left"/>
    </xf>
    <xf numFmtId="0" fontId="192" fillId="0" borderId="0"/>
    <xf numFmtId="0" fontId="19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194" fillId="0" borderId="0">
      <alignment horizontal="left" vertical="top"/>
    </xf>
    <xf numFmtId="0" fontId="195" fillId="0" borderId="0">
      <alignment horizontal="left"/>
    </xf>
    <xf numFmtId="274" fontId="196" fillId="98" borderId="0" applyNumberFormat="0" applyBorder="0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6" fillId="99" borderId="0" applyNumberFormat="0" applyBorder="0">
      <protection locked="0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8" fillId="0" borderId="0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0" borderId="0"/>
    <xf numFmtId="37" fontId="29" fillId="0" borderId="0"/>
    <xf numFmtId="37" fontId="29" fillId="0" borderId="0"/>
    <xf numFmtId="37" fontId="29" fillId="0" borderId="0"/>
    <xf numFmtId="37" fontId="29" fillId="44" borderId="0" applyNumberFormat="0" applyBorder="0" applyAlignment="0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200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7" fillId="0" borderId="0" applyFont="0" applyFill="0" applyBorder="0" applyAlignment="0" applyProtection="0"/>
    <xf numFmtId="285" fontId="37" fillId="0" borderId="0" applyFon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2" fillId="0" borderId="0"/>
    <xf numFmtId="10" fontId="203" fillId="100" borderId="1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7" fillId="0" borderId="0" applyFont="0" applyFill="0" applyBorder="0" applyAlignment="0" applyProtection="0">
      <alignment horizontal="right"/>
    </xf>
    <xf numFmtId="0" fontId="204" fillId="44" borderId="0">
      <alignment horizontal="left" vertical="center" indent="1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287" fontId="29" fillId="0" borderId="0">
      <alignment horizontal="center"/>
    </xf>
    <xf numFmtId="2" fontId="205" fillId="0" borderId="0"/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4" fontId="38" fillId="0" borderId="0"/>
    <xf numFmtId="0" fontId="24" fillId="0" borderId="35" applyNumberFormat="0">
      <alignment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288" fontId="24" fillId="0" borderId="0" applyFont="0" applyFill="0" applyBorder="0" applyAlignment="0" applyProtection="0"/>
    <xf numFmtId="3" fontId="206" fillId="0" borderId="12" applyFont="0" applyBorder="0">
      <alignment horizontal="right"/>
      <protection locked="0"/>
    </xf>
    <xf numFmtId="289" fontId="24" fillId="0" borderId="0" applyFont="0" applyFill="0" applyBorder="0" applyAlignment="0" applyProtection="0"/>
    <xf numFmtId="0" fontId="207" fillId="0" borderId="0"/>
  </cellStyleXfs>
  <cellXfs count="25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0" fillId="2" borderId="0" xfId="0" applyFill="1"/>
    <xf numFmtId="0" fontId="0" fillId="0" borderId="0" xfId="0" applyBorder="1"/>
    <xf numFmtId="0" fontId="0" fillId="0" borderId="0" xfId="0" applyFill="1"/>
    <xf numFmtId="0" fontId="0" fillId="0" borderId="0" xfId="0" applyFill="1"/>
    <xf numFmtId="0" fontId="2" fillId="0" borderId="0" xfId="0" applyFont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1" fillId="0" borderId="1" xfId="7428" applyFont="1" applyFill="1" applyBorder="1" applyAlignment="1"/>
    <xf numFmtId="0" fontId="1" fillId="0" borderId="0" xfId="0" applyFont="1" applyFill="1"/>
    <xf numFmtId="0" fontId="1" fillId="0" borderId="0" xfId="7428" applyFont="1" applyFill="1" applyAlignment="1">
      <alignment horizontal="center"/>
    </xf>
    <xf numFmtId="0" fontId="1" fillId="0" borderId="0" xfId="7428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wrapText="1"/>
    </xf>
    <xf numFmtId="0" fontId="1" fillId="0" borderId="0" xfId="0" applyFont="1" applyFill="1" applyAlignment="1"/>
    <xf numFmtId="0" fontId="0" fillId="0" borderId="0" xfId="0" applyFill="1"/>
    <xf numFmtId="0" fontId="0" fillId="0" borderId="0" xfId="0" applyFill="1" applyAlignment="1">
      <alignment horizontal="right" wrapText="1"/>
    </xf>
    <xf numFmtId="0" fontId="0" fillId="0" borderId="0" xfId="0" applyFill="1" applyAlignment="1">
      <alignment vertical="center"/>
    </xf>
    <xf numFmtId="0" fontId="3" fillId="0" borderId="0" xfId="7428" applyFont="1" applyFill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zoomScale="79" zoomScaleNormal="79" workbookViewId="0">
      <selection activeCell="K25" sqref="K25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25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49"/>
  <sheetViews>
    <sheetView tabSelected="1" zoomScale="35" zoomScaleNormal="35" topLeftCell="V1" workbookViewId="0">
      <selection activeCell="AO30" sqref="AO29:AO30"/>
    </sheetView>
  </sheetViews>
  <sheetFormatPr defaultColWidth="8.72727272727273" defaultRowHeight="14.5"/>
  <cols>
    <col min="1" max="1" width="10.5272727272727" style="5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14" max="16" width="8.72727272727273" style="6"/>
    <col min="17" max="17" width="28.5454545454545" style="6" customWidth="1"/>
    <col min="18" max="18" width="8.72727272727273" style="6"/>
    <col min="19" max="19" width="10.5454545454545" style="6"/>
    <col min="20" max="21" width="10.5454545454545"/>
    <col min="23" max="24" width="12.8181818181818"/>
    <col min="25" max="25" width="28.5272727272727" customWidth="1"/>
    <col min="32" max="32" width="18.4363636363636" style="7" customWidth="1"/>
    <col min="33" max="33" width="24.4545454545455" style="7" customWidth="1"/>
    <col min="34" max="34" width="8.72727272727273" style="7"/>
    <col min="35" max="35" width="28.5272727272727" style="7" customWidth="1"/>
    <col min="36" max="40" width="8.72727272727273" style="7"/>
    <col min="41" max="41" width="139.8" style="7" customWidth="1"/>
  </cols>
  <sheetData>
    <row r="1" spans="4:39">
      <c r="O1" s="6" t="s">
        <v>25</v>
      </c>
    </row>
    <row r="2" spans="4:39">
      <c r="D2" s="8" t="s">
        <v>26</v>
      </c>
      <c r="K2" s="9" t="s">
        <v>27</v>
      </c>
      <c r="L2" s="9"/>
      <c r="M2" s="9"/>
      <c r="Q2" s="6" t="s">
        <v>28</v>
      </c>
    </row>
    <row r="3" spans="4:39">
      <c r="D3" t="s">
        <v>29</v>
      </c>
      <c r="E3" t="s">
        <v>30</v>
      </c>
      <c r="F3" t="s">
        <v>31</v>
      </c>
      <c r="G3" t="s">
        <v>32</v>
      </c>
      <c r="H3" t="s">
        <v>33</v>
      </c>
      <c r="Q3" s="6" t="s">
        <v>29</v>
      </c>
      <c r="R3" s="6" t="s">
        <v>30</v>
      </c>
      <c r="S3" s="6" t="s">
        <v>31</v>
      </c>
      <c r="T3" t="s">
        <v>32</v>
      </c>
      <c r="U3" t="s">
        <v>33</v>
      </c>
      <c r="AF3" s="7" t="s">
        <v>34</v>
      </c>
    </row>
    <row r="4" spans="4:39">
      <c r="D4" s="10" t="s">
        <v>35</v>
      </c>
      <c r="E4" s="10">
        <v>2023</v>
      </c>
      <c r="F4">
        <f>K4</f>
        <v>24.114953</v>
      </c>
      <c r="G4">
        <f t="shared" ref="G4:G10" si="0">L4</f>
        <v>16.646019</v>
      </c>
      <c r="H4">
        <f t="shared" ref="H4:H10" si="1">M4</f>
        <v>32.047515</v>
      </c>
      <c r="I4" s="11"/>
      <c r="J4" s="11"/>
      <c r="K4" s="12">
        <v>24.114953</v>
      </c>
      <c r="L4" s="12">
        <v>16.646019</v>
      </c>
      <c r="M4" s="12">
        <v>32.047515</v>
      </c>
      <c r="N4" s="13"/>
      <c r="O4" s="14"/>
      <c r="P4" s="14"/>
      <c r="Q4" s="12" t="s">
        <v>35</v>
      </c>
      <c r="R4" s="12">
        <v>2023</v>
      </c>
      <c r="S4" s="12">
        <v>175</v>
      </c>
      <c r="T4" s="11">
        <f>S4*0.9</f>
        <v>157.5</v>
      </c>
      <c r="U4" s="11">
        <f>S4</f>
        <v>175</v>
      </c>
      <c r="V4" s="11"/>
      <c r="W4" s="11"/>
      <c r="X4" s="11"/>
      <c r="Y4" s="11"/>
      <c r="Z4" s="11"/>
      <c r="AA4" s="11"/>
      <c r="AB4" s="11"/>
      <c r="AC4" s="11"/>
      <c r="AD4" s="11"/>
      <c r="AE4" s="11"/>
      <c r="AF4" s="7" t="s">
        <v>36</v>
      </c>
      <c r="AG4" s="15" t="s">
        <v>29</v>
      </c>
      <c r="AH4" s="7" t="s">
        <v>37</v>
      </c>
      <c r="AI4" s="7" t="s">
        <v>38</v>
      </c>
    </row>
    <row r="5" ht="29" spans="4:39">
      <c r="D5" s="10" t="s">
        <v>39</v>
      </c>
      <c r="E5" s="10">
        <v>2023</v>
      </c>
      <c r="F5">
        <f t="shared" ref="F5:F10" si="2">K5</f>
        <v>28.62258</v>
      </c>
      <c r="G5">
        <f t="shared" si="0"/>
        <v>19.897695</v>
      </c>
      <c r="H5">
        <f t="shared" si="1"/>
        <v>37.879065</v>
      </c>
      <c r="I5" s="16"/>
      <c r="J5" s="16"/>
      <c r="K5" s="14">
        <v>28.62258</v>
      </c>
      <c r="L5" s="14">
        <v>19.897695</v>
      </c>
      <c r="M5" s="14">
        <v>37.879065</v>
      </c>
      <c r="N5" s="17"/>
      <c r="O5" s="14"/>
      <c r="P5" s="14"/>
      <c r="Q5" s="14" t="s">
        <v>39</v>
      </c>
      <c r="R5" s="14">
        <v>2023</v>
      </c>
      <c r="S5" s="14">
        <f t="shared" ref="S5:S10" si="3">S4</f>
        <v>175</v>
      </c>
      <c r="T5" s="11">
        <f t="shared" ref="T5:T10" si="4">S5*0.9</f>
        <v>157.5</v>
      </c>
      <c r="U5" s="11">
        <f t="shared" ref="U5:U10" si="5">S5</f>
        <v>175</v>
      </c>
      <c r="V5" s="16"/>
      <c r="W5" s="16"/>
      <c r="X5" s="16"/>
      <c r="Y5" s="16"/>
      <c r="Z5" s="16"/>
      <c r="AA5" s="16"/>
      <c r="AB5" s="16"/>
      <c r="AC5" s="16"/>
      <c r="AD5" s="16"/>
      <c r="AE5" s="16"/>
      <c r="AF5" s="18" t="s">
        <v>40</v>
      </c>
      <c r="AG5" s="19" t="s">
        <v>35</v>
      </c>
      <c r="AH5" s="20">
        <v>2019</v>
      </c>
      <c r="AI5" s="21">
        <v>0.075</v>
      </c>
      <c r="AJ5" s="20"/>
      <c r="AK5" s="20"/>
      <c r="AL5" s="20"/>
      <c r="AM5" s="22"/>
    </row>
    <row r="6" ht="29" spans="4:39">
      <c r="D6" s="10" t="s">
        <v>41</v>
      </c>
      <c r="E6" s="10">
        <v>2023</v>
      </c>
      <c r="F6">
        <f t="shared" si="2"/>
        <v>25.604309</v>
      </c>
      <c r="G6">
        <f t="shared" si="0"/>
        <v>16.830441</v>
      </c>
      <c r="H6">
        <f t="shared" si="1"/>
        <v>34.898388</v>
      </c>
      <c r="I6" s="16"/>
      <c r="J6" s="16"/>
      <c r="K6" s="14">
        <v>25.604309</v>
      </c>
      <c r="L6" s="14">
        <v>16.830441</v>
      </c>
      <c r="M6" s="14">
        <v>34.898388</v>
      </c>
      <c r="N6" s="17"/>
      <c r="O6" s="14"/>
      <c r="P6" s="14"/>
      <c r="Q6" s="14" t="s">
        <v>41</v>
      </c>
      <c r="R6" s="14">
        <v>2023</v>
      </c>
      <c r="S6" s="14">
        <f t="shared" si="3"/>
        <v>175</v>
      </c>
      <c r="T6" s="11">
        <f t="shared" si="4"/>
        <v>157.5</v>
      </c>
      <c r="U6" s="11">
        <f t="shared" si="5"/>
        <v>175</v>
      </c>
      <c r="V6" s="16"/>
      <c r="W6" s="16"/>
      <c r="X6" s="16"/>
      <c r="Y6" s="16"/>
      <c r="Z6" s="16"/>
      <c r="AA6" s="16"/>
      <c r="AB6" s="16"/>
      <c r="AC6" s="16"/>
      <c r="AD6" s="16"/>
      <c r="AE6" s="16"/>
      <c r="AF6" s="18" t="s">
        <v>42</v>
      </c>
      <c r="AG6" s="20" t="s">
        <v>35</v>
      </c>
      <c r="AH6" s="20">
        <v>2019</v>
      </c>
      <c r="AI6" s="21">
        <v>0.225</v>
      </c>
      <c r="AJ6" s="20"/>
      <c r="AK6" s="20"/>
      <c r="AL6" s="20"/>
      <c r="AM6" s="22"/>
    </row>
    <row r="7" spans="4:39">
      <c r="D7" s="10" t="s">
        <v>43</v>
      </c>
      <c r="E7" s="10">
        <v>2023</v>
      </c>
      <c r="F7">
        <f t="shared" si="2"/>
        <v>25.656471</v>
      </c>
      <c r="G7">
        <f t="shared" si="0"/>
        <v>16.667853</v>
      </c>
      <c r="H7">
        <f t="shared" si="1"/>
        <v>35.191293</v>
      </c>
      <c r="I7" s="16"/>
      <c r="J7" s="16"/>
      <c r="K7" s="14">
        <v>25.656471</v>
      </c>
      <c r="L7" s="14">
        <v>16.667853</v>
      </c>
      <c r="M7" s="14">
        <v>35.191293</v>
      </c>
      <c r="N7" s="17"/>
      <c r="O7" s="14"/>
      <c r="P7" s="14"/>
      <c r="Q7" s="14" t="s">
        <v>43</v>
      </c>
      <c r="R7" s="14">
        <v>2023</v>
      </c>
      <c r="S7" s="14">
        <f t="shared" si="3"/>
        <v>175</v>
      </c>
      <c r="T7" s="11">
        <f t="shared" si="4"/>
        <v>157.5</v>
      </c>
      <c r="U7" s="11">
        <f t="shared" si="5"/>
        <v>175</v>
      </c>
      <c r="V7" s="16"/>
      <c r="W7" s="16"/>
      <c r="X7" s="16"/>
      <c r="Y7" s="16"/>
      <c r="Z7" s="16"/>
      <c r="AA7" s="16"/>
      <c r="AB7" s="16"/>
      <c r="AC7" s="16"/>
      <c r="AD7" s="16"/>
      <c r="AE7" s="16"/>
      <c r="AF7" s="18" t="s">
        <v>44</v>
      </c>
      <c r="AG7" s="20" t="s">
        <v>35</v>
      </c>
      <c r="AH7" s="20">
        <v>2019</v>
      </c>
      <c r="AI7" s="21">
        <v>0.355</v>
      </c>
      <c r="AJ7" s="20"/>
      <c r="AK7" s="20"/>
      <c r="AL7" s="20"/>
      <c r="AM7" s="22"/>
    </row>
    <row r="8" spans="4:39">
      <c r="D8" s="10" t="s">
        <v>45</v>
      </c>
      <c r="E8" s="10">
        <v>2023</v>
      </c>
      <c r="F8">
        <f t="shared" si="2"/>
        <v>27.027875</v>
      </c>
      <c r="G8">
        <f t="shared" si="0"/>
        <v>17.81031</v>
      </c>
      <c r="H8">
        <f t="shared" si="1"/>
        <v>36.800715</v>
      </c>
      <c r="I8" s="16"/>
      <c r="J8" s="16"/>
      <c r="K8" s="14">
        <v>27.027875</v>
      </c>
      <c r="L8" s="14">
        <v>17.81031</v>
      </c>
      <c r="M8" s="14">
        <v>36.800715</v>
      </c>
      <c r="N8" s="17"/>
      <c r="O8" s="14"/>
      <c r="P8" s="14"/>
      <c r="Q8" s="14" t="s">
        <v>45</v>
      </c>
      <c r="R8" s="14">
        <v>2023</v>
      </c>
      <c r="S8" s="14">
        <f t="shared" si="3"/>
        <v>175</v>
      </c>
      <c r="T8" s="11">
        <f t="shared" si="4"/>
        <v>157.5</v>
      </c>
      <c r="U8" s="11">
        <f t="shared" si="5"/>
        <v>175</v>
      </c>
      <c r="V8" s="16"/>
      <c r="W8" s="16"/>
      <c r="X8" s="16"/>
      <c r="Y8" s="16"/>
      <c r="Z8" s="16"/>
      <c r="AA8" s="16"/>
      <c r="AB8" s="16"/>
      <c r="AC8" s="16"/>
      <c r="AD8" s="16"/>
      <c r="AE8" s="16"/>
      <c r="AF8" s="18" t="s">
        <v>46</v>
      </c>
      <c r="AG8" s="20" t="s">
        <v>35</v>
      </c>
      <c r="AH8" s="20">
        <v>2019</v>
      </c>
      <c r="AI8" s="21">
        <v>0.135</v>
      </c>
      <c r="AJ8" s="20"/>
      <c r="AK8" s="20"/>
      <c r="AL8" s="20"/>
      <c r="AM8" s="22"/>
    </row>
    <row r="9" spans="4:39">
      <c r="D9" s="10" t="s">
        <v>47</v>
      </c>
      <c r="E9" s="10">
        <v>2023</v>
      </c>
      <c r="F9">
        <f t="shared" si="2"/>
        <v>26.076665</v>
      </c>
      <c r="G9">
        <f t="shared" si="0"/>
        <v>17.201265</v>
      </c>
      <c r="H9">
        <f t="shared" si="1"/>
        <v>35.48169</v>
      </c>
      <c r="I9" s="16"/>
      <c r="J9" s="16"/>
      <c r="K9" s="14">
        <v>26.076665</v>
      </c>
      <c r="L9" s="14">
        <v>17.201265</v>
      </c>
      <c r="M9" s="14">
        <v>35.48169</v>
      </c>
      <c r="N9" s="17"/>
      <c r="O9" s="14"/>
      <c r="P9" s="14"/>
      <c r="Q9" s="14" t="s">
        <v>47</v>
      </c>
      <c r="R9" s="14">
        <v>2023</v>
      </c>
      <c r="S9" s="14">
        <f t="shared" si="3"/>
        <v>175</v>
      </c>
      <c r="T9" s="11">
        <f t="shared" si="4"/>
        <v>157.5</v>
      </c>
      <c r="U9" s="11">
        <f t="shared" si="5"/>
        <v>175</v>
      </c>
      <c r="V9" s="16"/>
      <c r="W9" s="16"/>
      <c r="X9" s="16"/>
      <c r="Y9" s="16"/>
      <c r="Z9" s="16"/>
      <c r="AA9" s="16"/>
      <c r="AB9" s="16"/>
      <c r="AC9" s="16"/>
      <c r="AD9" s="16"/>
      <c r="AE9" s="16"/>
      <c r="AF9" s="18" t="s">
        <v>48</v>
      </c>
      <c r="AG9" s="20" t="s">
        <v>35</v>
      </c>
      <c r="AH9" s="20">
        <v>2019</v>
      </c>
      <c r="AI9" s="21">
        <v>0.045</v>
      </c>
      <c r="AJ9" s="20"/>
      <c r="AK9" s="20"/>
      <c r="AL9" s="20"/>
      <c r="AM9" s="22"/>
    </row>
    <row r="10" spans="4:39">
      <c r="D10" s="10" t="s">
        <v>49</v>
      </c>
      <c r="E10" s="10">
        <v>2023</v>
      </c>
      <c r="F10">
        <f t="shared" si="2"/>
        <v>26.8658</v>
      </c>
      <c r="G10">
        <f t="shared" si="0"/>
        <v>17.996844</v>
      </c>
      <c r="H10">
        <f t="shared" si="1"/>
        <v>36.262356</v>
      </c>
      <c r="I10" s="16"/>
      <c r="J10" s="16"/>
      <c r="K10" s="14">
        <v>26.8658</v>
      </c>
      <c r="L10" s="14">
        <v>17.996844</v>
      </c>
      <c r="M10" s="14">
        <v>36.262356</v>
      </c>
      <c r="N10" s="17"/>
      <c r="O10" s="14"/>
      <c r="P10" s="14"/>
      <c r="Q10" s="14" t="s">
        <v>49</v>
      </c>
      <c r="R10" s="14">
        <v>2023</v>
      </c>
      <c r="S10" s="14">
        <f t="shared" si="3"/>
        <v>175</v>
      </c>
      <c r="T10" s="11">
        <f t="shared" si="4"/>
        <v>157.5</v>
      </c>
      <c r="U10" s="11">
        <f t="shared" si="5"/>
        <v>175</v>
      </c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8" t="s">
        <v>50</v>
      </c>
      <c r="AG10" s="20" t="s">
        <v>35</v>
      </c>
      <c r="AH10" s="20">
        <v>2019</v>
      </c>
      <c r="AI10" s="21">
        <v>0.43</v>
      </c>
      <c r="AJ10" s="20"/>
      <c r="AK10" s="20"/>
      <c r="AL10" s="20"/>
      <c r="AM10" s="22"/>
    </row>
    <row r="11" spans="4:39">
      <c r="D11" s="13"/>
      <c r="E11" s="13"/>
      <c r="F11" s="13"/>
      <c r="G11" s="16"/>
      <c r="H11" s="16"/>
      <c r="I11" s="16"/>
      <c r="J11" s="16"/>
      <c r="K11" s="14"/>
      <c r="L11" s="14"/>
      <c r="M11" s="14"/>
      <c r="N11" s="17"/>
      <c r="O11" s="14"/>
      <c r="P11" s="14"/>
      <c r="Q11" s="14"/>
      <c r="R11" s="14"/>
      <c r="S11" s="14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8" t="s">
        <v>51</v>
      </c>
      <c r="AG11" s="20" t="s">
        <v>35</v>
      </c>
      <c r="AH11" s="20">
        <v>2019</v>
      </c>
      <c r="AI11" s="21">
        <v>0.4</v>
      </c>
      <c r="AJ11" s="20"/>
      <c r="AK11" s="20"/>
      <c r="AL11" s="20"/>
      <c r="AM11" s="22"/>
    </row>
    <row r="12" spans="4:39">
      <c r="D12" s="13"/>
      <c r="E12" s="13"/>
      <c r="F12" s="13"/>
      <c r="G12" s="16"/>
      <c r="H12" s="16"/>
      <c r="I12" s="16"/>
      <c r="J12" s="16"/>
      <c r="K12" s="16"/>
      <c r="L12" s="16"/>
      <c r="M12" s="16"/>
      <c r="N12" s="17"/>
      <c r="O12" s="23"/>
      <c r="P12" s="14"/>
      <c r="Q12" s="23"/>
      <c r="R12" s="23"/>
      <c r="S12" s="23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8" t="s">
        <v>32</v>
      </c>
      <c r="AG12" s="20" t="s">
        <v>35</v>
      </c>
      <c r="AH12" s="20">
        <v>2019</v>
      </c>
      <c r="AI12" s="21">
        <v>1.9</v>
      </c>
      <c r="AJ12" s="20"/>
      <c r="AK12" s="20"/>
      <c r="AL12" s="20"/>
      <c r="AM12" s="22"/>
    </row>
    <row r="13" ht="29" spans="4:39">
      <c r="O13" s="2"/>
      <c r="P13" s="2"/>
      <c r="Q13" s="2"/>
      <c r="R13" s="2"/>
      <c r="S13" s="2"/>
      <c r="AF13" s="18" t="s">
        <v>52</v>
      </c>
      <c r="AG13" s="20" t="s">
        <v>35</v>
      </c>
      <c r="AH13" s="20">
        <v>2019</v>
      </c>
      <c r="AI13" s="21">
        <v>0.095</v>
      </c>
      <c r="AJ13" s="20"/>
      <c r="AK13" s="20"/>
      <c r="AL13" s="20"/>
    </row>
    <row r="14" ht="29" spans="4:39">
      <c r="O14" s="2"/>
      <c r="P14" s="2"/>
      <c r="Q14" s="2"/>
      <c r="R14" s="2"/>
      <c r="S14" s="2"/>
      <c r="AF14" s="18" t="s">
        <v>53</v>
      </c>
      <c r="AG14" s="20" t="s">
        <v>35</v>
      </c>
      <c r="AH14" s="20">
        <v>2019</v>
      </c>
      <c r="AI14" s="21">
        <v>0.195</v>
      </c>
      <c r="AJ14" s="20"/>
      <c r="AK14" s="20"/>
      <c r="AL14" s="20"/>
    </row>
    <row r="15" spans="4:39">
      <c r="D15" t="s">
        <v>26</v>
      </c>
      <c r="O15" s="2"/>
      <c r="P15" s="2"/>
      <c r="Q15" s="2"/>
      <c r="R15" s="2"/>
      <c r="S15" s="2"/>
      <c r="AF15" s="18" t="s">
        <v>54</v>
      </c>
      <c r="AG15" s="20" t="s">
        <v>35</v>
      </c>
      <c r="AH15" s="20">
        <v>2019</v>
      </c>
      <c r="AI15" s="21">
        <v>1.47</v>
      </c>
      <c r="AJ15" s="20"/>
      <c r="AK15" s="20"/>
      <c r="AL15" s="20"/>
    </row>
    <row r="16" spans="4:39">
      <c r="D16" t="s">
        <v>29</v>
      </c>
      <c r="E16" t="s">
        <v>30</v>
      </c>
      <c r="F16" t="s">
        <v>31</v>
      </c>
      <c r="G16" t="s">
        <v>32</v>
      </c>
      <c r="H16" t="s">
        <v>33</v>
      </c>
      <c r="O16" s="1"/>
      <c r="P16" s="1"/>
      <c r="Q16" s="14"/>
      <c r="R16" s="2"/>
      <c r="S16" s="2"/>
      <c r="AF16" s="18" t="s">
        <v>55</v>
      </c>
      <c r="AG16" s="20" t="s">
        <v>35</v>
      </c>
      <c r="AH16" s="20">
        <v>2019</v>
      </c>
      <c r="AI16" s="21">
        <v>2.205</v>
      </c>
      <c r="AJ16" s="20"/>
      <c r="AK16" s="20"/>
      <c r="AL16" s="20"/>
    </row>
    <row r="17" ht="29" spans="1:38">
      <c r="D17" s="10" t="s">
        <v>35</v>
      </c>
      <c r="E17">
        <v>2025</v>
      </c>
      <c r="F17">
        <f t="shared" ref="F17:F23" si="6">K17/1</f>
        <v>21.8757073642856</v>
      </c>
      <c r="G17">
        <f t="shared" ref="G17:G23" si="7">L17/1</f>
        <v>15.1003172357142</v>
      </c>
      <c r="H17">
        <f t="shared" ref="H17:H23" si="8">M17/1</f>
        <v>29.0716743214285</v>
      </c>
      <c r="K17" s="12">
        <v>21.8757073642856</v>
      </c>
      <c r="L17" s="12">
        <v>15.1003172357142</v>
      </c>
      <c r="M17" s="12">
        <v>29.0716743214285</v>
      </c>
      <c r="O17" s="14"/>
      <c r="P17" s="14"/>
      <c r="Q17" s="12"/>
      <c r="R17" s="12"/>
      <c r="S17" s="12"/>
      <c r="AF17" s="18" t="s">
        <v>56</v>
      </c>
      <c r="AG17" s="20" t="s">
        <v>35</v>
      </c>
      <c r="AH17" s="20">
        <v>2019</v>
      </c>
      <c r="AI17" s="21">
        <v>0.14</v>
      </c>
      <c r="AJ17" s="20"/>
      <c r="AK17" s="20"/>
      <c r="AL17" s="20"/>
    </row>
    <row r="18" ht="29" spans="1:38">
      <c r="D18" s="10" t="s">
        <v>39</v>
      </c>
      <c r="E18">
        <v>2025</v>
      </c>
      <c r="F18">
        <f t="shared" si="6"/>
        <v>25.9647689999999</v>
      </c>
      <c r="G18">
        <f t="shared" si="7"/>
        <v>18.0500518928571</v>
      </c>
      <c r="H18">
        <f t="shared" si="8"/>
        <v>34.36172325</v>
      </c>
      <c r="K18" s="14">
        <v>25.9647689999999</v>
      </c>
      <c r="L18" s="14">
        <v>18.0500518928571</v>
      </c>
      <c r="M18" s="14">
        <v>34.36172325</v>
      </c>
      <c r="O18" s="14"/>
      <c r="P18" s="14"/>
      <c r="Q18" s="14"/>
      <c r="R18" s="14"/>
      <c r="S18" s="14"/>
      <c r="AF18" s="18" t="s">
        <v>57</v>
      </c>
      <c r="AG18" s="20" t="s">
        <v>35</v>
      </c>
      <c r="AH18" s="20">
        <v>2019</v>
      </c>
      <c r="AI18" s="21">
        <v>0.26</v>
      </c>
      <c r="AJ18" s="20"/>
      <c r="AK18" s="20"/>
      <c r="AL18" s="20"/>
    </row>
    <row r="19" spans="1:38">
      <c r="D19" s="10" t="s">
        <v>41</v>
      </c>
      <c r="E19">
        <v>2025</v>
      </c>
      <c r="F19">
        <f t="shared" si="6"/>
        <v>23.2267660214285</v>
      </c>
      <c r="G19">
        <f t="shared" si="7"/>
        <v>15.2676143357142</v>
      </c>
      <c r="H19">
        <f t="shared" si="8"/>
        <v>31.6578234</v>
      </c>
      <c r="K19" s="14">
        <v>23.2267660214285</v>
      </c>
      <c r="L19" s="14">
        <v>15.2676143357142</v>
      </c>
      <c r="M19" s="14">
        <v>31.6578234</v>
      </c>
      <c r="O19" s="14"/>
      <c r="P19" s="14"/>
      <c r="Q19" s="14"/>
      <c r="R19" s="14"/>
      <c r="S19" s="14"/>
      <c r="AF19" s="18" t="s">
        <v>58</v>
      </c>
      <c r="AG19" s="20" t="s">
        <v>35</v>
      </c>
      <c r="AH19" s="20">
        <v>2019</v>
      </c>
      <c r="AI19" s="21">
        <v>0.025</v>
      </c>
      <c r="AJ19" s="20"/>
      <c r="AK19" s="20"/>
      <c r="AL19" s="20"/>
    </row>
    <row r="20" spans="1:38">
      <c r="D20" s="10" t="s">
        <v>43</v>
      </c>
      <c r="E20">
        <v>2025</v>
      </c>
      <c r="F20">
        <f t="shared" si="6"/>
        <v>23.2740844071428</v>
      </c>
      <c r="G20">
        <f t="shared" si="7"/>
        <v>15.1201237928571</v>
      </c>
      <c r="H20">
        <f t="shared" si="8"/>
        <v>31.9235300785713</v>
      </c>
      <c r="K20" s="14">
        <v>23.2740844071428</v>
      </c>
      <c r="L20" s="14">
        <v>15.1201237928571</v>
      </c>
      <c r="M20" s="14">
        <v>31.9235300785713</v>
      </c>
      <c r="O20" s="14"/>
      <c r="P20" s="14"/>
      <c r="Q20" s="14"/>
      <c r="R20" s="14"/>
      <c r="S20" s="14"/>
      <c r="AF20" s="18" t="s">
        <v>59</v>
      </c>
      <c r="AG20" s="20" t="s">
        <v>35</v>
      </c>
      <c r="AH20" s="20">
        <v>2019</v>
      </c>
      <c r="AI20" s="21">
        <v>0</v>
      </c>
      <c r="AJ20" s="20"/>
      <c r="AK20" s="20"/>
      <c r="AL20" s="20"/>
    </row>
    <row r="21" spans="1:38">
      <c r="D21" s="10" t="s">
        <v>45</v>
      </c>
      <c r="E21">
        <v>2025</v>
      </c>
      <c r="F21">
        <f t="shared" si="6"/>
        <v>24.5181437499999</v>
      </c>
      <c r="G21">
        <f t="shared" si="7"/>
        <v>16.1564954999999</v>
      </c>
      <c r="H21">
        <f t="shared" si="8"/>
        <v>33.38350575</v>
      </c>
      <c r="K21" s="14">
        <v>24.5181437499999</v>
      </c>
      <c r="L21" s="14">
        <v>16.1564954999999</v>
      </c>
      <c r="M21" s="14">
        <v>33.38350575</v>
      </c>
      <c r="O21" s="14"/>
      <c r="P21" s="14"/>
      <c r="Q21" s="14"/>
      <c r="R21" s="14"/>
      <c r="S21" s="14"/>
      <c r="AF21" s="18" t="s">
        <v>60</v>
      </c>
      <c r="AG21" s="20" t="s">
        <v>35</v>
      </c>
      <c r="AH21" s="20">
        <v>2019</v>
      </c>
      <c r="AI21" s="21">
        <v>0.085</v>
      </c>
      <c r="AJ21" s="20"/>
      <c r="AK21" s="20"/>
      <c r="AL21" s="20"/>
    </row>
    <row r="22" spans="1:38">
      <c r="D22" s="10" t="s">
        <v>47</v>
      </c>
      <c r="E22">
        <v>2025</v>
      </c>
      <c r="F22">
        <f t="shared" si="6"/>
        <v>23.6552603928571</v>
      </c>
      <c r="G22">
        <f t="shared" si="7"/>
        <v>15.6040046785714</v>
      </c>
      <c r="H22">
        <f t="shared" si="8"/>
        <v>32.1869616428571</v>
      </c>
      <c r="K22" s="14">
        <v>23.6552603928571</v>
      </c>
      <c r="L22" s="14">
        <v>15.6040046785714</v>
      </c>
      <c r="M22" s="14">
        <v>32.1869616428571</v>
      </c>
      <c r="O22" s="14"/>
      <c r="P22" s="14"/>
      <c r="Q22" s="14"/>
      <c r="R22" s="14"/>
      <c r="S22" s="14"/>
      <c r="AF22" s="18" t="s">
        <v>61</v>
      </c>
      <c r="AG22" s="20" t="s">
        <v>35</v>
      </c>
      <c r="AH22" s="20">
        <v>2019</v>
      </c>
      <c r="AI22" s="21">
        <v>1.045</v>
      </c>
      <c r="AJ22" s="20"/>
      <c r="AK22" s="20"/>
      <c r="AL22" s="20"/>
    </row>
    <row r="23" spans="1:38">
      <c r="D23" s="10" t="s">
        <v>49</v>
      </c>
      <c r="E23">
        <v>2025</v>
      </c>
      <c r="F23">
        <f t="shared" si="6"/>
        <v>24.3711185714285</v>
      </c>
      <c r="G23">
        <f t="shared" si="7"/>
        <v>16.3257084857142</v>
      </c>
      <c r="H23">
        <f t="shared" si="8"/>
        <v>32.8951372285713</v>
      </c>
      <c r="K23" s="14">
        <v>24.3711185714285</v>
      </c>
      <c r="L23" s="14">
        <v>16.3257084857142</v>
      </c>
      <c r="M23" s="14">
        <v>32.8951372285713</v>
      </c>
      <c r="O23" s="14"/>
      <c r="P23" s="14"/>
      <c r="Q23" s="14"/>
      <c r="R23" s="14"/>
      <c r="S23" s="14"/>
      <c r="AF23" s="18" t="s">
        <v>62</v>
      </c>
      <c r="AG23" s="20" t="s">
        <v>35</v>
      </c>
      <c r="AH23" s="20">
        <v>2019</v>
      </c>
      <c r="AI23" s="21">
        <v>0.845</v>
      </c>
      <c r="AJ23" s="20"/>
      <c r="AK23" s="20"/>
      <c r="AL23" s="20"/>
    </row>
    <row r="24" ht="16" spans="1:38">
      <c r="A24" s="24"/>
      <c r="K24" s="14"/>
      <c r="L24" s="14"/>
      <c r="M24" s="14"/>
      <c r="O24" s="14"/>
      <c r="P24" s="14"/>
      <c r="Q24" s="14"/>
      <c r="R24" s="14"/>
      <c r="S24" s="14"/>
      <c r="AF24" s="18" t="s">
        <v>63</v>
      </c>
      <c r="AG24" s="20" t="s">
        <v>35</v>
      </c>
      <c r="AH24" s="20">
        <v>2019</v>
      </c>
      <c r="AI24" s="21">
        <v>0.45</v>
      </c>
      <c r="AJ24" s="20"/>
      <c r="AK24" s="20"/>
      <c r="AL24" s="20"/>
    </row>
    <row r="25" spans="1:38">
      <c r="O25" s="23"/>
      <c r="P25" s="14"/>
      <c r="Q25" s="14"/>
      <c r="R25" s="14"/>
      <c r="S25" s="14"/>
      <c r="AF25" s="18" t="s">
        <v>64</v>
      </c>
      <c r="AG25" s="20" t="s">
        <v>35</v>
      </c>
      <c r="AH25" s="20">
        <v>2019</v>
      </c>
      <c r="AI25" s="21">
        <v>0.45</v>
      </c>
      <c r="AJ25" s="20"/>
      <c r="AK25" s="20"/>
      <c r="AL25" s="20"/>
    </row>
    <row r="26" spans="1:38">
      <c r="O26" s="2"/>
      <c r="P26" s="2"/>
      <c r="Q26" s="2"/>
      <c r="R26" s="2"/>
      <c r="S26" s="2"/>
      <c r="AF26" s="18" t="s">
        <v>33</v>
      </c>
      <c r="AG26" s="20" t="s">
        <v>35</v>
      </c>
      <c r="AH26" s="20">
        <v>2019</v>
      </c>
      <c r="AI26" s="21">
        <v>2.75</v>
      </c>
      <c r="AJ26" s="20"/>
      <c r="AK26" s="20"/>
      <c r="AL26" s="20"/>
    </row>
    <row r="27" spans="1:38">
      <c r="O27" s="2"/>
      <c r="P27" s="2"/>
      <c r="Q27" s="2"/>
      <c r="R27" s="2"/>
      <c r="S27" s="2"/>
      <c r="AF27" s="18" t="s">
        <v>65</v>
      </c>
      <c r="AG27" s="20" t="s">
        <v>35</v>
      </c>
      <c r="AH27" s="20">
        <v>2019</v>
      </c>
      <c r="AI27" s="21">
        <v>0.135</v>
      </c>
      <c r="AJ27" s="20"/>
      <c r="AK27" s="20"/>
      <c r="AL27" s="20"/>
    </row>
    <row r="28" spans="1:38">
      <c r="O28" s="2"/>
      <c r="P28" s="2"/>
      <c r="Q28" s="2"/>
      <c r="R28" s="2"/>
      <c r="S28" s="2"/>
      <c r="AF28" s="18" t="s">
        <v>66</v>
      </c>
      <c r="AG28" s="20" t="s">
        <v>35</v>
      </c>
      <c r="AH28" s="20">
        <v>2019</v>
      </c>
      <c r="AI28" s="21">
        <v>0.335</v>
      </c>
      <c r="AJ28" s="20"/>
      <c r="AK28" s="20"/>
      <c r="AL28" s="20"/>
    </row>
    <row r="29" spans="1:38">
      <c r="O29" s="2"/>
      <c r="P29" s="2"/>
      <c r="Q29" s="2"/>
      <c r="R29" s="2"/>
      <c r="S29" s="2"/>
      <c r="AF29" s="18" t="s">
        <v>67</v>
      </c>
      <c r="AG29" s="20" t="s">
        <v>35</v>
      </c>
      <c r="AH29" s="20">
        <v>2019</v>
      </c>
      <c r="AI29" s="21">
        <v>0.125</v>
      </c>
      <c r="AJ29" s="20"/>
      <c r="AK29" s="20"/>
      <c r="AL29" s="20"/>
    </row>
    <row r="30" spans="1:38">
      <c r="D30" t="s">
        <v>26</v>
      </c>
      <c r="O30" s="2"/>
      <c r="P30" s="2"/>
      <c r="Q30" s="2" t="s">
        <v>28</v>
      </c>
      <c r="R30" s="2"/>
      <c r="S30" s="2"/>
      <c r="AF30" s="18" t="s">
        <v>68</v>
      </c>
      <c r="AG30" s="20" t="s">
        <v>35</v>
      </c>
      <c r="AH30" s="20">
        <v>2019</v>
      </c>
      <c r="AI30" s="21">
        <v>0.275</v>
      </c>
      <c r="AJ30" s="20"/>
      <c r="AK30" s="20"/>
      <c r="AL30" s="20"/>
    </row>
    <row r="31" ht="29" spans="1:38">
      <c r="D31" t="s">
        <v>29</v>
      </c>
      <c r="E31" t="s">
        <v>30</v>
      </c>
      <c r="F31" t="s">
        <v>31</v>
      </c>
      <c r="G31" t="s">
        <v>32</v>
      </c>
      <c r="H31" t="s">
        <v>33</v>
      </c>
      <c r="O31" s="1"/>
      <c r="P31" s="1"/>
      <c r="Q31" s="14" t="s">
        <v>29</v>
      </c>
      <c r="R31" s="2" t="s">
        <v>30</v>
      </c>
      <c r="S31" s="2" t="s">
        <v>31</v>
      </c>
      <c r="T31" t="s">
        <v>32</v>
      </c>
      <c r="U31" t="s">
        <v>33</v>
      </c>
      <c r="AF31" s="18" t="s">
        <v>69</v>
      </c>
      <c r="AG31" s="20" t="s">
        <v>35</v>
      </c>
      <c r="AH31" s="20">
        <v>2019</v>
      </c>
      <c r="AI31" s="21">
        <v>0.175</v>
      </c>
      <c r="AJ31" s="20"/>
      <c r="AK31" s="20"/>
      <c r="AL31" s="20"/>
    </row>
    <row r="32" ht="29" spans="1:38">
      <c r="D32" s="10" t="s">
        <v>35</v>
      </c>
      <c r="E32">
        <v>2030</v>
      </c>
      <c r="F32">
        <f t="shared" ref="F32:F38" si="9">K32/1</f>
        <v>18.9474630714286</v>
      </c>
      <c r="G32">
        <f t="shared" ref="G32:G38" si="10">L32/1</f>
        <v>13.0790149285714</v>
      </c>
      <c r="H32">
        <f t="shared" ref="H32:H38" si="11">M32/1</f>
        <v>25.1801903571428</v>
      </c>
      <c r="K32" s="12">
        <v>18.9474630714286</v>
      </c>
      <c r="L32" s="12">
        <v>13.0790149285714</v>
      </c>
      <c r="M32" s="12">
        <v>25.1801903571428</v>
      </c>
      <c r="O32" s="14"/>
      <c r="P32" s="14"/>
      <c r="Q32" s="12" t="s">
        <v>35</v>
      </c>
      <c r="R32" s="12">
        <v>2030</v>
      </c>
      <c r="S32" s="12">
        <v>154</v>
      </c>
      <c r="T32" s="11">
        <f t="shared" ref="T32:T38" si="12">S32*0.9</f>
        <v>138.6</v>
      </c>
      <c r="U32" s="11">
        <f t="shared" ref="U32:U38" si="13">S32</f>
        <v>154</v>
      </c>
      <c r="X32">
        <f>S32/S4</f>
        <v>0.88</v>
      </c>
      <c r="AF32" s="18" t="s">
        <v>70</v>
      </c>
      <c r="AG32" s="20" t="s">
        <v>35</v>
      </c>
      <c r="AH32" s="20">
        <v>2019</v>
      </c>
      <c r="AI32" s="21">
        <v>0.1</v>
      </c>
      <c r="AJ32" s="20"/>
      <c r="AK32" s="20"/>
      <c r="AL32" s="20"/>
    </row>
    <row r="33" spans="4:38">
      <c r="D33" s="10" t="s">
        <v>39</v>
      </c>
      <c r="E33">
        <v>2030</v>
      </c>
      <c r="F33">
        <f t="shared" si="9"/>
        <v>22.48917</v>
      </c>
      <c r="G33">
        <f t="shared" si="10"/>
        <v>15.6339032142857</v>
      </c>
      <c r="H33">
        <f t="shared" si="11"/>
        <v>29.7621225</v>
      </c>
      <c r="K33" s="14">
        <v>22.48917</v>
      </c>
      <c r="L33" s="14">
        <v>15.6339032142857</v>
      </c>
      <c r="M33" s="14">
        <v>29.7621225</v>
      </c>
      <c r="O33" s="14"/>
      <c r="P33" s="14"/>
      <c r="Q33" s="14" t="s">
        <v>39</v>
      </c>
      <c r="R33" s="14">
        <v>2030</v>
      </c>
      <c r="S33" s="14">
        <f>S5</f>
        <v>175</v>
      </c>
      <c r="T33" s="11">
        <f t="shared" si="12"/>
        <v>157.5</v>
      </c>
      <c r="U33" s="11">
        <f t="shared" si="13"/>
        <v>175</v>
      </c>
      <c r="AF33" s="18" t="s">
        <v>71</v>
      </c>
      <c r="AG33" s="20" t="s">
        <v>35</v>
      </c>
      <c r="AH33" s="20">
        <v>2019</v>
      </c>
      <c r="AI33" s="21">
        <v>0.76</v>
      </c>
      <c r="AJ33" s="20"/>
      <c r="AK33" s="20"/>
      <c r="AL33" s="20"/>
    </row>
    <row r="34" ht="29" spans="4:38">
      <c r="D34" s="10" t="s">
        <v>41</v>
      </c>
      <c r="E34">
        <v>2030</v>
      </c>
      <c r="F34">
        <f t="shared" si="9"/>
        <v>20.1176713571428</v>
      </c>
      <c r="G34">
        <f t="shared" si="10"/>
        <v>13.2239179285714</v>
      </c>
      <c r="H34">
        <f t="shared" si="11"/>
        <v>27.420162</v>
      </c>
      <c r="K34" s="14">
        <v>20.1176713571428</v>
      </c>
      <c r="L34" s="14">
        <v>13.2239179285714</v>
      </c>
      <c r="M34" s="14">
        <v>27.420162</v>
      </c>
      <c r="O34" s="14"/>
      <c r="P34" s="14"/>
      <c r="Q34" s="14" t="s">
        <v>41</v>
      </c>
      <c r="R34" s="14">
        <v>2030</v>
      </c>
      <c r="S34" s="14">
        <f t="shared" ref="S33:S38" si="14">S33</f>
        <v>175</v>
      </c>
      <c r="T34" s="11">
        <f t="shared" si="12"/>
        <v>157.5</v>
      </c>
      <c r="U34" s="11">
        <f t="shared" si="13"/>
        <v>175</v>
      </c>
      <c r="AF34" s="18" t="s">
        <v>72</v>
      </c>
      <c r="AG34" s="20" t="s">
        <v>35</v>
      </c>
      <c r="AH34" s="20">
        <v>2019</v>
      </c>
      <c r="AI34" s="21">
        <v>0.48</v>
      </c>
      <c r="AJ34" s="20"/>
      <c r="AK34" s="20"/>
      <c r="AL34" s="20"/>
    </row>
    <row r="35" ht="29" spans="4:38">
      <c r="D35" s="10" t="s">
        <v>43</v>
      </c>
      <c r="E35">
        <v>2030</v>
      </c>
      <c r="F35">
        <f t="shared" si="9"/>
        <v>20.1586557857143</v>
      </c>
      <c r="G35">
        <f t="shared" si="10"/>
        <v>13.0961702142857</v>
      </c>
      <c r="H35">
        <f t="shared" si="11"/>
        <v>27.6503016428571</v>
      </c>
      <c r="K35" s="14">
        <v>20.1586557857143</v>
      </c>
      <c r="L35" s="14">
        <v>13.0961702142857</v>
      </c>
      <c r="M35" s="14">
        <v>27.6503016428571</v>
      </c>
      <c r="O35" s="14"/>
      <c r="P35" s="14"/>
      <c r="Q35" s="14" t="s">
        <v>43</v>
      </c>
      <c r="R35" s="14">
        <v>2030</v>
      </c>
      <c r="S35" s="14">
        <f t="shared" si="14"/>
        <v>175</v>
      </c>
      <c r="T35" s="11">
        <f t="shared" si="12"/>
        <v>157.5</v>
      </c>
      <c r="U35" s="11">
        <f t="shared" si="13"/>
        <v>175</v>
      </c>
      <c r="AF35" s="18" t="s">
        <v>73</v>
      </c>
      <c r="AG35" s="20" t="s">
        <v>35</v>
      </c>
      <c r="AH35" s="20">
        <v>2019</v>
      </c>
      <c r="AI35" s="21">
        <v>0.115</v>
      </c>
      <c r="AJ35" s="20"/>
      <c r="AK35" s="20"/>
      <c r="AL35" s="20"/>
    </row>
    <row r="36" spans="4:38">
      <c r="D36" s="10" t="s">
        <v>45</v>
      </c>
      <c r="E36">
        <v>2030</v>
      </c>
      <c r="F36">
        <f t="shared" si="9"/>
        <v>21.2361875</v>
      </c>
      <c r="G36">
        <f t="shared" si="10"/>
        <v>13.993815</v>
      </c>
      <c r="H36">
        <f t="shared" si="11"/>
        <v>28.9148475</v>
      </c>
      <c r="K36" s="14">
        <v>21.2361875</v>
      </c>
      <c r="L36" s="14">
        <v>13.993815</v>
      </c>
      <c r="M36" s="14">
        <v>28.9148475</v>
      </c>
      <c r="O36" s="14"/>
      <c r="P36" s="14"/>
      <c r="Q36" s="14" t="s">
        <v>45</v>
      </c>
      <c r="R36" s="14">
        <v>2030</v>
      </c>
      <c r="S36" s="14">
        <f t="shared" si="14"/>
        <v>175</v>
      </c>
      <c r="T36" s="11">
        <f t="shared" si="12"/>
        <v>157.5</v>
      </c>
      <c r="U36" s="11">
        <f t="shared" si="13"/>
        <v>175</v>
      </c>
      <c r="AF36" s="18" t="s">
        <v>74</v>
      </c>
      <c r="AG36" s="20" t="s">
        <v>35</v>
      </c>
      <c r="AH36" s="20">
        <v>2019</v>
      </c>
      <c r="AI36" s="21">
        <v>0.385</v>
      </c>
      <c r="AJ36" s="20"/>
      <c r="AK36" s="20"/>
      <c r="AL36" s="20"/>
    </row>
    <row r="37" spans="4:38">
      <c r="D37" s="10" t="s">
        <v>47</v>
      </c>
      <c r="E37">
        <v>2030</v>
      </c>
      <c r="F37">
        <f t="shared" si="9"/>
        <v>20.4888082142857</v>
      </c>
      <c r="G37">
        <f t="shared" si="10"/>
        <v>13.5152796428571</v>
      </c>
      <c r="H37">
        <f t="shared" si="11"/>
        <v>27.8784707142857</v>
      </c>
      <c r="K37" s="14">
        <v>20.4888082142857</v>
      </c>
      <c r="L37" s="14">
        <v>13.5152796428571</v>
      </c>
      <c r="M37" s="14">
        <v>27.8784707142857</v>
      </c>
      <c r="O37" s="14"/>
      <c r="P37" s="14"/>
      <c r="Q37" s="14" t="s">
        <v>47</v>
      </c>
      <c r="R37" s="14">
        <v>2030</v>
      </c>
      <c r="S37" s="14">
        <f t="shared" si="14"/>
        <v>175</v>
      </c>
      <c r="T37" s="11">
        <f t="shared" si="12"/>
        <v>157.5</v>
      </c>
      <c r="U37" s="11">
        <f t="shared" si="13"/>
        <v>175</v>
      </c>
      <c r="AF37" s="18" t="s">
        <v>75</v>
      </c>
      <c r="AG37" s="20" t="s">
        <v>35</v>
      </c>
      <c r="AH37" s="20">
        <v>2019</v>
      </c>
      <c r="AI37" s="21">
        <v>1</v>
      </c>
      <c r="AJ37" s="20"/>
      <c r="AK37" s="20"/>
      <c r="AL37" s="20"/>
    </row>
    <row r="38" spans="4:38">
      <c r="D38" s="10" t="s">
        <v>49</v>
      </c>
      <c r="E38">
        <v>2030</v>
      </c>
      <c r="F38">
        <f t="shared" si="9"/>
        <v>21.1088428571428</v>
      </c>
      <c r="G38">
        <f t="shared" si="10"/>
        <v>14.1403774285714</v>
      </c>
      <c r="H38">
        <f t="shared" si="11"/>
        <v>28.4918511428571</v>
      </c>
      <c r="K38" s="14">
        <v>21.1088428571428</v>
      </c>
      <c r="L38" s="14">
        <v>14.1403774285714</v>
      </c>
      <c r="M38" s="14">
        <v>28.4918511428571</v>
      </c>
      <c r="O38" s="14"/>
      <c r="P38" s="14"/>
      <c r="Q38" s="14" t="s">
        <v>49</v>
      </c>
      <c r="R38" s="14">
        <v>2030</v>
      </c>
      <c r="S38" s="14">
        <f>S32</f>
        <v>154</v>
      </c>
      <c r="T38" s="11">
        <f t="shared" si="12"/>
        <v>138.6</v>
      </c>
      <c r="U38" s="11">
        <f t="shared" si="13"/>
        <v>154</v>
      </c>
      <c r="AF38" s="18" t="s">
        <v>76</v>
      </c>
      <c r="AG38" s="20" t="s">
        <v>35</v>
      </c>
      <c r="AH38" s="20">
        <v>2019</v>
      </c>
      <c r="AI38" s="21">
        <v>0.16</v>
      </c>
      <c r="AJ38" s="20"/>
      <c r="AK38" s="20"/>
      <c r="AL38" s="20"/>
    </row>
    <row r="39" ht="29" spans="4:38">
      <c r="O39" s="14"/>
      <c r="P39" s="14"/>
      <c r="Q39" s="14"/>
      <c r="R39" s="14"/>
      <c r="S39" s="14"/>
      <c r="AF39" s="18" t="s">
        <v>77</v>
      </c>
      <c r="AG39" s="20" t="s">
        <v>35</v>
      </c>
      <c r="AH39" s="20">
        <v>2019</v>
      </c>
      <c r="AI39" s="21">
        <v>0.09</v>
      </c>
      <c r="AJ39" s="20"/>
      <c r="AK39" s="20"/>
      <c r="AL39" s="20"/>
    </row>
    <row r="40" ht="29" spans="4:38">
      <c r="O40" s="23"/>
      <c r="P40" s="14"/>
      <c r="Q40" s="14"/>
      <c r="R40" s="14"/>
      <c r="S40" s="14"/>
      <c r="AF40" s="18" t="s">
        <v>40</v>
      </c>
      <c r="AG40" s="19" t="s">
        <v>43</v>
      </c>
      <c r="AH40" s="20">
        <v>2019</v>
      </c>
      <c r="AI40" s="21">
        <v>0.015</v>
      </c>
      <c r="AJ40" s="20"/>
      <c r="AK40" s="20"/>
      <c r="AL40" s="20"/>
    </row>
    <row r="41" ht="29" spans="4:38">
      <c r="O41" s="2"/>
      <c r="P41" s="2"/>
      <c r="Q41" s="2"/>
      <c r="R41" s="2"/>
      <c r="S41" s="2"/>
      <c r="AF41" s="18" t="s">
        <v>42</v>
      </c>
      <c r="AG41" s="20" t="s">
        <v>43</v>
      </c>
      <c r="AH41" s="20">
        <v>2019</v>
      </c>
      <c r="AI41" s="21">
        <v>0.045</v>
      </c>
      <c r="AJ41" s="20"/>
      <c r="AK41" s="20"/>
      <c r="AL41" s="20"/>
    </row>
    <row r="42" spans="4:38">
      <c r="O42" s="2"/>
      <c r="P42" s="2"/>
      <c r="Q42" s="2"/>
      <c r="R42" s="2"/>
      <c r="S42" s="2"/>
      <c r="AF42" s="18" t="s">
        <v>44</v>
      </c>
      <c r="AG42" s="20" t="s">
        <v>43</v>
      </c>
      <c r="AH42" s="20">
        <v>2019</v>
      </c>
      <c r="AI42" s="21">
        <v>0.071</v>
      </c>
      <c r="AJ42" s="20"/>
      <c r="AK42" s="20"/>
      <c r="AL42" s="20"/>
    </row>
    <row r="43" spans="4:38">
      <c r="O43" s="2"/>
      <c r="P43" s="2"/>
      <c r="Q43" s="2"/>
      <c r="R43" s="2"/>
      <c r="S43" s="2"/>
      <c r="AF43" s="18" t="s">
        <v>46</v>
      </c>
      <c r="AG43" s="20" t="s">
        <v>43</v>
      </c>
      <c r="AH43" s="20">
        <v>2019</v>
      </c>
      <c r="AI43" s="21">
        <v>0.027</v>
      </c>
      <c r="AJ43" s="20"/>
      <c r="AK43" s="20"/>
      <c r="AL43" s="20"/>
    </row>
    <row r="44" spans="4:38">
      <c r="D44" t="s">
        <v>26</v>
      </c>
      <c r="O44" s="2"/>
      <c r="P44" s="2"/>
      <c r="Q44" s="2"/>
      <c r="R44" s="2"/>
      <c r="S44" s="2"/>
      <c r="AF44" s="18" t="s">
        <v>48</v>
      </c>
      <c r="AG44" s="20" t="s">
        <v>43</v>
      </c>
      <c r="AH44" s="20">
        <v>2019</v>
      </c>
      <c r="AI44" s="21">
        <v>0.009</v>
      </c>
      <c r="AJ44" s="20"/>
      <c r="AK44" s="20"/>
      <c r="AL44" s="20"/>
    </row>
    <row r="45" spans="4:38">
      <c r="D45" t="s">
        <v>29</v>
      </c>
      <c r="E45" t="s">
        <v>30</v>
      </c>
      <c r="F45" t="s">
        <v>31</v>
      </c>
      <c r="G45" t="s">
        <v>32</v>
      </c>
      <c r="H45" t="s">
        <v>33</v>
      </c>
      <c r="O45" s="1"/>
      <c r="P45" s="1"/>
      <c r="Q45" s="14"/>
      <c r="R45" s="2"/>
      <c r="S45" s="2"/>
      <c r="AF45" s="18" t="s">
        <v>50</v>
      </c>
      <c r="AG45" s="20" t="s">
        <v>43</v>
      </c>
      <c r="AH45" s="20">
        <v>2019</v>
      </c>
      <c r="AI45" s="21">
        <v>0.086</v>
      </c>
      <c r="AJ45" s="20"/>
      <c r="AK45" s="20"/>
      <c r="AL45" s="20"/>
    </row>
    <row r="46" spans="4:38">
      <c r="D46" s="10" t="s">
        <v>35</v>
      </c>
      <c r="E46">
        <v>2035</v>
      </c>
      <c r="F46">
        <f t="shared" ref="F46:F52" si="15">K46/1</f>
        <v>17.2249664285715</v>
      </c>
      <c r="G46">
        <f t="shared" ref="G46:G52" si="16">L46/1</f>
        <v>11.8900135714286</v>
      </c>
      <c r="H46">
        <f t="shared" ref="H46:H52" si="17">M46/1</f>
        <v>22.8910821428572</v>
      </c>
      <c r="K46" s="12">
        <v>17.2249664285715</v>
      </c>
      <c r="L46" s="12">
        <v>11.8900135714286</v>
      </c>
      <c r="M46" s="12">
        <v>22.8910821428572</v>
      </c>
      <c r="O46" s="14"/>
      <c r="P46" s="14"/>
      <c r="Q46" s="12"/>
      <c r="R46" s="12"/>
      <c r="S46" s="12"/>
      <c r="AF46" s="18" t="s">
        <v>51</v>
      </c>
      <c r="AG46" s="20" t="s">
        <v>43</v>
      </c>
      <c r="AH46" s="20">
        <v>2019</v>
      </c>
      <c r="AI46" s="21">
        <v>0.08</v>
      </c>
      <c r="AJ46" s="20"/>
      <c r="AK46" s="20"/>
      <c r="AL46" s="20"/>
    </row>
    <row r="47" spans="4:38">
      <c r="D47" s="10" t="s">
        <v>39</v>
      </c>
      <c r="E47">
        <v>2035</v>
      </c>
      <c r="F47">
        <f t="shared" si="15"/>
        <v>20.4447000000001</v>
      </c>
      <c r="G47">
        <f t="shared" si="16"/>
        <v>14.2126392857143</v>
      </c>
      <c r="H47">
        <f t="shared" si="17"/>
        <v>27.0564750000001</v>
      </c>
      <c r="K47" s="14">
        <v>20.4447000000001</v>
      </c>
      <c r="L47" s="14">
        <v>14.2126392857143</v>
      </c>
      <c r="M47" s="14">
        <v>27.0564750000001</v>
      </c>
      <c r="O47" s="14"/>
      <c r="P47" s="14"/>
      <c r="Q47" s="14"/>
      <c r="R47" s="14"/>
      <c r="S47" s="14"/>
      <c r="AF47" s="18" t="s">
        <v>32</v>
      </c>
      <c r="AG47" s="20" t="s">
        <v>43</v>
      </c>
      <c r="AH47" s="20">
        <v>2019</v>
      </c>
      <c r="AI47" s="21">
        <v>0.38</v>
      </c>
      <c r="AJ47" s="20"/>
      <c r="AK47" s="20"/>
      <c r="AL47" s="20"/>
    </row>
    <row r="48" ht="29" spans="4:38">
      <c r="D48" s="10" t="s">
        <v>41</v>
      </c>
      <c r="E48">
        <v>2035</v>
      </c>
      <c r="F48">
        <f t="shared" si="15"/>
        <v>18.2887921428572</v>
      </c>
      <c r="G48">
        <f t="shared" si="16"/>
        <v>12.0217435714286</v>
      </c>
      <c r="H48">
        <f t="shared" si="17"/>
        <v>24.9274200000001</v>
      </c>
      <c r="K48" s="14">
        <v>18.2887921428572</v>
      </c>
      <c r="L48" s="14">
        <v>12.0217435714286</v>
      </c>
      <c r="M48" s="14">
        <v>24.9274200000001</v>
      </c>
      <c r="O48" s="14"/>
      <c r="P48" s="14"/>
      <c r="Q48" s="14"/>
      <c r="R48" s="14"/>
      <c r="S48" s="14"/>
      <c r="AF48" s="18" t="s">
        <v>52</v>
      </c>
      <c r="AG48" s="20" t="s">
        <v>43</v>
      </c>
      <c r="AH48" s="20">
        <v>2019</v>
      </c>
      <c r="AI48" s="21">
        <v>0.019</v>
      </c>
      <c r="AJ48" s="20"/>
      <c r="AK48" s="20"/>
      <c r="AL48" s="20"/>
    </row>
    <row r="49" ht="29" spans="4:38">
      <c r="D49" s="10" t="s">
        <v>43</v>
      </c>
      <c r="E49">
        <v>2035</v>
      </c>
      <c r="F49">
        <f t="shared" si="15"/>
        <v>18.3260507142858</v>
      </c>
      <c r="G49">
        <f t="shared" si="16"/>
        <v>11.9056092857143</v>
      </c>
      <c r="H49">
        <f t="shared" si="17"/>
        <v>25.1366378571429</v>
      </c>
      <c r="K49" s="14">
        <v>18.3260507142858</v>
      </c>
      <c r="L49" s="14">
        <v>11.9056092857143</v>
      </c>
      <c r="M49" s="14">
        <v>25.1366378571429</v>
      </c>
      <c r="O49" s="14"/>
      <c r="P49" s="14"/>
      <c r="Q49" s="14"/>
      <c r="R49" s="14"/>
      <c r="S49" s="14"/>
      <c r="AF49" s="18" t="s">
        <v>53</v>
      </c>
      <c r="AG49" s="20" t="s">
        <v>43</v>
      </c>
      <c r="AH49" s="20">
        <v>2019</v>
      </c>
      <c r="AI49" s="21">
        <v>0.039</v>
      </c>
      <c r="AJ49" s="20"/>
      <c r="AK49" s="20"/>
      <c r="AL49" s="20"/>
    </row>
    <row r="50" spans="4:38">
      <c r="D50" s="10" t="s">
        <v>45</v>
      </c>
      <c r="E50">
        <v>2035</v>
      </c>
      <c r="F50">
        <f t="shared" si="15"/>
        <v>19.305625</v>
      </c>
      <c r="G50">
        <f t="shared" si="16"/>
        <v>12.72165</v>
      </c>
      <c r="H50">
        <f t="shared" si="17"/>
        <v>26.2862250000001</v>
      </c>
      <c r="K50" s="14">
        <v>19.305625</v>
      </c>
      <c r="L50" s="14">
        <v>12.72165</v>
      </c>
      <c r="M50" s="14">
        <v>26.2862250000001</v>
      </c>
      <c r="O50" s="14"/>
      <c r="P50" s="14"/>
      <c r="Q50" s="14"/>
      <c r="R50" s="14"/>
      <c r="S50" s="14"/>
      <c r="AF50" s="18" t="s">
        <v>54</v>
      </c>
      <c r="AG50" s="20" t="s">
        <v>43</v>
      </c>
      <c r="AH50" s="20">
        <v>2019</v>
      </c>
      <c r="AI50" s="21">
        <v>0.294</v>
      </c>
      <c r="AJ50" s="20"/>
      <c r="AK50" s="20"/>
      <c r="AL50" s="20"/>
    </row>
    <row r="51" spans="4:38">
      <c r="D51" s="10" t="s">
        <v>47</v>
      </c>
      <c r="E51">
        <v>2035</v>
      </c>
      <c r="F51">
        <f t="shared" si="15"/>
        <v>18.6261892857143</v>
      </c>
      <c r="G51">
        <f t="shared" si="16"/>
        <v>12.2866178571429</v>
      </c>
      <c r="H51">
        <f t="shared" si="17"/>
        <v>25.3440642857143</v>
      </c>
      <c r="K51" s="14">
        <v>18.6261892857143</v>
      </c>
      <c r="L51" s="14">
        <v>12.2866178571429</v>
      </c>
      <c r="M51" s="14">
        <v>25.3440642857143</v>
      </c>
      <c r="O51" s="14"/>
      <c r="P51" s="14"/>
      <c r="Q51" s="14"/>
      <c r="R51" s="14"/>
      <c r="S51" s="14"/>
      <c r="AF51" s="18" t="s">
        <v>55</v>
      </c>
      <c r="AG51" s="20" t="s">
        <v>43</v>
      </c>
      <c r="AH51" s="20">
        <v>2019</v>
      </c>
      <c r="AI51" s="21">
        <v>0.441</v>
      </c>
      <c r="AJ51" s="20"/>
      <c r="AK51" s="20"/>
      <c r="AL51" s="20"/>
    </row>
    <row r="52" ht="29" spans="4:38">
      <c r="D52" s="10" t="s">
        <v>49</v>
      </c>
      <c r="E52">
        <v>2035</v>
      </c>
      <c r="F52">
        <f t="shared" si="15"/>
        <v>19.1898571428572</v>
      </c>
      <c r="G52">
        <f t="shared" si="16"/>
        <v>12.8548885714286</v>
      </c>
      <c r="H52">
        <f t="shared" si="17"/>
        <v>25.9016828571429</v>
      </c>
      <c r="K52" s="14">
        <v>19.1898571428572</v>
      </c>
      <c r="L52" s="14">
        <v>12.8548885714286</v>
      </c>
      <c r="M52" s="14">
        <v>25.9016828571429</v>
      </c>
      <c r="O52" s="14"/>
      <c r="P52" s="14"/>
      <c r="Q52" s="14"/>
      <c r="R52" s="14"/>
      <c r="S52" s="14"/>
      <c r="AF52" s="18" t="s">
        <v>56</v>
      </c>
      <c r="AG52" s="20" t="s">
        <v>43</v>
      </c>
      <c r="AH52" s="20">
        <v>2019</v>
      </c>
      <c r="AI52" s="21">
        <v>0.028</v>
      </c>
      <c r="AJ52" s="20"/>
      <c r="AK52" s="20"/>
      <c r="AL52" s="20"/>
    </row>
    <row r="53" ht="29" spans="4:38">
      <c r="O53" s="14"/>
      <c r="P53" s="14"/>
      <c r="Q53" s="14"/>
      <c r="R53" s="14"/>
      <c r="S53" s="14"/>
      <c r="AF53" s="18" t="s">
        <v>57</v>
      </c>
      <c r="AG53" s="20" t="s">
        <v>43</v>
      </c>
      <c r="AH53" s="20">
        <v>2019</v>
      </c>
      <c r="AI53" s="21">
        <v>0.052</v>
      </c>
      <c r="AJ53" s="20"/>
      <c r="AK53" s="20"/>
      <c r="AL53" s="20"/>
    </row>
    <row r="54" spans="4:38">
      <c r="O54" s="23"/>
      <c r="P54" s="14"/>
      <c r="Q54" s="14"/>
      <c r="R54" s="14"/>
      <c r="S54" s="14"/>
      <c r="AF54" s="18" t="s">
        <v>58</v>
      </c>
      <c r="AG54" s="20" t="s">
        <v>43</v>
      </c>
      <c r="AH54" s="20">
        <v>2019</v>
      </c>
      <c r="AI54" s="21">
        <v>0.005</v>
      </c>
      <c r="AJ54" s="20"/>
      <c r="AK54" s="20"/>
      <c r="AL54" s="20"/>
    </row>
    <row r="55" spans="4:38">
      <c r="O55" s="2"/>
      <c r="P55" s="2"/>
      <c r="Q55" s="2"/>
      <c r="R55" s="2"/>
      <c r="S55" s="2"/>
      <c r="AF55" s="18" t="s">
        <v>59</v>
      </c>
      <c r="AG55" s="20" t="s">
        <v>43</v>
      </c>
      <c r="AH55" s="20">
        <v>2019</v>
      </c>
      <c r="AI55" s="21">
        <v>0</v>
      </c>
      <c r="AJ55" s="20"/>
      <c r="AK55" s="20"/>
      <c r="AL55" s="20"/>
    </row>
    <row r="56" spans="4:38">
      <c r="O56" s="2"/>
      <c r="P56" s="2"/>
      <c r="Q56" s="2"/>
      <c r="R56" s="2"/>
      <c r="S56" s="2"/>
      <c r="AF56" s="18" t="s">
        <v>60</v>
      </c>
      <c r="AG56" s="20" t="s">
        <v>43</v>
      </c>
      <c r="AH56" s="20">
        <v>2019</v>
      </c>
      <c r="AI56" s="21">
        <v>0.017</v>
      </c>
      <c r="AJ56" s="20"/>
      <c r="AK56" s="20"/>
      <c r="AL56" s="20"/>
    </row>
    <row r="57" spans="4:38">
      <c r="O57" s="2"/>
      <c r="P57" s="2"/>
      <c r="Q57" s="2"/>
      <c r="R57" s="2"/>
      <c r="S57" s="2"/>
      <c r="AF57" s="18" t="s">
        <v>61</v>
      </c>
      <c r="AG57" s="20" t="s">
        <v>43</v>
      </c>
      <c r="AH57" s="20">
        <v>2019</v>
      </c>
      <c r="AI57" s="21">
        <v>0.209</v>
      </c>
      <c r="AJ57" s="20"/>
      <c r="AK57" s="20"/>
      <c r="AL57" s="20"/>
    </row>
    <row r="58" spans="4:38">
      <c r="D58" t="s">
        <v>26</v>
      </c>
      <c r="O58" s="2"/>
      <c r="P58" s="2"/>
      <c r="Q58" s="2" t="s">
        <v>28</v>
      </c>
      <c r="R58" s="2"/>
      <c r="S58" s="2"/>
      <c r="AF58" s="18" t="s">
        <v>62</v>
      </c>
      <c r="AG58" s="20" t="s">
        <v>43</v>
      </c>
      <c r="AH58" s="20">
        <v>2019</v>
      </c>
      <c r="AI58" s="21">
        <v>0.169</v>
      </c>
      <c r="AJ58" s="20"/>
      <c r="AK58" s="20"/>
      <c r="AL58" s="20"/>
    </row>
    <row r="59" spans="4:38">
      <c r="D59" t="s">
        <v>29</v>
      </c>
      <c r="E59" t="s">
        <v>30</v>
      </c>
      <c r="F59" t="s">
        <v>31</v>
      </c>
      <c r="G59" t="s">
        <v>32</v>
      </c>
      <c r="H59" t="s">
        <v>33</v>
      </c>
      <c r="O59" s="1"/>
      <c r="P59" s="1"/>
      <c r="Q59" s="14" t="s">
        <v>29</v>
      </c>
      <c r="R59" s="2" t="s">
        <v>30</v>
      </c>
      <c r="S59" s="2" t="s">
        <v>31</v>
      </c>
      <c r="T59" t="s">
        <v>32</v>
      </c>
      <c r="U59" t="s">
        <v>33</v>
      </c>
      <c r="AF59" s="18" t="s">
        <v>63</v>
      </c>
      <c r="AG59" s="20" t="s">
        <v>43</v>
      </c>
      <c r="AH59" s="20">
        <v>2019</v>
      </c>
      <c r="AI59" s="21">
        <v>0.09</v>
      </c>
      <c r="AJ59" s="20"/>
      <c r="AK59" s="20"/>
      <c r="AL59" s="20"/>
    </row>
    <row r="60" spans="4:38">
      <c r="D60" s="10" t="s">
        <v>35</v>
      </c>
      <c r="E60">
        <v>2040</v>
      </c>
      <c r="F60">
        <f t="shared" ref="F60:F66" si="18">K60/1</f>
        <v>16.7082174357143</v>
      </c>
      <c r="G60">
        <f t="shared" ref="G60:G66" si="19">L60/1</f>
        <v>11.5333131642857</v>
      </c>
      <c r="H60">
        <f t="shared" ref="H60:H66" si="20">M60/1</f>
        <v>22.2043496785715</v>
      </c>
      <c r="K60" s="12">
        <v>16.7082174357143</v>
      </c>
      <c r="L60" s="12">
        <v>11.5333131642857</v>
      </c>
      <c r="M60" s="12">
        <v>22.2043496785715</v>
      </c>
      <c r="O60" s="14"/>
      <c r="P60" s="14"/>
      <c r="Q60" s="12" t="s">
        <v>35</v>
      </c>
      <c r="R60" s="12">
        <v>2040</v>
      </c>
      <c r="S60" s="12">
        <v>144</v>
      </c>
      <c r="T60" s="11">
        <f t="shared" ref="T60:T66" si="21">S60*0.9</f>
        <v>129.6</v>
      </c>
      <c r="U60" s="11">
        <f t="shared" ref="U60:U66" si="22">S60</f>
        <v>144</v>
      </c>
      <c r="X60">
        <f>S60/S32</f>
        <v>0.935064935064935</v>
      </c>
      <c r="AF60" s="18" t="s">
        <v>64</v>
      </c>
      <c r="AG60" s="20" t="s">
        <v>43</v>
      </c>
      <c r="AH60" s="20">
        <v>2019</v>
      </c>
      <c r="AI60" s="21">
        <v>0.09</v>
      </c>
      <c r="AJ60" s="20"/>
      <c r="AK60" s="20"/>
      <c r="AL60" s="20"/>
    </row>
    <row r="61" spans="4:38">
      <c r="D61" s="10" t="s">
        <v>39</v>
      </c>
      <c r="E61">
        <v>2040</v>
      </c>
      <c r="F61">
        <f t="shared" si="18"/>
        <v>19.8313590000001</v>
      </c>
      <c r="G61">
        <f t="shared" si="19"/>
        <v>13.7862601071429</v>
      </c>
      <c r="H61">
        <f t="shared" si="20"/>
        <v>26.2447807500001</v>
      </c>
      <c r="K61" s="14">
        <v>19.8313590000001</v>
      </c>
      <c r="L61" s="14">
        <v>13.7862601071429</v>
      </c>
      <c r="M61" s="14">
        <v>26.2447807500001</v>
      </c>
      <c r="O61" s="14"/>
      <c r="P61" s="14"/>
      <c r="Q61" s="14" t="s">
        <v>39</v>
      </c>
      <c r="R61" s="14">
        <v>2040</v>
      </c>
      <c r="S61" s="14">
        <f>S33</f>
        <v>175</v>
      </c>
      <c r="T61" s="11">
        <f t="shared" si="21"/>
        <v>157.5</v>
      </c>
      <c r="U61" s="11">
        <f t="shared" si="22"/>
        <v>175</v>
      </c>
      <c r="AF61" s="18" t="s">
        <v>33</v>
      </c>
      <c r="AG61" s="20" t="s">
        <v>43</v>
      </c>
      <c r="AH61" s="20">
        <v>2019</v>
      </c>
      <c r="AI61" s="21">
        <v>0.55</v>
      </c>
      <c r="AJ61" s="20"/>
      <c r="AK61" s="20"/>
      <c r="AL61" s="20"/>
    </row>
    <row r="62" spans="4:38">
      <c r="D62" s="10" t="s">
        <v>41</v>
      </c>
      <c r="E62">
        <v>2040</v>
      </c>
      <c r="F62">
        <f t="shared" si="18"/>
        <v>17.7401283785715</v>
      </c>
      <c r="G62">
        <f t="shared" si="19"/>
        <v>11.6610912642857</v>
      </c>
      <c r="H62">
        <f t="shared" si="20"/>
        <v>24.1795974000001</v>
      </c>
      <c r="K62" s="14">
        <v>17.7401283785715</v>
      </c>
      <c r="L62" s="14">
        <v>11.6610912642857</v>
      </c>
      <c r="M62" s="14">
        <v>24.1795974000001</v>
      </c>
      <c r="O62" s="14"/>
      <c r="P62" s="14"/>
      <c r="Q62" s="14" t="s">
        <v>41</v>
      </c>
      <c r="R62" s="14">
        <v>2040</v>
      </c>
      <c r="S62" s="14">
        <f t="shared" ref="S61:S66" si="23">S61</f>
        <v>175</v>
      </c>
      <c r="T62" s="11">
        <f t="shared" si="21"/>
        <v>157.5</v>
      </c>
      <c r="U62" s="11">
        <f t="shared" si="22"/>
        <v>175</v>
      </c>
      <c r="AF62" s="18" t="s">
        <v>65</v>
      </c>
      <c r="AG62" s="20" t="s">
        <v>43</v>
      </c>
      <c r="AH62" s="20">
        <v>2019</v>
      </c>
      <c r="AI62" s="21">
        <v>0.027</v>
      </c>
      <c r="AJ62" s="20"/>
      <c r="AK62" s="20"/>
      <c r="AL62" s="20"/>
    </row>
    <row r="63" spans="4:38">
      <c r="D63" s="10" t="s">
        <v>43</v>
      </c>
      <c r="E63">
        <v>2040</v>
      </c>
      <c r="F63">
        <f t="shared" si="18"/>
        <v>17.7762691928572</v>
      </c>
      <c r="G63">
        <f t="shared" si="19"/>
        <v>11.5484410071429</v>
      </c>
      <c r="H63">
        <f t="shared" si="20"/>
        <v>24.3825387214286</v>
      </c>
      <c r="K63" s="14">
        <v>17.7762691928572</v>
      </c>
      <c r="L63" s="14">
        <v>11.5484410071429</v>
      </c>
      <c r="M63" s="14">
        <v>24.3825387214286</v>
      </c>
      <c r="O63" s="14"/>
      <c r="P63" s="14"/>
      <c r="Q63" s="14" t="s">
        <v>43</v>
      </c>
      <c r="R63" s="14">
        <v>2040</v>
      </c>
      <c r="S63" s="14">
        <f t="shared" si="23"/>
        <v>175</v>
      </c>
      <c r="T63" s="11">
        <f t="shared" si="21"/>
        <v>157.5</v>
      </c>
      <c r="U63" s="11">
        <f t="shared" si="22"/>
        <v>175</v>
      </c>
      <c r="AF63" s="18" t="s">
        <v>66</v>
      </c>
      <c r="AG63" s="20" t="s">
        <v>43</v>
      </c>
      <c r="AH63" s="20">
        <v>2019</v>
      </c>
      <c r="AI63" s="21">
        <v>0.067</v>
      </c>
      <c r="AJ63" s="20"/>
      <c r="AK63" s="20"/>
      <c r="AL63" s="20"/>
    </row>
    <row r="64" spans="4:38">
      <c r="D64" s="10" t="s">
        <v>45</v>
      </c>
      <c r="E64">
        <v>2040</v>
      </c>
      <c r="F64">
        <f t="shared" si="18"/>
        <v>18.72645625</v>
      </c>
      <c r="G64">
        <f t="shared" si="19"/>
        <v>12.3400005</v>
      </c>
      <c r="H64">
        <f t="shared" si="20"/>
        <v>25.4976382500001</v>
      </c>
      <c r="K64" s="14">
        <v>18.72645625</v>
      </c>
      <c r="L64" s="14">
        <v>12.3400005</v>
      </c>
      <c r="M64" s="14">
        <v>25.4976382500001</v>
      </c>
      <c r="O64" s="14"/>
      <c r="P64" s="14"/>
      <c r="Q64" s="14" t="s">
        <v>45</v>
      </c>
      <c r="R64" s="14">
        <v>2040</v>
      </c>
      <c r="S64" s="14">
        <f t="shared" si="23"/>
        <v>175</v>
      </c>
      <c r="T64" s="11">
        <f t="shared" si="21"/>
        <v>157.5</v>
      </c>
      <c r="U64" s="11">
        <f t="shared" si="22"/>
        <v>175</v>
      </c>
      <c r="AF64" s="18" t="s">
        <v>67</v>
      </c>
      <c r="AG64" s="20" t="s">
        <v>43</v>
      </c>
      <c r="AH64" s="20">
        <v>2019</v>
      </c>
      <c r="AI64" s="21">
        <v>0.025</v>
      </c>
      <c r="AJ64" s="20"/>
      <c r="AK64" s="20"/>
      <c r="AL64" s="20"/>
    </row>
    <row r="65" spans="4:38">
      <c r="D65" s="10" t="s">
        <v>47</v>
      </c>
      <c r="E65">
        <v>2040</v>
      </c>
      <c r="F65">
        <f t="shared" si="18"/>
        <v>18.0674036071429</v>
      </c>
      <c r="G65">
        <f t="shared" si="19"/>
        <v>11.9180193214286</v>
      </c>
      <c r="H65">
        <f t="shared" si="20"/>
        <v>24.5837423571429</v>
      </c>
      <c r="K65" s="14">
        <v>18.0674036071429</v>
      </c>
      <c r="L65" s="14">
        <v>11.9180193214286</v>
      </c>
      <c r="M65" s="14">
        <v>24.5837423571429</v>
      </c>
      <c r="O65" s="14"/>
      <c r="P65" s="14"/>
      <c r="Q65" s="14" t="s">
        <v>47</v>
      </c>
      <c r="R65" s="14">
        <v>2040</v>
      </c>
      <c r="S65" s="14">
        <f t="shared" si="23"/>
        <v>175</v>
      </c>
      <c r="T65" s="11">
        <f t="shared" si="21"/>
        <v>157.5</v>
      </c>
      <c r="U65" s="11">
        <f t="shared" si="22"/>
        <v>175</v>
      </c>
      <c r="AF65" s="18" t="s">
        <v>68</v>
      </c>
      <c r="AG65" s="20" t="s">
        <v>43</v>
      </c>
      <c r="AH65" s="20">
        <v>2019</v>
      </c>
      <c r="AI65" s="21">
        <v>0.055</v>
      </c>
      <c r="AJ65" s="20"/>
      <c r="AK65" s="20"/>
      <c r="AL65" s="20"/>
    </row>
    <row r="66" ht="29" spans="4:38">
      <c r="D66" s="10" t="s">
        <v>49</v>
      </c>
      <c r="E66">
        <v>2040</v>
      </c>
      <c r="F66">
        <f t="shared" si="18"/>
        <v>18.6141614285715</v>
      </c>
      <c r="G66">
        <f t="shared" si="19"/>
        <v>12.4692419142857</v>
      </c>
      <c r="H66">
        <f t="shared" si="20"/>
        <v>25.1246323714286</v>
      </c>
      <c r="K66" s="14">
        <v>18.6141614285715</v>
      </c>
      <c r="L66" s="14">
        <v>12.4692419142857</v>
      </c>
      <c r="M66" s="14">
        <v>25.1246323714286</v>
      </c>
      <c r="O66" s="14"/>
      <c r="P66" s="14"/>
      <c r="Q66" s="14" t="s">
        <v>49</v>
      </c>
      <c r="R66" s="14">
        <v>2040</v>
      </c>
      <c r="S66" s="14">
        <f>S60</f>
        <v>144</v>
      </c>
      <c r="T66" s="11">
        <f t="shared" si="21"/>
        <v>129.6</v>
      </c>
      <c r="U66" s="11">
        <f t="shared" si="22"/>
        <v>144</v>
      </c>
      <c r="AF66" s="18" t="s">
        <v>69</v>
      </c>
      <c r="AG66" s="20" t="s">
        <v>43</v>
      </c>
      <c r="AH66" s="20">
        <v>2019</v>
      </c>
      <c r="AI66" s="21">
        <v>0.035</v>
      </c>
      <c r="AJ66" s="20"/>
      <c r="AK66" s="20"/>
      <c r="AL66" s="20"/>
    </row>
    <row r="67" ht="29" spans="4:38">
      <c r="O67" s="14"/>
      <c r="P67" s="14"/>
      <c r="Q67" s="14"/>
      <c r="R67" s="14"/>
      <c r="S67" s="14"/>
      <c r="AF67" s="18" t="s">
        <v>70</v>
      </c>
      <c r="AG67" s="20" t="s">
        <v>43</v>
      </c>
      <c r="AH67" s="20">
        <v>2019</v>
      </c>
      <c r="AI67" s="21">
        <v>0.02</v>
      </c>
      <c r="AJ67" s="20"/>
      <c r="AK67" s="20"/>
      <c r="AL67" s="20"/>
    </row>
    <row r="68" spans="4:38">
      <c r="O68" s="23"/>
      <c r="P68" s="14"/>
      <c r="Q68" s="14"/>
      <c r="R68" s="14"/>
      <c r="S68" s="14"/>
      <c r="AF68" s="18" t="s">
        <v>71</v>
      </c>
      <c r="AG68" s="20" t="s">
        <v>43</v>
      </c>
      <c r="AH68" s="20">
        <v>2019</v>
      </c>
      <c r="AI68" s="21">
        <v>0.152</v>
      </c>
      <c r="AJ68" s="20"/>
      <c r="AK68" s="20"/>
      <c r="AL68" s="20"/>
    </row>
    <row r="69" ht="29" spans="4:38">
      <c r="O69" s="2"/>
      <c r="P69" s="2"/>
      <c r="Q69" s="2"/>
      <c r="R69" s="2"/>
      <c r="S69" s="2"/>
      <c r="AF69" s="18" t="s">
        <v>72</v>
      </c>
      <c r="AG69" s="20" t="s">
        <v>43</v>
      </c>
      <c r="AH69" s="20">
        <v>2019</v>
      </c>
      <c r="AI69" s="21">
        <v>0.096</v>
      </c>
      <c r="AJ69" s="20"/>
      <c r="AK69" s="20"/>
      <c r="AL69" s="20"/>
    </row>
    <row r="70" ht="29" spans="4:38">
      <c r="O70" s="2"/>
      <c r="P70" s="2"/>
      <c r="Q70" s="2"/>
      <c r="R70" s="2"/>
      <c r="S70" s="2"/>
      <c r="AF70" s="18" t="s">
        <v>73</v>
      </c>
      <c r="AG70" s="20" t="s">
        <v>43</v>
      </c>
      <c r="AH70" s="20">
        <v>2019</v>
      </c>
      <c r="AI70" s="21">
        <v>0.023</v>
      </c>
      <c r="AJ70" s="20"/>
      <c r="AK70" s="20"/>
      <c r="AL70" s="20"/>
    </row>
    <row r="71" spans="4:38">
      <c r="O71" s="2"/>
      <c r="P71" s="2"/>
      <c r="Q71" s="2"/>
      <c r="R71" s="2"/>
      <c r="S71" s="2"/>
      <c r="AF71" s="18" t="s">
        <v>74</v>
      </c>
      <c r="AG71" s="20" t="s">
        <v>43</v>
      </c>
      <c r="AH71" s="20">
        <v>2019</v>
      </c>
      <c r="AI71" s="21">
        <v>0.077</v>
      </c>
      <c r="AJ71" s="20"/>
      <c r="AK71" s="20"/>
      <c r="AL71" s="20"/>
    </row>
    <row r="72" spans="4:38">
      <c r="O72" s="2"/>
      <c r="P72" s="2"/>
      <c r="Q72" s="2"/>
      <c r="R72" s="2"/>
      <c r="S72" s="2"/>
      <c r="AF72" s="18" t="s">
        <v>75</v>
      </c>
      <c r="AG72" s="20" t="s">
        <v>43</v>
      </c>
      <c r="AH72" s="20">
        <v>2019</v>
      </c>
      <c r="AI72" s="21">
        <v>0.2</v>
      </c>
      <c r="AJ72" s="20"/>
      <c r="AK72" s="20"/>
      <c r="AL72" s="20"/>
    </row>
    <row r="73" spans="4:38">
      <c r="O73" s="2"/>
      <c r="P73" s="2"/>
      <c r="Q73" s="2"/>
      <c r="R73" s="2"/>
      <c r="S73" s="2"/>
      <c r="AF73" s="18" t="s">
        <v>76</v>
      </c>
      <c r="AG73" s="20" t="s">
        <v>43</v>
      </c>
      <c r="AH73" s="20">
        <v>2019</v>
      </c>
      <c r="AI73" s="21">
        <v>0.032</v>
      </c>
      <c r="AJ73" s="20"/>
      <c r="AK73" s="20"/>
      <c r="AL73" s="20"/>
    </row>
    <row r="74" ht="29" spans="4:38">
      <c r="D74" t="s">
        <v>26</v>
      </c>
      <c r="O74" s="2"/>
      <c r="P74" s="2"/>
      <c r="Q74" s="2"/>
      <c r="R74" s="2"/>
      <c r="S74" s="2"/>
      <c r="AF74" s="18" t="s">
        <v>77</v>
      </c>
      <c r="AG74" s="20" t="s">
        <v>43</v>
      </c>
      <c r="AH74" s="20">
        <v>2019</v>
      </c>
      <c r="AI74" s="21">
        <v>0.018</v>
      </c>
      <c r="AJ74" s="20"/>
      <c r="AK74" s="20"/>
      <c r="AL74" s="20"/>
    </row>
    <row r="75" ht="29" spans="4:38">
      <c r="D75" t="s">
        <v>29</v>
      </c>
      <c r="E75" t="s">
        <v>30</v>
      </c>
      <c r="F75" t="s">
        <v>31</v>
      </c>
      <c r="G75" t="s">
        <v>32</v>
      </c>
      <c r="H75" t="s">
        <v>33</v>
      </c>
      <c r="O75" s="1"/>
      <c r="P75" s="1"/>
      <c r="Q75" s="14"/>
      <c r="R75" s="2"/>
      <c r="S75" s="2"/>
      <c r="AF75" s="18" t="s">
        <v>40</v>
      </c>
      <c r="AG75" s="19" t="s">
        <v>45</v>
      </c>
      <c r="AH75" s="20">
        <v>2019</v>
      </c>
      <c r="AI75" s="21">
        <v>0.015</v>
      </c>
      <c r="AJ75" s="20"/>
      <c r="AK75" s="20"/>
      <c r="AL75" s="20"/>
    </row>
    <row r="76" ht="29" spans="4:38">
      <c r="D76" s="10" t="s">
        <v>35</v>
      </c>
      <c r="E76">
        <v>2045</v>
      </c>
      <c r="F76">
        <f t="shared" ref="F76:F82" si="24">K76/1</f>
        <v>16.0398887382858</v>
      </c>
      <c r="G76">
        <f t="shared" ref="G76:G82" si="25">L76/1</f>
        <v>11.0719806377143</v>
      </c>
      <c r="H76">
        <f t="shared" ref="H76:H82" si="26">M76/1</f>
        <v>21.3161756914286</v>
      </c>
      <c r="K76" s="12">
        <v>16.0398887382858</v>
      </c>
      <c r="L76" s="12">
        <v>11.0719806377143</v>
      </c>
      <c r="M76" s="12">
        <v>21.3161756914286</v>
      </c>
      <c r="O76" s="14"/>
      <c r="P76" s="14"/>
      <c r="Q76" s="12"/>
      <c r="R76" s="12"/>
      <c r="S76" s="12"/>
      <c r="AF76" s="18" t="s">
        <v>42</v>
      </c>
      <c r="AG76" s="20" t="s">
        <v>45</v>
      </c>
      <c r="AH76" s="20">
        <v>2019</v>
      </c>
      <c r="AI76" s="21">
        <v>0.045</v>
      </c>
      <c r="AJ76" s="20"/>
      <c r="AK76" s="20"/>
      <c r="AL76" s="20"/>
    </row>
    <row r="77" spans="4:38">
      <c r="D77" s="10" t="s">
        <v>39</v>
      </c>
      <c r="E77">
        <v>2045</v>
      </c>
      <c r="F77">
        <f t="shared" si="24"/>
        <v>19.0381046400001</v>
      </c>
      <c r="G77">
        <f t="shared" si="25"/>
        <v>13.2348097028572</v>
      </c>
      <c r="H77">
        <f t="shared" si="26"/>
        <v>25.1949895200001</v>
      </c>
      <c r="K77" s="14">
        <v>19.0381046400001</v>
      </c>
      <c r="L77" s="14">
        <v>13.2348097028572</v>
      </c>
      <c r="M77" s="14">
        <v>25.1949895200001</v>
      </c>
      <c r="O77" s="14"/>
      <c r="P77" s="14"/>
      <c r="Q77" s="14"/>
      <c r="R77" s="14"/>
      <c r="S77" s="14"/>
      <c r="AF77" s="18" t="s">
        <v>44</v>
      </c>
      <c r="AG77" s="20" t="s">
        <v>45</v>
      </c>
      <c r="AH77" s="20">
        <v>2019</v>
      </c>
      <c r="AI77" s="21">
        <v>0.071</v>
      </c>
      <c r="AJ77" s="20"/>
      <c r="AK77" s="20"/>
      <c r="AL77" s="20"/>
    </row>
    <row r="78" spans="4:38">
      <c r="D78" s="10" t="s">
        <v>41</v>
      </c>
      <c r="E78">
        <v>2045</v>
      </c>
      <c r="F78">
        <f t="shared" si="24"/>
        <v>17.0305232434286</v>
      </c>
      <c r="G78">
        <f t="shared" si="25"/>
        <v>11.1946476137143</v>
      </c>
      <c r="H78">
        <f t="shared" si="26"/>
        <v>23.2124135040001</v>
      </c>
      <c r="K78" s="14">
        <v>17.0305232434286</v>
      </c>
      <c r="L78" s="14">
        <v>11.1946476137143</v>
      </c>
      <c r="M78" s="14">
        <v>23.2124135040001</v>
      </c>
      <c r="O78" s="14"/>
      <c r="P78" s="14"/>
      <c r="Q78" s="14"/>
      <c r="R78" s="14"/>
      <c r="S78" s="14"/>
      <c r="AF78" s="18" t="s">
        <v>46</v>
      </c>
      <c r="AG78" s="20" t="s">
        <v>45</v>
      </c>
      <c r="AH78" s="20">
        <v>2019</v>
      </c>
      <c r="AI78" s="21">
        <v>0.027</v>
      </c>
      <c r="AJ78" s="20"/>
      <c r="AK78" s="20"/>
      <c r="AL78" s="20"/>
    </row>
    <row r="79" spans="4:38">
      <c r="D79" s="10" t="s">
        <v>43</v>
      </c>
      <c r="E79">
        <v>2045</v>
      </c>
      <c r="F79">
        <f t="shared" si="24"/>
        <v>17.0652184251429</v>
      </c>
      <c r="G79">
        <f t="shared" si="25"/>
        <v>11.0865033668572</v>
      </c>
      <c r="H79">
        <f t="shared" si="26"/>
        <v>23.4072371725715</v>
      </c>
      <c r="K79" s="14">
        <v>17.0652184251429</v>
      </c>
      <c r="L79" s="14">
        <v>11.0865033668572</v>
      </c>
      <c r="M79" s="14">
        <v>23.4072371725715</v>
      </c>
      <c r="O79" s="14"/>
      <c r="P79" s="14"/>
      <c r="Q79" s="14"/>
      <c r="R79" s="14"/>
      <c r="S79" s="14"/>
      <c r="AF79" s="18" t="s">
        <v>48</v>
      </c>
      <c r="AG79" s="20" t="s">
        <v>45</v>
      </c>
      <c r="AH79" s="20">
        <v>2019</v>
      </c>
      <c r="AI79" s="21">
        <v>0.009</v>
      </c>
      <c r="AJ79" s="20"/>
      <c r="AK79" s="20"/>
      <c r="AL79" s="20"/>
    </row>
    <row r="80" spans="4:38">
      <c r="D80" s="10" t="s">
        <v>45</v>
      </c>
      <c r="E80">
        <v>2045</v>
      </c>
      <c r="F80">
        <f t="shared" si="24"/>
        <v>17.977398</v>
      </c>
      <c r="G80">
        <f t="shared" si="25"/>
        <v>11.84640048</v>
      </c>
      <c r="H80">
        <f t="shared" si="26"/>
        <v>24.4777327200001</v>
      </c>
      <c r="K80" s="14">
        <v>17.977398</v>
      </c>
      <c r="L80" s="14">
        <v>11.84640048</v>
      </c>
      <c r="M80" s="14">
        <v>24.4777327200001</v>
      </c>
      <c r="O80" s="14"/>
      <c r="P80" s="14"/>
      <c r="Q80" s="14"/>
      <c r="R80" s="14"/>
      <c r="S80" s="14"/>
      <c r="AF80" s="18" t="s">
        <v>50</v>
      </c>
      <c r="AG80" s="20" t="s">
        <v>45</v>
      </c>
      <c r="AH80" s="20">
        <v>2019</v>
      </c>
      <c r="AI80" s="21">
        <v>0.086</v>
      </c>
      <c r="AJ80" s="20"/>
      <c r="AK80" s="20"/>
      <c r="AL80" s="20"/>
    </row>
    <row r="81" spans="4:38">
      <c r="D81" s="10" t="s">
        <v>47</v>
      </c>
      <c r="E81">
        <v>2045</v>
      </c>
      <c r="F81">
        <f t="shared" si="24"/>
        <v>17.3447074628572</v>
      </c>
      <c r="G81">
        <f t="shared" si="25"/>
        <v>11.4412985485715</v>
      </c>
      <c r="H81">
        <f t="shared" si="26"/>
        <v>23.6003926628572</v>
      </c>
      <c r="K81" s="14">
        <v>17.3447074628572</v>
      </c>
      <c r="L81" s="14">
        <v>11.4412985485715</v>
      </c>
      <c r="M81" s="14">
        <v>23.6003926628572</v>
      </c>
      <c r="O81" s="14"/>
      <c r="P81" s="14"/>
      <c r="Q81" s="14"/>
      <c r="R81" s="14"/>
      <c r="S81" s="14"/>
      <c r="AF81" s="18" t="s">
        <v>51</v>
      </c>
      <c r="AG81" s="20" t="s">
        <v>45</v>
      </c>
      <c r="AH81" s="20">
        <v>2019</v>
      </c>
      <c r="AI81" s="21">
        <v>0.08</v>
      </c>
      <c r="AJ81" s="20"/>
      <c r="AK81" s="20"/>
      <c r="AL81" s="20"/>
    </row>
    <row r="82" spans="4:38">
      <c r="D82" s="10" t="s">
        <v>49</v>
      </c>
      <c r="E82">
        <v>2045</v>
      </c>
      <c r="F82">
        <f t="shared" si="24"/>
        <v>17.8695949714286</v>
      </c>
      <c r="G82">
        <f t="shared" si="25"/>
        <v>11.9704722377143</v>
      </c>
      <c r="H82">
        <f t="shared" si="26"/>
        <v>24.1196470765715</v>
      </c>
      <c r="K82" s="14">
        <v>17.8695949714286</v>
      </c>
      <c r="L82" s="14">
        <v>11.9704722377143</v>
      </c>
      <c r="M82" s="14">
        <v>24.1196470765715</v>
      </c>
      <c r="O82" s="14"/>
      <c r="P82" s="14"/>
      <c r="Q82" s="14"/>
      <c r="R82" s="14"/>
      <c r="S82" s="14"/>
      <c r="AF82" s="18" t="s">
        <v>32</v>
      </c>
      <c r="AG82" s="20" t="s">
        <v>45</v>
      </c>
      <c r="AH82" s="20">
        <v>2019</v>
      </c>
      <c r="AI82" s="21">
        <v>0.38</v>
      </c>
      <c r="AJ82" s="20"/>
      <c r="AK82" s="20"/>
      <c r="AL82" s="20"/>
    </row>
    <row r="83" ht="29" spans="4:38">
      <c r="O83" s="14"/>
      <c r="P83" s="14"/>
      <c r="Q83" s="14"/>
      <c r="R83" s="14"/>
      <c r="S83" s="14"/>
      <c r="AF83" s="18" t="s">
        <v>52</v>
      </c>
      <c r="AG83" s="20" t="s">
        <v>45</v>
      </c>
      <c r="AH83" s="20">
        <v>2019</v>
      </c>
      <c r="AI83" s="21">
        <v>0.019</v>
      </c>
      <c r="AJ83" s="20"/>
      <c r="AK83" s="20"/>
      <c r="AL83" s="20"/>
    </row>
    <row r="84" ht="29" spans="4:38">
      <c r="O84" s="23"/>
      <c r="P84" s="14"/>
      <c r="Q84" s="14"/>
      <c r="R84" s="14"/>
      <c r="S84" s="14"/>
      <c r="AF84" s="18" t="s">
        <v>53</v>
      </c>
      <c r="AG84" s="20" t="s">
        <v>45</v>
      </c>
      <c r="AH84" s="20">
        <v>2019</v>
      </c>
      <c r="AI84" s="21">
        <v>0.039</v>
      </c>
      <c r="AJ84" s="20"/>
      <c r="AK84" s="20"/>
      <c r="AL84" s="20"/>
    </row>
    <row r="85" spans="4:38">
      <c r="O85" s="2"/>
      <c r="P85" s="2"/>
      <c r="Q85" s="2"/>
      <c r="R85" s="2"/>
      <c r="S85" s="2"/>
      <c r="AF85" s="18" t="s">
        <v>54</v>
      </c>
      <c r="AG85" s="20" t="s">
        <v>45</v>
      </c>
      <c r="AH85" s="20">
        <v>2019</v>
      </c>
      <c r="AI85" s="21">
        <v>0.294</v>
      </c>
      <c r="AJ85" s="20"/>
      <c r="AK85" s="20"/>
      <c r="AL85" s="20"/>
    </row>
    <row r="86" spans="4:38">
      <c r="O86" s="2"/>
      <c r="P86" s="2"/>
      <c r="Q86" s="2"/>
      <c r="R86" s="2"/>
      <c r="S86" s="2"/>
      <c r="AF86" s="18" t="s">
        <v>55</v>
      </c>
      <c r="AG86" s="20" t="s">
        <v>45</v>
      </c>
      <c r="AH86" s="20">
        <v>2019</v>
      </c>
      <c r="AI86" s="21">
        <v>0.441</v>
      </c>
      <c r="AJ86" s="20"/>
      <c r="AK86" s="20"/>
      <c r="AL86" s="20"/>
    </row>
    <row r="87" ht="29" spans="4:38">
      <c r="D87" t="s">
        <v>26</v>
      </c>
      <c r="O87" s="2"/>
      <c r="P87" s="2"/>
      <c r="Q87" s="2" t="s">
        <v>28</v>
      </c>
      <c r="R87" s="2"/>
      <c r="S87" s="2"/>
      <c r="AF87" s="18" t="s">
        <v>56</v>
      </c>
      <c r="AG87" s="20" t="s">
        <v>45</v>
      </c>
      <c r="AH87" s="20">
        <v>2019</v>
      </c>
      <c r="AI87" s="21">
        <v>0.028</v>
      </c>
      <c r="AJ87" s="20"/>
      <c r="AK87" s="20"/>
      <c r="AL87" s="20"/>
    </row>
    <row r="88" ht="29" spans="4:38">
      <c r="D88" t="s">
        <v>29</v>
      </c>
      <c r="E88" t="s">
        <v>30</v>
      </c>
      <c r="F88" t="s">
        <v>31</v>
      </c>
      <c r="G88" t="s">
        <v>32</v>
      </c>
      <c r="H88" t="s">
        <v>33</v>
      </c>
      <c r="O88" s="1"/>
      <c r="P88" s="1"/>
      <c r="Q88" s="14" t="s">
        <v>29</v>
      </c>
      <c r="R88" s="2" t="s">
        <v>30</v>
      </c>
      <c r="S88" s="2" t="s">
        <v>31</v>
      </c>
      <c r="T88" t="s">
        <v>32</v>
      </c>
      <c r="U88" t="s">
        <v>33</v>
      </c>
      <c r="AF88" s="18" t="s">
        <v>57</v>
      </c>
      <c r="AG88" s="20" t="s">
        <v>45</v>
      </c>
      <c r="AH88" s="20">
        <v>2019</v>
      </c>
      <c r="AI88" s="21">
        <v>0.052</v>
      </c>
      <c r="AJ88" s="20"/>
      <c r="AK88" s="20"/>
      <c r="AL88" s="20"/>
    </row>
    <row r="89" spans="4:38">
      <c r="D89" s="10" t="s">
        <v>35</v>
      </c>
      <c r="E89">
        <v>2050</v>
      </c>
      <c r="F89">
        <f t="shared" ref="F89:F95" si="27">K89/1</f>
        <v>15.3982931887543</v>
      </c>
      <c r="G89">
        <f t="shared" ref="G89:G95" si="28">L89/1</f>
        <v>10.6291014122057</v>
      </c>
      <c r="H89">
        <f t="shared" ref="H89:H95" si="29">M89/1</f>
        <v>20.4635286637715</v>
      </c>
      <c r="K89" s="12">
        <v>15.3982931887543</v>
      </c>
      <c r="L89" s="12">
        <v>10.6291014122057</v>
      </c>
      <c r="M89" s="12">
        <v>20.4635286637715</v>
      </c>
      <c r="O89" s="14"/>
      <c r="P89" s="14"/>
      <c r="Q89" s="12" t="s">
        <v>35</v>
      </c>
      <c r="R89" s="12">
        <v>2050</v>
      </c>
      <c r="S89" s="12">
        <v>132</v>
      </c>
      <c r="T89" s="11">
        <f t="shared" ref="T89:T95" si="30">S89*0.9</f>
        <v>118.8</v>
      </c>
      <c r="U89" s="11">
        <f t="shared" ref="U89:U95" si="31">S89</f>
        <v>132</v>
      </c>
      <c r="W89">
        <f>S89/S60</f>
        <v>0.916666666666667</v>
      </c>
      <c r="AF89" s="18" t="s">
        <v>58</v>
      </c>
      <c r="AG89" s="20" t="s">
        <v>45</v>
      </c>
      <c r="AH89" s="20">
        <v>2019</v>
      </c>
      <c r="AI89" s="21">
        <v>0.005</v>
      </c>
      <c r="AJ89" s="20"/>
      <c r="AK89" s="20"/>
      <c r="AL89" s="20"/>
    </row>
    <row r="90" spans="4:38">
      <c r="D90" s="10" t="s">
        <v>39</v>
      </c>
      <c r="E90">
        <v>2050</v>
      </c>
      <c r="F90">
        <f t="shared" si="27"/>
        <v>18.2765804544001</v>
      </c>
      <c r="G90">
        <f t="shared" si="28"/>
        <v>12.7054173147429</v>
      </c>
      <c r="H90">
        <f t="shared" si="29"/>
        <v>24.1871899392001</v>
      </c>
      <c r="K90" s="14">
        <v>18.2765804544001</v>
      </c>
      <c r="L90" s="14">
        <v>12.7054173147429</v>
      </c>
      <c r="M90" s="14">
        <v>24.1871899392001</v>
      </c>
      <c r="O90" s="14"/>
      <c r="P90" s="14"/>
      <c r="Q90" s="14" t="s">
        <v>39</v>
      </c>
      <c r="R90" s="14">
        <v>2050</v>
      </c>
      <c r="S90" s="14">
        <f>S61</f>
        <v>175</v>
      </c>
      <c r="T90" s="11">
        <f t="shared" si="30"/>
        <v>157.5</v>
      </c>
      <c r="U90" s="11">
        <f t="shared" si="31"/>
        <v>175</v>
      </c>
      <c r="AF90" s="18" t="s">
        <v>59</v>
      </c>
      <c r="AG90" s="20" t="s">
        <v>45</v>
      </c>
      <c r="AH90" s="20">
        <v>2019</v>
      </c>
      <c r="AI90" s="21">
        <v>0</v>
      </c>
      <c r="AJ90" s="20"/>
      <c r="AK90" s="20"/>
      <c r="AL90" s="20"/>
    </row>
    <row r="91" spans="4:38">
      <c r="D91" s="10" t="s">
        <v>41</v>
      </c>
      <c r="E91">
        <v>2050</v>
      </c>
      <c r="F91">
        <f t="shared" si="27"/>
        <v>16.3493023136914</v>
      </c>
      <c r="G91">
        <f t="shared" si="28"/>
        <v>10.7468617091657</v>
      </c>
      <c r="H91">
        <f t="shared" si="29"/>
        <v>22.2839169638401</v>
      </c>
      <c r="K91" s="14">
        <v>16.3493023136914</v>
      </c>
      <c r="L91" s="14">
        <v>10.7468617091657</v>
      </c>
      <c r="M91" s="14">
        <v>22.2839169638401</v>
      </c>
      <c r="O91" s="14"/>
      <c r="P91" s="14"/>
      <c r="Q91" s="14" t="s">
        <v>41</v>
      </c>
      <c r="R91" s="14">
        <v>2050</v>
      </c>
      <c r="S91" s="14">
        <f t="shared" ref="S90:S95" si="32">S90</f>
        <v>175</v>
      </c>
      <c r="T91" s="11">
        <f t="shared" si="30"/>
        <v>157.5</v>
      </c>
      <c r="U91" s="11">
        <f t="shared" si="31"/>
        <v>175</v>
      </c>
      <c r="AF91" s="18" t="s">
        <v>60</v>
      </c>
      <c r="AG91" s="20" t="s">
        <v>45</v>
      </c>
      <c r="AH91" s="20">
        <v>2019</v>
      </c>
      <c r="AI91" s="21">
        <v>0.017</v>
      </c>
      <c r="AJ91" s="20"/>
      <c r="AK91" s="20"/>
      <c r="AL91" s="20"/>
    </row>
    <row r="92" spans="4:38">
      <c r="D92" s="10" t="s">
        <v>43</v>
      </c>
      <c r="E92">
        <v>2050</v>
      </c>
      <c r="F92">
        <f t="shared" si="27"/>
        <v>16.3826096881372</v>
      </c>
      <c r="G92">
        <f t="shared" si="28"/>
        <v>10.6430432321829</v>
      </c>
      <c r="H92">
        <f t="shared" si="29"/>
        <v>22.4709476856686</v>
      </c>
      <c r="K92" s="14">
        <v>16.3826096881372</v>
      </c>
      <c r="L92" s="14">
        <v>10.6430432321829</v>
      </c>
      <c r="M92" s="14">
        <v>22.4709476856686</v>
      </c>
      <c r="O92" s="14"/>
      <c r="P92" s="14"/>
      <c r="Q92" s="14" t="s">
        <v>43</v>
      </c>
      <c r="R92" s="14">
        <v>2050</v>
      </c>
      <c r="S92" s="14">
        <f t="shared" si="32"/>
        <v>175</v>
      </c>
      <c r="T92" s="11">
        <f t="shared" si="30"/>
        <v>157.5</v>
      </c>
      <c r="U92" s="11">
        <f t="shared" si="31"/>
        <v>175</v>
      </c>
      <c r="AF92" s="18" t="s">
        <v>61</v>
      </c>
      <c r="AG92" s="20" t="s">
        <v>45</v>
      </c>
      <c r="AH92" s="20">
        <v>2019</v>
      </c>
      <c r="AI92" s="21">
        <v>0.209</v>
      </c>
      <c r="AJ92" s="20"/>
      <c r="AK92" s="20"/>
      <c r="AL92" s="20"/>
    </row>
    <row r="93" spans="4:38">
      <c r="D93" s="10" t="s">
        <v>45</v>
      </c>
      <c r="E93">
        <v>2050</v>
      </c>
      <c r="F93">
        <f t="shared" si="27"/>
        <v>17.25830208</v>
      </c>
      <c r="G93">
        <f t="shared" si="28"/>
        <v>11.3725444608</v>
      </c>
      <c r="H93">
        <f t="shared" si="29"/>
        <v>23.4986234112001</v>
      </c>
      <c r="K93" s="14">
        <v>17.25830208</v>
      </c>
      <c r="L93" s="14">
        <v>11.3725444608</v>
      </c>
      <c r="M93" s="14">
        <v>23.4986234112001</v>
      </c>
      <c r="O93" s="14"/>
      <c r="P93" s="14"/>
      <c r="Q93" s="14" t="s">
        <v>45</v>
      </c>
      <c r="R93" s="14">
        <v>2050</v>
      </c>
      <c r="S93" s="14">
        <f t="shared" si="32"/>
        <v>175</v>
      </c>
      <c r="T93" s="11">
        <f t="shared" si="30"/>
        <v>157.5</v>
      </c>
      <c r="U93" s="11">
        <f t="shared" si="31"/>
        <v>175</v>
      </c>
      <c r="AF93" s="18" t="s">
        <v>62</v>
      </c>
      <c r="AG93" s="20" t="s">
        <v>45</v>
      </c>
      <c r="AH93" s="20">
        <v>2019</v>
      </c>
      <c r="AI93" s="21">
        <v>0.169</v>
      </c>
      <c r="AJ93" s="20"/>
      <c r="AK93" s="20"/>
      <c r="AL93" s="20"/>
    </row>
    <row r="94" spans="4:38">
      <c r="D94" s="10" t="s">
        <v>47</v>
      </c>
      <c r="E94">
        <v>2050</v>
      </c>
      <c r="F94">
        <f t="shared" si="27"/>
        <v>16.6509191643429</v>
      </c>
      <c r="G94">
        <f t="shared" si="28"/>
        <v>10.9836466066286</v>
      </c>
      <c r="H94">
        <f t="shared" si="29"/>
        <v>22.6563769563429</v>
      </c>
      <c r="K94" s="14">
        <v>16.6509191643429</v>
      </c>
      <c r="L94" s="14">
        <v>10.9836466066286</v>
      </c>
      <c r="M94" s="14">
        <v>22.6563769563429</v>
      </c>
      <c r="O94" s="14"/>
      <c r="P94" s="14"/>
      <c r="Q94" s="14" t="s">
        <v>47</v>
      </c>
      <c r="R94" s="14">
        <v>2050</v>
      </c>
      <c r="S94" s="14">
        <f t="shared" si="32"/>
        <v>175</v>
      </c>
      <c r="T94" s="11">
        <f t="shared" si="30"/>
        <v>157.5</v>
      </c>
      <c r="U94" s="11">
        <f t="shared" si="31"/>
        <v>175</v>
      </c>
      <c r="AF94" s="18" t="s">
        <v>63</v>
      </c>
      <c r="AG94" s="20" t="s">
        <v>45</v>
      </c>
      <c r="AH94" s="20">
        <v>2019</v>
      </c>
      <c r="AI94" s="21">
        <v>0.09</v>
      </c>
      <c r="AJ94" s="20"/>
      <c r="AK94" s="20"/>
      <c r="AL94" s="20"/>
    </row>
    <row r="95" spans="4:38">
      <c r="D95" s="10" t="s">
        <v>49</v>
      </c>
      <c r="E95">
        <v>2050</v>
      </c>
      <c r="F95">
        <f t="shared" si="27"/>
        <v>17.1548111725715</v>
      </c>
      <c r="G95">
        <f t="shared" si="28"/>
        <v>11.4916533482057</v>
      </c>
      <c r="H95">
        <f t="shared" si="29"/>
        <v>23.1548611935086</v>
      </c>
      <c r="K95" s="14">
        <v>17.1548111725715</v>
      </c>
      <c r="L95" s="14">
        <v>11.4916533482057</v>
      </c>
      <c r="M95" s="14">
        <v>23.1548611935086</v>
      </c>
      <c r="O95" s="14"/>
      <c r="P95" s="14"/>
      <c r="Q95" s="14" t="s">
        <v>49</v>
      </c>
      <c r="R95" s="14">
        <v>2050</v>
      </c>
      <c r="S95" s="14">
        <f>S89</f>
        <v>132</v>
      </c>
      <c r="T95" s="11">
        <f t="shared" si="30"/>
        <v>118.8</v>
      </c>
      <c r="U95" s="11">
        <f t="shared" si="31"/>
        <v>132</v>
      </c>
      <c r="AF95" s="18" t="s">
        <v>64</v>
      </c>
      <c r="AG95" s="20" t="s">
        <v>45</v>
      </c>
      <c r="AH95" s="20">
        <v>2019</v>
      </c>
      <c r="AI95" s="21">
        <v>0.09</v>
      </c>
      <c r="AJ95" s="20"/>
      <c r="AK95" s="20"/>
      <c r="AL95" s="20"/>
    </row>
    <row r="96" spans="4:38">
      <c r="O96" s="14"/>
      <c r="P96" s="14"/>
      <c r="Q96" s="14"/>
      <c r="R96" s="14"/>
      <c r="S96" s="14"/>
      <c r="AF96" s="18" t="s">
        <v>33</v>
      </c>
      <c r="AG96" s="20" t="s">
        <v>45</v>
      </c>
      <c r="AH96" s="20">
        <v>2019</v>
      </c>
      <c r="AI96" s="21">
        <v>0.55</v>
      </c>
      <c r="AJ96" s="20"/>
      <c r="AK96" s="20"/>
      <c r="AL96" s="20"/>
    </row>
    <row r="97" spans="4:38">
      <c r="O97" s="23"/>
      <c r="P97" s="14"/>
      <c r="Q97" s="14"/>
      <c r="R97" s="14"/>
      <c r="S97" s="14"/>
      <c r="AF97" s="18" t="s">
        <v>65</v>
      </c>
      <c r="AG97" s="20" t="s">
        <v>45</v>
      </c>
      <c r="AH97" s="20">
        <v>2019</v>
      </c>
      <c r="AI97" s="21">
        <v>0.027</v>
      </c>
      <c r="AJ97" s="20"/>
      <c r="AK97" s="20"/>
      <c r="AL97" s="20"/>
    </row>
    <row r="98" spans="4:38">
      <c r="O98" s="2"/>
      <c r="P98" s="2"/>
      <c r="Q98" s="2"/>
      <c r="R98" s="2"/>
      <c r="S98" s="2"/>
      <c r="AF98" s="18" t="s">
        <v>66</v>
      </c>
      <c r="AG98" s="20" t="s">
        <v>45</v>
      </c>
      <c r="AH98" s="20">
        <v>2019</v>
      </c>
      <c r="AI98" s="21">
        <v>0.067</v>
      </c>
      <c r="AJ98" s="20"/>
      <c r="AK98" s="20"/>
      <c r="AL98" s="20"/>
    </row>
    <row r="99" spans="4:38">
      <c r="O99" s="2"/>
      <c r="P99" s="2"/>
      <c r="Q99" s="2"/>
      <c r="R99" s="2"/>
      <c r="S99" s="2"/>
      <c r="AF99" s="18" t="s">
        <v>67</v>
      </c>
      <c r="AG99" s="20" t="s">
        <v>45</v>
      </c>
      <c r="AH99" s="20">
        <v>2019</v>
      </c>
      <c r="AI99" s="21">
        <v>0.025</v>
      </c>
      <c r="AJ99" s="20"/>
      <c r="AK99" s="20"/>
      <c r="AL99" s="20"/>
    </row>
    <row r="100" spans="4:38">
      <c r="O100" s="2"/>
      <c r="P100" s="2"/>
      <c r="Q100" s="2"/>
      <c r="R100" s="2"/>
      <c r="S100" s="2"/>
      <c r="AF100" s="18" t="s">
        <v>68</v>
      </c>
      <c r="AG100" s="20" t="s">
        <v>45</v>
      </c>
      <c r="AH100" s="20">
        <v>2019</v>
      </c>
      <c r="AI100" s="21">
        <v>0.055</v>
      </c>
      <c r="AJ100" s="20"/>
      <c r="AK100" s="20"/>
      <c r="AL100" s="20"/>
    </row>
    <row r="101" ht="29" spans="4:38">
      <c r="O101" s="2"/>
      <c r="P101" s="2"/>
      <c r="Q101" s="2" t="s">
        <v>28</v>
      </c>
      <c r="R101" s="2"/>
      <c r="S101" s="2"/>
      <c r="AF101" s="18" t="s">
        <v>69</v>
      </c>
      <c r="AG101" s="20" t="s">
        <v>45</v>
      </c>
      <c r="AH101" s="20">
        <v>2019</v>
      </c>
      <c r="AI101" s="21">
        <v>0.035</v>
      </c>
      <c r="AJ101" s="20"/>
      <c r="AK101" s="20"/>
      <c r="AL101" s="20"/>
    </row>
    <row r="102" ht="29" spans="4:38">
      <c r="O102" s="2"/>
      <c r="P102" s="2"/>
      <c r="Q102" s="14" t="s">
        <v>29</v>
      </c>
      <c r="R102" s="2" t="s">
        <v>30</v>
      </c>
      <c r="S102" s="2" t="s">
        <v>31</v>
      </c>
      <c r="T102" t="s">
        <v>32</v>
      </c>
      <c r="U102" t="s">
        <v>33</v>
      </c>
      <c r="AF102" s="18" t="s">
        <v>70</v>
      </c>
      <c r="AG102" s="20" t="s">
        <v>45</v>
      </c>
      <c r="AH102" s="20">
        <v>2019</v>
      </c>
      <c r="AI102" s="21">
        <v>0.02</v>
      </c>
      <c r="AJ102" s="20"/>
      <c r="AK102" s="20"/>
      <c r="AL102" s="20"/>
    </row>
    <row r="103" spans="4:38">
      <c r="O103" s="2"/>
      <c r="P103" s="2"/>
      <c r="Q103" s="12" t="s">
        <v>35</v>
      </c>
      <c r="R103" s="12">
        <v>2100</v>
      </c>
      <c r="S103" s="12">
        <f>S89*0.8</f>
        <v>105.6</v>
      </c>
      <c r="T103" s="11">
        <f t="shared" ref="T103:T109" si="33">S103*0.9</f>
        <v>95.04</v>
      </c>
      <c r="U103" s="11">
        <f t="shared" ref="U103:U109" si="34">S103</f>
        <v>105.6</v>
      </c>
      <c r="AF103" s="18" t="s">
        <v>71</v>
      </c>
      <c r="AG103" s="20" t="s">
        <v>45</v>
      </c>
      <c r="AH103" s="20">
        <v>2019</v>
      </c>
      <c r="AI103" s="21">
        <v>0.152</v>
      </c>
      <c r="AJ103" s="20"/>
      <c r="AK103" s="20"/>
      <c r="AL103" s="20"/>
    </row>
    <row r="104" ht="29" spans="4:38">
      <c r="D104" t="s">
        <v>26</v>
      </c>
      <c r="K104" s="9" t="s">
        <v>27</v>
      </c>
      <c r="L104" s="9"/>
      <c r="M104" s="9"/>
      <c r="O104" s="2"/>
      <c r="P104" s="2"/>
      <c r="Q104" s="14" t="s">
        <v>39</v>
      </c>
      <c r="R104" s="14">
        <v>2100</v>
      </c>
      <c r="S104" s="14">
        <f>S90</f>
        <v>175</v>
      </c>
      <c r="T104" s="11">
        <f t="shared" si="33"/>
        <v>157.5</v>
      </c>
      <c r="U104" s="11">
        <f t="shared" si="34"/>
        <v>175</v>
      </c>
      <c r="AF104" s="18" t="s">
        <v>72</v>
      </c>
      <c r="AG104" s="20" t="s">
        <v>45</v>
      </c>
      <c r="AH104" s="20">
        <v>2019</v>
      </c>
      <c r="AI104" s="21">
        <v>0.096</v>
      </c>
      <c r="AJ104" s="20"/>
      <c r="AK104" s="20"/>
      <c r="AL104" s="20"/>
    </row>
    <row r="105" ht="29" spans="4:38">
      <c r="D105" t="s">
        <v>29</v>
      </c>
      <c r="E105" t="s">
        <v>30</v>
      </c>
      <c r="F105" t="s">
        <v>31</v>
      </c>
      <c r="G105" t="s">
        <v>32</v>
      </c>
      <c r="H105" t="s">
        <v>33</v>
      </c>
      <c r="O105" s="1"/>
      <c r="P105" s="1"/>
      <c r="Q105" s="14" t="s">
        <v>41</v>
      </c>
      <c r="R105" s="12">
        <v>2100</v>
      </c>
      <c r="S105" s="14">
        <f t="shared" ref="S104:S109" si="35">S104</f>
        <v>175</v>
      </c>
      <c r="T105" s="11">
        <f t="shared" si="33"/>
        <v>157.5</v>
      </c>
      <c r="U105" s="11">
        <f t="shared" si="34"/>
        <v>175</v>
      </c>
      <c r="AF105" s="18" t="s">
        <v>73</v>
      </c>
      <c r="AG105" s="20" t="s">
        <v>45</v>
      </c>
      <c r="AH105" s="20">
        <v>2019</v>
      </c>
      <c r="AI105" s="21">
        <v>0.023</v>
      </c>
      <c r="AJ105" s="20"/>
      <c r="AK105" s="20"/>
      <c r="AL105" s="20"/>
    </row>
    <row r="106" spans="4:38">
      <c r="D106" s="10" t="s">
        <v>35</v>
      </c>
      <c r="E106">
        <v>2100</v>
      </c>
      <c r="F106">
        <f t="shared" ref="F106:F112" si="36">K106/1</f>
        <v>15.3982931887543</v>
      </c>
      <c r="G106">
        <f t="shared" ref="G106:G112" si="37">L106/1</f>
        <v>10.6291014122057</v>
      </c>
      <c r="H106">
        <f t="shared" ref="H106:H112" si="38">M106/1</f>
        <v>20.4635286637715</v>
      </c>
      <c r="K106" s="12">
        <v>15.3982931887543</v>
      </c>
      <c r="L106" s="12">
        <v>10.6291014122057</v>
      </c>
      <c r="M106" s="12">
        <v>20.4635286637715</v>
      </c>
      <c r="O106" s="14"/>
      <c r="P106" s="14"/>
      <c r="Q106" s="14" t="s">
        <v>43</v>
      </c>
      <c r="R106" s="14">
        <v>2100</v>
      </c>
      <c r="S106" s="14">
        <f t="shared" si="35"/>
        <v>175</v>
      </c>
      <c r="T106" s="11">
        <f t="shared" si="33"/>
        <v>157.5</v>
      </c>
      <c r="U106" s="11">
        <f t="shared" si="34"/>
        <v>175</v>
      </c>
      <c r="AF106" s="18" t="s">
        <v>74</v>
      </c>
      <c r="AG106" s="20" t="s">
        <v>45</v>
      </c>
      <c r="AH106" s="20">
        <v>2019</v>
      </c>
      <c r="AI106" s="21">
        <v>0.077</v>
      </c>
      <c r="AJ106" s="20"/>
      <c r="AK106" s="20"/>
      <c r="AL106" s="20"/>
    </row>
    <row r="107" spans="4:38">
      <c r="D107" s="10" t="s">
        <v>39</v>
      </c>
      <c r="E107">
        <v>2100</v>
      </c>
      <c r="F107">
        <f t="shared" si="36"/>
        <v>18.2765804544001</v>
      </c>
      <c r="G107">
        <f t="shared" si="37"/>
        <v>12.7054173147429</v>
      </c>
      <c r="H107">
        <f t="shared" si="38"/>
        <v>24.1871899392001</v>
      </c>
      <c r="K107" s="14">
        <v>18.2765804544001</v>
      </c>
      <c r="L107" s="14">
        <v>12.7054173147429</v>
      </c>
      <c r="M107" s="14">
        <v>24.1871899392001</v>
      </c>
      <c r="O107" s="14"/>
      <c r="P107" s="14"/>
      <c r="Q107" s="14" t="s">
        <v>45</v>
      </c>
      <c r="R107" s="12">
        <v>2100</v>
      </c>
      <c r="S107" s="14">
        <f t="shared" si="35"/>
        <v>175</v>
      </c>
      <c r="T107" s="11">
        <f t="shared" si="33"/>
        <v>157.5</v>
      </c>
      <c r="U107" s="11">
        <f t="shared" si="34"/>
        <v>175</v>
      </c>
      <c r="AF107" s="18" t="s">
        <v>75</v>
      </c>
      <c r="AG107" s="20" t="s">
        <v>45</v>
      </c>
      <c r="AH107" s="20">
        <v>2019</v>
      </c>
      <c r="AI107" s="21">
        <v>0.2</v>
      </c>
      <c r="AJ107" s="20"/>
      <c r="AK107" s="20"/>
      <c r="AL107" s="20"/>
    </row>
    <row r="108" spans="4:38">
      <c r="D108" s="10" t="s">
        <v>41</v>
      </c>
      <c r="E108">
        <v>2100</v>
      </c>
      <c r="F108">
        <f t="shared" si="36"/>
        <v>16.3493023136914</v>
      </c>
      <c r="G108">
        <f t="shared" si="37"/>
        <v>10.7468617091657</v>
      </c>
      <c r="H108">
        <f t="shared" si="38"/>
        <v>22.2839169638401</v>
      </c>
      <c r="K108" s="14">
        <v>16.3493023136914</v>
      </c>
      <c r="L108" s="14">
        <v>10.7468617091657</v>
      </c>
      <c r="M108" s="14">
        <v>22.2839169638401</v>
      </c>
      <c r="O108" s="14"/>
      <c r="P108" s="14"/>
      <c r="Q108" s="14" t="s">
        <v>47</v>
      </c>
      <c r="R108" s="14">
        <v>2100</v>
      </c>
      <c r="S108" s="14">
        <f t="shared" si="35"/>
        <v>175</v>
      </c>
      <c r="T108" s="11">
        <f t="shared" si="33"/>
        <v>157.5</v>
      </c>
      <c r="U108" s="11">
        <f t="shared" si="34"/>
        <v>175</v>
      </c>
      <c r="AF108" s="18" t="s">
        <v>76</v>
      </c>
      <c r="AG108" s="20" t="s">
        <v>45</v>
      </c>
      <c r="AH108" s="20">
        <v>2019</v>
      </c>
      <c r="AI108" s="21">
        <v>0.032</v>
      </c>
      <c r="AJ108" s="20"/>
      <c r="AK108" s="20"/>
      <c r="AL108" s="20"/>
    </row>
    <row r="109" ht="29" spans="4:38">
      <c r="D109" s="10" t="s">
        <v>43</v>
      </c>
      <c r="E109">
        <v>2100</v>
      </c>
      <c r="F109">
        <f t="shared" si="36"/>
        <v>16.3826096881372</v>
      </c>
      <c r="G109">
        <f t="shared" si="37"/>
        <v>10.6430432321829</v>
      </c>
      <c r="H109">
        <f t="shared" si="38"/>
        <v>22.4709476856686</v>
      </c>
      <c r="K109" s="14">
        <v>16.3826096881372</v>
      </c>
      <c r="L109" s="14">
        <v>10.6430432321829</v>
      </c>
      <c r="M109" s="14">
        <v>22.4709476856686</v>
      </c>
      <c r="O109" s="14"/>
      <c r="P109" s="14"/>
      <c r="Q109" s="14" t="s">
        <v>49</v>
      </c>
      <c r="R109" s="12">
        <v>2100</v>
      </c>
      <c r="S109" s="14">
        <f>S103</f>
        <v>105.6</v>
      </c>
      <c r="T109" s="11">
        <f t="shared" si="33"/>
        <v>95.04</v>
      </c>
      <c r="U109" s="11">
        <f t="shared" si="34"/>
        <v>105.6</v>
      </c>
      <c r="AF109" s="18" t="s">
        <v>77</v>
      </c>
      <c r="AG109" s="20" t="s">
        <v>45</v>
      </c>
      <c r="AH109" s="20">
        <v>2019</v>
      </c>
      <c r="AI109" s="21">
        <v>0.018</v>
      </c>
      <c r="AJ109" s="20"/>
      <c r="AK109" s="20"/>
      <c r="AL109" s="20"/>
    </row>
    <row r="110" ht="29" spans="4:38">
      <c r="D110" s="10" t="s">
        <v>45</v>
      </c>
      <c r="E110">
        <v>2100</v>
      </c>
      <c r="F110">
        <f t="shared" si="36"/>
        <v>17.25830208</v>
      </c>
      <c r="G110">
        <f t="shared" si="37"/>
        <v>11.3725444608</v>
      </c>
      <c r="H110">
        <f t="shared" si="38"/>
        <v>23.4986234112001</v>
      </c>
      <c r="K110" s="14">
        <v>17.25830208</v>
      </c>
      <c r="L110" s="14">
        <v>11.3725444608</v>
      </c>
      <c r="M110" s="14">
        <v>23.4986234112001</v>
      </c>
      <c r="O110" s="14"/>
      <c r="P110" s="14"/>
      <c r="Q110" s="14"/>
      <c r="R110" s="14"/>
      <c r="S110" s="14"/>
      <c r="AF110" s="18" t="s">
        <v>40</v>
      </c>
      <c r="AG110" s="19" t="s">
        <v>47</v>
      </c>
      <c r="AH110" s="20">
        <v>2019</v>
      </c>
      <c r="AI110" s="21">
        <v>0.015</v>
      </c>
      <c r="AJ110" s="20"/>
      <c r="AK110" s="20"/>
      <c r="AL110" s="20"/>
    </row>
    <row r="111" ht="29" spans="4:38">
      <c r="D111" s="10" t="s">
        <v>47</v>
      </c>
      <c r="E111">
        <v>2100</v>
      </c>
      <c r="F111">
        <f t="shared" si="36"/>
        <v>16.6509191643429</v>
      </c>
      <c r="G111">
        <f t="shared" si="37"/>
        <v>10.9836466066286</v>
      </c>
      <c r="H111">
        <f t="shared" si="38"/>
        <v>22.6563769563429</v>
      </c>
      <c r="K111" s="14">
        <v>16.6509191643429</v>
      </c>
      <c r="L111" s="14">
        <v>10.9836466066286</v>
      </c>
      <c r="M111" s="14">
        <v>22.6563769563429</v>
      </c>
      <c r="O111" s="14"/>
      <c r="P111" s="14"/>
      <c r="Q111" s="14"/>
      <c r="R111" s="14"/>
      <c r="S111" s="14"/>
      <c r="AF111" s="18" t="s">
        <v>42</v>
      </c>
      <c r="AG111" s="20" t="s">
        <v>47</v>
      </c>
      <c r="AH111" s="20">
        <v>2019</v>
      </c>
      <c r="AI111" s="21">
        <v>0.045</v>
      </c>
      <c r="AJ111" s="20"/>
      <c r="AK111" s="20"/>
      <c r="AL111" s="20"/>
    </row>
    <row r="112" spans="4:38">
      <c r="D112" s="10" t="s">
        <v>49</v>
      </c>
      <c r="E112">
        <v>2100</v>
      </c>
      <c r="F112">
        <f t="shared" si="36"/>
        <v>17.1548111725715</v>
      </c>
      <c r="G112">
        <f t="shared" si="37"/>
        <v>11.4916533482057</v>
      </c>
      <c r="H112">
        <f t="shared" si="38"/>
        <v>23.1548611935086</v>
      </c>
      <c r="K112" s="14">
        <v>17.1548111725715</v>
      </c>
      <c r="L112" s="14">
        <v>11.4916533482057</v>
      </c>
      <c r="M112" s="14">
        <v>23.1548611935086</v>
      </c>
      <c r="O112" s="14"/>
      <c r="P112" s="14"/>
      <c r="Q112" s="14"/>
      <c r="R112" s="14"/>
      <c r="S112" s="14"/>
      <c r="AF112" s="18" t="s">
        <v>44</v>
      </c>
      <c r="AG112" s="20" t="s">
        <v>47</v>
      </c>
      <c r="AH112" s="20">
        <v>2019</v>
      </c>
      <c r="AI112" s="21">
        <v>0.071</v>
      </c>
      <c r="AJ112" s="20"/>
      <c r="AK112" s="20"/>
      <c r="AL112" s="20"/>
    </row>
    <row r="113" spans="4:38">
      <c r="O113" s="14"/>
      <c r="P113" s="14"/>
      <c r="Q113" s="14"/>
      <c r="R113" s="14"/>
      <c r="S113" s="14"/>
      <c r="AF113" s="18" t="s">
        <v>46</v>
      </c>
      <c r="AG113" s="20" t="s">
        <v>47</v>
      </c>
      <c r="AH113" s="20">
        <v>2019</v>
      </c>
      <c r="AI113" s="21">
        <v>0.027</v>
      </c>
      <c r="AJ113" s="20"/>
      <c r="AK113" s="20"/>
      <c r="AL113" s="20"/>
    </row>
    <row r="114" spans="4:38">
      <c r="AF114" s="18" t="s">
        <v>48</v>
      </c>
      <c r="AG114" s="20" t="s">
        <v>47</v>
      </c>
      <c r="AH114" s="20">
        <v>2019</v>
      </c>
      <c r="AI114" s="21">
        <v>0.009</v>
      </c>
      <c r="AJ114" s="20"/>
      <c r="AK114" s="20"/>
      <c r="AL114" s="20"/>
    </row>
    <row r="115" spans="4:38">
      <c r="AF115" s="18" t="s">
        <v>50</v>
      </c>
      <c r="AG115" s="20" t="s">
        <v>47</v>
      </c>
      <c r="AH115" s="20">
        <v>2019</v>
      </c>
      <c r="AI115" s="21">
        <v>0.086</v>
      </c>
      <c r="AJ115" s="20"/>
      <c r="AK115" s="20"/>
      <c r="AL115" s="20"/>
    </row>
    <row r="116" spans="4:38">
      <c r="AF116" s="18" t="s">
        <v>51</v>
      </c>
      <c r="AG116" s="20" t="s">
        <v>47</v>
      </c>
      <c r="AH116" s="20">
        <v>2019</v>
      </c>
      <c r="AI116" s="21">
        <v>0.08</v>
      </c>
      <c r="AJ116" s="20"/>
      <c r="AK116" s="20"/>
      <c r="AL116" s="20"/>
    </row>
    <row r="117" spans="4:38">
      <c r="AF117" s="18" t="s">
        <v>32</v>
      </c>
      <c r="AG117" s="20" t="s">
        <v>47</v>
      </c>
      <c r="AH117" s="20">
        <v>2019</v>
      </c>
      <c r="AI117" s="21">
        <v>0.38</v>
      </c>
      <c r="AJ117" s="20"/>
      <c r="AK117" s="20"/>
      <c r="AL117" s="20"/>
    </row>
    <row r="118" ht="29" spans="4:38">
      <c r="D118" t="s">
        <v>26</v>
      </c>
      <c r="Q118" s="6" t="s">
        <v>28</v>
      </c>
      <c r="AF118" s="18" t="s">
        <v>52</v>
      </c>
      <c r="AG118" s="20" t="s">
        <v>47</v>
      </c>
      <c r="AH118" s="20">
        <v>2019</v>
      </c>
      <c r="AI118" s="21">
        <v>0.019</v>
      </c>
      <c r="AJ118" s="20"/>
      <c r="AK118" s="20"/>
      <c r="AL118" s="20"/>
    </row>
    <row r="119" ht="29" spans="4:38">
      <c r="D119" t="s">
        <v>29</v>
      </c>
      <c r="E119" t="s">
        <v>30</v>
      </c>
      <c r="F119" t="s">
        <v>31</v>
      </c>
      <c r="G119" t="s">
        <v>32</v>
      </c>
      <c r="H119" t="s">
        <v>33</v>
      </c>
      <c r="Q119" s="6" t="s">
        <v>29</v>
      </c>
      <c r="R119" s="6" t="s">
        <v>30</v>
      </c>
      <c r="S119" s="6" t="s">
        <v>31</v>
      </c>
      <c r="T119" t="s">
        <v>32</v>
      </c>
      <c r="U119" t="s">
        <v>33</v>
      </c>
      <c r="AF119" s="18" t="s">
        <v>53</v>
      </c>
      <c r="AG119" s="20" t="s">
        <v>47</v>
      </c>
      <c r="AH119" s="20">
        <v>2019</v>
      </c>
      <c r="AI119" s="21">
        <v>0.039</v>
      </c>
      <c r="AJ119" s="20"/>
      <c r="AK119" s="20"/>
      <c r="AL119" s="20"/>
    </row>
    <row r="120" spans="4:38">
      <c r="D120" s="10" t="s">
        <v>35</v>
      </c>
      <c r="E120">
        <v>0</v>
      </c>
      <c r="F120">
        <v>3</v>
      </c>
      <c r="G120">
        <v>3</v>
      </c>
      <c r="H120">
        <v>3</v>
      </c>
      <c r="Q120" s="6" t="s">
        <v>35</v>
      </c>
      <c r="R120" s="6">
        <v>0</v>
      </c>
      <c r="S120" s="6">
        <v>3</v>
      </c>
      <c r="T120">
        <v>3</v>
      </c>
      <c r="U120">
        <v>3</v>
      </c>
      <c r="AF120" s="18" t="s">
        <v>54</v>
      </c>
      <c r="AG120" s="20" t="s">
        <v>47</v>
      </c>
      <c r="AH120" s="20">
        <v>2019</v>
      </c>
      <c r="AI120" s="21">
        <v>0.294</v>
      </c>
      <c r="AJ120" s="20"/>
      <c r="AK120" s="20"/>
      <c r="AL120" s="20"/>
    </row>
    <row r="121" spans="4:38">
      <c r="D121" s="10" t="s">
        <v>39</v>
      </c>
      <c r="E121">
        <v>0</v>
      </c>
      <c r="F121">
        <v>3</v>
      </c>
      <c r="G121">
        <v>3</v>
      </c>
      <c r="H121">
        <v>3</v>
      </c>
      <c r="Q121" s="6" t="s">
        <v>39</v>
      </c>
      <c r="R121" s="6">
        <v>0</v>
      </c>
      <c r="S121" s="6">
        <v>3</v>
      </c>
      <c r="T121">
        <v>3</v>
      </c>
      <c r="U121">
        <v>3</v>
      </c>
      <c r="AF121" s="18" t="s">
        <v>55</v>
      </c>
      <c r="AG121" s="20" t="s">
        <v>47</v>
      </c>
      <c r="AH121" s="20">
        <v>2019</v>
      </c>
      <c r="AI121" s="21">
        <v>0.441</v>
      </c>
      <c r="AJ121" s="20"/>
      <c r="AK121" s="20"/>
      <c r="AL121" s="20"/>
    </row>
    <row r="122" ht="29" spans="4:38">
      <c r="D122" s="10" t="s">
        <v>41</v>
      </c>
      <c r="E122">
        <v>0</v>
      </c>
      <c r="F122">
        <v>3</v>
      </c>
      <c r="G122">
        <v>3</v>
      </c>
      <c r="H122">
        <v>3</v>
      </c>
      <c r="Q122" s="6" t="s">
        <v>41</v>
      </c>
      <c r="R122" s="6">
        <v>0</v>
      </c>
      <c r="S122" s="6">
        <v>3</v>
      </c>
      <c r="T122">
        <v>3</v>
      </c>
      <c r="U122">
        <v>3</v>
      </c>
      <c r="AF122" s="18" t="s">
        <v>56</v>
      </c>
      <c r="AG122" s="20" t="s">
        <v>47</v>
      </c>
      <c r="AH122" s="20">
        <v>2019</v>
      </c>
      <c r="AI122" s="21">
        <v>0.028</v>
      </c>
      <c r="AJ122" s="20"/>
      <c r="AK122" s="20"/>
      <c r="AL122" s="20"/>
    </row>
    <row r="123" ht="29" spans="4:38">
      <c r="D123" s="10" t="s">
        <v>43</v>
      </c>
      <c r="E123">
        <v>0</v>
      </c>
      <c r="F123">
        <v>3</v>
      </c>
      <c r="G123">
        <v>3</v>
      </c>
      <c r="H123">
        <v>3</v>
      </c>
      <c r="Q123" s="6" t="s">
        <v>43</v>
      </c>
      <c r="R123" s="6">
        <v>0</v>
      </c>
      <c r="S123" s="6">
        <v>3</v>
      </c>
      <c r="T123">
        <v>3</v>
      </c>
      <c r="U123">
        <v>3</v>
      </c>
      <c r="AF123" s="18" t="s">
        <v>57</v>
      </c>
      <c r="AG123" s="20" t="s">
        <v>47</v>
      </c>
      <c r="AH123" s="20">
        <v>2019</v>
      </c>
      <c r="AI123" s="21">
        <v>0.052</v>
      </c>
      <c r="AJ123" s="20"/>
      <c r="AK123" s="20"/>
      <c r="AL123" s="20"/>
    </row>
    <row r="124" spans="4:38">
      <c r="D124" s="10" t="s">
        <v>45</v>
      </c>
      <c r="E124">
        <v>0</v>
      </c>
      <c r="F124">
        <v>3</v>
      </c>
      <c r="G124">
        <v>3</v>
      </c>
      <c r="H124">
        <v>3</v>
      </c>
      <c r="Q124" s="6" t="s">
        <v>45</v>
      </c>
      <c r="R124" s="6">
        <v>0</v>
      </c>
      <c r="S124" s="6">
        <v>3</v>
      </c>
      <c r="T124">
        <v>3</v>
      </c>
      <c r="U124">
        <v>3</v>
      </c>
      <c r="AF124" s="18" t="s">
        <v>58</v>
      </c>
      <c r="AG124" s="20" t="s">
        <v>47</v>
      </c>
      <c r="AH124" s="20">
        <v>2019</v>
      </c>
      <c r="AI124" s="21">
        <v>0.005</v>
      </c>
      <c r="AJ124" s="20"/>
      <c r="AK124" s="20"/>
      <c r="AL124" s="20"/>
    </row>
    <row r="125" spans="4:38">
      <c r="D125" s="10" t="s">
        <v>47</v>
      </c>
      <c r="E125">
        <v>0</v>
      </c>
      <c r="F125">
        <v>3</v>
      </c>
      <c r="G125">
        <v>3</v>
      </c>
      <c r="H125">
        <v>3</v>
      </c>
      <c r="Q125" s="6" t="s">
        <v>47</v>
      </c>
      <c r="R125" s="6">
        <v>0</v>
      </c>
      <c r="S125" s="6">
        <v>3</v>
      </c>
      <c r="T125">
        <v>3</v>
      </c>
      <c r="U125">
        <v>3</v>
      </c>
      <c r="AF125" s="18" t="s">
        <v>59</v>
      </c>
      <c r="AG125" s="20" t="s">
        <v>47</v>
      </c>
      <c r="AH125" s="20">
        <v>2019</v>
      </c>
      <c r="AI125" s="21">
        <v>0</v>
      </c>
      <c r="AJ125" s="20"/>
      <c r="AK125" s="20"/>
      <c r="AL125" s="20"/>
    </row>
    <row r="126" spans="4:38">
      <c r="D126" s="10" t="s">
        <v>49</v>
      </c>
      <c r="E126">
        <v>0</v>
      </c>
      <c r="F126">
        <v>3</v>
      </c>
      <c r="G126">
        <v>3</v>
      </c>
      <c r="H126">
        <v>3</v>
      </c>
      <c r="Q126" s="6" t="s">
        <v>49</v>
      </c>
      <c r="R126" s="6">
        <v>0</v>
      </c>
      <c r="S126" s="6">
        <v>3</v>
      </c>
      <c r="T126">
        <v>3</v>
      </c>
      <c r="U126">
        <v>3</v>
      </c>
      <c r="AF126" s="18" t="s">
        <v>60</v>
      </c>
      <c r="AG126" s="20" t="s">
        <v>47</v>
      </c>
      <c r="AH126" s="20">
        <v>2019</v>
      </c>
      <c r="AI126" s="21">
        <v>0.017</v>
      </c>
      <c r="AJ126" s="20"/>
      <c r="AK126" s="20"/>
      <c r="AL126" s="20"/>
    </row>
    <row r="127" spans="4:38">
      <c r="AF127" s="18" t="s">
        <v>61</v>
      </c>
      <c r="AG127" s="20" t="s">
        <v>47</v>
      </c>
      <c r="AH127" s="20">
        <v>2019</v>
      </c>
      <c r="AI127" s="21">
        <v>0.209</v>
      </c>
      <c r="AJ127" s="20"/>
      <c r="AK127" s="20"/>
      <c r="AL127" s="20"/>
    </row>
    <row r="128" spans="4:38">
      <c r="AF128" s="18" t="s">
        <v>62</v>
      </c>
      <c r="AG128" s="20" t="s">
        <v>47</v>
      </c>
      <c r="AH128" s="20">
        <v>2019</v>
      </c>
      <c r="AI128" s="21">
        <v>0.169</v>
      </c>
      <c r="AJ128" s="20"/>
      <c r="AK128" s="20"/>
      <c r="AL128" s="20"/>
    </row>
    <row r="129" spans="32:38">
      <c r="AF129" s="18" t="s">
        <v>63</v>
      </c>
      <c r="AG129" s="20" t="s">
        <v>47</v>
      </c>
      <c r="AH129" s="20">
        <v>2019</v>
      </c>
      <c r="AI129" s="21">
        <v>0.09</v>
      </c>
      <c r="AJ129" s="20"/>
      <c r="AK129" s="20"/>
      <c r="AL129" s="20"/>
    </row>
    <row r="130" spans="32:38">
      <c r="AF130" s="18" t="s">
        <v>64</v>
      </c>
      <c r="AG130" s="20" t="s">
        <v>47</v>
      </c>
      <c r="AH130" s="20">
        <v>2019</v>
      </c>
      <c r="AI130" s="21">
        <v>0.09</v>
      </c>
      <c r="AJ130" s="20"/>
      <c r="AK130" s="20"/>
      <c r="AL130" s="20"/>
    </row>
    <row r="131" spans="32:38">
      <c r="AF131" s="18" t="s">
        <v>33</v>
      </c>
      <c r="AG131" s="20" t="s">
        <v>47</v>
      </c>
      <c r="AH131" s="20">
        <v>2019</v>
      </c>
      <c r="AI131" s="21">
        <v>0.55</v>
      </c>
      <c r="AJ131" s="20"/>
      <c r="AK131" s="20"/>
      <c r="AL131" s="20"/>
    </row>
    <row r="132" spans="32:38">
      <c r="AF132" s="18" t="s">
        <v>65</v>
      </c>
      <c r="AG132" s="20" t="s">
        <v>47</v>
      </c>
      <c r="AH132" s="20">
        <v>2019</v>
      </c>
      <c r="AI132" s="21">
        <v>0.027</v>
      </c>
      <c r="AJ132" s="20"/>
      <c r="AK132" s="20"/>
      <c r="AL132" s="20"/>
    </row>
    <row r="133" spans="32:38">
      <c r="AF133" s="18" t="s">
        <v>66</v>
      </c>
      <c r="AG133" s="20" t="s">
        <v>47</v>
      </c>
      <c r="AH133" s="20">
        <v>2019</v>
      </c>
      <c r="AI133" s="21">
        <v>0.067</v>
      </c>
      <c r="AJ133" s="20"/>
      <c r="AK133" s="20"/>
      <c r="AL133" s="20"/>
    </row>
    <row r="134" spans="32:38">
      <c r="AF134" s="18" t="s">
        <v>67</v>
      </c>
      <c r="AG134" s="20" t="s">
        <v>47</v>
      </c>
      <c r="AH134" s="20">
        <v>2019</v>
      </c>
      <c r="AI134" s="21">
        <v>0.025</v>
      </c>
      <c r="AJ134" s="20"/>
      <c r="AK134" s="20"/>
      <c r="AL134" s="20"/>
    </row>
    <row r="135" spans="32:38">
      <c r="AF135" s="18" t="s">
        <v>68</v>
      </c>
      <c r="AG135" s="20" t="s">
        <v>47</v>
      </c>
      <c r="AH135" s="20">
        <v>2019</v>
      </c>
      <c r="AI135" s="21">
        <v>0.055</v>
      </c>
      <c r="AJ135" s="20"/>
      <c r="AK135" s="20"/>
      <c r="AL135" s="20"/>
    </row>
    <row r="136" ht="29" spans="32:38">
      <c r="AF136" s="18" t="s">
        <v>69</v>
      </c>
      <c r="AG136" s="20" t="s">
        <v>47</v>
      </c>
      <c r="AH136" s="20">
        <v>2019</v>
      </c>
      <c r="AI136" s="21">
        <v>0.035</v>
      </c>
      <c r="AJ136" s="20"/>
      <c r="AK136" s="20"/>
      <c r="AL136" s="20"/>
    </row>
    <row r="137" ht="29" spans="32:38">
      <c r="AF137" s="18" t="s">
        <v>70</v>
      </c>
      <c r="AG137" s="20" t="s">
        <v>47</v>
      </c>
      <c r="AH137" s="20">
        <v>2019</v>
      </c>
      <c r="AI137" s="21">
        <v>0.02</v>
      </c>
      <c r="AJ137" s="20"/>
      <c r="AK137" s="20"/>
      <c r="AL137" s="20"/>
    </row>
    <row r="138" spans="32:38">
      <c r="AF138" s="18" t="s">
        <v>71</v>
      </c>
      <c r="AG138" s="20" t="s">
        <v>47</v>
      </c>
      <c r="AH138" s="20">
        <v>2019</v>
      </c>
      <c r="AI138" s="21">
        <v>0.152</v>
      </c>
      <c r="AJ138" s="20"/>
      <c r="AK138" s="20"/>
      <c r="AL138" s="20"/>
    </row>
    <row r="139" ht="29" spans="32:38">
      <c r="AF139" s="18" t="s">
        <v>72</v>
      </c>
      <c r="AG139" s="20" t="s">
        <v>47</v>
      </c>
      <c r="AH139" s="20">
        <v>2019</v>
      </c>
      <c r="AI139" s="21">
        <v>0.096</v>
      </c>
      <c r="AJ139" s="20"/>
      <c r="AK139" s="20"/>
      <c r="AL139" s="20"/>
    </row>
    <row r="140" ht="29" spans="32:38">
      <c r="AF140" s="18" t="s">
        <v>73</v>
      </c>
      <c r="AG140" s="20" t="s">
        <v>47</v>
      </c>
      <c r="AH140" s="20">
        <v>2019</v>
      </c>
      <c r="AI140" s="21">
        <v>0.023</v>
      </c>
      <c r="AJ140" s="20"/>
      <c r="AK140" s="20"/>
      <c r="AL140" s="20"/>
    </row>
    <row r="141" spans="32:38">
      <c r="AF141" s="18" t="s">
        <v>74</v>
      </c>
      <c r="AG141" s="20" t="s">
        <v>47</v>
      </c>
      <c r="AH141" s="20">
        <v>2019</v>
      </c>
      <c r="AI141" s="21">
        <v>0.077</v>
      </c>
      <c r="AJ141" s="20"/>
      <c r="AK141" s="20"/>
      <c r="AL141" s="20"/>
    </row>
    <row r="142" spans="32:38">
      <c r="AF142" s="18" t="s">
        <v>75</v>
      </c>
      <c r="AG142" s="20" t="s">
        <v>47</v>
      </c>
      <c r="AH142" s="20">
        <v>2019</v>
      </c>
      <c r="AI142" s="21">
        <v>0.2</v>
      </c>
      <c r="AJ142" s="20"/>
      <c r="AK142" s="20"/>
      <c r="AL142" s="20"/>
    </row>
    <row r="143" spans="32:38">
      <c r="AF143" s="18" t="s">
        <v>76</v>
      </c>
      <c r="AG143" s="20" t="s">
        <v>47</v>
      </c>
      <c r="AH143" s="20">
        <v>2019</v>
      </c>
      <c r="AI143" s="21">
        <v>0.032</v>
      </c>
      <c r="AJ143" s="20"/>
      <c r="AK143" s="20"/>
      <c r="AL143" s="20"/>
    </row>
    <row r="144" ht="29" spans="32:38">
      <c r="AF144" s="18" t="s">
        <v>77</v>
      </c>
      <c r="AG144" s="20" t="s">
        <v>47</v>
      </c>
      <c r="AH144" s="20">
        <v>2019</v>
      </c>
      <c r="AI144" s="21">
        <v>0.018</v>
      </c>
      <c r="AJ144" s="20"/>
      <c r="AK144" s="20"/>
      <c r="AL144" s="20"/>
    </row>
    <row r="145" ht="29" spans="32:38">
      <c r="AF145" s="18" t="s">
        <v>40</v>
      </c>
      <c r="AG145" s="19" t="s">
        <v>49</v>
      </c>
      <c r="AH145" s="20">
        <v>2019</v>
      </c>
      <c r="AI145" s="21">
        <v>0.015</v>
      </c>
      <c r="AJ145" s="20"/>
      <c r="AK145" s="20"/>
      <c r="AL145" s="20"/>
    </row>
    <row r="146" ht="29" spans="32:38">
      <c r="AF146" s="18" t="s">
        <v>42</v>
      </c>
      <c r="AG146" s="20" t="s">
        <v>49</v>
      </c>
      <c r="AH146" s="20">
        <v>2019</v>
      </c>
      <c r="AI146" s="21">
        <v>0.045</v>
      </c>
      <c r="AJ146" s="20"/>
      <c r="AK146" s="20"/>
      <c r="AL146" s="20"/>
    </row>
    <row r="147" spans="32:38">
      <c r="AF147" s="18" t="s">
        <v>44</v>
      </c>
      <c r="AG147" s="20" t="s">
        <v>49</v>
      </c>
      <c r="AH147" s="20">
        <v>2019</v>
      </c>
      <c r="AI147" s="21">
        <v>0.071</v>
      </c>
      <c r="AJ147" s="20"/>
      <c r="AK147" s="20"/>
      <c r="AL147" s="20"/>
    </row>
    <row r="148" spans="32:38">
      <c r="AF148" s="18" t="s">
        <v>46</v>
      </c>
      <c r="AG148" s="20" t="s">
        <v>49</v>
      </c>
      <c r="AH148" s="20">
        <v>2019</v>
      </c>
      <c r="AI148" s="21">
        <v>0.027</v>
      </c>
      <c r="AJ148" s="20"/>
      <c r="AK148" s="20"/>
      <c r="AL148" s="20"/>
    </row>
    <row r="149" spans="32:38">
      <c r="AF149" s="18" t="s">
        <v>48</v>
      </c>
      <c r="AG149" s="20" t="s">
        <v>49</v>
      </c>
      <c r="AH149" s="20">
        <v>2019</v>
      </c>
      <c r="AI149" s="21">
        <v>0.009</v>
      </c>
      <c r="AJ149" s="20"/>
      <c r="AK149" s="20"/>
      <c r="AL149" s="20"/>
    </row>
    <row r="150" spans="32:38">
      <c r="AF150" s="18" t="s">
        <v>50</v>
      </c>
      <c r="AG150" s="20" t="s">
        <v>49</v>
      </c>
      <c r="AH150" s="20">
        <v>2019</v>
      </c>
      <c r="AI150" s="21">
        <v>0.086</v>
      </c>
      <c r="AJ150" s="20"/>
      <c r="AK150" s="20"/>
      <c r="AL150" s="20"/>
    </row>
    <row r="151" spans="32:38">
      <c r="AF151" s="18" t="s">
        <v>51</v>
      </c>
      <c r="AG151" s="20" t="s">
        <v>49</v>
      </c>
      <c r="AH151" s="20">
        <v>2019</v>
      </c>
      <c r="AI151" s="21">
        <v>0.08</v>
      </c>
      <c r="AJ151" s="20"/>
      <c r="AK151" s="20"/>
      <c r="AL151" s="20"/>
    </row>
    <row r="152" spans="32:38">
      <c r="AF152" s="18" t="s">
        <v>32</v>
      </c>
      <c r="AG152" s="20" t="s">
        <v>49</v>
      </c>
      <c r="AH152" s="20">
        <v>2019</v>
      </c>
      <c r="AI152" s="21">
        <v>0.38</v>
      </c>
      <c r="AJ152" s="20"/>
      <c r="AK152" s="20"/>
      <c r="AL152" s="20"/>
    </row>
    <row r="153" ht="29" spans="32:38">
      <c r="AF153" s="18" t="s">
        <v>52</v>
      </c>
      <c r="AG153" s="20" t="s">
        <v>49</v>
      </c>
      <c r="AH153" s="20">
        <v>2019</v>
      </c>
      <c r="AI153" s="21">
        <v>0.019</v>
      </c>
      <c r="AJ153" s="20"/>
      <c r="AK153" s="20"/>
      <c r="AL153" s="20"/>
    </row>
    <row r="154" ht="29" spans="32:38">
      <c r="AF154" s="18" t="s">
        <v>53</v>
      </c>
      <c r="AG154" s="20" t="s">
        <v>49</v>
      </c>
      <c r="AH154" s="20">
        <v>2019</v>
      </c>
      <c r="AI154" s="21">
        <v>0.039</v>
      </c>
      <c r="AJ154" s="20"/>
      <c r="AK154" s="20"/>
      <c r="AL154" s="20"/>
    </row>
    <row r="155" spans="32:38">
      <c r="AF155" s="18" t="s">
        <v>54</v>
      </c>
      <c r="AG155" s="20" t="s">
        <v>49</v>
      </c>
      <c r="AH155" s="20">
        <v>2019</v>
      </c>
      <c r="AI155" s="21">
        <v>0.294</v>
      </c>
      <c r="AJ155" s="20"/>
      <c r="AK155" s="20"/>
      <c r="AL155" s="20"/>
    </row>
    <row r="156" spans="32:38">
      <c r="AF156" s="18" t="s">
        <v>55</v>
      </c>
      <c r="AG156" s="20" t="s">
        <v>49</v>
      </c>
      <c r="AH156" s="20">
        <v>2019</v>
      </c>
      <c r="AI156" s="21">
        <v>0.441</v>
      </c>
      <c r="AJ156" s="20"/>
      <c r="AK156" s="20"/>
      <c r="AL156" s="20"/>
    </row>
    <row r="157" ht="29" spans="32:38">
      <c r="AF157" s="18" t="s">
        <v>56</v>
      </c>
      <c r="AG157" s="20" t="s">
        <v>49</v>
      </c>
      <c r="AH157" s="20">
        <v>2019</v>
      </c>
      <c r="AI157" s="21">
        <v>0.028</v>
      </c>
      <c r="AJ157" s="20"/>
      <c r="AK157" s="20"/>
      <c r="AL157" s="20"/>
    </row>
    <row r="158" ht="29" spans="32:38">
      <c r="AF158" s="18" t="s">
        <v>57</v>
      </c>
      <c r="AG158" s="20" t="s">
        <v>49</v>
      </c>
      <c r="AH158" s="20">
        <v>2019</v>
      </c>
      <c r="AI158" s="21">
        <v>0.052</v>
      </c>
      <c r="AJ158" s="20"/>
      <c r="AK158" s="20"/>
      <c r="AL158" s="20"/>
    </row>
    <row r="159" spans="32:38">
      <c r="AF159" s="18" t="s">
        <v>58</v>
      </c>
      <c r="AG159" s="20" t="s">
        <v>49</v>
      </c>
      <c r="AH159" s="20">
        <v>2019</v>
      </c>
      <c r="AI159" s="21">
        <v>0.005</v>
      </c>
      <c r="AJ159" s="20"/>
      <c r="AK159" s="20"/>
      <c r="AL159" s="20"/>
    </row>
    <row r="160" spans="32:38">
      <c r="AF160" s="18" t="s">
        <v>59</v>
      </c>
      <c r="AG160" s="20" t="s">
        <v>49</v>
      </c>
      <c r="AH160" s="20">
        <v>2019</v>
      </c>
      <c r="AI160" s="21">
        <v>0</v>
      </c>
      <c r="AJ160" s="20"/>
      <c r="AK160" s="20"/>
      <c r="AL160" s="20"/>
    </row>
    <row r="161" spans="32:38">
      <c r="AF161" s="18" t="s">
        <v>60</v>
      </c>
      <c r="AG161" s="20" t="s">
        <v>49</v>
      </c>
      <c r="AH161" s="20">
        <v>2019</v>
      </c>
      <c r="AI161" s="21">
        <v>0.017</v>
      </c>
      <c r="AJ161" s="20"/>
      <c r="AK161" s="20"/>
      <c r="AL161" s="20"/>
    </row>
    <row r="162" spans="32:38">
      <c r="AF162" s="18" t="s">
        <v>61</v>
      </c>
      <c r="AG162" s="20" t="s">
        <v>49</v>
      </c>
      <c r="AH162" s="20">
        <v>2019</v>
      </c>
      <c r="AI162" s="21">
        <v>0.209</v>
      </c>
      <c r="AJ162" s="20"/>
      <c r="AK162" s="20"/>
      <c r="AL162" s="20"/>
    </row>
    <row r="163" spans="32:38">
      <c r="AF163" s="18" t="s">
        <v>62</v>
      </c>
      <c r="AG163" s="20" t="s">
        <v>49</v>
      </c>
      <c r="AH163" s="20">
        <v>2019</v>
      </c>
      <c r="AI163" s="21">
        <v>0.169</v>
      </c>
      <c r="AJ163" s="20"/>
      <c r="AK163" s="20"/>
      <c r="AL163" s="20"/>
    </row>
    <row r="164" spans="32:38">
      <c r="AF164" s="18" t="s">
        <v>63</v>
      </c>
      <c r="AG164" s="20" t="s">
        <v>49</v>
      </c>
      <c r="AH164" s="20">
        <v>2019</v>
      </c>
      <c r="AI164" s="21">
        <v>0.09</v>
      </c>
      <c r="AJ164" s="20"/>
      <c r="AK164" s="20"/>
      <c r="AL164" s="20"/>
    </row>
    <row r="165" spans="32:38">
      <c r="AF165" s="18" t="s">
        <v>64</v>
      </c>
      <c r="AG165" s="20" t="s">
        <v>49</v>
      </c>
      <c r="AH165" s="20">
        <v>2019</v>
      </c>
      <c r="AI165" s="21">
        <v>0.09</v>
      </c>
      <c r="AJ165" s="20"/>
      <c r="AK165" s="20"/>
      <c r="AL165" s="20"/>
    </row>
    <row r="166" spans="32:38">
      <c r="AF166" s="18" t="s">
        <v>33</v>
      </c>
      <c r="AG166" s="20" t="s">
        <v>49</v>
      </c>
      <c r="AH166" s="20">
        <v>2019</v>
      </c>
      <c r="AI166" s="21">
        <v>0.55</v>
      </c>
      <c r="AJ166" s="20"/>
      <c r="AK166" s="20"/>
      <c r="AL166" s="20"/>
    </row>
    <row r="167" spans="32:38">
      <c r="AF167" s="18" t="s">
        <v>65</v>
      </c>
      <c r="AG167" s="20" t="s">
        <v>49</v>
      </c>
      <c r="AH167" s="20">
        <v>2019</v>
      </c>
      <c r="AI167" s="21">
        <v>0.027</v>
      </c>
      <c r="AJ167" s="20"/>
      <c r="AK167" s="20"/>
      <c r="AL167" s="20"/>
    </row>
    <row r="168" spans="32:38">
      <c r="AF168" s="18" t="s">
        <v>66</v>
      </c>
      <c r="AG168" s="20" t="s">
        <v>49</v>
      </c>
      <c r="AH168" s="20">
        <v>2019</v>
      </c>
      <c r="AI168" s="21">
        <v>0.067</v>
      </c>
      <c r="AJ168" s="20"/>
      <c r="AK168" s="20"/>
      <c r="AL168" s="20"/>
    </row>
    <row r="169" spans="32:38">
      <c r="AF169" s="18" t="s">
        <v>67</v>
      </c>
      <c r="AG169" s="20" t="s">
        <v>49</v>
      </c>
      <c r="AH169" s="20">
        <v>2019</v>
      </c>
      <c r="AI169" s="21">
        <v>0.025</v>
      </c>
      <c r="AJ169" s="20"/>
      <c r="AK169" s="20"/>
      <c r="AL169" s="20"/>
    </row>
    <row r="170" spans="32:38">
      <c r="AF170" s="18" t="s">
        <v>68</v>
      </c>
      <c r="AG170" s="20" t="s">
        <v>49</v>
      </c>
      <c r="AH170" s="20">
        <v>2019</v>
      </c>
      <c r="AI170" s="21">
        <v>0.055</v>
      </c>
      <c r="AJ170" s="20"/>
      <c r="AK170" s="20"/>
      <c r="AL170" s="20"/>
    </row>
    <row r="171" ht="29" spans="32:38">
      <c r="AF171" s="18" t="s">
        <v>69</v>
      </c>
      <c r="AG171" s="20" t="s">
        <v>49</v>
      </c>
      <c r="AH171" s="20">
        <v>2019</v>
      </c>
      <c r="AI171" s="21">
        <v>0.035</v>
      </c>
      <c r="AJ171" s="20"/>
      <c r="AK171" s="20"/>
      <c r="AL171" s="20"/>
    </row>
    <row r="172" ht="29" spans="32:38">
      <c r="AF172" s="18" t="s">
        <v>70</v>
      </c>
      <c r="AG172" s="20" t="s">
        <v>49</v>
      </c>
      <c r="AH172" s="20">
        <v>2019</v>
      </c>
      <c r="AI172" s="21">
        <v>0.02</v>
      </c>
      <c r="AJ172" s="20"/>
      <c r="AK172" s="20"/>
      <c r="AL172" s="20"/>
    </row>
    <row r="173" spans="32:38">
      <c r="AF173" s="18" t="s">
        <v>71</v>
      </c>
      <c r="AG173" s="20" t="s">
        <v>49</v>
      </c>
      <c r="AH173" s="20">
        <v>2019</v>
      </c>
      <c r="AI173" s="21">
        <v>0.152</v>
      </c>
      <c r="AJ173" s="20"/>
      <c r="AK173" s="20"/>
      <c r="AL173" s="20"/>
    </row>
    <row r="174" ht="29" spans="32:38">
      <c r="AF174" s="18" t="s">
        <v>72</v>
      </c>
      <c r="AG174" s="20" t="s">
        <v>49</v>
      </c>
      <c r="AH174" s="20">
        <v>2019</v>
      </c>
      <c r="AI174" s="21">
        <v>0.096</v>
      </c>
      <c r="AJ174" s="20"/>
      <c r="AK174" s="20"/>
      <c r="AL174" s="20"/>
    </row>
    <row r="175" ht="29" spans="32:38">
      <c r="AF175" s="18" t="s">
        <v>73</v>
      </c>
      <c r="AG175" s="20" t="s">
        <v>49</v>
      </c>
      <c r="AH175" s="20">
        <v>2019</v>
      </c>
      <c r="AI175" s="21">
        <v>0.023</v>
      </c>
      <c r="AJ175" s="20"/>
      <c r="AK175" s="20"/>
      <c r="AL175" s="20"/>
    </row>
    <row r="176" spans="32:38">
      <c r="AF176" s="18" t="s">
        <v>74</v>
      </c>
      <c r="AG176" s="20" t="s">
        <v>49</v>
      </c>
      <c r="AH176" s="20">
        <v>2019</v>
      </c>
      <c r="AI176" s="21">
        <v>0.077</v>
      </c>
      <c r="AJ176" s="20"/>
      <c r="AK176" s="20"/>
      <c r="AL176" s="20"/>
    </row>
    <row r="177" spans="32:38">
      <c r="AF177" s="18" t="s">
        <v>75</v>
      </c>
      <c r="AG177" s="20" t="s">
        <v>49</v>
      </c>
      <c r="AH177" s="20">
        <v>2019</v>
      </c>
      <c r="AI177" s="21">
        <v>0.2</v>
      </c>
      <c r="AJ177" s="20"/>
      <c r="AK177" s="20"/>
      <c r="AL177" s="20"/>
    </row>
    <row r="178" spans="32:38">
      <c r="AF178" s="18" t="s">
        <v>76</v>
      </c>
      <c r="AG178" s="20" t="s">
        <v>49</v>
      </c>
      <c r="AH178" s="20">
        <v>2019</v>
      </c>
      <c r="AI178" s="21">
        <v>0.032</v>
      </c>
      <c r="AJ178" s="20"/>
      <c r="AK178" s="20"/>
      <c r="AL178" s="20"/>
    </row>
    <row r="179" ht="29" spans="32:38">
      <c r="AF179" s="18" t="s">
        <v>77</v>
      </c>
      <c r="AG179" s="20" t="s">
        <v>49</v>
      </c>
      <c r="AH179" s="20">
        <v>2019</v>
      </c>
      <c r="AI179" s="21">
        <v>0.018</v>
      </c>
      <c r="AJ179" s="20"/>
      <c r="AK179" s="20"/>
      <c r="AL179" s="20"/>
    </row>
    <row r="180" ht="29" spans="32:38">
      <c r="AF180" s="18" t="s">
        <v>40</v>
      </c>
      <c r="AG180" s="20" t="s">
        <v>39</v>
      </c>
      <c r="AH180" s="20">
        <v>2019</v>
      </c>
      <c r="AI180" s="21">
        <v>0.0075</v>
      </c>
      <c r="AJ180" s="20"/>
      <c r="AK180" s="20"/>
      <c r="AL180" s="20"/>
    </row>
    <row r="181" ht="29" spans="32:38">
      <c r="AF181" s="18" t="s">
        <v>42</v>
      </c>
      <c r="AG181" s="20" t="s">
        <v>39</v>
      </c>
      <c r="AH181" s="20">
        <v>2019</v>
      </c>
      <c r="AI181" s="21">
        <v>0.0225</v>
      </c>
      <c r="AJ181" s="20"/>
      <c r="AK181" s="20"/>
      <c r="AL181" s="20"/>
    </row>
    <row r="182" spans="32:38">
      <c r="AF182" s="18" t="s">
        <v>44</v>
      </c>
      <c r="AG182" s="20" t="s">
        <v>39</v>
      </c>
      <c r="AH182" s="20">
        <v>2019</v>
      </c>
      <c r="AI182" s="21">
        <v>0.0355</v>
      </c>
      <c r="AJ182" s="20"/>
      <c r="AK182" s="20"/>
      <c r="AL182" s="20"/>
    </row>
    <row r="183" spans="32:38">
      <c r="AF183" s="18" t="s">
        <v>46</v>
      </c>
      <c r="AG183" s="20" t="s">
        <v>39</v>
      </c>
      <c r="AH183" s="20">
        <v>2019</v>
      </c>
      <c r="AI183" s="21">
        <v>0.0135</v>
      </c>
      <c r="AJ183" s="20"/>
      <c r="AK183" s="20"/>
      <c r="AL183" s="20"/>
    </row>
    <row r="184" spans="32:38">
      <c r="AF184" s="18" t="s">
        <v>48</v>
      </c>
      <c r="AG184" s="20" t="s">
        <v>39</v>
      </c>
      <c r="AH184" s="20">
        <v>2019</v>
      </c>
      <c r="AI184" s="21">
        <v>0.0045</v>
      </c>
      <c r="AJ184" s="20"/>
      <c r="AK184" s="20"/>
      <c r="AL184" s="20"/>
    </row>
    <row r="185" spans="32:38">
      <c r="AF185" s="18" t="s">
        <v>50</v>
      </c>
      <c r="AG185" s="20" t="s">
        <v>39</v>
      </c>
      <c r="AH185" s="20">
        <v>2019</v>
      </c>
      <c r="AI185" s="21">
        <v>0.043</v>
      </c>
      <c r="AJ185" s="20"/>
      <c r="AK185" s="20"/>
      <c r="AL185" s="20"/>
    </row>
    <row r="186" spans="32:38">
      <c r="AF186" s="18" t="s">
        <v>51</v>
      </c>
      <c r="AG186" s="20" t="s">
        <v>39</v>
      </c>
      <c r="AH186" s="20">
        <v>2019</v>
      </c>
      <c r="AI186" s="21">
        <v>0.04</v>
      </c>
      <c r="AJ186" s="20"/>
      <c r="AK186" s="20"/>
      <c r="AL186" s="20"/>
    </row>
    <row r="187" spans="32:38">
      <c r="AF187" s="18" t="s">
        <v>32</v>
      </c>
      <c r="AG187" s="20" t="s">
        <v>39</v>
      </c>
      <c r="AH187" s="20">
        <v>2019</v>
      </c>
      <c r="AI187" s="21">
        <v>0.19</v>
      </c>
      <c r="AJ187" s="20"/>
      <c r="AK187" s="20"/>
      <c r="AL187" s="20"/>
    </row>
    <row r="188" ht="29" spans="32:38">
      <c r="AF188" s="18" t="s">
        <v>52</v>
      </c>
      <c r="AG188" s="20" t="s">
        <v>39</v>
      </c>
      <c r="AH188" s="20">
        <v>2019</v>
      </c>
      <c r="AI188" s="21">
        <v>0.0095</v>
      </c>
      <c r="AJ188" s="20"/>
      <c r="AK188" s="20"/>
      <c r="AL188" s="20"/>
    </row>
    <row r="189" ht="29" spans="32:38">
      <c r="AF189" s="18" t="s">
        <v>53</v>
      </c>
      <c r="AG189" s="20" t="s">
        <v>39</v>
      </c>
      <c r="AH189" s="20">
        <v>2019</v>
      </c>
      <c r="AI189" s="21">
        <v>0.0195</v>
      </c>
      <c r="AJ189" s="20"/>
      <c r="AK189" s="20"/>
      <c r="AL189" s="20"/>
    </row>
    <row r="190" spans="32:38">
      <c r="AF190" s="18" t="s">
        <v>54</v>
      </c>
      <c r="AG190" s="20" t="s">
        <v>39</v>
      </c>
      <c r="AH190" s="20">
        <v>2019</v>
      </c>
      <c r="AI190" s="21">
        <v>0.147</v>
      </c>
      <c r="AJ190" s="20"/>
      <c r="AK190" s="20"/>
      <c r="AL190" s="20"/>
    </row>
    <row r="191" spans="32:38">
      <c r="AF191" s="18" t="s">
        <v>55</v>
      </c>
      <c r="AG191" s="20" t="s">
        <v>39</v>
      </c>
      <c r="AH191" s="20">
        <v>2019</v>
      </c>
      <c r="AI191" s="21">
        <v>0.2205</v>
      </c>
      <c r="AJ191" s="20"/>
      <c r="AK191" s="20"/>
      <c r="AL191" s="20"/>
    </row>
    <row r="192" ht="29" spans="32:38">
      <c r="AF192" s="18" t="s">
        <v>56</v>
      </c>
      <c r="AG192" s="20" t="s">
        <v>39</v>
      </c>
      <c r="AH192" s="20">
        <v>2019</v>
      </c>
      <c r="AI192" s="21">
        <v>0.014</v>
      </c>
      <c r="AJ192" s="20"/>
      <c r="AK192" s="20"/>
      <c r="AL192" s="20"/>
    </row>
    <row r="193" ht="29" spans="32:38">
      <c r="AF193" s="18" t="s">
        <v>57</v>
      </c>
      <c r="AG193" s="20" t="s">
        <v>39</v>
      </c>
      <c r="AH193" s="20">
        <v>2019</v>
      </c>
      <c r="AI193" s="21">
        <v>0.026</v>
      </c>
      <c r="AJ193" s="20"/>
      <c r="AK193" s="20"/>
      <c r="AL193" s="20"/>
    </row>
    <row r="194" spans="32:38">
      <c r="AF194" s="18" t="s">
        <v>58</v>
      </c>
      <c r="AG194" s="20" t="s">
        <v>39</v>
      </c>
      <c r="AH194" s="20">
        <v>2019</v>
      </c>
      <c r="AI194" s="21">
        <v>0.0025</v>
      </c>
      <c r="AJ194" s="20"/>
      <c r="AK194" s="20"/>
      <c r="AL194" s="20"/>
    </row>
    <row r="195" spans="32:38">
      <c r="AF195" s="18" t="s">
        <v>59</v>
      </c>
      <c r="AG195" s="20" t="s">
        <v>39</v>
      </c>
      <c r="AH195" s="20">
        <v>2019</v>
      </c>
      <c r="AI195" s="21">
        <v>0</v>
      </c>
      <c r="AJ195" s="20"/>
      <c r="AK195" s="20"/>
      <c r="AL195" s="20"/>
    </row>
    <row r="196" spans="32:38">
      <c r="AF196" s="18" t="s">
        <v>60</v>
      </c>
      <c r="AG196" s="20" t="s">
        <v>39</v>
      </c>
      <c r="AH196" s="20">
        <v>2019</v>
      </c>
      <c r="AI196" s="21">
        <v>0.0085</v>
      </c>
      <c r="AJ196" s="20"/>
      <c r="AK196" s="20"/>
      <c r="AL196" s="20"/>
    </row>
    <row r="197" spans="32:38">
      <c r="AF197" s="18" t="s">
        <v>61</v>
      </c>
      <c r="AG197" s="20" t="s">
        <v>39</v>
      </c>
      <c r="AH197" s="20">
        <v>2019</v>
      </c>
      <c r="AI197" s="21">
        <v>0.1045</v>
      </c>
      <c r="AJ197" s="20"/>
      <c r="AK197" s="20"/>
      <c r="AL197" s="20"/>
    </row>
    <row r="198" spans="32:38">
      <c r="AF198" s="18" t="s">
        <v>62</v>
      </c>
      <c r="AG198" s="20" t="s">
        <v>39</v>
      </c>
      <c r="AH198" s="20">
        <v>2019</v>
      </c>
      <c r="AI198" s="21">
        <v>0.0845</v>
      </c>
      <c r="AJ198" s="20"/>
      <c r="AK198" s="20"/>
      <c r="AL198" s="20"/>
    </row>
    <row r="199" spans="32:38">
      <c r="AF199" s="18" t="s">
        <v>63</v>
      </c>
      <c r="AG199" s="20" t="s">
        <v>39</v>
      </c>
      <c r="AH199" s="20">
        <v>2019</v>
      </c>
      <c r="AI199" s="21">
        <v>0.045</v>
      </c>
      <c r="AJ199" s="20"/>
      <c r="AK199" s="20"/>
      <c r="AL199" s="20"/>
    </row>
    <row r="200" spans="32:38">
      <c r="AF200" s="18" t="s">
        <v>64</v>
      </c>
      <c r="AG200" s="20" t="s">
        <v>39</v>
      </c>
      <c r="AH200" s="20">
        <v>2019</v>
      </c>
      <c r="AI200" s="21">
        <v>0.045</v>
      </c>
      <c r="AJ200" s="20"/>
      <c r="AK200" s="20"/>
      <c r="AL200" s="20"/>
    </row>
    <row r="201" spans="32:38">
      <c r="AF201" s="18" t="s">
        <v>33</v>
      </c>
      <c r="AG201" s="20" t="s">
        <v>39</v>
      </c>
      <c r="AH201" s="20">
        <v>2019</v>
      </c>
      <c r="AI201" s="21">
        <v>0.275</v>
      </c>
      <c r="AJ201" s="20"/>
      <c r="AK201" s="20"/>
      <c r="AL201" s="20"/>
    </row>
    <row r="202" spans="32:38">
      <c r="AF202" s="18" t="s">
        <v>65</v>
      </c>
      <c r="AG202" s="20" t="s">
        <v>39</v>
      </c>
      <c r="AH202" s="20">
        <v>2019</v>
      </c>
      <c r="AI202" s="21">
        <v>0.0135</v>
      </c>
      <c r="AJ202" s="20"/>
      <c r="AK202" s="20"/>
      <c r="AL202" s="20"/>
    </row>
    <row r="203" spans="32:38">
      <c r="AF203" s="18" t="s">
        <v>66</v>
      </c>
      <c r="AG203" s="20" t="s">
        <v>39</v>
      </c>
      <c r="AH203" s="20">
        <v>2019</v>
      </c>
      <c r="AI203" s="21">
        <v>0.0335</v>
      </c>
      <c r="AJ203" s="20"/>
      <c r="AK203" s="20"/>
      <c r="AL203" s="20"/>
    </row>
    <row r="204" spans="32:38">
      <c r="AF204" s="18" t="s">
        <v>67</v>
      </c>
      <c r="AG204" s="20" t="s">
        <v>39</v>
      </c>
      <c r="AH204" s="20">
        <v>2019</v>
      </c>
      <c r="AI204" s="21">
        <v>0.0125</v>
      </c>
      <c r="AJ204" s="20"/>
      <c r="AK204" s="20"/>
      <c r="AL204" s="20"/>
    </row>
    <row r="205" spans="32:38">
      <c r="AF205" s="18" t="s">
        <v>68</v>
      </c>
      <c r="AG205" s="20" t="s">
        <v>39</v>
      </c>
      <c r="AH205" s="20">
        <v>2019</v>
      </c>
      <c r="AI205" s="21">
        <v>0.0275</v>
      </c>
      <c r="AJ205" s="20"/>
      <c r="AK205" s="20"/>
      <c r="AL205" s="20"/>
    </row>
    <row r="206" ht="29" spans="32:38">
      <c r="AF206" s="18" t="s">
        <v>69</v>
      </c>
      <c r="AG206" s="20" t="s">
        <v>39</v>
      </c>
      <c r="AH206" s="20">
        <v>2019</v>
      </c>
      <c r="AI206" s="21">
        <v>0.0175</v>
      </c>
      <c r="AJ206" s="20"/>
      <c r="AK206" s="20"/>
      <c r="AL206" s="20"/>
    </row>
    <row r="207" ht="29" spans="32:38">
      <c r="AF207" s="18" t="s">
        <v>70</v>
      </c>
      <c r="AG207" s="20" t="s">
        <v>39</v>
      </c>
      <c r="AH207" s="20">
        <v>2019</v>
      </c>
      <c r="AI207" s="21">
        <v>0.01</v>
      </c>
      <c r="AJ207" s="20"/>
      <c r="AK207" s="20"/>
      <c r="AL207" s="20"/>
    </row>
    <row r="208" spans="32:38">
      <c r="AF208" s="18" t="s">
        <v>71</v>
      </c>
      <c r="AG208" s="20" t="s">
        <v>39</v>
      </c>
      <c r="AH208" s="20">
        <v>2019</v>
      </c>
      <c r="AI208" s="21">
        <v>0.076</v>
      </c>
      <c r="AJ208" s="20"/>
      <c r="AK208" s="20"/>
      <c r="AL208" s="20"/>
    </row>
    <row r="209" ht="29" spans="32:38">
      <c r="AF209" s="18" t="s">
        <v>72</v>
      </c>
      <c r="AG209" s="20" t="s">
        <v>39</v>
      </c>
      <c r="AH209" s="20">
        <v>2019</v>
      </c>
      <c r="AI209" s="21">
        <v>0.048</v>
      </c>
      <c r="AJ209" s="20"/>
      <c r="AK209" s="20"/>
      <c r="AL209" s="20"/>
    </row>
    <row r="210" ht="29" spans="32:38">
      <c r="AF210" s="18" t="s">
        <v>73</v>
      </c>
      <c r="AG210" s="20" t="s">
        <v>39</v>
      </c>
      <c r="AH210" s="20">
        <v>2019</v>
      </c>
      <c r="AI210" s="21">
        <v>0.0115</v>
      </c>
      <c r="AJ210" s="20"/>
      <c r="AK210" s="20"/>
      <c r="AL210" s="20"/>
    </row>
    <row r="211" spans="32:38">
      <c r="AF211" s="18" t="s">
        <v>74</v>
      </c>
      <c r="AG211" s="20" t="s">
        <v>39</v>
      </c>
      <c r="AH211" s="20">
        <v>2019</v>
      </c>
      <c r="AI211" s="21">
        <v>0.0385</v>
      </c>
      <c r="AJ211" s="20"/>
      <c r="AK211" s="20"/>
      <c r="AL211" s="20"/>
    </row>
    <row r="212" spans="32:38">
      <c r="AF212" s="18" t="s">
        <v>75</v>
      </c>
      <c r="AG212" s="20" t="s">
        <v>39</v>
      </c>
      <c r="AH212" s="20">
        <v>2019</v>
      </c>
      <c r="AI212" s="21">
        <v>0.1</v>
      </c>
      <c r="AJ212" s="20"/>
      <c r="AK212" s="20"/>
      <c r="AL212" s="20"/>
    </row>
    <row r="213" spans="32:38">
      <c r="AF213" s="18" t="s">
        <v>76</v>
      </c>
      <c r="AG213" s="20" t="s">
        <v>39</v>
      </c>
      <c r="AH213" s="20">
        <v>2019</v>
      </c>
      <c r="AI213" s="21">
        <v>0.016</v>
      </c>
      <c r="AJ213" s="20"/>
      <c r="AK213" s="20"/>
      <c r="AL213" s="20"/>
    </row>
    <row r="214" ht="29" spans="32:38">
      <c r="AF214" s="18" t="s">
        <v>77</v>
      </c>
      <c r="AG214" s="20" t="s">
        <v>39</v>
      </c>
      <c r="AH214" s="20">
        <v>2019</v>
      </c>
      <c r="AI214" s="21">
        <v>0.009</v>
      </c>
      <c r="AJ214" s="20"/>
      <c r="AK214" s="20"/>
      <c r="AL214" s="20"/>
    </row>
    <row r="215" ht="29" spans="32:38">
      <c r="AF215" s="18" t="s">
        <v>40</v>
      </c>
      <c r="AG215" s="20" t="s">
        <v>41</v>
      </c>
      <c r="AH215" s="20">
        <v>2019</v>
      </c>
      <c r="AI215" s="21">
        <v>0.0075</v>
      </c>
      <c r="AJ215" s="20"/>
      <c r="AK215" s="20"/>
      <c r="AL215" s="20"/>
    </row>
    <row r="216" ht="29" spans="32:38">
      <c r="AF216" s="18" t="s">
        <v>42</v>
      </c>
      <c r="AG216" s="20" t="s">
        <v>41</v>
      </c>
      <c r="AH216" s="20">
        <v>2019</v>
      </c>
      <c r="AI216" s="21">
        <v>0.0225</v>
      </c>
      <c r="AJ216" s="20"/>
      <c r="AK216" s="20"/>
      <c r="AL216" s="20"/>
    </row>
    <row r="217" spans="32:38">
      <c r="AF217" s="18" t="s">
        <v>44</v>
      </c>
      <c r="AG217" s="20" t="s">
        <v>41</v>
      </c>
      <c r="AH217" s="20">
        <v>2019</v>
      </c>
      <c r="AI217" s="21">
        <v>0.0355</v>
      </c>
      <c r="AJ217" s="20"/>
      <c r="AK217" s="20"/>
      <c r="AL217" s="20"/>
    </row>
    <row r="218" spans="32:38">
      <c r="AF218" s="18" t="s">
        <v>46</v>
      </c>
      <c r="AG218" s="20" t="s">
        <v>41</v>
      </c>
      <c r="AH218" s="20">
        <v>2019</v>
      </c>
      <c r="AI218" s="21">
        <v>0.0135</v>
      </c>
      <c r="AJ218" s="20"/>
      <c r="AK218" s="20"/>
      <c r="AL218" s="20"/>
    </row>
    <row r="219" spans="32:38">
      <c r="AF219" s="18" t="s">
        <v>48</v>
      </c>
      <c r="AG219" s="20" t="s">
        <v>41</v>
      </c>
      <c r="AH219" s="20">
        <v>2019</v>
      </c>
      <c r="AI219" s="21">
        <v>0.0045</v>
      </c>
      <c r="AJ219" s="20"/>
      <c r="AK219" s="20"/>
      <c r="AL219" s="20"/>
    </row>
    <row r="220" spans="32:38">
      <c r="AF220" s="18" t="s">
        <v>50</v>
      </c>
      <c r="AG220" s="20" t="s">
        <v>41</v>
      </c>
      <c r="AH220" s="20">
        <v>2019</v>
      </c>
      <c r="AI220" s="21">
        <v>0.043</v>
      </c>
      <c r="AJ220" s="20"/>
      <c r="AK220" s="20"/>
      <c r="AL220" s="20"/>
    </row>
    <row r="221" spans="32:38">
      <c r="AF221" s="18" t="s">
        <v>51</v>
      </c>
      <c r="AG221" s="20" t="s">
        <v>41</v>
      </c>
      <c r="AH221" s="20">
        <v>2019</v>
      </c>
      <c r="AI221" s="21">
        <v>0.04</v>
      </c>
      <c r="AJ221" s="20"/>
      <c r="AK221" s="20"/>
      <c r="AL221" s="20"/>
    </row>
    <row r="222" spans="32:38">
      <c r="AF222" s="18" t="s">
        <v>32</v>
      </c>
      <c r="AG222" s="20" t="s">
        <v>41</v>
      </c>
      <c r="AH222" s="20">
        <v>2019</v>
      </c>
      <c r="AI222" s="21">
        <v>0.19</v>
      </c>
      <c r="AJ222" s="20"/>
      <c r="AK222" s="20"/>
      <c r="AL222" s="20"/>
    </row>
    <row r="223" ht="29" spans="32:38">
      <c r="AF223" s="18" t="s">
        <v>52</v>
      </c>
      <c r="AG223" s="20" t="s">
        <v>41</v>
      </c>
      <c r="AH223" s="20">
        <v>2019</v>
      </c>
      <c r="AI223" s="21">
        <v>0.0095</v>
      </c>
      <c r="AJ223" s="20"/>
      <c r="AK223" s="20"/>
      <c r="AL223" s="20"/>
    </row>
    <row r="224" ht="29" spans="32:38">
      <c r="AF224" s="18" t="s">
        <v>53</v>
      </c>
      <c r="AG224" s="20" t="s">
        <v>41</v>
      </c>
      <c r="AH224" s="20">
        <v>2019</v>
      </c>
      <c r="AI224" s="21">
        <v>0.0195</v>
      </c>
      <c r="AJ224" s="20"/>
      <c r="AK224" s="20"/>
      <c r="AL224" s="20"/>
    </row>
    <row r="225" spans="32:38">
      <c r="AF225" s="18" t="s">
        <v>54</v>
      </c>
      <c r="AG225" s="20" t="s">
        <v>41</v>
      </c>
      <c r="AH225" s="20">
        <v>2019</v>
      </c>
      <c r="AI225" s="21">
        <v>0.147</v>
      </c>
      <c r="AJ225" s="20"/>
      <c r="AK225" s="20"/>
      <c r="AL225" s="20"/>
    </row>
    <row r="226" spans="32:38">
      <c r="AF226" s="18" t="s">
        <v>55</v>
      </c>
      <c r="AG226" s="20" t="s">
        <v>41</v>
      </c>
      <c r="AH226" s="20">
        <v>2019</v>
      </c>
      <c r="AI226" s="21">
        <v>0.2205</v>
      </c>
      <c r="AJ226" s="20"/>
      <c r="AK226" s="20"/>
      <c r="AL226" s="20"/>
    </row>
    <row r="227" ht="29" spans="32:38">
      <c r="AF227" s="18" t="s">
        <v>56</v>
      </c>
      <c r="AG227" s="20" t="s">
        <v>41</v>
      </c>
      <c r="AH227" s="20">
        <v>2019</v>
      </c>
      <c r="AI227" s="21">
        <v>0.014</v>
      </c>
      <c r="AJ227" s="20"/>
      <c r="AK227" s="20"/>
      <c r="AL227" s="20"/>
    </row>
    <row r="228" ht="29" spans="32:38">
      <c r="AF228" s="18" t="s">
        <v>57</v>
      </c>
      <c r="AG228" s="20" t="s">
        <v>41</v>
      </c>
      <c r="AH228" s="20">
        <v>2019</v>
      </c>
      <c r="AI228" s="21">
        <v>0.026</v>
      </c>
      <c r="AJ228" s="20"/>
      <c r="AK228" s="20"/>
      <c r="AL228" s="20"/>
    </row>
    <row r="229" spans="32:38">
      <c r="AF229" s="18" t="s">
        <v>58</v>
      </c>
      <c r="AG229" s="20" t="s">
        <v>41</v>
      </c>
      <c r="AH229" s="20">
        <v>2019</v>
      </c>
      <c r="AI229" s="21">
        <v>0.0025</v>
      </c>
      <c r="AJ229" s="20"/>
      <c r="AK229" s="20"/>
      <c r="AL229" s="20"/>
    </row>
    <row r="230" spans="32:38">
      <c r="AF230" s="18" t="s">
        <v>59</v>
      </c>
      <c r="AG230" s="20" t="s">
        <v>41</v>
      </c>
      <c r="AH230" s="20">
        <v>2019</v>
      </c>
      <c r="AI230" s="21">
        <v>0</v>
      </c>
      <c r="AJ230" s="20"/>
      <c r="AK230" s="20"/>
      <c r="AL230" s="20"/>
    </row>
    <row r="231" spans="32:38">
      <c r="AF231" s="18" t="s">
        <v>60</v>
      </c>
      <c r="AG231" s="20" t="s">
        <v>41</v>
      </c>
      <c r="AH231" s="20">
        <v>2019</v>
      </c>
      <c r="AI231" s="21">
        <v>0.0085</v>
      </c>
      <c r="AJ231" s="20"/>
      <c r="AK231" s="20"/>
      <c r="AL231" s="20"/>
    </row>
    <row r="232" spans="32:38">
      <c r="AF232" s="18" t="s">
        <v>61</v>
      </c>
      <c r="AG232" s="20" t="s">
        <v>41</v>
      </c>
      <c r="AH232" s="20">
        <v>2019</v>
      </c>
      <c r="AI232" s="21">
        <v>0.1045</v>
      </c>
      <c r="AJ232" s="20"/>
      <c r="AK232" s="20"/>
      <c r="AL232" s="20"/>
    </row>
    <row r="233" spans="32:38">
      <c r="AF233" s="18" t="s">
        <v>62</v>
      </c>
      <c r="AG233" s="20" t="s">
        <v>41</v>
      </c>
      <c r="AH233" s="20">
        <v>2019</v>
      </c>
      <c r="AI233" s="21">
        <v>0.0845</v>
      </c>
      <c r="AJ233" s="20"/>
      <c r="AK233" s="20"/>
      <c r="AL233" s="20"/>
    </row>
    <row r="234" spans="32:38">
      <c r="AF234" s="18" t="s">
        <v>63</v>
      </c>
      <c r="AG234" s="20" t="s">
        <v>41</v>
      </c>
      <c r="AH234" s="20">
        <v>2019</v>
      </c>
      <c r="AI234" s="21">
        <v>0.045</v>
      </c>
      <c r="AJ234" s="20"/>
      <c r="AK234" s="20"/>
      <c r="AL234" s="20"/>
    </row>
    <row r="235" spans="32:38">
      <c r="AF235" s="18" t="s">
        <v>64</v>
      </c>
      <c r="AG235" s="20" t="s">
        <v>41</v>
      </c>
      <c r="AH235" s="20">
        <v>2019</v>
      </c>
      <c r="AI235" s="21">
        <v>0.045</v>
      </c>
      <c r="AJ235" s="20"/>
      <c r="AK235" s="20"/>
      <c r="AL235" s="20"/>
    </row>
    <row r="236" spans="32:38">
      <c r="AF236" s="18" t="s">
        <v>33</v>
      </c>
      <c r="AG236" s="20" t="s">
        <v>41</v>
      </c>
      <c r="AH236" s="20">
        <v>2019</v>
      </c>
      <c r="AI236" s="21">
        <v>0.275</v>
      </c>
      <c r="AJ236" s="20"/>
      <c r="AK236" s="20"/>
      <c r="AL236" s="20"/>
    </row>
    <row r="237" spans="32:38">
      <c r="AF237" s="18" t="s">
        <v>65</v>
      </c>
      <c r="AG237" s="20" t="s">
        <v>41</v>
      </c>
      <c r="AH237" s="20">
        <v>2019</v>
      </c>
      <c r="AI237" s="21">
        <v>0.0135</v>
      </c>
      <c r="AJ237" s="20"/>
      <c r="AK237" s="20"/>
      <c r="AL237" s="20"/>
    </row>
    <row r="238" spans="32:38">
      <c r="AF238" s="18" t="s">
        <v>66</v>
      </c>
      <c r="AG238" s="20" t="s">
        <v>41</v>
      </c>
      <c r="AH238" s="20">
        <v>2019</v>
      </c>
      <c r="AI238" s="21">
        <v>0.0335</v>
      </c>
      <c r="AJ238" s="20"/>
      <c r="AK238" s="20"/>
      <c r="AL238" s="20"/>
    </row>
    <row r="239" spans="32:38">
      <c r="AF239" s="18" t="s">
        <v>67</v>
      </c>
      <c r="AG239" s="20" t="s">
        <v>41</v>
      </c>
      <c r="AH239" s="20">
        <v>2019</v>
      </c>
      <c r="AI239" s="21">
        <v>0.0125</v>
      </c>
      <c r="AJ239" s="20"/>
      <c r="AK239" s="20"/>
      <c r="AL239" s="20"/>
    </row>
    <row r="240" spans="32:38">
      <c r="AF240" s="18" t="s">
        <v>68</v>
      </c>
      <c r="AG240" s="20" t="s">
        <v>41</v>
      </c>
      <c r="AH240" s="20">
        <v>2019</v>
      </c>
      <c r="AI240" s="21">
        <v>0.0275</v>
      </c>
      <c r="AJ240" s="20"/>
      <c r="AK240" s="20"/>
      <c r="AL240" s="20"/>
    </row>
    <row r="241" ht="29" spans="32:38">
      <c r="AF241" s="18" t="s">
        <v>69</v>
      </c>
      <c r="AG241" s="20" t="s">
        <v>41</v>
      </c>
      <c r="AH241" s="20">
        <v>2019</v>
      </c>
      <c r="AI241" s="21">
        <v>0.0175</v>
      </c>
      <c r="AJ241" s="20"/>
      <c r="AK241" s="20"/>
      <c r="AL241" s="20"/>
    </row>
    <row r="242" ht="29" spans="32:38">
      <c r="AF242" s="18" t="s">
        <v>70</v>
      </c>
      <c r="AG242" s="20" t="s">
        <v>41</v>
      </c>
      <c r="AH242" s="20">
        <v>2019</v>
      </c>
      <c r="AI242" s="21">
        <v>0.01</v>
      </c>
      <c r="AJ242" s="20"/>
      <c r="AK242" s="20"/>
      <c r="AL242" s="20"/>
    </row>
    <row r="243" spans="32:38">
      <c r="AF243" s="18" t="s">
        <v>71</v>
      </c>
      <c r="AG243" s="20" t="s">
        <v>41</v>
      </c>
      <c r="AH243" s="20">
        <v>2019</v>
      </c>
      <c r="AI243" s="21">
        <v>0.076</v>
      </c>
      <c r="AJ243" s="20"/>
      <c r="AK243" s="20"/>
      <c r="AL243" s="20"/>
    </row>
    <row r="244" ht="29" spans="32:38">
      <c r="AF244" s="18" t="s">
        <v>72</v>
      </c>
      <c r="AG244" s="20" t="s">
        <v>41</v>
      </c>
      <c r="AH244" s="20">
        <v>2019</v>
      </c>
      <c r="AI244" s="21">
        <v>0.048</v>
      </c>
      <c r="AJ244" s="20"/>
      <c r="AK244" s="20"/>
      <c r="AL244" s="20"/>
    </row>
    <row r="245" ht="29" spans="32:38">
      <c r="AF245" s="18" t="s">
        <v>73</v>
      </c>
      <c r="AG245" s="20" t="s">
        <v>41</v>
      </c>
      <c r="AH245" s="20">
        <v>2019</v>
      </c>
      <c r="AI245" s="21">
        <v>0.0115</v>
      </c>
      <c r="AJ245" s="20"/>
      <c r="AK245" s="20"/>
      <c r="AL245" s="20"/>
    </row>
    <row r="246" spans="32:38">
      <c r="AF246" s="18" t="s">
        <v>74</v>
      </c>
      <c r="AG246" s="20" t="s">
        <v>41</v>
      </c>
      <c r="AH246" s="20">
        <v>2019</v>
      </c>
      <c r="AI246" s="21">
        <v>0.0385</v>
      </c>
      <c r="AJ246" s="20"/>
      <c r="AK246" s="20"/>
      <c r="AL246" s="20"/>
    </row>
    <row r="247" spans="32:38">
      <c r="AF247" s="18" t="s">
        <v>75</v>
      </c>
      <c r="AG247" s="20" t="s">
        <v>41</v>
      </c>
      <c r="AH247" s="20">
        <v>2019</v>
      </c>
      <c r="AI247" s="21">
        <v>0.1</v>
      </c>
      <c r="AJ247" s="20"/>
      <c r="AK247" s="20"/>
      <c r="AL247" s="20"/>
    </row>
    <row r="248" spans="32:38">
      <c r="AF248" s="18" t="s">
        <v>76</v>
      </c>
      <c r="AG248" s="20" t="s">
        <v>41</v>
      </c>
      <c r="AH248" s="20">
        <v>2019</v>
      </c>
      <c r="AI248" s="21">
        <v>0.016</v>
      </c>
      <c r="AJ248" s="20"/>
      <c r="AK248" s="20"/>
      <c r="AL248" s="20"/>
    </row>
    <row r="249" ht="29" spans="32:38">
      <c r="AF249" s="18" t="s">
        <v>77</v>
      </c>
      <c r="AG249" s="20" t="s">
        <v>41</v>
      </c>
      <c r="AH249" s="20">
        <v>2019</v>
      </c>
      <c r="AI249" s="21">
        <v>0.009</v>
      </c>
      <c r="AJ249" s="20"/>
      <c r="AK249" s="20"/>
      <c r="AL249" s="20"/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5"/>
  </sheetPr>
  <dimension ref="C1:CM35"/>
  <sheetViews>
    <sheetView zoomScale="68" zoomScaleNormal="68" workbookViewId="0">
      <selection activeCell="I27" sqref="I27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78</v>
      </c>
    </row>
    <row r="3" spans="3:91">
      <c r="C3" t="s">
        <v>29</v>
      </c>
      <c r="D3" t="s">
        <v>30</v>
      </c>
      <c r="E3" t="s">
        <v>40</v>
      </c>
      <c r="F3" t="s">
        <v>42</v>
      </c>
      <c r="G3" t="s">
        <v>44</v>
      </c>
      <c r="H3" t="s">
        <v>46</v>
      </c>
      <c r="I3" t="s">
        <v>48</v>
      </c>
      <c r="J3" t="s">
        <v>50</v>
      </c>
      <c r="K3" t="s">
        <v>51</v>
      </c>
      <c r="L3" t="s">
        <v>32</v>
      </c>
      <c r="M3" t="s">
        <v>52</v>
      </c>
      <c r="N3" t="s">
        <v>53</v>
      </c>
      <c r="O3" t="s">
        <v>54</v>
      </c>
      <c r="P3" t="s">
        <v>55</v>
      </c>
      <c r="Q3" t="s">
        <v>56</v>
      </c>
      <c r="R3" t="s">
        <v>57</v>
      </c>
      <c r="S3" t="s">
        <v>58</v>
      </c>
      <c r="T3" t="s">
        <v>59</v>
      </c>
      <c r="U3" t="s">
        <v>60</v>
      </c>
      <c r="V3" t="s">
        <v>61</v>
      </c>
      <c r="W3" t="s">
        <v>62</v>
      </c>
      <c r="X3" t="s">
        <v>63</v>
      </c>
      <c r="Y3" t="s">
        <v>64</v>
      </c>
      <c r="Z3" t="s">
        <v>33</v>
      </c>
      <c r="AA3" t="s">
        <v>65</v>
      </c>
      <c r="AB3" t="s">
        <v>66</v>
      </c>
      <c r="AC3" t="s">
        <v>67</v>
      </c>
      <c r="AD3" t="s">
        <v>68</v>
      </c>
      <c r="AE3" t="s">
        <v>69</v>
      </c>
      <c r="AF3" t="s">
        <v>70</v>
      </c>
      <c r="AG3" t="s">
        <v>71</v>
      </c>
      <c r="AH3" t="s">
        <v>72</v>
      </c>
      <c r="AI3" t="s">
        <v>73</v>
      </c>
      <c r="AJ3" t="s">
        <v>74</v>
      </c>
      <c r="AK3" t="s">
        <v>75</v>
      </c>
      <c r="AL3" t="s">
        <v>76</v>
      </c>
      <c r="AM3" t="s">
        <v>77</v>
      </c>
    </row>
    <row r="4" spans="3:91">
      <c r="C4" t="s">
        <v>35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39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41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43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45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47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49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40</v>
      </c>
      <c r="W14" t="s">
        <v>42</v>
      </c>
      <c r="X14" t="s">
        <v>44</v>
      </c>
      <c r="Y14" t="s">
        <v>46</v>
      </c>
      <c r="Z14" t="s">
        <v>48</v>
      </c>
      <c r="AA14" t="s">
        <v>50</v>
      </c>
      <c r="AB14" t="s">
        <v>51</v>
      </c>
      <c r="AC14" t="s">
        <v>32</v>
      </c>
      <c r="AD14" t="s">
        <v>52</v>
      </c>
      <c r="AE14" t="s">
        <v>53</v>
      </c>
      <c r="AF14" t="s">
        <v>54</v>
      </c>
      <c r="AG14" t="s">
        <v>55</v>
      </c>
      <c r="AH14" t="s">
        <v>56</v>
      </c>
      <c r="AI14" t="s">
        <v>57</v>
      </c>
      <c r="AJ14" t="s">
        <v>58</v>
      </c>
      <c r="AK14" t="s">
        <v>59</v>
      </c>
      <c r="AL14" t="s">
        <v>60</v>
      </c>
      <c r="AM14" t="s">
        <v>61</v>
      </c>
      <c r="AN14" t="s">
        <v>62</v>
      </c>
      <c r="AO14" t="s">
        <v>63</v>
      </c>
      <c r="AP14" t="s">
        <v>64</v>
      </c>
      <c r="AQ14" t="s">
        <v>33</v>
      </c>
      <c r="AR14" t="s">
        <v>65</v>
      </c>
      <c r="AS14" t="s">
        <v>66</v>
      </c>
      <c r="AT14" t="s">
        <v>67</v>
      </c>
      <c r="AU14" t="s">
        <v>68</v>
      </c>
      <c r="AV14" t="s">
        <v>69</v>
      </c>
      <c r="AW14" t="s">
        <v>70</v>
      </c>
      <c r="AX14" t="s">
        <v>71</v>
      </c>
      <c r="AY14" t="s">
        <v>72</v>
      </c>
      <c r="AZ14" t="s">
        <v>73</v>
      </c>
      <c r="BA14" t="s">
        <v>74</v>
      </c>
      <c r="BB14" t="s">
        <v>75</v>
      </c>
      <c r="BC14" t="s">
        <v>76</v>
      </c>
      <c r="BD14" t="s">
        <v>77</v>
      </c>
      <c r="BE14" t="s">
        <v>40</v>
      </c>
      <c r="BF14" t="s">
        <v>42</v>
      </c>
      <c r="BG14" t="s">
        <v>44</v>
      </c>
      <c r="BH14" t="s">
        <v>46</v>
      </c>
      <c r="BI14" t="s">
        <v>48</v>
      </c>
      <c r="BJ14" t="s">
        <v>50</v>
      </c>
      <c r="BK14" t="s">
        <v>51</v>
      </c>
      <c r="BL14" t="s">
        <v>32</v>
      </c>
      <c r="BM14" t="s">
        <v>52</v>
      </c>
      <c r="BN14" t="s">
        <v>53</v>
      </c>
      <c r="BO14" t="s">
        <v>54</v>
      </c>
      <c r="BP14" t="s">
        <v>55</v>
      </c>
      <c r="BQ14" t="s">
        <v>56</v>
      </c>
      <c r="BR14" t="s">
        <v>57</v>
      </c>
      <c r="BS14" t="s">
        <v>58</v>
      </c>
      <c r="BT14" t="s">
        <v>59</v>
      </c>
      <c r="BU14" t="s">
        <v>60</v>
      </c>
      <c r="BV14" t="s">
        <v>61</v>
      </c>
      <c r="BW14" t="s">
        <v>62</v>
      </c>
      <c r="BX14" t="s">
        <v>63</v>
      </c>
      <c r="BY14" t="s">
        <v>64</v>
      </c>
      <c r="BZ14" t="s">
        <v>33</v>
      </c>
      <c r="CA14" t="s">
        <v>65</v>
      </c>
      <c r="CB14" t="s">
        <v>66</v>
      </c>
      <c r="CC14" t="s">
        <v>67</v>
      </c>
      <c r="CD14" t="s">
        <v>68</v>
      </c>
      <c r="CE14" t="s">
        <v>69</v>
      </c>
      <c r="CF14" t="s">
        <v>70</v>
      </c>
      <c r="CG14" t="s">
        <v>71</v>
      </c>
      <c r="CH14" t="s">
        <v>72</v>
      </c>
      <c r="CI14" t="s">
        <v>73</v>
      </c>
      <c r="CJ14" t="s">
        <v>74</v>
      </c>
      <c r="CK14" t="s">
        <v>75</v>
      </c>
      <c r="CL14" t="s">
        <v>76</v>
      </c>
      <c r="CM14" t="s">
        <v>77</v>
      </c>
    </row>
    <row r="15" spans="3:91">
      <c r="V15" t="s">
        <v>35</v>
      </c>
      <c r="W15" t="s">
        <v>35</v>
      </c>
      <c r="X15" t="s">
        <v>35</v>
      </c>
      <c r="Y15" t="s">
        <v>35</v>
      </c>
      <c r="Z15" t="s">
        <v>35</v>
      </c>
      <c r="AA15" t="s">
        <v>35</v>
      </c>
      <c r="AB15" t="s">
        <v>35</v>
      </c>
      <c r="AC15" t="s">
        <v>35</v>
      </c>
      <c r="AD15" t="s">
        <v>35</v>
      </c>
      <c r="AE15" t="s">
        <v>35</v>
      </c>
      <c r="AF15" t="s">
        <v>35</v>
      </c>
      <c r="AG15" t="s">
        <v>35</v>
      </c>
      <c r="AH15" t="s">
        <v>35</v>
      </c>
      <c r="AI15" t="s">
        <v>35</v>
      </c>
      <c r="AJ15" t="s">
        <v>35</v>
      </c>
      <c r="AK15" t="s">
        <v>35</v>
      </c>
      <c r="AL15" t="s">
        <v>35</v>
      </c>
      <c r="AM15" t="s">
        <v>35</v>
      </c>
      <c r="AN15" t="s">
        <v>35</v>
      </c>
      <c r="AO15" t="s">
        <v>35</v>
      </c>
      <c r="AP15" t="s">
        <v>35</v>
      </c>
      <c r="AQ15" t="s">
        <v>35</v>
      </c>
      <c r="AR15" t="s">
        <v>35</v>
      </c>
      <c r="AS15" t="s">
        <v>35</v>
      </c>
      <c r="AT15" t="s">
        <v>35</v>
      </c>
      <c r="AU15" t="s">
        <v>35</v>
      </c>
      <c r="AV15" t="s">
        <v>35</v>
      </c>
      <c r="AW15" t="s">
        <v>35</v>
      </c>
      <c r="AX15" t="s">
        <v>35</v>
      </c>
      <c r="AY15" t="s">
        <v>35</v>
      </c>
      <c r="AZ15" t="s">
        <v>35</v>
      </c>
      <c r="BA15" t="s">
        <v>35</v>
      </c>
      <c r="BB15" t="s">
        <v>35</v>
      </c>
      <c r="BC15" t="s">
        <v>35</v>
      </c>
      <c r="BD15" t="s">
        <v>35</v>
      </c>
      <c r="BE15" t="s">
        <v>35</v>
      </c>
      <c r="BF15" t="s">
        <v>35</v>
      </c>
      <c r="BG15" t="s">
        <v>35</v>
      </c>
      <c r="BH15" t="s">
        <v>35</v>
      </c>
      <c r="BI15" t="s">
        <v>35</v>
      </c>
      <c r="BJ15" t="s">
        <v>35</v>
      </c>
      <c r="BK15" t="s">
        <v>35</v>
      </c>
      <c r="BL15" t="s">
        <v>35</v>
      </c>
      <c r="BM15" t="s">
        <v>35</v>
      </c>
      <c r="BN15" t="s">
        <v>35</v>
      </c>
      <c r="BO15" t="s">
        <v>35</v>
      </c>
      <c r="BP15" t="s">
        <v>35</v>
      </c>
      <c r="BQ15" t="s">
        <v>35</v>
      </c>
      <c r="BR15" t="s">
        <v>35</v>
      </c>
      <c r="BS15" t="s">
        <v>35</v>
      </c>
      <c r="BT15" t="s">
        <v>35</v>
      </c>
      <c r="BU15" t="s">
        <v>35</v>
      </c>
      <c r="BV15" t="s">
        <v>35</v>
      </c>
      <c r="BW15" t="s">
        <v>35</v>
      </c>
      <c r="BX15" t="s">
        <v>35</v>
      </c>
      <c r="BY15" t="s">
        <v>35</v>
      </c>
      <c r="BZ15" t="s">
        <v>35</v>
      </c>
      <c r="CA15" t="s">
        <v>35</v>
      </c>
      <c r="CB15" t="s">
        <v>35</v>
      </c>
      <c r="CC15" t="s">
        <v>35</v>
      </c>
      <c r="CD15" t="s">
        <v>35</v>
      </c>
      <c r="CE15" t="s">
        <v>35</v>
      </c>
      <c r="CF15" t="s">
        <v>35</v>
      </c>
      <c r="CG15" t="s">
        <v>35</v>
      </c>
      <c r="CH15" t="s">
        <v>35</v>
      </c>
      <c r="CI15" t="s">
        <v>35</v>
      </c>
      <c r="CJ15" t="s">
        <v>35</v>
      </c>
      <c r="CK15" t="s">
        <v>35</v>
      </c>
      <c r="CL15" t="s">
        <v>35</v>
      </c>
      <c r="CM15" t="s">
        <v>35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4" t="s">
        <v>78</v>
      </c>
    </row>
    <row r="28" spans="3:91">
      <c r="C28" t="s">
        <v>29</v>
      </c>
      <c r="D28" t="s">
        <v>30</v>
      </c>
      <c r="E28" t="s">
        <v>40</v>
      </c>
      <c r="F28" t="s">
        <v>42</v>
      </c>
      <c r="G28" t="s">
        <v>44</v>
      </c>
      <c r="H28" t="s">
        <v>46</v>
      </c>
      <c r="I28" t="s">
        <v>48</v>
      </c>
      <c r="J28" t="s">
        <v>50</v>
      </c>
      <c r="K28" t="s">
        <v>51</v>
      </c>
      <c r="L28" t="s">
        <v>32</v>
      </c>
      <c r="M28" t="s">
        <v>52</v>
      </c>
      <c r="N28" t="s">
        <v>53</v>
      </c>
      <c r="O28" t="s">
        <v>54</v>
      </c>
      <c r="P28" t="s">
        <v>55</v>
      </c>
      <c r="Q28" t="s">
        <v>56</v>
      </c>
      <c r="R28" t="s">
        <v>57</v>
      </c>
      <c r="S28" t="s">
        <v>58</v>
      </c>
      <c r="T28" t="s">
        <v>59</v>
      </c>
      <c r="U28" t="s">
        <v>60</v>
      </c>
      <c r="V28" t="s">
        <v>61</v>
      </c>
      <c r="W28" t="s">
        <v>62</v>
      </c>
      <c r="X28" t="s">
        <v>63</v>
      </c>
      <c r="Y28" t="s">
        <v>64</v>
      </c>
      <c r="Z28" t="s">
        <v>33</v>
      </c>
      <c r="AA28" t="s">
        <v>65</v>
      </c>
      <c r="AB28" t="s">
        <v>66</v>
      </c>
      <c r="AC28" t="s">
        <v>67</v>
      </c>
      <c r="AD28" t="s">
        <v>68</v>
      </c>
      <c r="AE28" t="s">
        <v>69</v>
      </c>
      <c r="AF28" t="s">
        <v>70</v>
      </c>
      <c r="AG28" t="s">
        <v>71</v>
      </c>
      <c r="AH28" t="s">
        <v>72</v>
      </c>
      <c r="AI28" t="s">
        <v>73</v>
      </c>
      <c r="AJ28" t="s">
        <v>74</v>
      </c>
      <c r="AK28" t="s">
        <v>75</v>
      </c>
      <c r="AL28" t="s">
        <v>76</v>
      </c>
      <c r="AM28" t="s">
        <v>77</v>
      </c>
    </row>
    <row r="29" spans="3:91">
      <c r="C29" t="s">
        <v>35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39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41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43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45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47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49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5:AP17"/>
  <sheetViews>
    <sheetView zoomScale="54" zoomScaleNormal="54" topLeftCell="O1" workbookViewId="0">
      <selection activeCell="L30" sqref="L30"/>
    </sheetView>
  </sheetViews>
  <sheetFormatPr defaultColWidth="8.72727272727273" defaultRowHeight="14.5"/>
  <cols>
    <col min="7" max="7" width="30.0909090909091" customWidth="1"/>
  </cols>
  <sheetData>
    <row r="15" spans="6:42">
      <c r="F15" s="1"/>
      <c r="G15" s="1" t="s">
        <v>79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6:42">
      <c r="F16" s="1" t="s">
        <v>30</v>
      </c>
      <c r="G16" s="1" t="s">
        <v>3</v>
      </c>
      <c r="H16" s="2" t="s">
        <v>40</v>
      </c>
      <c r="I16" s="2" t="s">
        <v>42</v>
      </c>
      <c r="J16" s="2" t="s">
        <v>44</v>
      </c>
      <c r="K16" s="2" t="s">
        <v>46</v>
      </c>
      <c r="L16" s="2" t="s">
        <v>48</v>
      </c>
      <c r="M16" s="2" t="s">
        <v>50</v>
      </c>
      <c r="N16" s="2" t="s">
        <v>51</v>
      </c>
      <c r="O16" s="2" t="s">
        <v>32</v>
      </c>
      <c r="P16" s="2" t="s">
        <v>52</v>
      </c>
      <c r="Q16" s="2" t="s">
        <v>53</v>
      </c>
      <c r="R16" s="2" t="s">
        <v>54</v>
      </c>
      <c r="S16" s="2" t="s">
        <v>55</v>
      </c>
      <c r="T16" s="2" t="s">
        <v>56</v>
      </c>
      <c r="U16" s="2" t="s">
        <v>57</v>
      </c>
      <c r="V16" s="2" t="s">
        <v>58</v>
      </c>
      <c r="W16" s="2" t="s">
        <v>59</v>
      </c>
      <c r="X16" s="2" t="s">
        <v>60</v>
      </c>
      <c r="Y16" s="2" t="s">
        <v>61</v>
      </c>
      <c r="Z16" s="2" t="s">
        <v>62</v>
      </c>
      <c r="AA16" s="2" t="s">
        <v>63</v>
      </c>
      <c r="AB16" s="2" t="s">
        <v>64</v>
      </c>
      <c r="AC16" s="2" t="s">
        <v>33</v>
      </c>
      <c r="AD16" s="2" t="s">
        <v>65</v>
      </c>
      <c r="AE16" s="2" t="s">
        <v>66</v>
      </c>
      <c r="AF16" s="2" t="s">
        <v>67</v>
      </c>
      <c r="AG16" s="2" t="s">
        <v>68</v>
      </c>
      <c r="AH16" s="2" t="s">
        <v>69</v>
      </c>
      <c r="AI16" s="2" t="s">
        <v>70</v>
      </c>
      <c r="AJ16" s="2" t="s">
        <v>71</v>
      </c>
      <c r="AK16" s="2" t="s">
        <v>72</v>
      </c>
      <c r="AL16" s="2" t="s">
        <v>73</v>
      </c>
      <c r="AM16" s="2" t="s">
        <v>74</v>
      </c>
      <c r="AN16" s="2" t="s">
        <v>75</v>
      </c>
      <c r="AO16" s="2" t="s">
        <v>76</v>
      </c>
      <c r="AP16" s="1" t="s">
        <v>77</v>
      </c>
    </row>
    <row r="17" spans="6:42">
      <c r="F17" s="3"/>
      <c r="G17" t="s">
        <v>80</v>
      </c>
      <c r="H17" s="2">
        <f t="shared" ref="H17:N17" si="0">AY17*$AS$45</f>
        <v>0</v>
      </c>
      <c r="I17" s="2">
        <f t="shared" si="0"/>
        <v>0</v>
      </c>
      <c r="J17" s="2">
        <f t="shared" si="0"/>
        <v>0</v>
      </c>
      <c r="K17" s="2">
        <f t="shared" si="0"/>
        <v>0</v>
      </c>
      <c r="L17" s="2">
        <f t="shared" si="0"/>
        <v>0</v>
      </c>
      <c r="M17" s="2">
        <f t="shared" si="0"/>
        <v>0</v>
      </c>
      <c r="N17" s="2">
        <f t="shared" si="0"/>
        <v>0</v>
      </c>
      <c r="O17" s="2">
        <f>BF17*$CI17</f>
        <v>0</v>
      </c>
      <c r="P17" s="2">
        <f t="shared" ref="P17:AP17" si="1">BG17*$AS$45</f>
        <v>0</v>
      </c>
      <c r="Q17" s="2">
        <f t="shared" si="1"/>
        <v>0</v>
      </c>
      <c r="R17" s="2">
        <f t="shared" si="1"/>
        <v>0</v>
      </c>
      <c r="S17" s="2">
        <f t="shared" si="1"/>
        <v>0</v>
      </c>
      <c r="T17" s="2">
        <f t="shared" si="1"/>
        <v>0</v>
      </c>
      <c r="U17" s="2">
        <f t="shared" si="1"/>
        <v>0</v>
      </c>
      <c r="V17" s="2">
        <f t="shared" si="1"/>
        <v>0</v>
      </c>
      <c r="W17" s="2">
        <f t="shared" si="1"/>
        <v>0</v>
      </c>
      <c r="X17" s="2">
        <f t="shared" si="1"/>
        <v>0</v>
      </c>
      <c r="Y17" s="2">
        <f t="shared" si="1"/>
        <v>0</v>
      </c>
      <c r="Z17" s="2">
        <f t="shared" si="1"/>
        <v>0</v>
      </c>
      <c r="AA17" s="2">
        <f t="shared" si="1"/>
        <v>0</v>
      </c>
      <c r="AB17" s="2">
        <f t="shared" si="1"/>
        <v>0</v>
      </c>
      <c r="AC17" s="2">
        <f t="shared" si="1"/>
        <v>0</v>
      </c>
      <c r="AD17" s="2">
        <f t="shared" si="1"/>
        <v>0</v>
      </c>
      <c r="AE17" s="2">
        <f t="shared" si="1"/>
        <v>0</v>
      </c>
      <c r="AF17" s="2">
        <f t="shared" si="1"/>
        <v>0</v>
      </c>
      <c r="AG17" s="2">
        <f t="shared" si="1"/>
        <v>0</v>
      </c>
      <c r="AH17" s="2">
        <f t="shared" si="1"/>
        <v>0</v>
      </c>
      <c r="AI17" s="2">
        <f t="shared" si="1"/>
        <v>0</v>
      </c>
      <c r="AJ17" s="2">
        <f t="shared" si="1"/>
        <v>0</v>
      </c>
      <c r="AK17" s="2">
        <f t="shared" si="1"/>
        <v>0</v>
      </c>
      <c r="AL17" s="2">
        <f t="shared" si="1"/>
        <v>0</v>
      </c>
      <c r="AM17" s="2">
        <f t="shared" si="1"/>
        <v>0</v>
      </c>
      <c r="AN17" s="2">
        <f t="shared" si="1"/>
        <v>0</v>
      </c>
      <c r="AO17" s="2">
        <f t="shared" si="1"/>
        <v>0</v>
      </c>
      <c r="AP17" s="2">
        <f t="shared" si="1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misc.</vt:lpstr>
      <vt:lpstr>Stationary_storage_EnergyNeeds</vt:lpstr>
      <vt:lpstr>Existing_stock-MOVE TO PASTI</vt:lpstr>
      <vt:lpstr>HPS 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李潇</cp:lastModifiedBy>
  <dcterms:created xsi:type="dcterms:W3CDTF">2016-10-13T06:09:00Z</dcterms:created>
  <dcterms:modified xsi:type="dcterms:W3CDTF">2026-09-22T13:47:22Z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1033-12.1.0.28485</vt:lpwstr>
  </property>
  <property fmtid="{D5CDD505-2E9C-101B-9397-08002B2CF9AE}" pid="15" name="CalculationRule">
    <vt:i4>0</vt:i4>
  </property>
</Properties>
</file>