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activeTab="1"/>
  </bookViews>
  <sheets>
    <sheet name="misc." sheetId="26" r:id="rId1"/>
    <sheet name="Stationary_storage_EnergyNeeds" sheetId="27" r:id="rId2"/>
  </sheets>
  <externalReferences>
    <externalReference r:id="rId3"/>
    <externalReference r:id="rId4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assembly Cost</t>
        </r>
      </text>
    </comment>
    <comment ref="K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assemble cost for grid storage can be cheaper</t>
        </r>
      </text>
    </comment>
  </commentList>
</comments>
</file>

<file path=xl/sharedStrings.xml><?xml version="1.0" encoding="utf-8"?>
<sst xmlns="http://schemas.openxmlformats.org/spreadsheetml/2006/main" count="155" uniqueCount="39">
  <si>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</si>
  <si>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</si>
  <si>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</si>
  <si>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</si>
  <si>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</si>
  <si>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</si>
  <si>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</si>
  <si>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</si>
  <si>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</si>
  <si>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</si>
  <si>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</si>
  <si>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</si>
  <si>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</si>
  <si>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</si>
  <si>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</si>
  <si>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</si>
  <si>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</si>
  <si>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</si>
  <si>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</si>
  <si>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</si>
  <si>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</si>
  <si>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</si>
  <si>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</si>
  <si>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</si>
  <si>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</si>
  <si>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~TFM_INS: attribute=INVCOST</t>
  </si>
  <si>
    <t>For EV LFP pack 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</si>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</sst>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0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10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rgb="FFFFC7CE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rgb="FFC6EFCE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rgb="FFFFEB9C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4" fillId="0" borderId="0"/>
    <xf numFmtId="0" fontId="23" fillId="0" borderId="0"/>
    <xf numFmtId="0" fontId="22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22" fillId="0" borderId="0"/>
    <xf numFmtId="0" fontId="24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2" fillId="0" borderId="0">
      <alignment horizontal="center"/>
    </xf>
    <xf numFmtId="49" fontId="26" fillId="0" borderId="0" applyFill="0" applyBorder="0">
      <alignment horizontal="left"/>
    </xf>
    <xf numFmtId="0" fontId="27" fillId="0" borderId="10" applyNumberFormat="0" applyFont="0" applyAlignment="0">
      <alignment vertical="center"/>
    </xf>
    <xf numFmtId="0" fontId="28" fillId="0" borderId="0" applyFill="0" applyBorder="0">
      <alignment vertical="center"/>
    </xf>
    <xf numFmtId="181" fontId="29" fillId="0" borderId="0" applyFill="0" applyBorder="0">
      <alignment horizontal="right" vertical="center"/>
    </xf>
    <xf numFmtId="181" fontId="27" fillId="0" borderId="0" applyFill="0" applyBorder="0">
      <alignment horizontal="right" vertical="center"/>
    </xf>
    <xf numFmtId="182" fontId="27" fillId="0" borderId="0" applyFill="0" applyBorder="0">
      <alignment horizontal="right" vertical="center"/>
    </xf>
    <xf numFmtId="0" fontId="29" fillId="0" borderId="10" applyFill="0" applyBorder="0">
      <alignment vertical="center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22" fillId="0" borderId="1">
      <alignment horizontal="left" wrapText="1"/>
    </xf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1" borderId="0" applyNumberFormat="0" applyBorder="0" applyAlignment="0" applyProtection="0"/>
    <xf numFmtId="0" fontId="30" fillId="34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39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36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39" borderId="0" applyNumberFormat="0" applyBorder="0" applyAlignment="0" applyProtection="0"/>
    <xf numFmtId="0" fontId="22" fillId="0" borderId="0" applyNumberFormat="0" applyFont="0" applyFill="0" applyBorder="0" applyProtection="0">
      <alignment horizontal="left" vertical="center" indent="5"/>
    </xf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36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2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37" borderId="0" applyNumberFormat="0" applyBorder="0" applyAlignment="0" applyProtection="0"/>
    <xf numFmtId="183" fontId="34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3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5" borderId="0" applyNumberFormat="0" applyBorder="0" applyAlignment="0" applyProtection="0"/>
    <xf numFmtId="0" fontId="30" fillId="56" borderId="0" applyNumberFormat="0" applyBorder="0" applyAlignment="0" applyProtection="0"/>
    <xf numFmtId="0" fontId="30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47" borderId="0" applyNumberFormat="0" applyBorder="0" applyAlignment="0" applyProtection="0"/>
    <xf numFmtId="0" fontId="30" fillId="60" borderId="0" applyNumberFormat="0" applyBorder="0" applyAlignment="0" applyProtection="0"/>
    <xf numFmtId="0" fontId="30" fillId="61" borderId="0" applyNumberFormat="0" applyBorder="0" applyAlignment="0" applyProtection="0"/>
    <xf numFmtId="0" fontId="32" fillId="62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45" borderId="0" applyNumberFormat="0" applyBorder="0" applyAlignment="0" applyProtection="0"/>
    <xf numFmtId="0" fontId="30" fillId="61" borderId="0" applyNumberFormat="0" applyBorder="0" applyAlignment="0" applyProtection="0"/>
    <xf numFmtId="0" fontId="30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64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0" fillId="65" borderId="0" applyNumberFormat="0" applyBorder="0" applyAlignment="0" applyProtection="0"/>
    <xf numFmtId="0" fontId="30" fillId="57" borderId="0" applyNumberFormat="0" applyBorder="0" applyAlignment="0" applyProtection="0"/>
    <xf numFmtId="0" fontId="32" fillId="66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59" borderId="0" applyNumberFormat="0" applyBorder="0" applyAlignment="0" applyProtection="0"/>
    <xf numFmtId="184" fontId="35" fillId="35" borderId="11">
      <alignment horizontal="center" vertical="center"/>
    </xf>
    <xf numFmtId="4" fontId="36" fillId="42" borderId="1">
      <alignment horizontal="right" vertical="center"/>
    </xf>
    <xf numFmtId="185" fontId="37" fillId="0" borderId="0" applyFont="0" applyFill="0" applyBorder="0" applyAlignment="0" applyProtection="0"/>
    <xf numFmtId="186" fontId="37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5" fontId="22" fillId="0" borderId="0" applyFont="0" applyFill="0" applyBorder="0" applyAlignment="0" applyProtection="0"/>
    <xf numFmtId="186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37" fillId="0" borderId="0" applyFont="0" applyFill="0" applyBorder="0" applyAlignment="0" applyProtection="0"/>
    <xf numFmtId="193" fontId="37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22" fillId="0" borderId="0" applyFont="0" applyFill="0" applyBorder="0" applyAlignment="0" applyProtection="0"/>
    <xf numFmtId="193" fontId="22" fillId="0" borderId="0" applyFont="0" applyFill="0" applyBorder="0" applyAlignment="0" applyProtection="0"/>
    <xf numFmtId="0" fontId="38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39" fillId="67" borderId="0" applyNumberFormat="0" applyBorder="0" applyProtection="0"/>
    <xf numFmtId="0" fontId="38" fillId="39" borderId="0" applyNumberFormat="0" applyFont="0" applyAlignment="0" applyProtection="0">
      <protection locked="0"/>
    </xf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40" borderId="0" applyNumberFormat="0" applyBorder="0" applyAlignment="0" applyProtection="0"/>
    <xf numFmtId="0" fontId="42" fillId="68" borderId="0" applyNumberFormat="0" applyBorder="0" applyAlignment="0" applyProtection="0"/>
    <xf numFmtId="0" fontId="43" fillId="68" borderId="0" applyNumberFormat="0" applyBorder="0" applyAlignment="0" applyProtection="0"/>
    <xf numFmtId="3" fontId="44" fillId="0" borderId="12" applyNumberFormat="0" applyFill="0" applyBorder="0" applyProtection="0">
      <alignment horizontal="center" vertical="center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4" fontId="46" fillId="0" borderId="14" applyFill="0" applyBorder="0" applyProtection="0">
      <alignment horizontal="right" vertical="center"/>
    </xf>
    <xf numFmtId="4" fontId="46" fillId="0" borderId="14" applyFill="0" applyBorder="0" applyProtection="0">
      <alignment horizontal="right" vertical="center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69" borderId="1">
      <alignment vertical="top"/>
    </xf>
    <xf numFmtId="38" fontId="1" fillId="38" borderId="0"/>
    <xf numFmtId="1" fontId="47" fillId="38" borderId="0">
      <alignment horizontal="center" vertical="center" wrapText="1"/>
    </xf>
    <xf numFmtId="0" fontId="48" fillId="0" borderId="0">
      <alignment horizontal="right"/>
    </xf>
    <xf numFmtId="195" fontId="49" fillId="0" borderId="0">
      <alignment horizontal="right" vertical="center"/>
    </xf>
    <xf numFmtId="49" fontId="49" fillId="0" borderId="0">
      <alignment horizontal="right"/>
    </xf>
    <xf numFmtId="196" fontId="49" fillId="0" borderId="0">
      <alignment horizontal="right" vertical="center"/>
    </xf>
    <xf numFmtId="195" fontId="50" fillId="0" borderId="0">
      <alignment horizontal="right" vertical="center"/>
    </xf>
    <xf numFmtId="0" fontId="51" fillId="0" borderId="15" applyNumberFormat="0" applyAlignment="0"/>
    <xf numFmtId="197" fontId="52" fillId="0" borderId="0">
      <alignment horizontal="right"/>
    </xf>
    <xf numFmtId="196" fontId="53" fillId="0" borderId="0">
      <alignment horizontal="right" vertical="center"/>
    </xf>
    <xf numFmtId="0" fontId="28" fillId="0" borderId="0">
      <alignment horizontal="right"/>
    </xf>
    <xf numFmtId="196" fontId="53" fillId="0" borderId="0">
      <alignment horizontal="right" vertical="center"/>
    </xf>
    <xf numFmtId="182" fontId="28" fillId="0" borderId="0">
      <alignment horizontal="right"/>
    </xf>
    <xf numFmtId="196" fontId="53" fillId="0" borderId="0">
      <alignment horizontal="right" vertical="center"/>
    </xf>
    <xf numFmtId="198" fontId="27" fillId="0" borderId="0">
      <alignment horizontal="right" vertical="center"/>
    </xf>
    <xf numFmtId="198" fontId="54" fillId="0" borderId="0">
      <alignment horizontal="right" vertical="center"/>
    </xf>
    <xf numFmtId="198" fontId="55" fillId="0" borderId="0">
      <alignment horizontal="right" vertical="center"/>
    </xf>
    <xf numFmtId="198" fontId="56" fillId="0" borderId="0">
      <alignment horizontal="right" vertical="center"/>
    </xf>
    <xf numFmtId="0" fontId="28" fillId="0" borderId="0"/>
    <xf numFmtId="199" fontId="27" fillId="0" borderId="0" applyFont="0" applyFill="0" applyBorder="0" applyAlignment="0" applyProtection="0">
      <alignment horizontal="right"/>
    </xf>
    <xf numFmtId="200" fontId="57" fillId="0" borderId="0">
      <alignment horizontal="right"/>
    </xf>
    <xf numFmtId="201" fontId="58" fillId="70" borderId="0">
      <alignment horizontal="right" vertical="center"/>
    </xf>
    <xf numFmtId="202" fontId="58" fillId="70" borderId="0">
      <alignment horizontal="right"/>
    </xf>
    <xf numFmtId="9" fontId="58" fillId="70" borderId="0">
      <alignment horizontal="right" vertical="center"/>
    </xf>
    <xf numFmtId="203" fontId="58" fillId="70" borderId="0">
      <alignment horizontal="right" vertical="center"/>
    </xf>
    <xf numFmtId="204" fontId="58" fillId="0" borderId="16" applyBorder="0">
      <alignment horizontal="right"/>
    </xf>
    <xf numFmtId="199" fontId="55" fillId="0" borderId="0">
      <alignment horizontal="right"/>
    </xf>
    <xf numFmtId="200" fontId="58" fillId="0" borderId="0">
      <alignment horizontal="right"/>
    </xf>
    <xf numFmtId="202" fontId="58" fillId="0" borderId="0">
      <alignment horizontal="right"/>
    </xf>
    <xf numFmtId="9" fontId="58" fillId="0" borderId="0">
      <alignment horizontal="right" vertical="center"/>
    </xf>
    <xf numFmtId="203" fontId="58" fillId="0" borderId="0">
      <alignment horizontal="right" vertical="center"/>
    </xf>
    <xf numFmtId="204" fontId="55" fillId="63" borderId="0">
      <alignment horizontal="right"/>
    </xf>
    <xf numFmtId="200" fontId="29" fillId="0" borderId="0">
      <alignment horizontal="right"/>
    </xf>
    <xf numFmtId="205" fontId="27" fillId="0" borderId="0">
      <alignment horizontal="right"/>
    </xf>
    <xf numFmtId="205" fontId="59" fillId="0" borderId="0">
      <alignment horizontal="right"/>
    </xf>
    <xf numFmtId="205" fontId="27" fillId="0" borderId="0">
      <alignment horizontal="right"/>
    </xf>
    <xf numFmtId="205" fontId="54" fillId="0" borderId="0">
      <alignment horizontal="right"/>
    </xf>
    <xf numFmtId="205" fontId="55" fillId="0" borderId="0">
      <alignment horizontal="right"/>
    </xf>
    <xf numFmtId="0" fontId="60" fillId="0" borderId="0">
      <alignment vertical="center"/>
    </xf>
    <xf numFmtId="0" fontId="60" fillId="0" borderId="0">
      <alignment horizontal="right" vertical="center"/>
    </xf>
    <xf numFmtId="0" fontId="61" fillId="0" borderId="0"/>
    <xf numFmtId="0" fontId="1" fillId="0" borderId="0">
      <alignment horizontal="center"/>
    </xf>
    <xf numFmtId="0" fontId="62" fillId="71" borderId="5" applyNumberFormat="0" applyAlignment="0" applyProtection="0"/>
    <xf numFmtId="0" fontId="62" fillId="71" borderId="5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2" fillId="71" borderId="5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3" fillId="72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4" fillId="70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2" fillId="71" borderId="5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3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5" fillId="72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7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68" fillId="0" borderId="0" applyNumberFormat="0" applyBorder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70" fillId="74" borderId="18" applyNumberFormat="0" applyAlignment="0" applyProtection="0"/>
    <xf numFmtId="0" fontId="70" fillId="74" borderId="18" applyNumberFormat="0" applyAlignment="0" applyProtection="0"/>
    <xf numFmtId="0" fontId="70" fillId="74" borderId="18" applyNumberFormat="0" applyAlignment="0" applyProtection="0"/>
    <xf numFmtId="0" fontId="70" fillId="74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70" fillId="74" borderId="18" applyNumberFormat="0" applyAlignment="0" applyProtection="0"/>
    <xf numFmtId="0" fontId="71" fillId="74" borderId="18" applyNumberFormat="0" applyAlignment="0" applyProtection="0"/>
    <xf numFmtId="0" fontId="71" fillId="74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70" fillId="74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4" borderId="18" applyNumberFormat="0" applyAlignment="0" applyProtection="0"/>
    <xf numFmtId="0" fontId="69" fillId="74" borderId="18" applyNumberFormat="0" applyAlignment="0" applyProtection="0"/>
    <xf numFmtId="0" fontId="69" fillId="73" borderId="18" applyNumberFormat="0" applyAlignment="0" applyProtection="0"/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1" fontId="73" fillId="0" borderId="0">
      <alignment horizontal="center" vertical="center" wrapText="1"/>
    </xf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5" fillId="0" borderId="0" applyFont="0" applyFill="0" applyBorder="0" applyProtection="0">
      <alignment horizontal="right"/>
    </xf>
    <xf numFmtId="210" fontId="1" fillId="0" borderId="0"/>
    <xf numFmtId="4" fontId="75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6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78" fillId="0" borderId="0">
      <protection locked="0"/>
    </xf>
    <xf numFmtId="0" fontId="79" fillId="0" borderId="0"/>
    <xf numFmtId="0" fontId="79" fillId="0" borderId="0"/>
    <xf numFmtId="0" fontId="79" fillId="0" borderId="0"/>
    <xf numFmtId="0" fontId="80" fillId="0" borderId="0"/>
    <xf numFmtId="0" fontId="80" fillId="0" borderId="0"/>
    <xf numFmtId="0" fontId="80" fillId="0" borderId="0"/>
    <xf numFmtId="3" fontId="1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3" fontId="24" fillId="75" borderId="0" applyFont="0" applyBorder="0" applyAlignment="0" applyProtection="0"/>
    <xf numFmtId="37" fontId="1" fillId="76" borderId="0" applyFont="0" applyBorder="0" applyAlignment="0" applyProtection="0"/>
    <xf numFmtId="218" fontId="24" fillId="75" borderId="0" applyFont="0" applyBorder="0" applyAlignment="0" applyProtection="0">
      <alignment horizontal="right"/>
    </xf>
    <xf numFmtId="39" fontId="24" fillId="76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220" fontId="78" fillId="0" borderId="0">
      <protection locked="0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0" fontId="38" fillId="38" borderId="0">
      <alignment horizontal="center"/>
    </xf>
    <xf numFmtId="222" fontId="81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2" fillId="0" borderId="22"/>
    <xf numFmtId="1" fontId="82" fillId="0" borderId="22"/>
    <xf numFmtId="1" fontId="82" fillId="0" borderId="22"/>
    <xf numFmtId="1" fontId="82" fillId="0" borderId="22"/>
    <xf numFmtId="0" fontId="83" fillId="0" borderId="22"/>
    <xf numFmtId="0" fontId="84" fillId="0" borderId="0">
      <alignment horizontal="left"/>
    </xf>
    <xf numFmtId="17" fontId="35" fillId="0" borderId="0"/>
    <xf numFmtId="224" fontId="85" fillId="0" borderId="0" applyAlignment="0"/>
    <xf numFmtId="0" fontId="86" fillId="77" borderId="0" applyNumberFormat="0" applyBorder="0" applyAlignment="0"/>
    <xf numFmtId="37" fontId="83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225" fontId="88" fillId="0" borderId="0"/>
    <xf numFmtId="5" fontId="89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0" fillId="78" borderId="0" applyNumberFormat="0" applyBorder="0" applyAlignment="0" applyProtection="0"/>
    <xf numFmtId="0" fontId="90" fillId="79" borderId="0" applyNumberFormat="0" applyBorder="0" applyAlignment="0" applyProtection="0"/>
    <xf numFmtId="0" fontId="90" fillId="80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7" fillId="72" borderId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4" fillId="0" borderId="0"/>
    <xf numFmtId="0" fontId="24" fillId="0" borderId="0"/>
    <xf numFmtId="0" fontId="24" fillId="0" borderId="0"/>
    <xf numFmtId="0" fontId="93" fillId="0" borderId="0"/>
    <xf numFmtId="1" fontId="94" fillId="0" borderId="0"/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95" fillId="0" borderId="0"/>
    <xf numFmtId="0" fontId="95" fillId="0" borderId="0"/>
    <xf numFmtId="0" fontId="57" fillId="0" borderId="0">
      <alignment vertical="center"/>
    </xf>
    <xf numFmtId="198" fontId="96" fillId="0" borderId="0">
      <alignment horizontal="right" vertical="center"/>
    </xf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42" borderId="0" applyNumberFormat="0" applyBorder="0" applyAlignment="0" applyProtection="0"/>
    <xf numFmtId="0" fontId="97" fillId="42" borderId="0" applyNumberFormat="0" applyBorder="0" applyAlignment="0" applyProtection="0"/>
    <xf numFmtId="0" fontId="99" fillId="81" borderId="0" applyNumberFormat="0" applyBorder="0" applyAlignment="0" applyProtection="0"/>
    <xf numFmtId="0" fontId="100" fillId="81" borderId="0" applyNumberFormat="0" applyBorder="0" applyAlignment="0" applyProtection="0"/>
    <xf numFmtId="0" fontId="101" fillId="0" borderId="0"/>
    <xf numFmtId="38" fontId="27" fillId="72" borderId="0" applyNumberFormat="0" applyBorder="0" applyAlignment="0" applyProtection="0"/>
    <xf numFmtId="38" fontId="27" fillId="72" borderId="0" applyNumberFormat="0" applyBorder="0" applyAlignment="0" applyProtection="0"/>
    <xf numFmtId="38" fontId="27" fillId="72" borderId="0" applyNumberFormat="0" applyBorder="0" applyAlignment="0" applyProtection="0"/>
    <xf numFmtId="38" fontId="27" fillId="72" borderId="0" applyNumberFormat="0" applyBorder="0" applyAlignment="0" applyProtection="0"/>
    <xf numFmtId="38" fontId="27" fillId="72" borderId="0" applyNumberFormat="0" applyBorder="0" applyAlignment="0" applyProtection="0"/>
    <xf numFmtId="38" fontId="27" fillId="72" borderId="0" applyNumberFormat="0" applyBorder="0" applyAlignment="0" applyProtection="0"/>
    <xf numFmtId="38" fontId="27" fillId="72" borderId="0" applyNumberFormat="0" applyBorder="0" applyAlignment="0" applyProtection="0"/>
    <xf numFmtId="38" fontId="27" fillId="72" borderId="0" applyNumberFormat="0" applyBorder="0" applyAlignment="0" applyProtection="0"/>
    <xf numFmtId="1" fontId="87" fillId="0" borderId="0" applyNumberFormat="0" applyAlignment="0">
      <alignment vertical="top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218" fontId="38" fillId="39" borderId="0">
      <alignment horizontal="center" vertical="top"/>
    </xf>
    <xf numFmtId="0" fontId="10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26" applyNumberFormat="0" applyProtection="0">
      <alignment wrapText="1"/>
    </xf>
    <xf numFmtId="0" fontId="104" fillId="82" borderId="0">
      <alignment horizontal="left" wrapText="1"/>
    </xf>
    <xf numFmtId="0" fontId="105" fillId="0" borderId="27" applyNumberFormat="0" applyFill="0" applyAlignment="0" applyProtection="0"/>
    <xf numFmtId="0" fontId="78" fillId="0" borderId="0">
      <protection locked="0"/>
    </xf>
    <xf numFmtId="0" fontId="106" fillId="0" borderId="28" applyNumberFormat="0" applyFill="0" applyAlignment="0" applyProtection="0"/>
    <xf numFmtId="0" fontId="78" fillId="0" borderId="0">
      <protection locked="0"/>
    </xf>
    <xf numFmtId="0" fontId="105" fillId="0" borderId="27" applyNumberFormat="0" applyFill="0" applyAlignment="0" applyProtection="0"/>
    <xf numFmtId="0" fontId="107" fillId="0" borderId="28" applyNumberFormat="0" applyFill="0" applyAlignment="0" applyProtection="0"/>
    <xf numFmtId="0" fontId="108" fillId="0" borderId="29" applyNumberFormat="0" applyFill="0" applyAlignment="0" applyProtection="0"/>
    <xf numFmtId="0" fontId="78" fillId="0" borderId="0">
      <protection locked="0"/>
    </xf>
    <xf numFmtId="0" fontId="109" fillId="0" borderId="30" applyNumberFormat="0" applyFill="0" applyAlignment="0" applyProtection="0"/>
    <xf numFmtId="0" fontId="78" fillId="0" borderId="0">
      <protection locked="0"/>
    </xf>
    <xf numFmtId="0" fontId="108" fillId="0" borderId="29" applyNumberFormat="0" applyFill="0" applyAlignment="0" applyProtection="0"/>
    <xf numFmtId="0" fontId="110" fillId="0" borderId="30" applyNumberFormat="0" applyFill="0" applyAlignment="0" applyProtection="0"/>
    <xf numFmtId="0" fontId="108" fillId="0" borderId="29" applyNumberFormat="0" applyFill="0" applyAlignment="0" applyProtection="0"/>
    <xf numFmtId="0" fontId="111" fillId="0" borderId="31" applyNumberFormat="0" applyFill="0" applyAlignment="0" applyProtection="0"/>
    <xf numFmtId="0" fontId="111" fillId="0" borderId="31" applyNumberFormat="0" applyFill="0" applyAlignment="0" applyProtection="0"/>
    <xf numFmtId="0" fontId="112" fillId="0" borderId="31" applyNumberFormat="0" applyFill="0" applyAlignment="0" applyProtection="0"/>
    <xf numFmtId="0" fontId="113" fillId="0" borderId="32" applyNumberFormat="0" applyFill="0" applyAlignment="0" applyProtection="0"/>
    <xf numFmtId="0" fontId="114" fillId="0" borderId="33" applyNumberFormat="0" applyFill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04" fillId="82" borderId="0">
      <alignment horizontal="left" wrapText="1"/>
    </xf>
    <xf numFmtId="230" fontId="115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6" fillId="83" borderId="0"/>
    <xf numFmtId="0" fontId="117" fillId="84" borderId="0"/>
    <xf numFmtId="0" fontId="118" fillId="0" borderId="0"/>
    <xf numFmtId="0" fontId="83" fillId="0" borderId="34" applyNumberFormat="0" applyFill="0" applyAlignment="0" applyProtection="0"/>
    <xf numFmtId="232" fontId="119" fillId="0" borderId="0">
      <alignment horizontal="right"/>
    </xf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38" fontId="1" fillId="85" borderId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2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8" fillId="0" borderId="0" applyNumberFormat="0" applyFill="0" applyBorder="0" applyAlignment="0" applyProtection="0">
      <alignment vertical="top"/>
      <protection locked="0"/>
    </xf>
    <xf numFmtId="0" fontId="37" fillId="0" borderId="0"/>
    <xf numFmtId="0" fontId="37" fillId="0" borderId="0"/>
    <xf numFmtId="0" fontId="22" fillId="0" borderId="35" applyNumberFormat="0">
      <alignment vertical="center" wrapText="1"/>
    </xf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10" fontId="27" fillId="39" borderId="1" applyNumberFormat="0" applyBorder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4" fontId="36" fillId="0" borderId="36">
      <alignment horizontal="right" vertical="center"/>
    </xf>
    <xf numFmtId="0" fontId="131" fillId="0" borderId="37" applyNumberFormat="0" applyFill="0" applyAlignment="0" applyProtection="0"/>
    <xf numFmtId="0" fontId="131" fillId="0" borderId="37" applyNumberFormat="0" applyFill="0" applyAlignment="0" applyProtection="0"/>
    <xf numFmtId="0" fontId="132" fillId="0" borderId="37" applyNumberFormat="0" applyFill="0" applyAlignment="0" applyProtection="0"/>
    <xf numFmtId="0" fontId="133" fillId="0" borderId="38" applyNumberFormat="0" applyFill="0" applyAlignment="0" applyProtection="0"/>
    <xf numFmtId="233" fontId="134" fillId="0" borderId="0" applyFont="0" applyFill="0" applyBorder="0" applyAlignment="0" applyProtection="0"/>
    <xf numFmtId="234" fontId="134" fillId="0" borderId="0" applyFont="0" applyFill="0" applyBorder="0" applyAlignment="0" applyProtection="0"/>
    <xf numFmtId="2" fontId="135" fillId="0" borderId="0"/>
    <xf numFmtId="0" fontId="136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7" fillId="86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6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87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2" fillId="0" borderId="0"/>
    <xf numFmtId="240" fontId="35" fillId="0" borderId="0"/>
    <xf numFmtId="40" fontId="68" fillId="0" borderId="0"/>
    <xf numFmtId="0" fontId="14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5" fillId="0" borderId="0"/>
    <xf numFmtId="0" fontId="45" fillId="0" borderId="0"/>
    <xf numFmtId="0" fontId="0" fillId="0" borderId="0"/>
    <xf numFmtId="0" fontId="0" fillId="0" borderId="0"/>
    <xf numFmtId="0" fontId="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4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6" fillId="0" borderId="0"/>
    <xf numFmtId="0" fontId="1" fillId="0" borderId="0"/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7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3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7" fillId="0" borderId="0"/>
    <xf numFmtId="0" fontId="30" fillId="0" borderId="0"/>
    <xf numFmtId="0" fontId="146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30" fillId="0" borderId="0"/>
    <xf numFmtId="0" fontId="146" fillId="0" borderId="0"/>
    <xf numFmtId="0" fontId="1" fillId="0" borderId="0"/>
    <xf numFmtId="0" fontId="27" fillId="0" borderId="0" applyFill="0" applyBorder="0"/>
    <xf numFmtId="0" fontId="144" fillId="0" borderId="0"/>
    <xf numFmtId="0" fontId="14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74" borderId="0" applyNumberFormat="0" applyFont="0" applyBorder="0" applyAlignment="0" applyProtection="0"/>
    <xf numFmtId="39" fontId="1" fillId="0" borderId="0"/>
    <xf numFmtId="0" fontId="149" fillId="0" borderId="0"/>
    <xf numFmtId="0" fontId="23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0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5" fillId="0" borderId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37" fillId="0" borderId="0" applyFont="0" applyFill="0" applyBorder="0" applyAlignment="0" applyProtection="0"/>
    <xf numFmtId="247" fontId="37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22" fillId="0" borderId="0" applyFont="0" applyFill="0" applyBorder="0" applyAlignment="0" applyProtection="0"/>
    <xf numFmtId="247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37" fillId="0" borderId="0" applyFont="0" applyFill="0" applyBorder="0" applyAlignment="0" applyProtection="0"/>
    <xf numFmtId="251" fontId="37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22" fillId="0" borderId="0" applyFont="0" applyFill="0" applyBorder="0" applyAlignment="0" applyProtection="0"/>
    <xf numFmtId="251" fontId="2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1" fillId="0" borderId="0">
      <alignment vertical="top"/>
    </xf>
    <xf numFmtId="0" fontId="152" fillId="72" borderId="41" applyNumberFormat="0" applyAlignment="0" applyProtection="0"/>
    <xf numFmtId="0" fontId="153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3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2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3" fillId="72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0" fontId="152" fillId="69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4" fillId="0" borderId="0">
      <alignment vertical="top"/>
    </xf>
    <xf numFmtId="0" fontId="103" fillId="0" borderId="42" applyNumberFormat="0" applyProtection="0">
      <alignment wrapText="1"/>
    </xf>
    <xf numFmtId="182" fontId="68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35" fillId="0" borderId="0" applyFont="0" applyFill="0" applyBorder="0" applyAlignment="0" applyProtection="0"/>
    <xf numFmtId="256" fontId="78" fillId="0" borderId="0">
      <protection locked="0"/>
    </xf>
    <xf numFmtId="0" fontId="156" fillId="88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7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6" fillId="89" borderId="0" applyNumberFormat="0" applyFont="0" applyBorder="0" applyAlignment="0"/>
    <xf numFmtId="259" fontId="1" fillId="0" borderId="0">
      <alignment horizontal="center"/>
    </xf>
    <xf numFmtId="3" fontId="157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3" fontId="68" fillId="0" borderId="0" applyFont="0" applyFill="0" applyBorder="0" applyAlignment="0" applyProtection="0"/>
    <xf numFmtId="0" fontId="68" fillId="90" borderId="0" applyNumberFormat="0" applyFont="0" applyBorder="0" applyAlignment="0" applyProtection="0"/>
    <xf numFmtId="230" fontId="35" fillId="0" borderId="0" applyFill="0" applyBorder="0" applyAlignment="0" applyProtection="0"/>
    <xf numFmtId="218" fontId="158" fillId="0" borderId="0"/>
    <xf numFmtId="0" fontId="1" fillId="0" borderId="0"/>
    <xf numFmtId="0" fontId="1" fillId="0" borderId="0"/>
    <xf numFmtId="3" fontId="159" fillId="0" borderId="44" applyBorder="0">
      <alignment horizontal="right" wrapText="1"/>
    </xf>
    <xf numFmtId="3" fontId="159" fillId="0" borderId="44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0" fontId="1" fillId="0" borderId="0"/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0" fontId="1" fillId="0" borderId="0"/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2" fillId="44" borderId="47" applyNumberFormat="0" applyProtection="0">
      <alignment vertical="center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0" fontId="1" fillId="0" borderId="0"/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3" fillId="54" borderId="47" applyNumberFormat="0" applyProtection="0">
      <alignment horizontal="left" vertical="center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" fillId="0" borderId="0"/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4" fontId="165" fillId="0" borderId="0" applyNumberFormat="0" applyProtection="0">
      <alignment horizontal="left" vertical="center" indent="1"/>
    </xf>
    <xf numFmtId="4" fontId="164" fillId="91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6" fillId="54" borderId="47" applyNumberFormat="0" applyProtection="0">
      <alignment horizontal="left" vertical="center" indent="1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0" fontId="1" fillId="0" borderId="0"/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8" fillId="36" borderId="47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0" fontId="1" fillId="0" borderId="0"/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8" fillId="37" borderId="47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0" fontId="1" fillId="0" borderId="0"/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8" fillId="59" borderId="47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0" fontId="1" fillId="0" borderId="0"/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8" fillId="45" borderId="47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0" fontId="1" fillId="0" borderId="0"/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8" fillId="50" borderId="47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0" fontId="1" fillId="0" borderId="0"/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8" fillId="47" borderId="47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0" fontId="1" fillId="0" borderId="0"/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77" fillId="63" borderId="47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0" fontId="1" fillId="0" borderId="0"/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7" fillId="86" borderId="46" applyNumberFormat="0" applyProtection="0">
      <alignment horizontal="right" vertical="center"/>
    </xf>
    <xf numFmtId="4" fontId="168" fillId="86" borderId="47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0" fontId="1" fillId="0" borderId="0"/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8" fillId="43" borderId="47" applyNumberFormat="0" applyProtection="0">
      <alignment horizontal="right" vertical="center"/>
    </xf>
    <xf numFmtId="4" fontId="160" fillId="92" borderId="35" applyNumberFormat="0" applyProtection="0">
      <alignment horizontal="left" vertical="center" indent="1"/>
    </xf>
    <xf numFmtId="0" fontId="1" fillId="0" borderId="0"/>
    <xf numFmtId="4" fontId="169" fillId="92" borderId="47" applyNumberFormat="0" applyProtection="0">
      <alignment horizontal="left" vertical="center" indent="1"/>
    </xf>
    <xf numFmtId="4" fontId="170" fillId="75" borderId="35" applyNumberFormat="0" applyProtection="0">
      <alignment horizontal="left" vertical="center" indent="1"/>
    </xf>
    <xf numFmtId="4" fontId="167" fillId="75" borderId="0" applyNumberFormat="0" applyProtection="0">
      <alignment horizontal="left" vertical="center" indent="1"/>
    </xf>
    <xf numFmtId="4" fontId="167" fillId="75" borderId="0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93" borderId="48" applyNumberFormat="0" applyProtection="0">
      <alignment horizontal="left" vertical="center" indent="1"/>
    </xf>
    <xf numFmtId="4" fontId="167" fillId="75" borderId="0" applyNumberFormat="0" applyProtection="0">
      <alignment horizontal="left" vertical="center" indent="1"/>
    </xf>
    <xf numFmtId="4" fontId="167" fillId="75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0" fontId="1" fillId="0" borderId="0"/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67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72" fillId="91" borderId="46" applyNumberFormat="0" applyProtection="0">
      <alignment horizontal="right" vertical="center"/>
    </xf>
    <xf numFmtId="4" fontId="168" fillId="55" borderId="47" applyNumberFormat="0" applyProtection="0">
      <alignment horizontal="right" vertical="center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93" borderId="41" applyNumberFormat="0" applyProtection="0">
      <alignment horizontal="left" vertical="center" indent="1"/>
    </xf>
    <xf numFmtId="4" fontId="167" fillId="75" borderId="0" applyNumberFormat="0" applyProtection="0">
      <alignment horizontal="left" vertical="center" indent="1"/>
    </xf>
    <xf numFmtId="4" fontId="77" fillId="69" borderId="47" applyNumberFormat="0" applyProtection="0">
      <alignment horizontal="left" vertical="center" indent="1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73" borderId="41" applyNumberFormat="0" applyProtection="0">
      <alignment horizontal="left" vertical="center" indent="1"/>
    </xf>
    <xf numFmtId="4" fontId="167" fillId="91" borderId="0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1" fillId="91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1" fillId="91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1" fillId="75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1" fillId="75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0" fontId="1" fillId="69" borderId="1" applyNumberFormat="0">
      <protection locked="0"/>
    </xf>
    <xf numFmtId="4" fontId="77" fillId="94" borderId="47">
      <protection locked="0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0" fontId="1" fillId="0" borderId="0"/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8" fillId="55" borderId="47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0" fontId="1" fillId="0" borderId="0"/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0" fontId="1" fillId="0" borderId="0"/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59" fillId="55" borderId="47" applyNumberFormat="0" applyProtection="0">
      <alignment horizontal="left" vertical="center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" fillId="0" borderId="0"/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68" fillId="55" borderId="47" applyNumberFormat="0" applyProtection="0">
      <alignment horizontal="left" vertical="top" indent="1"/>
    </xf>
    <xf numFmtId="4" fontId="174" fillId="0" borderId="0" applyNumberFormat="0" applyProtection="0">
      <alignment horizontal="right" vertical="center"/>
    </xf>
    <xf numFmtId="0" fontId="1" fillId="0" borderId="0"/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93" borderId="41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7" fillId="75" borderId="46" applyNumberFormat="0" applyProtection="0">
      <alignment horizontal="right" vertical="center"/>
    </xf>
    <xf numFmtId="4" fontId="168" fillId="0" borderId="47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0" fontId="1" fillId="0" borderId="0"/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5" fillId="75" borderId="46" applyNumberFormat="0" applyProtection="0">
      <alignment horizontal="right" vertical="center"/>
    </xf>
    <xf numFmtId="4" fontId="176" fillId="55" borderId="47" applyNumberFormat="0" applyProtection="0">
      <alignment horizontal="right" vertical="center"/>
    </xf>
    <xf numFmtId="4" fontId="170" fillId="0" borderId="0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4" fontId="167" fillId="91" borderId="46" applyNumberFormat="0" applyProtection="0">
      <alignment horizontal="left" vertical="center" indent="1"/>
    </xf>
    <xf numFmtId="0" fontId="165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167" fillId="91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8" fillId="0" borderId="0" applyNumberFormat="0" applyProtection="0">
      <alignment horizontal="left" vertical="center" indent="1"/>
    </xf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0" fontId="77" fillId="93" borderId="47"/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0" fontId="1" fillId="0" borderId="0"/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82" fillId="75" borderId="46" applyNumberFormat="0" applyProtection="0">
      <alignment horizontal="right" vertical="center"/>
    </xf>
    <xf numFmtId="4" fontId="77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36" fillId="74" borderId="1"/>
    <xf numFmtId="0" fontId="179" fillId="0" borderId="0" applyNumberFormat="0" applyFill="0" applyBorder="0" applyAlignment="0" applyProtection="0"/>
    <xf numFmtId="0" fontId="95" fillId="0" borderId="49"/>
    <xf numFmtId="0" fontId="180" fillId="0" borderId="0"/>
    <xf numFmtId="0" fontId="95" fillId="0" borderId="0">
      <alignment horizontal="right"/>
    </xf>
    <xf numFmtId="0" fontId="95" fillId="0" borderId="0">
      <alignment horizontal="left"/>
    </xf>
    <xf numFmtId="0" fontId="27" fillId="0" borderId="0"/>
    <xf numFmtId="0" fontId="1" fillId="0" borderId="0"/>
    <xf numFmtId="0" fontId="1" fillId="0" borderId="0">
      <alignment vertical="top"/>
    </xf>
    <xf numFmtId="0" fontId="181" fillId="95" borderId="50" applyBorder="0"/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1" applyNumberFormat="0" applyProtection="0">
      <alignment horizontal="center"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38" fillId="96" borderId="52" applyNumberFormat="0" applyAlignment="0" applyProtection="0">
      <alignment wrapText="1"/>
    </xf>
    <xf numFmtId="0" fontId="1" fillId="97" borderId="0" applyNumberFormat="0" applyBorder="0">
      <alignment horizontal="center" wrapText="1"/>
    </xf>
    <xf numFmtId="0" fontId="1" fillId="97" borderId="0" applyNumberFormat="0" applyBorder="0">
      <alignment horizontal="center" wrapText="1"/>
    </xf>
    <xf numFmtId="0" fontId="1" fillId="97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7" borderId="0" applyNumberFormat="0" applyBorder="0">
      <alignment horizontal="center" wrapText="1"/>
    </xf>
    <xf numFmtId="0" fontId="1" fillId="97" borderId="0" applyNumberFormat="0" applyBorder="0">
      <alignment horizontal="center" wrapText="1"/>
    </xf>
    <xf numFmtId="0" fontId="1" fillId="97" borderId="0" applyNumberFormat="0" applyBorder="0">
      <alignment horizontal="center" wrapText="1"/>
    </xf>
    <xf numFmtId="0" fontId="1" fillId="97" borderId="0" applyNumberFormat="0" applyBorder="0">
      <alignment horizontal="center" wrapText="1"/>
    </xf>
    <xf numFmtId="0" fontId="1" fillId="97" borderId="0" applyNumberFormat="0" applyBorder="0">
      <alignment horizontal="center" wrapText="1"/>
    </xf>
    <xf numFmtId="0" fontId="1" fillId="97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7" borderId="0" applyNumberFormat="0" applyBorder="0">
      <alignment wrapText="1"/>
    </xf>
    <xf numFmtId="0" fontId="1" fillId="97" borderId="0" applyNumberFormat="0" applyBorder="0">
      <alignment wrapText="1"/>
    </xf>
    <xf numFmtId="0" fontId="1" fillId="97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8" borderId="53" applyNumberFormat="0">
      <alignment wrapText="1"/>
    </xf>
    <xf numFmtId="0" fontId="1" fillId="97" borderId="0" applyNumberFormat="0" applyBorder="0">
      <alignment wrapText="1"/>
    </xf>
    <xf numFmtId="0" fontId="1" fillId="97" borderId="0" applyNumberFormat="0" applyBorder="0">
      <alignment wrapText="1"/>
    </xf>
    <xf numFmtId="0" fontId="1" fillId="97" borderId="0" applyNumberFormat="0" applyBorder="0">
      <alignment wrapText="1"/>
    </xf>
    <xf numFmtId="0" fontId="1" fillId="97" borderId="0" applyNumberFormat="0" applyBorder="0">
      <alignment wrapText="1"/>
    </xf>
    <xf numFmtId="0" fontId="1" fillId="97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8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2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273" fontId="183" fillId="0" borderId="0" applyNumberFormat="0" applyFill="0" applyBorder="0" applyAlignment="0" applyProtection="0">
      <alignment horizontal="right" vertical="center" wrapText="1"/>
    </xf>
    <xf numFmtId="0" fontId="184" fillId="0" borderId="0" applyNumberFormat="0" applyFill="0" applyBorder="0" applyAlignment="0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6" fillId="0" borderId="0" applyFill="0" applyBorder="0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4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99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100" borderId="54" applyProtection="0"/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2" fontId="186" fillId="99" borderId="54" applyProtection="0">
      <alignment horizontal="center"/>
    </xf>
    <xf numFmtId="37" fontId="187" fillId="0" borderId="0"/>
    <xf numFmtId="0" fontId="1" fillId="0" borderId="0">
      <alignment horizontal="left"/>
    </xf>
    <xf numFmtId="38" fontId="188" fillId="0" borderId="0"/>
    <xf numFmtId="0" fontId="189" fillId="0" borderId="0" applyNumberFormat="0" applyProtection="0">
      <alignment horizontal="left"/>
    </xf>
    <xf numFmtId="0" fontId="190" fillId="0" borderId="0"/>
    <xf numFmtId="0" fontId="191" fillId="0" borderId="0" applyNumberFormat="0" applyFill="0" applyBorder="0" applyAlignment="0" applyProtection="0"/>
    <xf numFmtId="0" fontId="179" fillId="0" borderId="0" applyNumberFormat="0" applyFill="0" applyBorder="0" applyAlignment="0" applyProtection="0"/>
    <xf numFmtId="0" fontId="192" fillId="0" borderId="0">
      <alignment horizontal="left" vertical="top"/>
    </xf>
    <xf numFmtId="0" fontId="193" fillId="0" borderId="0">
      <alignment horizontal="left"/>
    </xf>
    <xf numFmtId="274" fontId="194" fillId="101" borderId="0" applyNumberFormat="0" applyBorder="0"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4" fillId="102" borderId="0" applyNumberFormat="0" applyBorder="0">
      <protection locked="0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6" fillId="0" borderId="0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49" fontId="83" fillId="0" borderId="1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15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2" fontId="83" fillId="0" borderId="1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0" borderId="0"/>
    <xf numFmtId="37" fontId="27" fillId="0" borderId="0"/>
    <xf numFmtId="37" fontId="27" fillId="0" borderId="0"/>
    <xf numFmtId="37" fontId="27" fillId="0" borderId="0"/>
    <xf numFmtId="37" fontId="27" fillId="44" borderId="0" applyNumberFormat="0" applyBorder="0" applyAlignment="0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198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5" fillId="0" borderId="0" applyFont="0" applyFill="0" applyBorder="0" applyAlignment="0" applyProtection="0"/>
    <xf numFmtId="285" fontId="35" fillId="0" borderId="0" applyFon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200" fillId="0" borderId="0"/>
    <xf numFmtId="10" fontId="201" fillId="103" borderId="1">
      <alignment horizontal="center" vertical="center" wrapText="1"/>
    </xf>
    <xf numFmtId="0" fontId="1" fillId="104" borderId="0" applyNumberFormat="0" applyFont="0" applyBorder="0" applyAlignment="0" applyProtection="0"/>
    <xf numFmtId="0" fontId="1" fillId="104" borderId="0" applyNumberFormat="0" applyFont="0" applyBorder="0" applyAlignment="0" applyProtection="0"/>
    <xf numFmtId="0" fontId="1" fillId="104" borderId="0" applyNumberFormat="0" applyFont="0" applyBorder="0" applyAlignment="0" applyProtection="0"/>
    <xf numFmtId="0" fontId="1" fillId="104" borderId="0" applyNumberFormat="0" applyFont="0" applyBorder="0" applyAlignment="0" applyProtection="0"/>
    <xf numFmtId="0" fontId="1" fillId="104" borderId="0" applyNumberFormat="0" applyFont="0" applyBorder="0" applyAlignment="0" applyProtection="0"/>
    <xf numFmtId="0" fontId="1" fillId="104" borderId="0" applyNumberFormat="0" applyFont="0" applyBorder="0" applyAlignment="0" applyProtection="0"/>
    <xf numFmtId="0" fontId="1" fillId="104" borderId="0" applyNumberFormat="0" applyFont="0" applyBorder="0" applyAlignment="0" applyProtection="0"/>
    <xf numFmtId="0" fontId="1" fillId="104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5" borderId="0" applyNumberFormat="0" applyFont="0" applyBorder="0" applyAlignment="0" applyProtection="0"/>
    <xf numFmtId="0" fontId="1" fillId="105" borderId="0" applyNumberFormat="0" applyFont="0" applyBorder="0" applyAlignment="0" applyProtection="0"/>
    <xf numFmtId="0" fontId="1" fillId="105" borderId="0" applyNumberFormat="0" applyFont="0" applyBorder="0" applyAlignment="0" applyProtection="0"/>
    <xf numFmtId="0" fontId="1" fillId="105" borderId="0" applyNumberFormat="0" applyFont="0" applyBorder="0" applyAlignment="0" applyProtection="0"/>
    <xf numFmtId="0" fontId="1" fillId="105" borderId="0" applyNumberFormat="0" applyFont="0" applyBorder="0" applyAlignment="0" applyProtection="0"/>
    <xf numFmtId="0" fontId="1" fillId="105" borderId="0" applyNumberFormat="0" applyFont="0" applyBorder="0" applyAlignment="0" applyProtection="0"/>
    <xf numFmtId="0" fontId="1" fillId="105" borderId="0" applyNumberFormat="0" applyFont="0" applyBorder="0" applyAlignment="0" applyProtection="0"/>
    <xf numFmtId="0" fontId="1" fillId="105" borderId="0" applyNumberFormat="0" applyFont="0" applyBorder="0" applyAlignment="0" applyProtection="0"/>
    <xf numFmtId="286" fontId="35" fillId="0" borderId="0" applyFont="0" applyFill="0" applyBorder="0" applyAlignment="0" applyProtection="0">
      <alignment horizontal="right"/>
    </xf>
    <xf numFmtId="0" fontId="202" fillId="44" borderId="0">
      <alignment horizontal="left" vertical="center" indent="1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49" fontId="83" fillId="0" borderId="1">
      <alignment horizontal="center"/>
      <protection locked="0"/>
    </xf>
    <xf numFmtId="287" fontId="27" fillId="0" borderId="0">
      <alignment horizontal="center"/>
    </xf>
    <xf numFmtId="2" fontId="203" fillId="0" borderId="0"/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4" fontId="36" fillId="0" borderId="0"/>
    <xf numFmtId="0" fontId="22" fillId="0" borderId="35" applyNumberFormat="0">
      <alignment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288" fontId="22" fillId="0" borderId="0" applyFont="0" applyFill="0" applyBorder="0" applyAlignment="0" applyProtection="0"/>
    <xf numFmtId="3" fontId="204" fillId="0" borderId="12" applyFont="0" applyBorder="0">
      <alignment horizontal="right"/>
      <protection locked="0"/>
    </xf>
    <xf numFmtId="289" fontId="22" fillId="0" borderId="0" applyFont="0" applyFill="0" applyBorder="0" applyAlignment="0" applyProtection="0"/>
    <xf numFmtId="0" fontId="205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0" fillId="0" borderId="0" xfId="0" applyAlignment="1">
      <alignment vertical="center"/>
    </xf>
    <xf numFmtId="0" fontId="1" fillId="0" borderId="0" xfId="0" applyFont="1" applyFill="1"/>
    <xf numFmtId="0" fontId="2" fillId="0" borderId="1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workbookViewId="0">
      <selection activeCell="G20" sqref="G20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7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126"/>
  <sheetViews>
    <sheetView tabSelected="1" zoomScale="71" zoomScaleNormal="71" workbookViewId="0">
      <selection activeCell="J11" sqref="J11"/>
    </sheetView>
  </sheetViews>
  <sheetFormatPr defaultColWidth="8.72727272727273" defaultRowHeight="14.5"/>
  <cols>
    <col min="1" max="1" width="10.5272727272727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25" max="25" width="28.5272727272727" customWidth="1"/>
    <col min="37" max="37" width="28.5272727272727" customWidth="1"/>
    <col min="43" max="43" width="139.8" customWidth="1"/>
  </cols>
  <sheetData>
    <row r="2" spans="4:41">
      <c r="D2" t="s">
        <v>25</v>
      </c>
      <c r="K2" s="1" t="s">
        <v>26</v>
      </c>
      <c r="L2" s="1"/>
      <c r="M2" s="1"/>
    </row>
    <row r="3" spans="4:41">
      <c r="D3" t="s">
        <v>27</v>
      </c>
      <c r="E3" t="s">
        <v>28</v>
      </c>
      <c r="F3" t="s">
        <v>29</v>
      </c>
      <c r="G3" t="s">
        <v>30</v>
      </c>
      <c r="H3" t="s">
        <v>31</v>
      </c>
    </row>
    <row r="4" spans="4:41">
      <c r="D4" s="2" t="s">
        <v>32</v>
      </c>
      <c r="E4" s="2">
        <v>2023</v>
      </c>
      <c r="F4">
        <f t="shared" ref="F4:H10" si="0">K4/2</f>
        <v>16.0766353333333</v>
      </c>
      <c r="G4">
        <f t="shared" si="0"/>
        <v>11.097346</v>
      </c>
      <c r="H4">
        <f t="shared" si="0"/>
        <v>21.36501</v>
      </c>
      <c r="I4" s="3"/>
      <c r="J4" s="3"/>
      <c r="K4">
        <v>32.1532706666667</v>
      </c>
      <c r="L4">
        <v>22.194692</v>
      </c>
      <c r="M4">
        <v>42.73002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4:41">
      <c r="D5" s="2" t="s">
        <v>33</v>
      </c>
      <c r="E5" s="2">
        <v>2023</v>
      </c>
      <c r="F5">
        <f t="shared" si="0"/>
        <v>19.08172</v>
      </c>
      <c r="G5">
        <f t="shared" si="0"/>
        <v>13.26513</v>
      </c>
      <c r="H5">
        <f t="shared" si="0"/>
        <v>25.25271</v>
      </c>
      <c r="I5" s="4"/>
      <c r="J5" s="4"/>
      <c r="K5">
        <v>38.16344</v>
      </c>
      <c r="L5">
        <v>26.53026</v>
      </c>
      <c r="M5">
        <v>50.50542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4:41">
      <c r="D6" s="2" t="s">
        <v>34</v>
      </c>
      <c r="E6" s="2">
        <v>2023</v>
      </c>
      <c r="F6">
        <f t="shared" si="0"/>
        <v>17.0695393333333</v>
      </c>
      <c r="G6">
        <f t="shared" si="0"/>
        <v>11.220294</v>
      </c>
      <c r="H6">
        <f t="shared" si="0"/>
        <v>23.265592</v>
      </c>
      <c r="I6" s="4"/>
      <c r="J6" s="4"/>
      <c r="K6">
        <v>34.1390786666666</v>
      </c>
      <c r="L6">
        <v>22.440588</v>
      </c>
      <c r="M6">
        <v>46.531184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4:41">
      <c r="D7" s="2" t="s">
        <v>35</v>
      </c>
      <c r="E7" s="2">
        <v>2023</v>
      </c>
      <c r="F7">
        <f t="shared" si="0"/>
        <v>17.104314</v>
      </c>
      <c r="G7">
        <f t="shared" si="0"/>
        <v>11.111902</v>
      </c>
      <c r="H7">
        <f t="shared" si="0"/>
        <v>23.460862</v>
      </c>
      <c r="I7" s="4"/>
      <c r="J7" s="4"/>
      <c r="K7">
        <v>34.208628</v>
      </c>
      <c r="L7">
        <v>22.223804</v>
      </c>
      <c r="M7">
        <v>46.921724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4:41">
      <c r="D8" s="2" t="s">
        <v>36</v>
      </c>
      <c r="E8" s="2">
        <v>2023</v>
      </c>
      <c r="F8">
        <f t="shared" si="0"/>
        <v>18.0185833333333</v>
      </c>
      <c r="G8">
        <f t="shared" si="0"/>
        <v>11.87354</v>
      </c>
      <c r="H8">
        <f t="shared" si="0"/>
        <v>24.53381</v>
      </c>
      <c r="I8" s="4"/>
      <c r="J8" s="4"/>
      <c r="K8">
        <v>36.0371666666666</v>
      </c>
      <c r="L8">
        <v>23.74708</v>
      </c>
      <c r="M8">
        <v>49.06762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4:41">
      <c r="D9" s="2" t="s">
        <v>37</v>
      </c>
      <c r="E9" s="2">
        <v>2023</v>
      </c>
      <c r="F9">
        <f t="shared" si="0"/>
        <v>17.3844433333334</v>
      </c>
      <c r="G9">
        <f t="shared" si="0"/>
        <v>11.46751</v>
      </c>
      <c r="H9">
        <f t="shared" si="0"/>
        <v>23.65446</v>
      </c>
      <c r="I9" s="4"/>
      <c r="J9" s="4"/>
      <c r="K9">
        <v>34.7688866666667</v>
      </c>
      <c r="L9">
        <v>22.93502</v>
      </c>
      <c r="M9">
        <v>47.30892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4:41">
      <c r="D10" s="2" t="s">
        <v>38</v>
      </c>
      <c r="E10" s="2">
        <v>2023</v>
      </c>
      <c r="F10">
        <f t="shared" si="0"/>
        <v>17.9105333333334</v>
      </c>
      <c r="G10">
        <f t="shared" si="0"/>
        <v>11.997896</v>
      </c>
      <c r="H10">
        <f t="shared" si="0"/>
        <v>24.174904</v>
      </c>
      <c r="I10" s="4"/>
      <c r="J10" s="4"/>
      <c r="K10">
        <v>35.8210666666667</v>
      </c>
      <c r="L10">
        <v>23.995792</v>
      </c>
      <c r="M10">
        <v>48.349808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4:41"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4:41"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5" spans="4:41">
      <c r="D15" t="s">
        <v>25</v>
      </c>
    </row>
    <row r="16" spans="4:41">
      <c r="D16" t="s">
        <v>27</v>
      </c>
      <c r="E16" t="s">
        <v>28</v>
      </c>
      <c r="F16" t="s">
        <v>29</v>
      </c>
      <c r="G16" t="s">
        <v>30</v>
      </c>
      <c r="H16" t="s">
        <v>31</v>
      </c>
    </row>
    <row r="17" spans="1:13">
      <c r="D17" s="2" t="s">
        <v>32</v>
      </c>
      <c r="E17">
        <v>2025</v>
      </c>
      <c r="F17">
        <f t="shared" ref="F17:H23" si="1">K17/2</f>
        <v>14.5838049095237</v>
      </c>
      <c r="G17">
        <f t="shared" si="1"/>
        <v>10.0668781571428</v>
      </c>
      <c r="H17">
        <f t="shared" si="1"/>
        <v>19.3811162142857</v>
      </c>
      <c r="K17">
        <v>29.1676098190475</v>
      </c>
      <c r="L17">
        <v>20.1337563142856</v>
      </c>
      <c r="M17">
        <v>38.7622324285713</v>
      </c>
    </row>
    <row r="18" spans="1:13">
      <c r="D18" s="2" t="s">
        <v>33</v>
      </c>
      <c r="E18">
        <v>2025</v>
      </c>
      <c r="F18">
        <f t="shared" si="1"/>
        <v>17.309846</v>
      </c>
      <c r="G18">
        <f t="shared" si="1"/>
        <v>12.0333679285714</v>
      </c>
      <c r="H18">
        <f t="shared" si="1"/>
        <v>22.9078155</v>
      </c>
      <c r="K18">
        <v>34.6196919999999</v>
      </c>
      <c r="L18">
        <v>24.0667358571428</v>
      </c>
      <c r="M18">
        <v>45.815631</v>
      </c>
    </row>
    <row r="19" spans="1:13">
      <c r="D19" s="2" t="s">
        <v>34</v>
      </c>
      <c r="E19">
        <v>2025</v>
      </c>
      <c r="F19">
        <f t="shared" si="1"/>
        <v>15.4845106809523</v>
      </c>
      <c r="G19">
        <f t="shared" si="1"/>
        <v>10.1784095571428</v>
      </c>
      <c r="H19">
        <f t="shared" si="1"/>
        <v>21.1052156</v>
      </c>
      <c r="K19">
        <v>30.9690213619046</v>
      </c>
      <c r="L19">
        <v>20.3568191142856</v>
      </c>
      <c r="M19">
        <v>42.2104312</v>
      </c>
    </row>
    <row r="20" spans="1:13">
      <c r="D20" s="2" t="s">
        <v>35</v>
      </c>
      <c r="E20">
        <v>2025</v>
      </c>
      <c r="F20">
        <f t="shared" si="1"/>
        <v>15.5160562714285</v>
      </c>
      <c r="G20">
        <f t="shared" si="1"/>
        <v>10.0800825285714</v>
      </c>
      <c r="H20">
        <f t="shared" si="1"/>
        <v>21.2823533857142</v>
      </c>
      <c r="K20">
        <v>31.032112542857</v>
      </c>
      <c r="L20">
        <v>20.1601650571428</v>
      </c>
      <c r="M20">
        <v>42.5647067714284</v>
      </c>
    </row>
    <row r="21" spans="1:13">
      <c r="D21" s="2" t="s">
        <v>36</v>
      </c>
      <c r="E21">
        <v>2025</v>
      </c>
      <c r="F21">
        <f t="shared" si="1"/>
        <v>16.3454291666666</v>
      </c>
      <c r="G21">
        <f t="shared" si="1"/>
        <v>10.7709969999999</v>
      </c>
      <c r="H21">
        <f t="shared" si="1"/>
        <v>22.2556705</v>
      </c>
      <c r="K21">
        <v>32.6908583333332</v>
      </c>
      <c r="L21">
        <v>21.5419939999999</v>
      </c>
      <c r="M21">
        <v>44.511341</v>
      </c>
    </row>
    <row r="22" spans="1:13">
      <c r="D22" s="2" t="s">
        <v>37</v>
      </c>
      <c r="E22">
        <v>2025</v>
      </c>
      <c r="F22">
        <f t="shared" si="1"/>
        <v>15.7701735952381</v>
      </c>
      <c r="G22">
        <f t="shared" si="1"/>
        <v>10.4026697857143</v>
      </c>
      <c r="H22">
        <f t="shared" si="1"/>
        <v>21.4579744285714</v>
      </c>
      <c r="K22">
        <v>31.5403471904761</v>
      </c>
      <c r="L22">
        <v>20.8053395714285</v>
      </c>
      <c r="M22">
        <v>42.9159488571428</v>
      </c>
    </row>
    <row r="23" spans="1:13">
      <c r="D23" s="2" t="s">
        <v>38</v>
      </c>
      <c r="E23">
        <v>2025</v>
      </c>
      <c r="F23">
        <f t="shared" si="1"/>
        <v>16.2474123809523</v>
      </c>
      <c r="G23">
        <f t="shared" si="1"/>
        <v>10.8838056571428</v>
      </c>
      <c r="H23">
        <f t="shared" si="1"/>
        <v>21.9300914857142</v>
      </c>
      <c r="K23">
        <v>32.4948247619046</v>
      </c>
      <c r="L23">
        <v>21.7676113142856</v>
      </c>
      <c r="M23">
        <v>43.8601829714284</v>
      </c>
    </row>
    <row r="24" ht="16" spans="1:13">
      <c r="A24" s="6"/>
      <c r="K24">
        <v>58.8167238095236</v>
      </c>
      <c r="L24">
        <v>58.8167238095236</v>
      </c>
      <c r="M24">
        <v>58.8167238095236</v>
      </c>
    </row>
    <row r="30" spans="1:13">
      <c r="D30" t="s">
        <v>25</v>
      </c>
    </row>
    <row r="31" spans="1:13">
      <c r="D31" t="s">
        <v>27</v>
      </c>
      <c r="E31" t="s">
        <v>28</v>
      </c>
      <c r="F31" t="s">
        <v>29</v>
      </c>
      <c r="G31" t="s">
        <v>30</v>
      </c>
      <c r="H31" t="s">
        <v>31</v>
      </c>
    </row>
    <row r="32" spans="1:13">
      <c r="D32" s="2" t="s">
        <v>32</v>
      </c>
      <c r="E32">
        <v>2030</v>
      </c>
      <c r="F32">
        <f t="shared" ref="F32:H38" si="2">K32/2</f>
        <v>12.631642047619</v>
      </c>
      <c r="G32">
        <f t="shared" si="2"/>
        <v>8.7193432857143</v>
      </c>
      <c r="H32">
        <f t="shared" si="2"/>
        <v>16.7867935714286</v>
      </c>
      <c r="K32">
        <v>25.2632840952381</v>
      </c>
      <c r="L32">
        <v>17.4386865714286</v>
      </c>
      <c r="M32">
        <v>33.5735871428571</v>
      </c>
    </row>
    <row r="33" spans="4:13">
      <c r="D33" s="2" t="s">
        <v>33</v>
      </c>
      <c r="E33">
        <v>2030</v>
      </c>
      <c r="F33">
        <f t="shared" si="2"/>
        <v>14.99278</v>
      </c>
      <c r="G33">
        <f t="shared" si="2"/>
        <v>10.4226021428571</v>
      </c>
      <c r="H33">
        <f t="shared" si="2"/>
        <v>19.841415</v>
      </c>
      <c r="K33">
        <v>29.98556</v>
      </c>
      <c r="L33">
        <v>20.8452042857142</v>
      </c>
      <c r="M33">
        <v>39.68283</v>
      </c>
    </row>
    <row r="34" spans="4:13">
      <c r="D34" s="2" t="s">
        <v>34</v>
      </c>
      <c r="E34">
        <v>2030</v>
      </c>
      <c r="F34">
        <f t="shared" si="2"/>
        <v>13.4117809047619</v>
      </c>
      <c r="G34">
        <f t="shared" si="2"/>
        <v>8.8159452857143</v>
      </c>
      <c r="H34">
        <f t="shared" si="2"/>
        <v>18.280108</v>
      </c>
      <c r="K34">
        <v>26.8235618095238</v>
      </c>
      <c r="L34">
        <v>17.6318905714286</v>
      </c>
      <c r="M34">
        <v>36.560216</v>
      </c>
    </row>
    <row r="35" spans="4:13">
      <c r="D35" s="2" t="s">
        <v>35</v>
      </c>
      <c r="E35">
        <v>2030</v>
      </c>
      <c r="F35">
        <f t="shared" si="2"/>
        <v>13.4391038571429</v>
      </c>
      <c r="G35">
        <f t="shared" si="2"/>
        <v>8.73078014285715</v>
      </c>
      <c r="H35">
        <f t="shared" si="2"/>
        <v>18.4335344285714</v>
      </c>
      <c r="K35">
        <v>26.8782077142857</v>
      </c>
      <c r="L35">
        <v>17.4615602857143</v>
      </c>
      <c r="M35">
        <v>36.8670688571428</v>
      </c>
    </row>
    <row r="36" spans="4:13">
      <c r="D36" s="2" t="s">
        <v>36</v>
      </c>
      <c r="E36">
        <v>2030</v>
      </c>
      <c r="F36">
        <f t="shared" si="2"/>
        <v>14.1574583333333</v>
      </c>
      <c r="G36">
        <f t="shared" si="2"/>
        <v>9.32921</v>
      </c>
      <c r="H36">
        <f t="shared" si="2"/>
        <v>19.276565</v>
      </c>
      <c r="K36">
        <v>28.3149166666666</v>
      </c>
      <c r="L36">
        <v>18.65842</v>
      </c>
      <c r="M36">
        <v>38.55313</v>
      </c>
    </row>
    <row r="37" spans="4:13">
      <c r="D37" s="2" t="s">
        <v>37</v>
      </c>
      <c r="E37">
        <v>2030</v>
      </c>
      <c r="F37">
        <f t="shared" si="2"/>
        <v>13.6592054761905</v>
      </c>
      <c r="G37">
        <f t="shared" si="2"/>
        <v>9.0101864285714</v>
      </c>
      <c r="H37">
        <f t="shared" si="2"/>
        <v>18.5856471428571</v>
      </c>
      <c r="K37">
        <v>27.3184109523809</v>
      </c>
      <c r="L37">
        <v>18.0203728571428</v>
      </c>
      <c r="M37">
        <v>37.1712942857142</v>
      </c>
    </row>
    <row r="38" spans="4:13">
      <c r="D38" s="2" t="s">
        <v>38</v>
      </c>
      <c r="E38">
        <v>2030</v>
      </c>
      <c r="F38">
        <f t="shared" si="2"/>
        <v>14.0725619047619</v>
      </c>
      <c r="G38">
        <f t="shared" si="2"/>
        <v>9.4269182857143</v>
      </c>
      <c r="H38">
        <f t="shared" si="2"/>
        <v>18.9945674285714</v>
      </c>
      <c r="K38">
        <v>28.1451238095238</v>
      </c>
      <c r="L38">
        <v>18.8538365714286</v>
      </c>
      <c r="M38">
        <v>37.9891348571428</v>
      </c>
    </row>
    <row r="44" spans="4:13">
      <c r="D44" t="s">
        <v>25</v>
      </c>
    </row>
    <row r="45" spans="4:13">
      <c r="D45" t="s">
        <v>27</v>
      </c>
      <c r="E45" t="s">
        <v>28</v>
      </c>
      <c r="F45" t="s">
        <v>29</v>
      </c>
      <c r="G45" t="s">
        <v>30</v>
      </c>
      <c r="H45" t="s">
        <v>31</v>
      </c>
    </row>
    <row r="46" spans="4:13">
      <c r="D46" s="2" t="s">
        <v>32</v>
      </c>
      <c r="E46">
        <v>2035</v>
      </c>
      <c r="F46">
        <f t="shared" ref="F46:H52" si="3">K46/2</f>
        <v>11.483310952381</v>
      </c>
      <c r="G46">
        <f t="shared" si="3"/>
        <v>7.92667571428575</v>
      </c>
      <c r="H46">
        <f t="shared" si="3"/>
        <v>15.2607214285715</v>
      </c>
      <c r="K46">
        <v>22.966621904762</v>
      </c>
      <c r="L46">
        <v>15.8533514285715</v>
      </c>
      <c r="M46">
        <v>30.5214428571429</v>
      </c>
    </row>
    <row r="47" spans="4:13">
      <c r="D47" s="2" t="s">
        <v>33</v>
      </c>
      <c r="E47">
        <v>2035</v>
      </c>
      <c r="F47">
        <f t="shared" si="3"/>
        <v>13.6298</v>
      </c>
      <c r="G47">
        <f t="shared" si="3"/>
        <v>9.4750928571429</v>
      </c>
      <c r="H47">
        <f t="shared" si="3"/>
        <v>18.03765</v>
      </c>
      <c r="K47">
        <v>27.2596000000001</v>
      </c>
      <c r="L47">
        <v>18.9501857142858</v>
      </c>
      <c r="M47">
        <v>36.0753000000001</v>
      </c>
    </row>
    <row r="48" spans="4:13">
      <c r="D48" s="2" t="s">
        <v>34</v>
      </c>
      <c r="E48">
        <v>2035</v>
      </c>
      <c r="F48">
        <f t="shared" si="3"/>
        <v>12.1925280952381</v>
      </c>
      <c r="G48">
        <f t="shared" si="3"/>
        <v>8.01449571428575</v>
      </c>
      <c r="H48">
        <f t="shared" si="3"/>
        <v>16.61828</v>
      </c>
      <c r="K48">
        <v>24.3850561904762</v>
      </c>
      <c r="L48">
        <v>16.0289914285715</v>
      </c>
      <c r="M48">
        <v>33.2365600000001</v>
      </c>
    </row>
    <row r="49" spans="4:13">
      <c r="D49" s="2" t="s">
        <v>35</v>
      </c>
      <c r="E49">
        <v>2035</v>
      </c>
      <c r="F49">
        <f t="shared" si="3"/>
        <v>12.2173671428572</v>
      </c>
      <c r="G49">
        <f t="shared" si="3"/>
        <v>7.9370728571429</v>
      </c>
      <c r="H49">
        <f t="shared" si="3"/>
        <v>16.7577585714286</v>
      </c>
      <c r="K49">
        <v>24.4347342857144</v>
      </c>
      <c r="L49">
        <v>15.8741457142858</v>
      </c>
      <c r="M49">
        <v>33.5155171428572</v>
      </c>
    </row>
    <row r="50" spans="4:13">
      <c r="D50" s="2" t="s">
        <v>36</v>
      </c>
      <c r="E50">
        <v>2035</v>
      </c>
      <c r="F50">
        <f t="shared" si="3"/>
        <v>12.8704166666667</v>
      </c>
      <c r="G50">
        <f t="shared" si="3"/>
        <v>8.4811</v>
      </c>
      <c r="H50">
        <f t="shared" si="3"/>
        <v>17.52415</v>
      </c>
      <c r="K50">
        <v>25.7408333333334</v>
      </c>
      <c r="L50">
        <v>16.9622</v>
      </c>
      <c r="M50">
        <v>35.0483000000001</v>
      </c>
    </row>
    <row r="51" spans="4:13">
      <c r="D51" s="2" t="s">
        <v>37</v>
      </c>
      <c r="E51">
        <v>2035</v>
      </c>
      <c r="F51">
        <f t="shared" si="3"/>
        <v>12.4174595238095</v>
      </c>
      <c r="G51">
        <f t="shared" si="3"/>
        <v>8.1910785714286</v>
      </c>
      <c r="H51">
        <f t="shared" si="3"/>
        <v>16.8960428571429</v>
      </c>
      <c r="K51">
        <v>24.8349190476191</v>
      </c>
      <c r="L51">
        <v>16.3821571428572</v>
      </c>
      <c r="M51">
        <v>33.7920857142858</v>
      </c>
    </row>
    <row r="52" spans="4:13">
      <c r="D52" s="2" t="s">
        <v>38</v>
      </c>
      <c r="E52">
        <v>2035</v>
      </c>
      <c r="F52">
        <f t="shared" si="3"/>
        <v>12.7932380952382</v>
      </c>
      <c r="G52">
        <f t="shared" si="3"/>
        <v>8.56992571428575</v>
      </c>
      <c r="H52">
        <f t="shared" si="3"/>
        <v>17.2677885714286</v>
      </c>
      <c r="K52">
        <v>25.5864761904763</v>
      </c>
      <c r="L52">
        <v>17.1398514285715</v>
      </c>
      <c r="M52">
        <v>34.5355771428572</v>
      </c>
    </row>
    <row r="58" spans="4:13">
      <c r="D58" t="s">
        <v>25</v>
      </c>
    </row>
    <row r="59" spans="4:13">
      <c r="D59" t="s">
        <v>27</v>
      </c>
      <c r="E59" t="s">
        <v>28</v>
      </c>
      <c r="F59" t="s">
        <v>29</v>
      </c>
      <c r="G59" t="s">
        <v>30</v>
      </c>
      <c r="H59" t="s">
        <v>31</v>
      </c>
    </row>
    <row r="60" spans="4:13">
      <c r="D60" s="2" t="s">
        <v>32</v>
      </c>
      <c r="E60">
        <v>2040</v>
      </c>
      <c r="F60">
        <f t="shared" ref="F60:H66" si="4">K60/2</f>
        <v>11.1388116238096</v>
      </c>
      <c r="G60">
        <f t="shared" si="4"/>
        <v>7.68887544285715</v>
      </c>
      <c r="H60">
        <f t="shared" si="4"/>
        <v>14.8028997857143</v>
      </c>
      <c r="K60">
        <v>22.2776232476191</v>
      </c>
      <c r="L60">
        <v>15.3777508857143</v>
      </c>
      <c r="M60">
        <v>29.6057995714286</v>
      </c>
    </row>
    <row r="61" spans="4:13">
      <c r="D61" s="2" t="s">
        <v>33</v>
      </c>
      <c r="E61">
        <v>2040</v>
      </c>
      <c r="F61">
        <f t="shared" si="4"/>
        <v>13.220906</v>
      </c>
      <c r="G61">
        <f t="shared" si="4"/>
        <v>9.1908400714286</v>
      </c>
      <c r="H61">
        <f t="shared" si="4"/>
        <v>17.4965205</v>
      </c>
      <c r="K61">
        <v>26.4418120000001</v>
      </c>
      <c r="L61">
        <v>18.3816801428572</v>
      </c>
      <c r="M61">
        <v>34.9930410000001</v>
      </c>
    </row>
    <row r="62" spans="4:13">
      <c r="D62" s="2" t="s">
        <v>34</v>
      </c>
      <c r="E62">
        <v>2040</v>
      </c>
      <c r="F62">
        <f t="shared" si="4"/>
        <v>11.826752252381</v>
      </c>
      <c r="G62">
        <f t="shared" si="4"/>
        <v>7.77406084285715</v>
      </c>
      <c r="H62">
        <f t="shared" si="4"/>
        <v>16.1197316000001</v>
      </c>
      <c r="K62">
        <v>23.653504504762</v>
      </c>
      <c r="L62">
        <v>15.5481216857143</v>
      </c>
      <c r="M62">
        <v>32.2394632000001</v>
      </c>
    </row>
    <row r="63" spans="4:13">
      <c r="D63" s="2" t="s">
        <v>35</v>
      </c>
      <c r="E63">
        <v>2040</v>
      </c>
      <c r="F63">
        <f t="shared" si="4"/>
        <v>11.8508461285714</v>
      </c>
      <c r="G63">
        <f t="shared" si="4"/>
        <v>7.6989606714286</v>
      </c>
      <c r="H63">
        <f t="shared" si="4"/>
        <v>16.2550258142858</v>
      </c>
      <c r="K63">
        <v>23.7016922571429</v>
      </c>
      <c r="L63">
        <v>15.3979213428572</v>
      </c>
      <c r="M63">
        <v>32.5100516285715</v>
      </c>
    </row>
    <row r="64" spans="4:13">
      <c r="D64" s="2" t="s">
        <v>36</v>
      </c>
      <c r="E64">
        <v>2040</v>
      </c>
      <c r="F64">
        <f t="shared" si="4"/>
        <v>12.4843041666667</v>
      </c>
      <c r="G64">
        <f t="shared" si="4"/>
        <v>8.226667</v>
      </c>
      <c r="H64">
        <f t="shared" si="4"/>
        <v>16.9984255</v>
      </c>
      <c r="K64">
        <v>24.9686083333334</v>
      </c>
      <c r="L64">
        <v>16.453334</v>
      </c>
      <c r="M64">
        <v>33.9968510000001</v>
      </c>
    </row>
    <row r="65" spans="4:13">
      <c r="D65" s="2" t="s">
        <v>37</v>
      </c>
      <c r="E65">
        <v>2040</v>
      </c>
      <c r="F65">
        <f t="shared" si="4"/>
        <v>12.0449357380953</v>
      </c>
      <c r="G65">
        <f t="shared" si="4"/>
        <v>7.94534621428575</v>
      </c>
      <c r="H65">
        <f t="shared" si="4"/>
        <v>16.3891615714286</v>
      </c>
      <c r="K65">
        <v>24.0898714761906</v>
      </c>
      <c r="L65">
        <v>15.8906924285715</v>
      </c>
      <c r="M65">
        <v>32.7783231428572</v>
      </c>
    </row>
    <row r="66" spans="4:13">
      <c r="D66" s="2" t="s">
        <v>38</v>
      </c>
      <c r="E66">
        <v>2040</v>
      </c>
      <c r="F66">
        <f t="shared" si="4"/>
        <v>12.409440952381</v>
      </c>
      <c r="G66">
        <f t="shared" si="4"/>
        <v>8.31282794285715</v>
      </c>
      <c r="H66">
        <f t="shared" si="4"/>
        <v>16.7497549142857</v>
      </c>
      <c r="K66">
        <v>24.818881904762</v>
      </c>
      <c r="L66">
        <v>16.6256558857143</v>
      </c>
      <c r="M66">
        <v>33.4995098285715</v>
      </c>
    </row>
    <row r="74" spans="4:13">
      <c r="D74" t="s">
        <v>25</v>
      </c>
    </row>
    <row r="75" spans="4:13">
      <c r="D75" t="s">
        <v>27</v>
      </c>
      <c r="E75" t="s">
        <v>28</v>
      </c>
      <c r="F75" t="s">
        <v>29</v>
      </c>
      <c r="G75" t="s">
        <v>30</v>
      </c>
      <c r="H75" t="s">
        <v>31</v>
      </c>
    </row>
    <row r="76" spans="4:13">
      <c r="D76" s="2" t="s">
        <v>32</v>
      </c>
      <c r="E76">
        <v>2045</v>
      </c>
      <c r="F76">
        <f t="shared" ref="F76:H82" si="5">K76/2</f>
        <v>10.6932591588572</v>
      </c>
      <c r="G76">
        <f t="shared" si="5"/>
        <v>7.3813204251429</v>
      </c>
      <c r="H76">
        <f t="shared" si="5"/>
        <v>14.2107837942857</v>
      </c>
      <c r="K76">
        <v>21.3865183177144</v>
      </c>
      <c r="L76">
        <v>14.7626408502858</v>
      </c>
      <c r="M76">
        <v>28.4215675885715</v>
      </c>
    </row>
    <row r="77" spans="4:13">
      <c r="D77" s="2" t="s">
        <v>33</v>
      </c>
      <c r="E77">
        <v>2045</v>
      </c>
      <c r="F77">
        <f t="shared" si="5"/>
        <v>12.6920697600001</v>
      </c>
      <c r="G77">
        <f t="shared" si="5"/>
        <v>8.82320646857145</v>
      </c>
      <c r="H77">
        <f t="shared" si="5"/>
        <v>16.7966596800001</v>
      </c>
      <c r="K77">
        <v>25.3841395200001</v>
      </c>
      <c r="L77">
        <v>17.6464129371429</v>
      </c>
      <c r="M77">
        <v>33.5933193600001</v>
      </c>
    </row>
    <row r="78" spans="4:13">
      <c r="D78" s="2" t="s">
        <v>34</v>
      </c>
      <c r="E78">
        <v>2045</v>
      </c>
      <c r="F78">
        <f t="shared" si="5"/>
        <v>11.3536821622858</v>
      </c>
      <c r="G78">
        <f t="shared" si="5"/>
        <v>7.4630984091429</v>
      </c>
      <c r="H78">
        <f t="shared" si="5"/>
        <v>15.474942336</v>
      </c>
      <c r="K78">
        <v>22.7073643245715</v>
      </c>
      <c r="L78">
        <v>14.9261968182858</v>
      </c>
      <c r="M78">
        <v>30.9498846720001</v>
      </c>
    </row>
    <row r="79" spans="4:13">
      <c r="D79" s="2" t="s">
        <v>35</v>
      </c>
      <c r="E79">
        <v>2045</v>
      </c>
      <c r="F79">
        <f t="shared" si="5"/>
        <v>11.3768122834286</v>
      </c>
      <c r="G79">
        <f t="shared" si="5"/>
        <v>7.39100224457145</v>
      </c>
      <c r="H79">
        <f t="shared" si="5"/>
        <v>15.6048247817143</v>
      </c>
      <c r="K79">
        <v>22.7536245668572</v>
      </c>
      <c r="L79">
        <v>14.7820044891429</v>
      </c>
      <c r="M79">
        <v>31.2096495634286</v>
      </c>
    </row>
    <row r="80" spans="4:13">
      <c r="D80" s="2" t="s">
        <v>36</v>
      </c>
      <c r="E80">
        <v>2045</v>
      </c>
      <c r="F80">
        <f t="shared" si="5"/>
        <v>11.984932</v>
      </c>
      <c r="G80">
        <f t="shared" si="5"/>
        <v>7.89760032</v>
      </c>
      <c r="H80">
        <f t="shared" si="5"/>
        <v>16.31848848</v>
      </c>
      <c r="K80">
        <v>23.969864</v>
      </c>
      <c r="L80">
        <v>15.79520064</v>
      </c>
      <c r="M80">
        <v>32.6369769600001</v>
      </c>
    </row>
    <row r="81" spans="4:13">
      <c r="D81" s="2" t="s">
        <v>37</v>
      </c>
      <c r="E81">
        <v>2045</v>
      </c>
      <c r="F81">
        <f t="shared" si="5"/>
        <v>11.5631383085714</v>
      </c>
      <c r="G81">
        <f t="shared" si="5"/>
        <v>7.6275323657143</v>
      </c>
      <c r="H81">
        <f t="shared" si="5"/>
        <v>15.7335951085714</v>
      </c>
      <c r="K81">
        <v>23.1262766171429</v>
      </c>
      <c r="L81">
        <v>15.2550647314286</v>
      </c>
      <c r="M81">
        <v>31.4671902171429</v>
      </c>
    </row>
    <row r="82" spans="4:13">
      <c r="D82" s="2" t="s">
        <v>38</v>
      </c>
      <c r="E82">
        <v>2045</v>
      </c>
      <c r="F82">
        <f t="shared" si="5"/>
        <v>11.9130633142858</v>
      </c>
      <c r="G82">
        <f t="shared" si="5"/>
        <v>7.9803148251429</v>
      </c>
      <c r="H82">
        <f t="shared" si="5"/>
        <v>16.0797647177143</v>
      </c>
      <c r="K82">
        <v>23.8261266285715</v>
      </c>
      <c r="L82">
        <v>15.9606296502858</v>
      </c>
      <c r="M82">
        <v>32.1595294354286</v>
      </c>
    </row>
    <row r="87" spans="4:13">
      <c r="D87" t="s">
        <v>25</v>
      </c>
    </row>
    <row r="88" spans="4:13">
      <c r="D88" t="s">
        <v>27</v>
      </c>
      <c r="E88" t="s">
        <v>28</v>
      </c>
      <c r="F88" t="s">
        <v>29</v>
      </c>
      <c r="G88" t="s">
        <v>30</v>
      </c>
      <c r="H88" t="s">
        <v>31</v>
      </c>
    </row>
    <row r="89" spans="4:13">
      <c r="D89" s="2" t="s">
        <v>32</v>
      </c>
      <c r="E89">
        <v>2050</v>
      </c>
      <c r="F89">
        <f t="shared" ref="F89:H95" si="6">K89/2</f>
        <v>10.2655287925029</v>
      </c>
      <c r="G89">
        <f t="shared" si="6"/>
        <v>7.08606760813715</v>
      </c>
      <c r="H89">
        <f t="shared" si="6"/>
        <v>13.6423524425143</v>
      </c>
      <c r="K89">
        <v>20.5310575850058</v>
      </c>
      <c r="L89">
        <v>14.1721352162743</v>
      </c>
      <c r="M89">
        <v>27.2847048850286</v>
      </c>
    </row>
    <row r="90" spans="4:13">
      <c r="D90" s="2" t="s">
        <v>33</v>
      </c>
      <c r="E90">
        <v>2050</v>
      </c>
      <c r="F90">
        <f t="shared" si="6"/>
        <v>12.1843869696</v>
      </c>
      <c r="G90">
        <f t="shared" si="6"/>
        <v>8.4702782098286</v>
      </c>
      <c r="H90">
        <f t="shared" si="6"/>
        <v>16.1247932928</v>
      </c>
      <c r="K90">
        <v>24.3687739392001</v>
      </c>
      <c r="L90">
        <v>16.9405564196572</v>
      </c>
      <c r="M90">
        <v>32.2495865856001</v>
      </c>
    </row>
    <row r="91" spans="4:13">
      <c r="D91" s="2" t="s">
        <v>34</v>
      </c>
      <c r="E91">
        <v>2050</v>
      </c>
      <c r="F91">
        <f t="shared" si="6"/>
        <v>10.8995348757943</v>
      </c>
      <c r="G91">
        <f t="shared" si="6"/>
        <v>7.16457447277715</v>
      </c>
      <c r="H91">
        <f t="shared" si="6"/>
        <v>14.8559446425601</v>
      </c>
      <c r="K91">
        <v>21.7990697515886</v>
      </c>
      <c r="L91">
        <v>14.3291489455543</v>
      </c>
      <c r="M91">
        <v>29.7118892851201</v>
      </c>
    </row>
    <row r="92" spans="4:13">
      <c r="D92" s="2" t="s">
        <v>35</v>
      </c>
      <c r="E92">
        <v>2050</v>
      </c>
      <c r="F92">
        <f t="shared" si="6"/>
        <v>10.9217397920915</v>
      </c>
      <c r="G92">
        <f t="shared" si="6"/>
        <v>7.0953621547886</v>
      </c>
      <c r="H92">
        <f t="shared" si="6"/>
        <v>14.9806317904458</v>
      </c>
      <c r="K92">
        <v>21.8434795841829</v>
      </c>
      <c r="L92">
        <v>14.1907243095772</v>
      </c>
      <c r="M92">
        <v>29.9612635808915</v>
      </c>
    </row>
    <row r="93" spans="4:13">
      <c r="D93" s="2" t="s">
        <v>36</v>
      </c>
      <c r="E93">
        <v>2050</v>
      </c>
      <c r="F93">
        <f t="shared" si="6"/>
        <v>11.50553472</v>
      </c>
      <c r="G93">
        <f t="shared" si="6"/>
        <v>7.5816963072</v>
      </c>
      <c r="H93">
        <f t="shared" si="6"/>
        <v>15.6657489408001</v>
      </c>
      <c r="K93">
        <v>23.01106944</v>
      </c>
      <c r="L93">
        <v>15.1633926144</v>
      </c>
      <c r="M93">
        <v>31.3314978816001</v>
      </c>
    </row>
    <row r="94" spans="4:13">
      <c r="D94" s="2" t="s">
        <v>37</v>
      </c>
      <c r="E94">
        <v>2050</v>
      </c>
      <c r="F94">
        <f t="shared" si="6"/>
        <v>11.1006127762286</v>
      </c>
      <c r="G94">
        <f t="shared" si="6"/>
        <v>7.32243107108575</v>
      </c>
      <c r="H94">
        <f t="shared" si="6"/>
        <v>15.1042513042286</v>
      </c>
      <c r="K94">
        <v>22.2012255524572</v>
      </c>
      <c r="L94">
        <v>14.6448621421715</v>
      </c>
      <c r="M94">
        <v>30.2085026084572</v>
      </c>
    </row>
    <row r="95" spans="4:13">
      <c r="D95" s="2" t="s">
        <v>38</v>
      </c>
      <c r="E95">
        <v>2050</v>
      </c>
      <c r="F95">
        <f t="shared" si="6"/>
        <v>11.4365407817143</v>
      </c>
      <c r="G95">
        <f t="shared" si="6"/>
        <v>7.66110223213715</v>
      </c>
      <c r="H95">
        <f t="shared" si="6"/>
        <v>15.4365741290058</v>
      </c>
      <c r="K95">
        <v>22.8730815634286</v>
      </c>
      <c r="L95">
        <v>15.3222044642743</v>
      </c>
      <c r="M95">
        <v>30.8731482580115</v>
      </c>
    </row>
    <row r="104" spans="4:13">
      <c r="D104" t="s">
        <v>25</v>
      </c>
      <c r="K104" s="1" t="s">
        <v>26</v>
      </c>
      <c r="L104" s="1"/>
      <c r="M104" s="1"/>
    </row>
    <row r="105" spans="4:13">
      <c r="D105" t="s">
        <v>27</v>
      </c>
      <c r="E105" t="s">
        <v>28</v>
      </c>
      <c r="F105" t="s">
        <v>29</v>
      </c>
      <c r="G105" t="s">
        <v>30</v>
      </c>
      <c r="H105" t="s">
        <v>31</v>
      </c>
    </row>
    <row r="106" spans="4:13">
      <c r="D106" s="2" t="s">
        <v>32</v>
      </c>
      <c r="E106">
        <v>2100</v>
      </c>
      <c r="F106">
        <f>K106/2</f>
        <v>10.2655287925029</v>
      </c>
      <c r="G106">
        <f>L106/2</f>
        <v>7.08606760813715</v>
      </c>
      <c r="H106">
        <f>M106/2</f>
        <v>13.6423524425143</v>
      </c>
      <c r="K106">
        <v>20.5310575850058</v>
      </c>
      <c r="L106">
        <v>14.1721352162743</v>
      </c>
      <c r="M106">
        <v>27.2847048850286</v>
      </c>
    </row>
    <row r="107" spans="4:13">
      <c r="D107" s="2" t="s">
        <v>33</v>
      </c>
      <c r="E107">
        <v>2100</v>
      </c>
      <c r="F107">
        <f t="shared" ref="F107:H112" si="7">K107/2</f>
        <v>12.1843869696</v>
      </c>
      <c r="G107">
        <f t="shared" si="7"/>
        <v>8.4702782098286</v>
      </c>
      <c r="H107">
        <f t="shared" si="7"/>
        <v>16.1247932928</v>
      </c>
      <c r="K107">
        <v>24.3687739392001</v>
      </c>
      <c r="L107">
        <v>16.9405564196572</v>
      </c>
      <c r="M107">
        <v>32.2495865856001</v>
      </c>
    </row>
    <row r="108" spans="4:13">
      <c r="D108" s="2" t="s">
        <v>34</v>
      </c>
      <c r="E108">
        <v>2100</v>
      </c>
      <c r="F108">
        <f t="shared" si="7"/>
        <v>10.8995348757943</v>
      </c>
      <c r="G108">
        <f t="shared" si="7"/>
        <v>7.16457447277715</v>
      </c>
      <c r="H108">
        <f t="shared" si="7"/>
        <v>14.8559446425601</v>
      </c>
      <c r="K108">
        <v>21.7990697515886</v>
      </c>
      <c r="L108">
        <v>14.3291489455543</v>
      </c>
      <c r="M108">
        <v>29.7118892851201</v>
      </c>
    </row>
    <row r="109" spans="4:13">
      <c r="D109" s="2" t="s">
        <v>35</v>
      </c>
      <c r="E109">
        <v>2100</v>
      </c>
      <c r="F109">
        <f t="shared" si="7"/>
        <v>10.9217397920915</v>
      </c>
      <c r="G109">
        <f t="shared" si="7"/>
        <v>7.0953621547886</v>
      </c>
      <c r="H109">
        <f t="shared" si="7"/>
        <v>14.9806317904458</v>
      </c>
      <c r="K109">
        <v>21.8434795841829</v>
      </c>
      <c r="L109">
        <v>14.1907243095772</v>
      </c>
      <c r="M109">
        <v>29.9612635808915</v>
      </c>
    </row>
    <row r="110" spans="4:13">
      <c r="D110" s="2" t="s">
        <v>36</v>
      </c>
      <c r="E110">
        <v>2100</v>
      </c>
      <c r="F110">
        <f t="shared" si="7"/>
        <v>11.50553472</v>
      </c>
      <c r="G110">
        <f t="shared" si="7"/>
        <v>7.5816963072</v>
      </c>
      <c r="H110">
        <f t="shared" si="7"/>
        <v>15.6657489408001</v>
      </c>
      <c r="K110">
        <v>23.01106944</v>
      </c>
      <c r="L110">
        <v>15.1633926144</v>
      </c>
      <c r="M110">
        <v>31.3314978816001</v>
      </c>
    </row>
    <row r="111" spans="4:13">
      <c r="D111" s="2" t="s">
        <v>37</v>
      </c>
      <c r="E111">
        <v>2100</v>
      </c>
      <c r="F111">
        <f t="shared" si="7"/>
        <v>11.1006127762286</v>
      </c>
      <c r="G111">
        <f t="shared" si="7"/>
        <v>7.32243107108575</v>
      </c>
      <c r="H111">
        <f t="shared" si="7"/>
        <v>15.1042513042286</v>
      </c>
      <c r="K111">
        <v>22.2012255524572</v>
      </c>
      <c r="L111">
        <v>14.6448621421715</v>
      </c>
      <c r="M111">
        <v>30.2085026084572</v>
      </c>
    </row>
    <row r="112" spans="4:13">
      <c r="D112" s="2" t="s">
        <v>38</v>
      </c>
      <c r="E112">
        <v>2100</v>
      </c>
      <c r="F112">
        <f t="shared" si="7"/>
        <v>11.4365407817143</v>
      </c>
      <c r="G112">
        <f t="shared" si="7"/>
        <v>7.66110223213715</v>
      </c>
      <c r="H112">
        <f t="shared" si="7"/>
        <v>15.4365741290058</v>
      </c>
      <c r="K112">
        <v>22.8730815634286</v>
      </c>
      <c r="L112">
        <v>15.3222044642743</v>
      </c>
      <c r="M112">
        <v>30.8731482580115</v>
      </c>
    </row>
    <row r="118" spans="4:8">
      <c r="D118" t="s">
        <v>25</v>
      </c>
    </row>
    <row r="119" spans="4:8">
      <c r="D119" t="s">
        <v>27</v>
      </c>
      <c r="E119" t="s">
        <v>28</v>
      </c>
      <c r="F119" t="s">
        <v>29</v>
      </c>
      <c r="G119" t="s">
        <v>30</v>
      </c>
      <c r="H119" t="s">
        <v>31</v>
      </c>
    </row>
    <row r="120" spans="4:8">
      <c r="D120" s="2" t="s">
        <v>32</v>
      </c>
      <c r="E120">
        <v>0</v>
      </c>
      <c r="F120">
        <v>3</v>
      </c>
      <c r="G120">
        <v>3</v>
      </c>
      <c r="H120">
        <v>3</v>
      </c>
    </row>
    <row r="121" spans="4:8">
      <c r="D121" s="2" t="s">
        <v>33</v>
      </c>
      <c r="E121">
        <v>0</v>
      </c>
      <c r="F121">
        <v>3</v>
      </c>
      <c r="G121">
        <v>3</v>
      </c>
      <c r="H121">
        <v>3</v>
      </c>
    </row>
    <row r="122" spans="4:8">
      <c r="D122" s="2" t="s">
        <v>34</v>
      </c>
      <c r="E122">
        <v>0</v>
      </c>
      <c r="F122">
        <v>3</v>
      </c>
      <c r="G122">
        <v>3</v>
      </c>
      <c r="H122">
        <v>3</v>
      </c>
    </row>
    <row r="123" spans="4:8">
      <c r="D123" s="2" t="s">
        <v>35</v>
      </c>
      <c r="E123">
        <v>0</v>
      </c>
      <c r="F123">
        <v>3</v>
      </c>
      <c r="G123">
        <v>3</v>
      </c>
      <c r="H123">
        <v>3</v>
      </c>
    </row>
    <row r="124" spans="4:8">
      <c r="D124" s="2" t="s">
        <v>36</v>
      </c>
      <c r="E124">
        <v>0</v>
      </c>
      <c r="F124">
        <v>3</v>
      </c>
      <c r="G124">
        <v>3</v>
      </c>
      <c r="H124">
        <v>3</v>
      </c>
    </row>
    <row r="125" spans="4:8">
      <c r="D125" s="2" t="s">
        <v>37</v>
      </c>
      <c r="E125">
        <v>0</v>
      </c>
      <c r="F125">
        <v>3</v>
      </c>
      <c r="G125">
        <v>3</v>
      </c>
      <c r="H125">
        <v>3</v>
      </c>
    </row>
    <row r="126" spans="4:8">
      <c r="D126" s="2" t="s">
        <v>38</v>
      </c>
      <c r="E126">
        <v>0</v>
      </c>
      <c r="F126">
        <v>3</v>
      </c>
      <c r="G126">
        <v>3</v>
      </c>
      <c r="H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misc.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李潇</cp:lastModifiedBy>
  <dcterms:created xsi:type="dcterms:W3CDTF">2016-10-13T06:09:00Z</dcterms:created>
  <dcterms:modified xsi:type="dcterms:W3CDTF">2026-07-19T19:47:06Z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1033-12.1.0.26880</vt:lpwstr>
  </property>
  <property fmtid="{D5CDD505-2E9C-101B-9397-08002B2CF9AE}" pid="15" name="CalculationRule">
    <vt:i4>0</vt:i4>
  </property>
</Properties>
</file>