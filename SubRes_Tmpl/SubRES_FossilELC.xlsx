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260"/>
  </bookViews>
  <sheets>
    <sheet name="ELC_Gen-tjh" sheetId="26" r:id="rId1"/>
    <sheet name="ELC_Storage_for_NoCir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G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H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</t>
        </r>
      </text>
    </comment>
    <comment ref="I1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from WEO2025, China’s VAROM in 2024: 55USD/MWh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P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P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<sst xmlns="http://schemas.openxmlformats.org/spreadsheetml/2006/main" count="654" uniqueCount="214">
  <si>
    <t>~FI_T: EFF~USD11~2010</t>
  </si>
  <si>
    <t>~FI_Process</t>
  </si>
  <si>
    <t>tm_expf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</si>
  <si>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</si>
  <si>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</si>
  <si>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</si>
  <si>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</si>
  <si>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</si>
  <si>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</si>
  <si>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</si>
  <si>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</si>
  <si>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</si>
  <si>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</si>
  <si>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</si>
  <si>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</si>
  <si>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</si>
  <si>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</si>
  <si>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</si>
  <si>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</si>
  <si>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</si>
  <si>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</si>
  <si>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</si>
  <si>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</si>
  <si>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</si>
  <si>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</si>
  <si>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</si>
  <si>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</si>
  <si>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</si>
  <si>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</si>
  <si>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</si>
  <si>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</si>
  <si>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</si>
  <si>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</si>
  <si>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</si>
  <si>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</si>
  <si>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</si>
  <si>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</si>
  <si>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</si>
  <si>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</si>
  <si>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</si>
  <si>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</si>
  <si>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</si>
  <si>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</si>
  <si>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</si>
  <si>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</si>
  <si>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</si>
  <si>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</si>
  <si>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</si>
  <si>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</si>
  <si>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</si>
  <si>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</si>
  <si>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</si>
  <si>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</si>
  <si>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</si>
  <si>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</si>
  <si>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</si>
  <si>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</si>
  <si>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</si>
  <si>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</si>
  <si>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</si>
  <si>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</si>
  <si>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</si>
  <si>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</si>
  <si>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</si>
  <si>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</si>
  <si>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</si>
  <si>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</si>
  <si>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</si>
  <si>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</si>
  <si>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</si>
  <si>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</si>
  <si>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</si>
  <si>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</si>
  <si>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</si>
  <si>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</si>
  <si>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</si>
  <si>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</si>
  <si>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</si>
  <si>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</si>
  <si>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INPUT</t>
  </si>
  <si>
    <t>limtype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</si>
  <si>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</si>
  <si>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</si>
  <si>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</si>
  <si>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</si>
  <si>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</si>
  <si>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</si>
  <si>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</si>
  <si>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</si>
  <si>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</si>
  <si>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</si>
  <si>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</si>
  <si>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</si>
  <si>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</si>
  <si>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FX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</si>
  <si>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</si>
  <si>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</si>
  <si>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</si>
  <si>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</si>
  <si>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</si>
  <si>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</si>
  <si>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</si>
  <si>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</si>
  <si>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</si>
  <si>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</si>
  <si>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Comm-IN-A</t>
  </si>
  <si>
    <t>Comm-OUT-A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</si>
  <si>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</si>
  <si>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</si>
  <si>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</si>
  <si>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</si>
  <si>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</si>
  <si>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</si>
  <si>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</si>
  <si>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</si>
  <si>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START</t>
  </si>
  <si>
    <t>STG_MAXCYC</t>
  </si>
  <si>
    <t>PKNO</t>
  </si>
  <si>
    <t>NRG</t>
  </si>
  <si>
    <t>AuxStoOUT</t>
  </si>
  <si>
    <t>MultiR-LFP</t>
  </si>
  <si>
    <t>AuxStoIN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</si>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</sst>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50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9"/>
      <name val="Times New Roman"/>
      <charset val="134"/>
    </font>
    <font>
      <sz val="9"/>
      <name val="Tahoma"/>
      <charset val="1"/>
    </font>
    <font>
      <sz val="9"/>
      <name val="Times New Roman"/>
      <charset val="134"/>
    </font>
    <font>
      <b/>
      <sz val="9"/>
      <name val="Tahoma"/>
      <charset val="1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7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6" fillId="3" borderId="1" applyNumberFormat="0" applyAlignment="0" applyProtection="0"/>
    <xf numFmtId="0" fontId="27" fillId="9" borderId="7" applyNumberFormat="0" applyAlignment="0" applyProtection="0">
      <alignment vertical="center"/>
    </xf>
    <xf numFmtId="0" fontId="28" fillId="9" borderId="1" applyNumberFormat="0" applyAlignment="0" applyProtection="0">
      <alignment vertical="center"/>
    </xf>
    <xf numFmtId="0" fontId="29" fillId="10" borderId="8" applyNumberFormat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4" fillId="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6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7" fillId="0" borderId="0">
      <protection locked="0"/>
    </xf>
    <xf numFmtId="181" fontId="37" fillId="0" borderId="0">
      <protection locked="0"/>
    </xf>
    <xf numFmtId="0" fontId="36" fillId="0" borderId="0" applyNumberFormat="0" applyFill="0" applyBorder="0" applyAlignment="0" applyProtection="0"/>
    <xf numFmtId="0" fontId="36" fillId="0" borderId="0" applyNumberFormat="0" applyProtection="0">
      <alignment vertical="top" wrapText="1"/>
    </xf>
    <xf numFmtId="0" fontId="36" fillId="0" borderId="12" applyNumberFormat="0" applyProtection="0">
      <alignment vertical="top" wrapText="1"/>
    </xf>
    <xf numFmtId="0" fontId="38" fillId="0" borderId="13" applyNumberFormat="0" applyProtection="0">
      <alignment wrapText="1"/>
    </xf>
    <xf numFmtId="0" fontId="38" fillId="0" borderId="14" applyNumberFormat="0" applyProtection="0">
      <alignment horizontal="left" wrapText="1"/>
    </xf>
    <xf numFmtId="182" fontId="39" fillId="0" borderId="0">
      <protection locked="0"/>
    </xf>
    <xf numFmtId="182" fontId="39" fillId="0" borderId="0">
      <protection locked="0"/>
    </xf>
    <xf numFmtId="0" fontId="8" fillId="0" borderId="0"/>
    <xf numFmtId="0" fontId="11" fillId="0" borderId="0"/>
    <xf numFmtId="0" fontId="11" fillId="0" borderId="0"/>
    <xf numFmtId="0" fontId="40" fillId="0" borderId="0"/>
    <xf numFmtId="0" fontId="41" fillId="0" borderId="0"/>
    <xf numFmtId="0" fontId="42" fillId="0" borderId="0"/>
    <xf numFmtId="0" fontId="42" fillId="0" borderId="0"/>
    <xf numFmtId="0" fontId="42" fillId="0" borderId="0"/>
    <xf numFmtId="0" fontId="38" fillId="0" borderId="15" applyNumberFormat="0" applyProtection="0">
      <alignment wrapText="1"/>
    </xf>
    <xf numFmtId="9" fontId="8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6" fillId="0" borderId="16" applyNumberFormat="0" applyFont="0" applyFill="0" applyProtection="0">
      <alignment wrapText="1"/>
    </xf>
    <xf numFmtId="0" fontId="38" fillId="0" borderId="17" applyNumberFormat="0" applyFill="0" applyProtection="0">
      <alignment wrapText="1"/>
    </xf>
    <xf numFmtId="0" fontId="11" fillId="0" borderId="0"/>
    <xf numFmtId="0" fontId="43" fillId="0" borderId="0" applyNumberFormat="0" applyProtection="0">
      <alignment horizontal="left"/>
    </xf>
    <xf numFmtId="0" fontId="11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183" fontId="0" fillId="0" borderId="0" xfId="0" applyNumberFormat="1"/>
    <xf numFmtId="0" fontId="3" fillId="0" borderId="0" xfId="0" applyFon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6" fillId="3" borderId="1" xfId="16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7" fillId="0" borderId="0" xfId="0" applyFont="1"/>
    <xf numFmtId="0" fontId="8" fillId="0" borderId="2" xfId="67" applyFont="1" applyBorder="1" applyAlignment="1">
      <alignment horizontal="right" wrapText="1"/>
    </xf>
    <xf numFmtId="1" fontId="8" fillId="0" borderId="2" xfId="68" applyNumberFormat="1" applyFont="1" applyBorder="1" applyAlignment="1">
      <alignment horizontal="right" wrapText="1"/>
    </xf>
    <xf numFmtId="0" fontId="9" fillId="4" borderId="0" xfId="23" applyFont="1"/>
    <xf numFmtId="2" fontId="10" fillId="4" borderId="0" xfId="23" applyNumberFormat="1"/>
    <xf numFmtId="1" fontId="8" fillId="0" borderId="2" xfId="66" applyNumberFormat="1" applyFont="1" applyBorder="1" applyAlignment="1">
      <alignment horizontal="right" wrapText="1"/>
    </xf>
    <xf numFmtId="2" fontId="0" fillId="0" borderId="0" xfId="0" applyNumberFormat="1"/>
    <xf numFmtId="1" fontId="0" fillId="0" borderId="0" xfId="0" applyNumberFormat="1"/>
    <xf numFmtId="0" fontId="11" fillId="0" borderId="0" xfId="63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0" xfId="0" applyFill="1"/>
    <xf numFmtId="0" fontId="0" fillId="2" borderId="0" xfId="0" applyFill="1"/>
    <xf numFmtId="0" fontId="11" fillId="2" borderId="0" xfId="0" applyFont="1" applyFill="1"/>
    <xf numFmtId="0" fontId="11" fillId="0" borderId="0" xfId="0" applyFont="1" applyFill="1"/>
    <xf numFmtId="0" fontId="0" fillId="0" borderId="0" xfId="0" applyFill="1"/>
    <xf numFmtId="0" fontId="11" fillId="2" borderId="0" xfId="0" applyFont="1" applyFill="1" applyAlignment="1"/>
    <xf numFmtId="0" fontId="13" fillId="2" borderId="3" xfId="0" applyNumberFormat="1" applyFont="1" applyFill="1" applyBorder="1" applyAlignment="1" applyProtection="1"/>
    <xf numFmtId="0" fontId="14" fillId="0" borderId="0" xfId="0" applyFont="1" applyFill="1" applyAlignment="1">
      <alignment vertical="center"/>
    </xf>
    <xf numFmtId="0" fontId="11" fillId="0" borderId="0" xfId="0" applyFont="1" applyFill="1" applyBorder="1"/>
    <xf numFmtId="0" fontId="14" fillId="0" borderId="0" xfId="0" applyFont="1" applyFill="1" applyBorder="1" applyAlignment="1">
      <alignment vertical="center"/>
    </xf>
    <xf numFmtId="0" fontId="11" fillId="0" borderId="0" xfId="76" applyAlignment="1">
      <alignment horizontal="center"/>
    </xf>
    <xf numFmtId="183" fontId="0" fillId="6" borderId="0" xfId="0" applyNumberFormat="1" applyFill="1"/>
    <xf numFmtId="2" fontId="0" fillId="6" borderId="0" xfId="0" applyNumberFormat="1" applyFill="1"/>
    <xf numFmtId="0" fontId="0" fillId="0" borderId="0" xfId="0" applyFill="1" applyBorder="1"/>
    <xf numFmtId="0" fontId="15" fillId="0" borderId="0" xfId="0" applyFont="1"/>
    <xf numFmtId="0" fontId="14" fillId="0" borderId="0" xfId="0" applyFont="1" applyFill="1" applyBorder="1"/>
    <xf numFmtId="183" fontId="0" fillId="0" borderId="0" xfId="0" applyNumberFormat="1" applyFill="1"/>
    <xf numFmtId="2" fontId="0" fillId="0" borderId="0" xfId="0" applyNumberFormat="1" applyFill="1"/>
    <xf numFmtId="0" fontId="0" fillId="0" borderId="0" xfId="0" applyBorder="1"/>
    <xf numFmtId="0" fontId="11" fillId="0" borderId="0" xfId="76"/>
    <xf numFmtId="0" fontId="16" fillId="0" borderId="3" xfId="76" applyFont="1" applyFill="1" applyBorder="1"/>
    <xf numFmtId="0" fontId="0" fillId="2" borderId="3" xfId="0" applyFill="1" applyBorder="1"/>
    <xf numFmtId="183" fontId="0" fillId="2" borderId="0" xfId="0" applyNumberFormat="1" applyFill="1"/>
    <xf numFmtId="2" fontId="13" fillId="2" borderId="3" xfId="0" applyNumberFormat="1" applyFont="1" applyFill="1" applyBorder="1" applyAlignment="1" applyProtection="1"/>
    <xf numFmtId="185" fontId="0" fillId="2" borderId="3" xfId="0" applyNumberFormat="1" applyFill="1" applyBorder="1"/>
    <xf numFmtId="0" fontId="15" fillId="2" borderId="0" xfId="0" applyFont="1" applyFill="1"/>
    <xf numFmtId="0" fontId="11" fillId="0" borderId="3" xfId="76" applyFill="1" applyBorder="1" applyAlignment="1">
      <alignment horizontal="center" vertical="center"/>
    </xf>
    <xf numFmtId="0" fontId="11" fillId="0" borderId="3" xfId="76" applyFill="1" applyBorder="1" applyAlignment="1">
      <alignment horizontal="center"/>
    </xf>
    <xf numFmtId="0" fontId="11" fillId="0" borderId="0" xfId="76" applyFill="1" applyAlignment="1">
      <alignment horizontal="center"/>
    </xf>
    <xf numFmtId="0" fontId="11" fillId="0" borderId="0" xfId="76" applyFill="1"/>
    <xf numFmtId="0" fontId="0" fillId="0" borderId="3" xfId="76" applyFont="1" applyFill="1" applyBorder="1" applyAlignment="1">
      <alignment horizontal="center" vertical="center"/>
    </xf>
    <xf numFmtId="0" fontId="15" fillId="0" borderId="3" xfId="0" applyFont="1" applyBorder="1"/>
    <xf numFmtId="0" fontId="0" fillId="0" borderId="0" xfId="76" applyFont="1" applyFill="1" applyAlignment="1">
      <alignment horizontal="center"/>
    </xf>
    <xf numFmtId="0" fontId="15" fillId="0" borderId="3" xfId="0" applyFont="1" applyFill="1" applyBorder="1" applyAlignment="1">
      <alignment horizontal="center" vertical="center"/>
    </xf>
    <xf numFmtId="0" fontId="11" fillId="0" borderId="3" xfId="76" applyBorder="1" applyAlignment="1">
      <alignment horizontal="center"/>
    </xf>
    <xf numFmtId="0" fontId="11" fillId="0" borderId="0" xfId="76" applyFill="1" applyAlignment="1">
      <alignment horizontal="right"/>
    </xf>
    <xf numFmtId="0" fontId="0" fillId="7" borderId="0" xfId="0" applyFill="1"/>
    <xf numFmtId="0" fontId="11" fillId="7" borderId="0" xfId="76" applyFill="1"/>
    <xf numFmtId="0" fontId="17" fillId="5" borderId="0" xfId="0" applyFont="1" applyFill="1"/>
    <xf numFmtId="0" fontId="17" fillId="0" borderId="0" xfId="0" applyFont="1"/>
    <xf numFmtId="1" fontId="18" fillId="5" borderId="0" xfId="0" applyNumberFormat="1" applyFont="1" applyFill="1"/>
  </cellXfs>
  <cellStyles count="77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  <cellStyle name="Normal 10" xfId="76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2:AH44"/>
  <sheetViews>
    <sheetView tabSelected="1" zoomScale="59" zoomScaleNormal="59" workbookViewId="0">
      <selection activeCell="G18" sqref="G18"/>
    </sheetView>
  </sheetViews>
  <sheetFormatPr defaultColWidth="9.09090909090909" defaultRowHeight="14.5"/>
  <cols>
    <col min="1" max="1" width="8.45454545454546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1:30">
      <c r="D2" s="2" t="s">
        <v>0</v>
      </c>
      <c r="E2" s="2"/>
      <c r="F2" s="2"/>
      <c r="G2" s="2"/>
      <c r="P2" s="3" t="s">
        <v>1</v>
      </c>
      <c r="Q2" s="3"/>
      <c r="R2" s="3"/>
      <c r="S2" s="3"/>
      <c r="T2" s="3"/>
      <c r="U2" s="3"/>
      <c r="V2" s="3"/>
    </row>
    <row r="3" spans="1:30">
      <c r="A3" t="s">
        <v>2</v>
      </c>
      <c r="B3" t="s">
        <v>3</v>
      </c>
      <c r="C3" s="2" t="s">
        <v>4</v>
      </c>
      <c r="D3" s="2" t="s">
        <v>5</v>
      </c>
      <c r="E3">
        <v>2010</v>
      </c>
      <c r="F3">
        <v>2050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P3" s="3" t="s">
        <v>12</v>
      </c>
      <c r="Q3" s="3" t="s">
        <v>3</v>
      </c>
      <c r="R3" s="3" t="s">
        <v>13</v>
      </c>
      <c r="S3" s="3" t="s">
        <v>14</v>
      </c>
      <c r="T3" s="3" t="s">
        <v>15</v>
      </c>
      <c r="U3" s="3" t="s">
        <v>16</v>
      </c>
      <c r="V3" s="3" t="s">
        <v>17</v>
      </c>
      <c r="W3" s="3" t="s">
        <v>18</v>
      </c>
      <c r="AC3" t="s">
        <v>19</v>
      </c>
      <c r="AD3" t="s">
        <v>20</v>
      </c>
    </row>
    <row r="4" spans="1:30">
      <c r="B4" t="s">
        <v>21</v>
      </c>
      <c r="C4" t="s">
        <v>22</v>
      </c>
      <c r="D4" t="s">
        <v>23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24</v>
      </c>
      <c r="Q4" s="3" t="str">
        <f>B4</f>
        <v>EN_COAPUL</v>
      </c>
      <c r="R4" s="3" t="s">
        <v>25</v>
      </c>
      <c r="S4" s="3" t="s">
        <v>26</v>
      </c>
      <c r="T4" s="3" t="s">
        <v>27</v>
      </c>
      <c r="U4" s="3" t="s">
        <v>28</v>
      </c>
      <c r="V4" s="3"/>
      <c r="W4" s="3" t="s">
        <v>29</v>
      </c>
      <c r="Z4">
        <v>1</v>
      </c>
      <c r="AA4" t="s">
        <v>30</v>
      </c>
      <c r="AB4" t="s">
        <v>31</v>
      </c>
      <c r="AC4">
        <f>MATCH(AB4,ovrcst!$A$4:$W$4,0)</f>
        <v>21</v>
      </c>
      <c r="AD4">
        <f>IFERROR(MATCH(AB4,heatrate!$K$4:$T$4,0),1)</f>
        <v>1</v>
      </c>
    </row>
    <row r="5" spans="1:30">
      <c r="B5" t="s">
        <v>32</v>
      </c>
      <c r="C5" t="s">
        <v>22</v>
      </c>
      <c r="D5" t="s">
        <v>23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33</v>
      </c>
      <c r="S5" s="3" t="s">
        <v>26</v>
      </c>
      <c r="T5" s="3" t="s">
        <v>27</v>
      </c>
      <c r="U5" s="3" t="s">
        <v>28</v>
      </c>
      <c r="V5" s="3"/>
      <c r="W5" s="3" t="s">
        <v>29</v>
      </c>
      <c r="Z5">
        <v>2</v>
      </c>
      <c r="AA5" t="s">
        <v>34</v>
      </c>
      <c r="AB5" t="s">
        <v>35</v>
      </c>
      <c r="AC5">
        <f>MATCH(AB5,ovrcst!$A$4:$W$4,0)</f>
        <v>17</v>
      </c>
      <c r="AD5">
        <f>IFERROR(MATCH(AB5,heatrate!$K$4:$T$4,0),1)</f>
        <v>1</v>
      </c>
    </row>
    <row r="6" spans="1:30">
      <c r="B6" t="s">
        <v>36</v>
      </c>
      <c r="C6" t="s">
        <v>22</v>
      </c>
      <c r="D6" t="s">
        <v>23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37</v>
      </c>
      <c r="S6" s="3" t="s">
        <v>26</v>
      </c>
      <c r="T6" s="3" t="s">
        <v>27</v>
      </c>
      <c r="U6" s="3" t="s">
        <v>28</v>
      </c>
      <c r="V6" s="3"/>
      <c r="W6" s="3" t="s">
        <v>29</v>
      </c>
      <c r="Z6">
        <v>3</v>
      </c>
      <c r="AA6" t="s">
        <v>38</v>
      </c>
      <c r="AB6" t="s">
        <v>39</v>
      </c>
      <c r="AC6">
        <f>MATCH(AB6,ovrcst!$A$4:$W$4,0)</f>
        <v>18</v>
      </c>
      <c r="AD6">
        <f>IFERROR(MATCH(AB6,heatrate!$K$4:$T$4,0),1)</f>
        <v>1</v>
      </c>
    </row>
    <row r="7" spans="1:30">
      <c r="B7" t="s">
        <v>40</v>
      </c>
      <c r="C7" t="s">
        <v>41</v>
      </c>
      <c r="D7" t="s">
        <v>23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42</v>
      </c>
      <c r="S7" s="3" t="s">
        <v>43</v>
      </c>
      <c r="T7" s="3" t="s">
        <v>27</v>
      </c>
      <c r="U7" s="3" t="s">
        <v>28</v>
      </c>
      <c r="V7" s="3"/>
      <c r="W7" s="3" t="s">
        <v>29</v>
      </c>
      <c r="Z7">
        <v>4</v>
      </c>
      <c r="AA7" t="s">
        <v>21</v>
      </c>
      <c r="AB7" t="s">
        <v>44</v>
      </c>
      <c r="AC7">
        <f>MATCH(AB7,ovrcst!$A$4:$W$4,0)</f>
        <v>2</v>
      </c>
      <c r="AD7">
        <f>IFERROR(MATCH(AB7,heatrate!$K$4:$T$4,0),1)</f>
        <v>2</v>
      </c>
    </row>
    <row r="8" spans="1:30">
      <c r="B8" t="s">
        <v>45</v>
      </c>
      <c r="C8" t="s">
        <v>41</v>
      </c>
      <c r="D8" t="s">
        <v>23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46</v>
      </c>
      <c r="S8" s="3" t="s">
        <v>43</v>
      </c>
      <c r="T8" s="3" t="s">
        <v>27</v>
      </c>
      <c r="U8" s="3" t="s">
        <v>28</v>
      </c>
      <c r="V8" s="3"/>
      <c r="W8" s="3" t="s">
        <v>29</v>
      </c>
      <c r="Z8">
        <v>5</v>
      </c>
      <c r="AA8" t="s">
        <v>32</v>
      </c>
      <c r="AB8" t="s">
        <v>44</v>
      </c>
      <c r="AC8">
        <f>MATCH(AB8,ovrcst!$A$4:$W$4,0)</f>
        <v>2</v>
      </c>
      <c r="AD8">
        <f>IFERROR(MATCH(AB8,heatrate!$K$4:$T$4,0),1)</f>
        <v>2</v>
      </c>
    </row>
    <row r="9" spans="1:30">
      <c r="B9" t="s">
        <v>47</v>
      </c>
      <c r="C9" t="s">
        <v>41</v>
      </c>
      <c r="D9" t="s">
        <v>23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48</v>
      </c>
      <c r="S9" s="3" t="s">
        <v>43</v>
      </c>
      <c r="T9" s="3" t="s">
        <v>27</v>
      </c>
      <c r="U9" s="3" t="s">
        <v>28</v>
      </c>
      <c r="V9" s="3"/>
      <c r="W9" s="3" t="s">
        <v>29</v>
      </c>
      <c r="Z9">
        <v>6</v>
      </c>
      <c r="AA9" t="s">
        <v>36</v>
      </c>
      <c r="AB9" t="s">
        <v>49</v>
      </c>
      <c r="AC9">
        <f>MATCH(AB9,ovrcst!$A$4:$W$4,0)</f>
        <v>3</v>
      </c>
      <c r="AD9">
        <f>IFERROR(MATCH(AB9,heatrate!$K$4:$T$4,0),1)</f>
        <v>3</v>
      </c>
    </row>
    <row r="10" spans="1:30">
      <c r="B10" t="s">
        <v>50</v>
      </c>
      <c r="C10" t="s">
        <v>41</v>
      </c>
      <c r="D10" t="s">
        <v>23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51</v>
      </c>
      <c r="S10" s="3" t="s">
        <v>43</v>
      </c>
      <c r="T10" s="3" t="s">
        <v>27</v>
      </c>
      <c r="U10" s="3" t="s">
        <v>28</v>
      </c>
      <c r="V10" s="3"/>
      <c r="W10" s="3" t="s">
        <v>29</v>
      </c>
      <c r="Z10">
        <v>7</v>
      </c>
      <c r="AA10" t="s">
        <v>40</v>
      </c>
      <c r="AB10" t="s">
        <v>52</v>
      </c>
      <c r="AC10">
        <f>MATCH(AB10,ovrcst!$A$4:$W$4,0)</f>
        <v>9</v>
      </c>
      <c r="AD10">
        <f>IFERROR(MATCH(AB10,heatrate!$K$4:$T$4,0),1)</f>
        <v>9</v>
      </c>
    </row>
    <row r="11" spans="1:30">
      <c r="B11" t="s">
        <v>53</v>
      </c>
      <c r="C11" t="s">
        <v>41</v>
      </c>
      <c r="D11" t="s">
        <v>23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54</v>
      </c>
      <c r="S11" s="3" t="s">
        <v>43</v>
      </c>
      <c r="T11" s="3" t="s">
        <v>27</v>
      </c>
      <c r="U11" s="3" t="s">
        <v>28</v>
      </c>
      <c r="V11" s="3"/>
      <c r="W11" s="3" t="s">
        <v>29</v>
      </c>
      <c r="Z11">
        <v>8</v>
      </c>
      <c r="AA11" t="s">
        <v>45</v>
      </c>
      <c r="AB11" t="s">
        <v>55</v>
      </c>
      <c r="AC11">
        <f>MATCH(AB11,ovrcst!$A$4:$W$4,0)</f>
        <v>8</v>
      </c>
      <c r="AD11">
        <f>IFERROR(MATCH(AB11,heatrate!$K$4:$T$4,0),1)</f>
        <v>8</v>
      </c>
    </row>
    <row r="12" spans="1:30">
      <c r="B12" t="s">
        <v>56</v>
      </c>
      <c r="C12" t="s">
        <v>57</v>
      </c>
      <c r="D12" t="s">
        <v>23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58</v>
      </c>
      <c r="S12" s="3" t="s">
        <v>26</v>
      </c>
      <c r="T12" s="3" t="s">
        <v>27</v>
      </c>
      <c r="U12" s="3" t="s">
        <v>28</v>
      </c>
      <c r="V12" s="3"/>
      <c r="W12" s="3" t="s">
        <v>29</v>
      </c>
      <c r="Z12">
        <v>9</v>
      </c>
      <c r="AA12" t="s">
        <v>47</v>
      </c>
      <c r="AB12" t="s">
        <v>59</v>
      </c>
      <c r="AC12">
        <f>MATCH(AB12,ovrcst!$A$4:$W$4,0)</f>
        <v>7</v>
      </c>
      <c r="AD12">
        <f>IFERROR(MATCH(AB12,heatrate!$K$4:$T$4,0),1)</f>
        <v>7</v>
      </c>
    </row>
    <row r="13" spans="1:30">
      <c r="B13" t="s">
        <v>60</v>
      </c>
      <c r="C13" t="s">
        <v>57</v>
      </c>
      <c r="D13" t="s">
        <v>23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61</v>
      </c>
      <c r="S13" s="3" t="s">
        <v>26</v>
      </c>
      <c r="T13" s="3" t="s">
        <v>27</v>
      </c>
      <c r="U13" s="3" t="s">
        <v>28</v>
      </c>
      <c r="V13" s="3"/>
      <c r="W13" s="3" t="s">
        <v>29</v>
      </c>
      <c r="Z13">
        <v>10</v>
      </c>
      <c r="AA13" t="s">
        <v>50</v>
      </c>
      <c r="AB13" t="s">
        <v>62</v>
      </c>
      <c r="AC13">
        <f>MATCH(AB13,ovrcst!$A$4:$W$4,0)</f>
        <v>6</v>
      </c>
      <c r="AD13">
        <f>IFERROR(MATCH(AB13,heatrate!$K$4:$T$4,0),1)</f>
        <v>6</v>
      </c>
    </row>
    <row r="14" spans="1:30">
      <c r="B14" t="s">
        <v>63</v>
      </c>
      <c r="C14" t="s">
        <v>64</v>
      </c>
      <c r="D14" t="s">
        <v>23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65</v>
      </c>
      <c r="S14" s="3" t="s">
        <v>43</v>
      </c>
      <c r="T14" s="3" t="s">
        <v>27</v>
      </c>
      <c r="U14" s="3" t="s">
        <v>28</v>
      </c>
      <c r="V14" s="3"/>
      <c r="W14" s="3" t="s">
        <v>29</v>
      </c>
      <c r="Z14">
        <v>11</v>
      </c>
      <c r="AA14" t="s">
        <v>53</v>
      </c>
      <c r="AB14" t="s">
        <v>66</v>
      </c>
      <c r="AC14">
        <f>MATCH(AB14,ovrcst!$A$4:$W$4,0)</f>
        <v>5</v>
      </c>
      <c r="AD14">
        <f>IFERROR(MATCH(AB14,heatrate!$K$4:$T$4,0),1)</f>
        <v>5</v>
      </c>
    </row>
    <row r="15" spans="1:30">
      <c r="A15">
        <v>1.05</v>
      </c>
      <c r="B15" s="21" t="s">
        <v>67</v>
      </c>
      <c r="C15" t="s">
        <v>68</v>
      </c>
      <c r="D15" t="s">
        <v>23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69</v>
      </c>
      <c r="S15" s="3" t="s">
        <v>26</v>
      </c>
      <c r="T15" s="3" t="s">
        <v>27</v>
      </c>
      <c r="U15" s="3" t="s">
        <v>28</v>
      </c>
      <c r="V15" s="3"/>
      <c r="W15" s="3" t="s">
        <v>29</v>
      </c>
      <c r="Z15">
        <v>12</v>
      </c>
      <c r="AA15" t="s">
        <v>56</v>
      </c>
      <c r="AB15" t="s">
        <v>70</v>
      </c>
      <c r="AC15">
        <f>MATCH(AB15,ovrcst!$A$4:$W$4,0)</f>
        <v>12</v>
      </c>
      <c r="AD15">
        <f>IFERROR(MATCH(AB15,heatrate!$K$4:$T$4,0),1)</f>
        <v>1</v>
      </c>
    </row>
    <row r="16" spans="1:30">
      <c r="B16" t="s">
        <v>71</v>
      </c>
      <c r="C16" t="s">
        <v>72</v>
      </c>
      <c r="D16" t="s">
        <v>23</v>
      </c>
      <c r="E16">
        <v>0.33</v>
      </c>
      <c r="G16" s="65">
        <v>16050</v>
      </c>
      <c r="H16" s="66">
        <v>500</v>
      </c>
      <c r="I16" s="65">
        <v>16.1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73</v>
      </c>
      <c r="S16" s="3" t="s">
        <v>26</v>
      </c>
      <c r="T16" s="3" t="s">
        <v>27</v>
      </c>
      <c r="U16" s="3" t="s">
        <v>28</v>
      </c>
      <c r="V16" s="3"/>
      <c r="Z16">
        <v>13</v>
      </c>
      <c r="AA16" t="s">
        <v>60</v>
      </c>
      <c r="AB16" t="s">
        <v>49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63</v>
      </c>
      <c r="AB17" t="s">
        <v>62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74</v>
      </c>
      <c r="AB18" t="s">
        <v>75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67</v>
      </c>
      <c r="AB19" t="s">
        <v>76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77</v>
      </c>
    </row>
    <row r="22" spans="2:34">
      <c r="B22" t="s">
        <v>3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0">
        <f>VLOOKUP(C$22,ovrcst!$A$5:$W$36,VLOOKUP('ELC_Gen-sdj'!$B27,'ELC_Gen-sdj'!$AA$4:$AC$19,3,FALSE))</f>
        <v>691.076815788784</v>
      </c>
      <c r="D27" s="20">
        <f>VLOOKUP(D$22,ovrcst!$A$5:$W$36,VLOOKUP('ELC_Gen-sdj'!$B27,'ELC_Gen-sdj'!$AA$4:$AC$19,3,FALSE))</f>
        <v>683.766211230557</v>
      </c>
      <c r="E27" s="20">
        <f>VLOOKUP(E$22,ovrcst!$A$5:$W$36,VLOOKUP('ELC_Gen-sdj'!$B27,'ELC_Gen-sdj'!$AA$4:$AC$19,3,FALSE))</f>
        <v>667.480398723307</v>
      </c>
      <c r="F27" s="20">
        <f>VLOOKUP(F$22,ovrcst!$A$5:$W$36,VLOOKUP('ELC_Gen-sdj'!$B27,'ELC_Gen-sdj'!$AA$4:$AC$19,3,FALSE))</f>
        <v>657.514365601135</v>
      </c>
      <c r="G27" s="20">
        <f>VLOOKUP(G$22,ovrcst!$A$5:$W$36,VLOOKUP('ELC_Gen-sdj'!$B27,'ELC_Gen-sdj'!$AA$4:$AC$19,3,FALSE))</f>
        <v>625.445632976992</v>
      </c>
      <c r="H27" s="20">
        <f>VLOOKUP(H$22,ovrcst!$A$5:$W$36,VLOOKUP('ELC_Gen-sdj'!$B27,'ELC_Gen-sdj'!$AA$4:$AC$19,3,FALSE))</f>
        <v>612.365128735692</v>
      </c>
      <c r="I27" s="20">
        <f>VLOOKUP(I$22,ovrcst!$A$5:$W$36,VLOOKUP('ELC_Gen-sdj'!$B27,'ELC_Gen-sdj'!$AA$4:$AC$19,3,FALSE))</f>
        <v>599.880182823018</v>
      </c>
      <c r="J27" s="20">
        <f>VLOOKUP(J$22,ovrcst!$A$5:$W$36,VLOOKUP('ELC_Gen-sdj'!$B27,'ELC_Gen-sdj'!$AA$4:$AC$19,3,FALSE))</f>
        <v>586.796653358428</v>
      </c>
      <c r="K27" s="20">
        <f>VLOOKUP(K$22,ovrcst!$A$5:$W$36,VLOOKUP('ELC_Gen-sdj'!$B27,'ELC_Gen-sdj'!$AA$4:$AC$19,3,FALSE))</f>
        <v>573.386882467175</v>
      </c>
      <c r="L27" s="20">
        <f>VLOOKUP(L$22,ovrcst!$A$5:$W$36,VLOOKUP('ELC_Gen-sdj'!$B27,'ELC_Gen-sdj'!$AA$4:$AC$19,3,FALSE))</f>
        <v>563.084218886224</v>
      </c>
      <c r="M27" s="20">
        <f>VLOOKUP(M$22,ovrcst!$A$5:$W$36,VLOOKUP('ELC_Gen-sdj'!$B27,'ELC_Gen-sdj'!$AA$4:$AC$19,3,FALSE))</f>
        <v>552.689402925318</v>
      </c>
      <c r="N27" s="20">
        <f>VLOOKUP(N$22,ovrcst!$A$5:$W$36,VLOOKUP('ELC_Gen-sdj'!$B27,'ELC_Gen-sdj'!$AA$4:$AC$19,3,FALSE))</f>
        <v>545.18176316075</v>
      </c>
      <c r="O27" s="20">
        <f>VLOOKUP(O$22,ovrcst!$A$5:$W$36,VLOOKUP('ELC_Gen-sdj'!$B27,'ELC_Gen-sdj'!$AA$4:$AC$19,3,FALSE))</f>
        <v>538.182154176005</v>
      </c>
      <c r="P27" s="20">
        <f>VLOOKUP(P$22,ovrcst!$A$5:$W$36,VLOOKUP('ELC_Gen-sdj'!$B27,'ELC_Gen-sdj'!$AA$4:$AC$19,3,FALSE))</f>
        <v>530.051094842715</v>
      </c>
      <c r="Q27" s="20">
        <f>VLOOKUP(Q$22,ovrcst!$A$5:$W$36,VLOOKUP('ELC_Gen-sdj'!$B27,'ELC_Gen-sdj'!$AA$4:$AC$19,3,FALSE))</f>
        <v>523.251718409148</v>
      </c>
      <c r="R27" s="20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67">
        <f>C25*1.3</f>
        <v>1032.7713706979</v>
      </c>
      <c r="D31" s="67">
        <f t="shared" ref="D31:Z31" si="3">D25*1.3</f>
        <v>1022.36993905354</v>
      </c>
      <c r="E31" s="67">
        <f t="shared" si="3"/>
        <v>998.534499282983</v>
      </c>
      <c r="F31" s="67">
        <f t="shared" si="3"/>
        <v>984.137117590822</v>
      </c>
      <c r="G31" s="67">
        <f t="shared" si="3"/>
        <v>951.767551386233</v>
      </c>
      <c r="H31" s="67">
        <f t="shared" si="3"/>
        <v>937.251788957935</v>
      </c>
      <c r="I31" s="67">
        <f t="shared" si="3"/>
        <v>923.928065248566</v>
      </c>
      <c r="J31" s="67">
        <f t="shared" si="3"/>
        <v>909.133239722753</v>
      </c>
      <c r="K31" s="67">
        <f t="shared" si="3"/>
        <v>893.279343929254</v>
      </c>
      <c r="L31" s="67">
        <f t="shared" si="3"/>
        <v>879.656205783939</v>
      </c>
      <c r="M31" s="67">
        <f t="shared" si="3"/>
        <v>865.801853489484</v>
      </c>
      <c r="N31" s="67">
        <f t="shared" si="3"/>
        <v>855.151407743786</v>
      </c>
      <c r="O31" s="67">
        <f t="shared" si="3"/>
        <v>844.967552581262</v>
      </c>
      <c r="P31" s="67">
        <f t="shared" si="3"/>
        <v>833.772838193117</v>
      </c>
      <c r="Q31" s="67">
        <f t="shared" si="3"/>
        <v>823.968628107075</v>
      </c>
      <c r="R31" s="67">
        <f t="shared" si="3"/>
        <v>813.635904636711</v>
      </c>
      <c r="S31" s="67">
        <f t="shared" si="3"/>
        <v>803.619588910134</v>
      </c>
      <c r="T31" s="67">
        <f t="shared" si="3"/>
        <v>793.622894359465</v>
      </c>
      <c r="U31" s="67">
        <f t="shared" si="3"/>
        <v>784.799054732314</v>
      </c>
      <c r="V31" s="67">
        <f t="shared" si="3"/>
        <v>777.260687141491</v>
      </c>
      <c r="W31" s="67">
        <f t="shared" si="3"/>
        <v>769.60802581262</v>
      </c>
      <c r="X31" s="67">
        <f t="shared" si="3"/>
        <v>762.253537284895</v>
      </c>
      <c r="Y31" s="67">
        <f t="shared" si="3"/>
        <v>755.095327437858</v>
      </c>
      <c r="Z31" s="67">
        <f t="shared" si="3"/>
        <v>747.357836998088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78</v>
      </c>
    </row>
    <row r="36" spans="2:34">
      <c r="B36" t="s">
        <v>3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O66"/>
  <sheetViews>
    <sheetView zoomScale="41" zoomScaleNormal="41" workbookViewId="0">
      <selection activeCell="F38" sqref="F38"/>
    </sheetView>
  </sheetViews>
  <sheetFormatPr defaultColWidth="8.81818181818182" defaultRowHeight="14.5"/>
  <cols>
    <col min="2" max="2" width="32.5454545454545" customWidth="1"/>
    <col min="3" max="3" width="30.7272727272727" customWidth="1"/>
    <col min="4" max="4" width="50" customWidth="1"/>
    <col min="5" max="5" width="29.9090909090909" customWidth="1"/>
    <col min="6" max="9" width="33.7272727272727" customWidth="1"/>
    <col min="10" max="10" width="19.2727272727273" customWidth="1"/>
    <col min="11" max="11" width="14.6363636363636" customWidth="1"/>
    <col min="12" max="12" width="14.2727272727273" customWidth="1"/>
    <col min="13" max="13" width="13.0909090909091" customWidth="1"/>
    <col min="14" max="14" width="12.8181818181818" customWidth="1"/>
    <col min="15" max="15" width="6.81818181818182" customWidth="1"/>
    <col min="16" max="16" width="15.3636363636364" customWidth="1"/>
    <col min="17" max="17" width="6.18181818181818" customWidth="1"/>
    <col min="18" max="18" width="14.5454545454545" customWidth="1"/>
    <col min="23" max="23" width="20.1818181818182" customWidth="1"/>
    <col min="24" max="24" width="18.5454545454545" customWidth="1"/>
    <col min="25" max="25" width="19.1818181818182" customWidth="1"/>
    <col min="32" max="32" width="118.727272727273" customWidth="1"/>
    <col min="36" max="36" width="13.5454545454545" customWidth="1"/>
    <col min="48" max="48" width="14.5454545454545" customWidth="1"/>
  </cols>
  <sheetData>
    <row r="1" spans="2:48">
      <c r="X1" s="28"/>
      <c r="Y1" s="29" t="s">
        <v>79</v>
      </c>
      <c r="Z1" s="28"/>
      <c r="AA1" s="28"/>
      <c r="AB1" s="28"/>
      <c r="AC1" s="28"/>
      <c r="AD1" s="28"/>
      <c r="AE1" s="28"/>
      <c r="AF1" s="28"/>
    </row>
    <row r="2" spans="2:48">
      <c r="B2" t="s">
        <v>1</v>
      </c>
      <c r="W2" s="30"/>
      <c r="X2" s="29"/>
      <c r="Y2" s="28"/>
      <c r="Z2" s="29"/>
      <c r="AA2" s="29"/>
      <c r="AB2" s="29"/>
      <c r="AC2" s="29"/>
      <c r="AD2" s="29"/>
      <c r="AE2" s="29"/>
      <c r="AF2" s="29"/>
    </row>
    <row r="3" spans="2:48">
      <c r="B3" s="3" t="s">
        <v>12</v>
      </c>
      <c r="C3" s="3" t="s">
        <v>3</v>
      </c>
      <c r="D3" s="3" t="s">
        <v>13</v>
      </c>
      <c r="E3" s="3" t="s">
        <v>15</v>
      </c>
      <c r="F3" s="3" t="s">
        <v>16</v>
      </c>
      <c r="G3" s="3" t="s">
        <v>14</v>
      </c>
      <c r="H3" s="3" t="s">
        <v>17</v>
      </c>
      <c r="W3" s="31"/>
      <c r="X3" s="32" t="s">
        <v>80</v>
      </c>
      <c r="Y3" s="29" t="s">
        <v>81</v>
      </c>
      <c r="Z3" s="29" t="s">
        <v>82</v>
      </c>
      <c r="AA3" s="29" t="s">
        <v>83</v>
      </c>
      <c r="AB3" s="29" t="s">
        <v>84</v>
      </c>
      <c r="AC3" s="29" t="s">
        <v>85</v>
      </c>
      <c r="AD3" s="29" t="s">
        <v>86</v>
      </c>
      <c r="AE3" s="29" t="s">
        <v>87</v>
      </c>
      <c r="AF3" s="29" t="s">
        <v>88</v>
      </c>
    </row>
    <row r="4" spans="2:48">
      <c r="B4" s="3" t="s">
        <v>89</v>
      </c>
      <c r="C4" s="3" t="s">
        <v>90</v>
      </c>
      <c r="D4" s="3" t="s">
        <v>91</v>
      </c>
      <c r="E4" s="3" t="s">
        <v>92</v>
      </c>
      <c r="F4" s="3" t="s">
        <v>93</v>
      </c>
      <c r="G4" s="3" t="s">
        <v>43</v>
      </c>
      <c r="H4" s="3"/>
      <c r="W4" s="31"/>
      <c r="X4" s="33" t="s">
        <v>94</v>
      </c>
      <c r="Y4" s="29" t="s">
        <v>90</v>
      </c>
      <c r="Z4" s="29">
        <v>0.095</v>
      </c>
      <c r="AA4" s="29">
        <v>0</v>
      </c>
      <c r="AB4" s="29">
        <v>0</v>
      </c>
      <c r="AC4" s="29">
        <v>0</v>
      </c>
      <c r="AD4" s="29">
        <v>3.528</v>
      </c>
      <c r="AE4" s="29">
        <v>0.946</v>
      </c>
      <c r="AF4" s="29">
        <v>1.085</v>
      </c>
    </row>
    <row r="5" spans="2:48">
      <c r="B5" s="3" t="s">
        <v>24</v>
      </c>
      <c r="C5" s="3" t="s">
        <v>95</v>
      </c>
      <c r="D5" s="3" t="s">
        <v>96</v>
      </c>
      <c r="E5" s="3" t="s">
        <v>92</v>
      </c>
      <c r="F5" s="3" t="s">
        <v>28</v>
      </c>
      <c r="G5" s="3" t="s">
        <v>43</v>
      </c>
      <c r="H5" s="3"/>
      <c r="W5" s="30"/>
      <c r="X5" s="34"/>
      <c r="Y5" s="30"/>
      <c r="Z5" s="30"/>
      <c r="AA5" s="30"/>
      <c r="AB5" s="30"/>
      <c r="AC5" s="30"/>
      <c r="AD5" s="30"/>
      <c r="AE5" s="30"/>
      <c r="AF5" s="30"/>
    </row>
    <row r="6" spans="2:48">
      <c r="B6" s="3" t="s">
        <v>89</v>
      </c>
      <c r="C6" s="3" t="s">
        <v>97</v>
      </c>
      <c r="D6" s="3" t="s">
        <v>98</v>
      </c>
      <c r="E6" s="3" t="s">
        <v>92</v>
      </c>
      <c r="F6" s="3" t="s">
        <v>93</v>
      </c>
      <c r="G6" s="3" t="s">
        <v>43</v>
      </c>
      <c r="W6" s="30"/>
      <c r="X6" s="34"/>
      <c r="Y6" s="30"/>
      <c r="Z6" s="30"/>
      <c r="AA6" s="30"/>
      <c r="AB6" s="30"/>
      <c r="AC6" s="30"/>
      <c r="AD6" s="30"/>
      <c r="AE6" s="30"/>
      <c r="AF6" s="30"/>
    </row>
    <row r="7" spans="2:48">
      <c r="B7" s="3"/>
      <c r="C7" s="3" t="s">
        <v>99</v>
      </c>
      <c r="E7" s="3" t="s">
        <v>92</v>
      </c>
      <c r="F7" s="3" t="s">
        <v>93</v>
      </c>
      <c r="G7" s="3" t="s">
        <v>43</v>
      </c>
      <c r="W7" s="30"/>
      <c r="X7" s="34"/>
      <c r="Y7" s="30"/>
      <c r="Z7" s="30"/>
      <c r="AA7" s="30"/>
      <c r="AB7" s="30"/>
      <c r="AC7" s="30"/>
      <c r="AD7" s="30"/>
      <c r="AE7" s="30"/>
      <c r="AF7" s="30"/>
    </row>
    <row r="8" spans="2:48">
      <c r="B8" s="3"/>
      <c r="C8" s="3" t="s">
        <v>100</v>
      </c>
      <c r="E8" s="3" t="s">
        <v>92</v>
      </c>
      <c r="F8" s="3" t="s">
        <v>93</v>
      </c>
      <c r="G8" s="3" t="s">
        <v>43</v>
      </c>
      <c r="W8" s="30"/>
      <c r="X8" s="34"/>
      <c r="Y8" s="30"/>
      <c r="Z8" s="30"/>
      <c r="AA8" s="30"/>
      <c r="AB8" s="30"/>
      <c r="AC8" s="30"/>
      <c r="AD8" s="30"/>
      <c r="AE8" s="30"/>
      <c r="AF8" s="30"/>
    </row>
    <row r="9" spans="2:48">
      <c r="B9" s="3"/>
      <c r="C9" s="3" t="s">
        <v>101</v>
      </c>
      <c r="E9" s="3" t="s">
        <v>92</v>
      </c>
      <c r="F9" s="3" t="s">
        <v>93</v>
      </c>
      <c r="G9" s="3" t="s">
        <v>43</v>
      </c>
      <c r="W9" s="30"/>
      <c r="X9" s="34"/>
      <c r="Y9" s="30"/>
      <c r="Z9" s="30"/>
      <c r="AA9" s="30"/>
      <c r="AB9" s="30"/>
      <c r="AC9" s="30"/>
      <c r="AD9" s="30"/>
      <c r="AE9" s="30"/>
      <c r="AF9" s="30"/>
    </row>
    <row r="10" spans="2:48">
      <c r="B10" s="3"/>
      <c r="C10" s="3" t="s">
        <v>102</v>
      </c>
      <c r="E10" s="3" t="s">
        <v>92</v>
      </c>
      <c r="F10" s="3" t="s">
        <v>93</v>
      </c>
      <c r="G10" s="3" t="s">
        <v>43</v>
      </c>
      <c r="W10" s="30"/>
      <c r="X10" s="34"/>
      <c r="Y10" s="30"/>
      <c r="Z10" s="30"/>
      <c r="AA10" s="30"/>
      <c r="AB10" s="30"/>
      <c r="AC10" s="30"/>
      <c r="AD10" s="30"/>
      <c r="AE10" s="30"/>
      <c r="AF10" s="30"/>
    </row>
    <row r="11" spans="2:48">
      <c r="B11" s="3"/>
      <c r="C11" s="3" t="s">
        <v>103</v>
      </c>
      <c r="E11" s="3" t="s">
        <v>92</v>
      </c>
      <c r="F11" s="3" t="s">
        <v>93</v>
      </c>
      <c r="G11" s="3" t="s">
        <v>43</v>
      </c>
      <c r="W11" s="30"/>
      <c r="X11" s="34"/>
      <c r="Y11" s="30"/>
      <c r="Z11" s="30"/>
      <c r="AA11" s="30"/>
      <c r="AB11" s="30"/>
      <c r="AC11" s="30"/>
      <c r="AD11" s="30"/>
      <c r="AE11" s="30"/>
      <c r="AF11" s="30"/>
    </row>
    <row r="12" spans="2:48">
      <c r="B12" s="3"/>
      <c r="E12" s="3"/>
      <c r="F12" s="3"/>
      <c r="G12" s="3"/>
      <c r="W12" s="30"/>
      <c r="X12" s="34"/>
      <c r="Y12" s="30"/>
      <c r="Z12" s="30"/>
      <c r="AA12" s="30"/>
      <c r="AB12" s="30"/>
      <c r="AC12" s="30"/>
      <c r="AD12" s="30"/>
      <c r="AE12" s="30"/>
      <c r="AF12" s="30"/>
    </row>
    <row r="13" spans="2:48">
      <c r="W13" s="30"/>
      <c r="X13" s="34"/>
      <c r="Y13" s="30"/>
      <c r="Z13" s="30"/>
      <c r="AA13" s="30"/>
      <c r="AB13" s="30"/>
      <c r="AC13" s="30"/>
      <c r="AD13" s="30"/>
      <c r="AE13" s="30"/>
      <c r="AF13" s="30"/>
    </row>
    <row r="14" spans="2:48">
      <c r="G14" t="s">
        <v>104</v>
      </c>
      <c r="W14" s="35"/>
      <c r="X14" s="36"/>
      <c r="Y14" s="35"/>
      <c r="Z14" s="35"/>
      <c r="AA14" s="35"/>
      <c r="AB14" s="35"/>
      <c r="AC14" s="35"/>
      <c r="AD14" s="30"/>
      <c r="AE14" s="30"/>
      <c r="AK14" t="s">
        <v>104</v>
      </c>
    </row>
    <row r="15" spans="2:48">
      <c r="B15" t="s">
        <v>3</v>
      </c>
      <c r="C15" t="s">
        <v>4</v>
      </c>
      <c r="D15" t="s">
        <v>105</v>
      </c>
      <c r="E15" t="s">
        <v>5</v>
      </c>
      <c r="F15" t="s">
        <v>106</v>
      </c>
      <c r="G15" t="s">
        <v>107</v>
      </c>
      <c r="H15" t="s">
        <v>108</v>
      </c>
      <c r="I15" t="s">
        <v>109</v>
      </c>
      <c r="J15" t="s">
        <v>110</v>
      </c>
      <c r="K15" t="s">
        <v>111</v>
      </c>
      <c r="L15" t="s">
        <v>10</v>
      </c>
      <c r="M15" t="s">
        <v>112</v>
      </c>
      <c r="N15" t="s">
        <v>7</v>
      </c>
      <c r="O15" t="s">
        <v>113</v>
      </c>
      <c r="P15" t="s">
        <v>114</v>
      </c>
      <c r="Q15" t="s">
        <v>115</v>
      </c>
      <c r="R15" s="37" t="s">
        <v>116</v>
      </c>
      <c r="V15" s="27" t="s">
        <v>117</v>
      </c>
      <c r="W15" s="35"/>
      <c r="X15" s="35"/>
      <c r="Y15" s="35"/>
      <c r="Z15" s="35"/>
      <c r="AA15" s="35"/>
      <c r="AB15" s="35"/>
      <c r="AC15" s="35"/>
      <c r="AD15" s="30"/>
      <c r="AE15" s="30"/>
      <c r="AF15" t="s">
        <v>3</v>
      </c>
      <c r="AG15" t="s">
        <v>4</v>
      </c>
      <c r="AH15" t="s">
        <v>105</v>
      </c>
      <c r="AI15" t="s">
        <v>5</v>
      </c>
      <c r="AJ15" t="s">
        <v>106</v>
      </c>
      <c r="AK15" t="s">
        <v>107</v>
      </c>
      <c r="AL15" t="s">
        <v>108</v>
      </c>
      <c r="AM15" t="s">
        <v>109</v>
      </c>
      <c r="AN15" t="s">
        <v>110</v>
      </c>
      <c r="AO15" t="s">
        <v>111</v>
      </c>
      <c r="AP15" t="s">
        <v>10</v>
      </c>
      <c r="AQ15" t="s">
        <v>112</v>
      </c>
      <c r="AR15" t="s">
        <v>7</v>
      </c>
      <c r="AS15" t="s">
        <v>113</v>
      </c>
      <c r="AT15" t="s">
        <v>114</v>
      </c>
      <c r="AU15" t="s">
        <v>115</v>
      </c>
      <c r="AV15" s="37" t="s">
        <v>116</v>
      </c>
    </row>
    <row r="16" spans="2:48">
      <c r="B16" t="s">
        <v>90</v>
      </c>
      <c r="C16" t="s">
        <v>23</v>
      </c>
      <c r="E16" t="s">
        <v>23</v>
      </c>
      <c r="G16" t="s">
        <v>118</v>
      </c>
      <c r="H16">
        <v>0.92</v>
      </c>
      <c r="I16" s="19">
        <v>1.314</v>
      </c>
      <c r="J16">
        <v>1</v>
      </c>
      <c r="L16" s="24">
        <v>20</v>
      </c>
      <c r="Q16">
        <v>2020</v>
      </c>
      <c r="R16">
        <v>7000</v>
      </c>
      <c r="V16" s="27">
        <v>1</v>
      </c>
      <c r="W16" s="35"/>
      <c r="X16" s="35"/>
      <c r="Y16" s="35"/>
      <c r="Z16" s="35"/>
      <c r="AA16" s="35"/>
      <c r="AB16" s="35"/>
      <c r="AC16" s="35"/>
      <c r="AD16" s="30"/>
      <c r="AE16" s="30"/>
      <c r="AF16" t="s">
        <v>97</v>
      </c>
      <c r="AG16" t="s">
        <v>23</v>
      </c>
      <c r="AI16" t="s">
        <v>23</v>
      </c>
      <c r="AK16" t="s">
        <v>118</v>
      </c>
      <c r="AL16" s="24">
        <v>0.9</v>
      </c>
      <c r="AM16" s="19">
        <v>1.314</v>
      </c>
      <c r="AN16">
        <v>1</v>
      </c>
      <c r="AP16" s="24">
        <v>10</v>
      </c>
      <c r="AU16">
        <v>2020</v>
      </c>
      <c r="AV16" s="24">
        <v>3000</v>
      </c>
    </row>
    <row r="17" s="27" customFormat="1" ht="16" spans="2:67">
      <c r="D17" s="38"/>
      <c r="F17" s="27" t="s">
        <v>119</v>
      </c>
      <c r="G17" s="27" t="str">
        <f>F17</f>
        <v>AuxStoOUT</v>
      </c>
      <c r="I17" s="39"/>
      <c r="K17" s="39">
        <f>1/H16</f>
        <v>1.08695652173913</v>
      </c>
      <c r="W17" s="40"/>
      <c r="Y17" s="41" t="s">
        <v>120</v>
      </c>
      <c r="Z17" s="42"/>
      <c r="AA17" s="40"/>
      <c r="AB17" s="40"/>
      <c r="AC17" s="40"/>
      <c r="AD17" s="31"/>
      <c r="AE17" s="31"/>
      <c r="AF17" s="31"/>
      <c r="AG17" s="31"/>
      <c r="AH17" s="43"/>
      <c r="AI17" s="31"/>
      <c r="AJ17" s="31" t="s">
        <v>119</v>
      </c>
      <c r="AK17" s="31" t="s">
        <v>119</v>
      </c>
      <c r="AL17" s="31"/>
      <c r="AM17" s="44"/>
      <c r="AN17" s="31"/>
      <c r="AO17" s="44">
        <v>1.08695652173913</v>
      </c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</row>
    <row r="18" spans="2:67">
      <c r="D18" s="3"/>
      <c r="F18" s="3" t="str">
        <f>C25</f>
        <v>AuxStoIN</v>
      </c>
      <c r="G18" t="s">
        <v>23</v>
      </c>
      <c r="I18" s="19"/>
      <c r="O18">
        <v>1</v>
      </c>
      <c r="V18" s="27"/>
      <c r="W18" s="40"/>
      <c r="X18" s="40"/>
      <c r="Y18" s="40"/>
      <c r="Z18" s="40"/>
      <c r="AA18" s="40"/>
      <c r="AB18" s="40"/>
      <c r="AC18" s="40"/>
      <c r="AD18" s="31"/>
      <c r="AE18" s="31"/>
      <c r="AH18" s="3"/>
      <c r="AJ18" s="3" t="s">
        <v>121</v>
      </c>
      <c r="AK18" t="s">
        <v>23</v>
      </c>
      <c r="AM18" s="19"/>
      <c r="AS18">
        <v>1</v>
      </c>
    </row>
    <row r="19" spans="2:67">
      <c r="B19" t="s">
        <v>95</v>
      </c>
      <c r="E19" t="s">
        <v>122</v>
      </c>
      <c r="I19" s="19">
        <v>29.89194313</v>
      </c>
      <c r="L19">
        <v>1</v>
      </c>
      <c r="M19">
        <v>0</v>
      </c>
      <c r="P19">
        <v>3</v>
      </c>
      <c r="V19" s="27"/>
      <c r="W19" s="40"/>
      <c r="X19" s="40"/>
      <c r="Y19" s="40"/>
      <c r="Z19" s="40"/>
      <c r="AA19" s="40"/>
      <c r="AB19" s="40"/>
      <c r="AC19" s="40"/>
      <c r="AD19" s="31"/>
      <c r="AE19" s="31"/>
      <c r="AF19" t="s">
        <v>99</v>
      </c>
      <c r="AG19" t="s">
        <v>23</v>
      </c>
      <c r="AI19" t="s">
        <v>23</v>
      </c>
      <c r="AK19" t="s">
        <v>118</v>
      </c>
      <c r="AL19" s="24">
        <v>0.94</v>
      </c>
      <c r="AM19" s="19">
        <f>AM16</f>
        <v>1.314</v>
      </c>
      <c r="AN19">
        <v>1</v>
      </c>
      <c r="AP19" s="24">
        <v>12</v>
      </c>
      <c r="AU19">
        <v>2020</v>
      </c>
      <c r="AV19" s="24">
        <v>3500</v>
      </c>
    </row>
    <row r="20" spans="2:67">
      <c r="W20" s="40"/>
      <c r="X20" s="40"/>
      <c r="Y20" s="40"/>
      <c r="Z20" s="40"/>
      <c r="AA20" s="45"/>
      <c r="AB20" s="45"/>
      <c r="AC20" s="45"/>
      <c r="AF20" s="31"/>
      <c r="AG20" s="31"/>
      <c r="AH20" s="43"/>
      <c r="AI20" s="31"/>
      <c r="AJ20" s="31" t="s">
        <v>119</v>
      </c>
      <c r="AK20" s="31" t="s">
        <v>119</v>
      </c>
      <c r="AL20" s="31"/>
      <c r="AM20" s="44"/>
      <c r="AN20" s="31"/>
      <c r="AO20" s="44">
        <v>1.08695652173913</v>
      </c>
      <c r="AP20" s="31"/>
      <c r="AQ20" s="31"/>
      <c r="AR20" s="31"/>
      <c r="AS20" s="31"/>
      <c r="AT20" s="31"/>
      <c r="AU20" s="31"/>
      <c r="AV20" s="31"/>
    </row>
    <row r="21" spans="2:67">
      <c r="W21" s="40"/>
      <c r="X21" s="40"/>
      <c r="Y21" s="40"/>
      <c r="Z21" s="40"/>
      <c r="AA21" s="40"/>
      <c r="AB21" s="45"/>
      <c r="AC21" s="45"/>
      <c r="AH21" s="3"/>
      <c r="AJ21" s="3" t="s">
        <v>121</v>
      </c>
      <c r="AK21" t="s">
        <v>23</v>
      </c>
      <c r="AM21" s="19"/>
      <c r="AS21">
        <v>1</v>
      </c>
    </row>
    <row r="22" spans="2:67">
      <c r="W22" s="40"/>
      <c r="X22" s="35"/>
      <c r="Y22" s="35"/>
      <c r="Z22" s="35"/>
      <c r="AA22" s="40"/>
      <c r="AB22" s="45"/>
      <c r="AC22" s="45"/>
      <c r="AF22" s="31" t="s">
        <v>100</v>
      </c>
      <c r="AG22" t="s">
        <v>23</v>
      </c>
      <c r="AI22" t="s">
        <v>23</v>
      </c>
      <c r="AK22" t="s">
        <v>118</v>
      </c>
      <c r="AL22" s="24">
        <v>0.94</v>
      </c>
      <c r="AM22" s="19">
        <f>AM19</f>
        <v>1.314</v>
      </c>
      <c r="AN22">
        <v>1</v>
      </c>
      <c r="AP22" s="24">
        <v>13</v>
      </c>
      <c r="AU22">
        <v>2020</v>
      </c>
      <c r="AV22" s="24">
        <v>4000</v>
      </c>
    </row>
    <row r="23" spans="2:67">
      <c r="B23" s="3" t="s">
        <v>123</v>
      </c>
      <c r="C23" s="3"/>
      <c r="D23" s="3"/>
      <c r="E23" s="3"/>
      <c r="F23" s="3"/>
      <c r="G23" s="3"/>
      <c r="H23" s="3"/>
      <c r="I23" s="3"/>
      <c r="W23" s="45"/>
      <c r="X23" s="46"/>
      <c r="Y23" s="46"/>
      <c r="Z23" s="35"/>
      <c r="AA23" s="40"/>
      <c r="AB23" s="45"/>
      <c r="AC23" s="45"/>
      <c r="AG23" s="31"/>
      <c r="AH23" s="43"/>
      <c r="AI23" s="31"/>
      <c r="AJ23" s="31" t="s">
        <v>119</v>
      </c>
      <c r="AK23" s="31" t="s">
        <v>119</v>
      </c>
      <c r="AL23" s="24"/>
      <c r="AM23" s="44"/>
      <c r="AN23" s="31"/>
      <c r="AO23" s="44">
        <v>1.08695652173913</v>
      </c>
      <c r="AP23" s="31"/>
      <c r="AQ23" s="31"/>
      <c r="AR23" s="31"/>
      <c r="AS23" s="31"/>
      <c r="AT23" s="31"/>
      <c r="AU23" s="31"/>
      <c r="AV23" s="31"/>
    </row>
    <row r="24" spans="2:67">
      <c r="B24" s="3" t="s">
        <v>124</v>
      </c>
      <c r="C24" s="3" t="s">
        <v>125</v>
      </c>
      <c r="D24" s="3" t="s">
        <v>126</v>
      </c>
      <c r="E24" s="3" t="s">
        <v>127</v>
      </c>
      <c r="F24" s="3" t="s">
        <v>128</v>
      </c>
      <c r="G24" s="3" t="s">
        <v>129</v>
      </c>
      <c r="H24" s="3" t="s">
        <v>130</v>
      </c>
      <c r="I24" s="3" t="s">
        <v>131</v>
      </c>
      <c r="W24" s="45"/>
      <c r="X24" s="46"/>
      <c r="Y24" s="47"/>
      <c r="Z24" s="42"/>
      <c r="AA24" s="40"/>
      <c r="AB24" s="45"/>
      <c r="AC24" s="45"/>
      <c r="AH24" s="3"/>
      <c r="AJ24" s="3" t="s">
        <v>121</v>
      </c>
      <c r="AK24" t="s">
        <v>23</v>
      </c>
      <c r="AL24" s="24"/>
      <c r="AM24" s="19"/>
      <c r="AS24">
        <v>1</v>
      </c>
    </row>
    <row r="25" spans="2:67">
      <c r="B25" s="3" t="s">
        <v>132</v>
      </c>
      <c r="C25" s="3" t="s">
        <v>121</v>
      </c>
      <c r="D25" s="3" t="s">
        <v>133</v>
      </c>
      <c r="E25" s="3" t="s">
        <v>92</v>
      </c>
      <c r="F25" s="3"/>
      <c r="G25" s="3" t="s">
        <v>43</v>
      </c>
      <c r="H25" s="3"/>
      <c r="I25" s="3"/>
      <c r="W25" s="45"/>
      <c r="X25" s="42"/>
      <c r="Y25" s="46"/>
      <c r="Z25" s="40"/>
      <c r="AA25" s="40"/>
      <c r="AB25" s="45"/>
      <c r="AC25" s="45"/>
      <c r="AF25" t="s">
        <v>101</v>
      </c>
      <c r="AG25" t="s">
        <v>23</v>
      </c>
      <c r="AI25" t="s">
        <v>23</v>
      </c>
      <c r="AK25" t="s">
        <v>118</v>
      </c>
      <c r="AL25" s="24">
        <v>0.94</v>
      </c>
      <c r="AM25" s="19">
        <f>AM22</f>
        <v>1.314</v>
      </c>
      <c r="AN25">
        <v>1</v>
      </c>
      <c r="AP25" s="24">
        <v>13</v>
      </c>
      <c r="AU25">
        <v>2020</v>
      </c>
      <c r="AV25" s="24">
        <v>4000</v>
      </c>
    </row>
    <row r="26" spans="2:67">
      <c r="C26" s="3" t="s">
        <v>119</v>
      </c>
      <c r="D26" s="3" t="s">
        <v>134</v>
      </c>
      <c r="E26" s="3" t="s">
        <v>92</v>
      </c>
      <c r="F26" s="3"/>
      <c r="G26" s="3" t="s">
        <v>43</v>
      </c>
      <c r="W26" s="35"/>
      <c r="X26" s="46"/>
      <c r="Y26" s="46"/>
      <c r="Z26" s="40"/>
      <c r="AA26" s="40"/>
      <c r="AB26" s="45"/>
      <c r="AC26" s="45"/>
      <c r="AG26" s="31"/>
      <c r="AH26" s="43"/>
      <c r="AI26" s="31"/>
      <c r="AJ26" s="31" t="s">
        <v>119</v>
      </c>
      <c r="AK26" s="31" t="s">
        <v>119</v>
      </c>
      <c r="AL26" s="24"/>
      <c r="AM26" s="44"/>
      <c r="AN26" s="31"/>
      <c r="AO26" s="44">
        <v>1.08695652173913</v>
      </c>
      <c r="AP26" s="31"/>
      <c r="AQ26" s="31"/>
      <c r="AR26" s="31"/>
      <c r="AS26" s="31"/>
      <c r="AT26" s="31"/>
      <c r="AU26" s="31"/>
      <c r="AV26" s="31"/>
    </row>
    <row r="27" spans="2:67">
      <c r="W27" s="35"/>
      <c r="X27" s="35"/>
      <c r="Y27" s="35"/>
      <c r="Z27" s="40"/>
      <c r="AA27" s="40"/>
      <c r="AB27" s="45"/>
      <c r="AC27" s="45"/>
      <c r="AH27" s="3"/>
      <c r="AJ27" s="3" t="s">
        <v>121</v>
      </c>
      <c r="AK27" t="s">
        <v>23</v>
      </c>
      <c r="AL27" s="24"/>
      <c r="AM27" s="19"/>
      <c r="AS27">
        <v>1</v>
      </c>
    </row>
    <row r="28" spans="2:67">
      <c r="W28" s="35"/>
      <c r="X28" s="35"/>
      <c r="Y28" s="35"/>
      <c r="Z28" s="40"/>
      <c r="AA28" s="40"/>
      <c r="AB28" s="45"/>
      <c r="AC28" s="45"/>
      <c r="AF28" t="s">
        <v>102</v>
      </c>
      <c r="AG28" t="s">
        <v>23</v>
      </c>
      <c r="AI28" t="s">
        <v>23</v>
      </c>
      <c r="AK28" t="s">
        <v>118</v>
      </c>
      <c r="AL28" s="24">
        <v>0.94</v>
      </c>
      <c r="AM28" s="19">
        <f>AM25</f>
        <v>1.314</v>
      </c>
      <c r="AN28">
        <v>1</v>
      </c>
      <c r="AP28" s="24">
        <v>13</v>
      </c>
      <c r="AU28">
        <v>2020</v>
      </c>
      <c r="AV28" s="24">
        <v>4000</v>
      </c>
    </row>
    <row r="29" spans="2:67">
      <c r="B29" s="28"/>
      <c r="C29" s="28"/>
      <c r="D29" s="28"/>
      <c r="E29" s="28"/>
      <c r="W29" s="35"/>
      <c r="X29" s="35"/>
      <c r="Y29" s="35"/>
      <c r="Z29" s="40"/>
      <c r="AA29" s="40"/>
      <c r="AB29" s="45"/>
      <c r="AC29" s="45"/>
      <c r="AG29" s="31"/>
      <c r="AH29" s="43"/>
      <c r="AI29" s="31"/>
      <c r="AJ29" s="31" t="s">
        <v>119</v>
      </c>
      <c r="AK29" s="31" t="s">
        <v>119</v>
      </c>
      <c r="AL29" s="24"/>
      <c r="AM29" s="44"/>
      <c r="AN29" s="31"/>
      <c r="AO29" s="44">
        <v>1.08695652173913</v>
      </c>
      <c r="AP29" s="31"/>
      <c r="AQ29" s="31"/>
      <c r="AR29" s="31"/>
      <c r="AS29" s="31"/>
      <c r="AT29" s="31"/>
      <c r="AU29" s="31"/>
      <c r="AV29" s="31"/>
    </row>
    <row r="30" spans="2:67">
      <c r="B30" s="28"/>
      <c r="C30" s="28"/>
      <c r="D30" s="48" t="s">
        <v>79</v>
      </c>
      <c r="E30" s="28"/>
      <c r="W30" s="35"/>
      <c r="X30" s="35"/>
      <c r="Y30" s="35"/>
      <c r="Z30" s="40"/>
      <c r="AA30" s="40"/>
      <c r="AB30" s="45"/>
      <c r="AC30" s="45"/>
      <c r="AH30" s="3"/>
      <c r="AJ30" s="3" t="s">
        <v>121</v>
      </c>
      <c r="AK30" t="s">
        <v>23</v>
      </c>
      <c r="AL30" s="24"/>
      <c r="AM30" s="19"/>
      <c r="AS30">
        <v>1</v>
      </c>
    </row>
    <row r="31" spans="2:67">
      <c r="B31" s="48"/>
      <c r="C31" s="48"/>
      <c r="D31" s="28"/>
      <c r="E31" s="48"/>
      <c r="W31" s="35"/>
      <c r="X31" s="35"/>
      <c r="Y31" s="35"/>
      <c r="Z31" s="31"/>
      <c r="AA31" s="31"/>
      <c r="AF31" t="s">
        <v>103</v>
      </c>
      <c r="AG31" t="s">
        <v>23</v>
      </c>
      <c r="AI31" t="s">
        <v>23</v>
      </c>
      <c r="AK31" t="s">
        <v>118</v>
      </c>
      <c r="AL31" s="24">
        <v>0.94</v>
      </c>
      <c r="AM31" s="19">
        <f>AM28</f>
        <v>1.314</v>
      </c>
      <c r="AN31">
        <v>1</v>
      </c>
      <c r="AP31" s="24">
        <v>13</v>
      </c>
      <c r="AU31">
        <v>2020</v>
      </c>
      <c r="AV31" s="24">
        <v>4000</v>
      </c>
    </row>
    <row r="32" spans="2:67">
      <c r="B32" s="32" t="s">
        <v>80</v>
      </c>
      <c r="C32" s="48" t="s">
        <v>3</v>
      </c>
      <c r="D32" s="48" t="s">
        <v>4</v>
      </c>
      <c r="E32" s="48">
        <v>2019</v>
      </c>
      <c r="W32" s="40"/>
      <c r="X32" s="40"/>
      <c r="Y32" s="40"/>
      <c r="Z32" s="31"/>
      <c r="AA32" s="31"/>
      <c r="AG32" s="31"/>
      <c r="AH32" s="43"/>
      <c r="AI32" s="31"/>
      <c r="AJ32" s="31" t="s">
        <v>119</v>
      </c>
      <c r="AK32" s="31" t="s">
        <v>119</v>
      </c>
      <c r="AL32" s="31"/>
      <c r="AM32" s="44"/>
      <c r="AN32" s="31"/>
      <c r="AO32" s="44">
        <v>1.08695652173913</v>
      </c>
      <c r="AP32" s="31"/>
      <c r="AQ32" s="31"/>
      <c r="AR32" s="31"/>
      <c r="AS32" s="31"/>
      <c r="AT32" s="31"/>
      <c r="AU32" s="31"/>
      <c r="AV32" s="31"/>
    </row>
    <row r="33" spans="2:45">
      <c r="B33" s="33" t="s">
        <v>94</v>
      </c>
      <c r="C33" s="49" t="s">
        <v>90</v>
      </c>
      <c r="D33" s="50" t="s">
        <v>135</v>
      </c>
      <c r="E33" s="51">
        <f>[2]EnergyUseFromEverBatt_Min_!$AW$6</f>
        <v>0.0473</v>
      </c>
      <c r="W33" s="31"/>
      <c r="X33" s="31"/>
      <c r="Y33" s="31"/>
      <c r="Z33" s="31"/>
      <c r="AA33" s="31"/>
      <c r="AH33" s="3"/>
      <c r="AJ33" s="3" t="s">
        <v>121</v>
      </c>
      <c r="AK33" t="s">
        <v>23</v>
      </c>
      <c r="AM33" s="19"/>
      <c r="AS33">
        <v>1</v>
      </c>
    </row>
    <row r="34" ht="16" spans="2:45">
      <c r="B34" s="33" t="s">
        <v>94</v>
      </c>
      <c r="C34" s="52" t="str">
        <f t="shared" ref="C34:C36" si="0">C33</f>
        <v>EN_STG_4hBatt</v>
      </c>
      <c r="D34" s="50" t="s">
        <v>136</v>
      </c>
      <c r="E34" s="51">
        <f>[2]EnergyUseFromEverBatt_Min_!$AW$7</f>
        <v>0.171166666666667</v>
      </c>
      <c r="W34" s="31"/>
      <c r="X34" s="31"/>
      <c r="Y34" s="31"/>
      <c r="Z34" s="31"/>
      <c r="AA34" s="31"/>
    </row>
    <row r="35" ht="16" spans="2:45">
      <c r="B35" s="33" t="s">
        <v>94</v>
      </c>
      <c r="C35" s="52" t="str">
        <f t="shared" si="0"/>
        <v>EN_STG_4hBatt</v>
      </c>
      <c r="D35" s="50" t="s">
        <v>137</v>
      </c>
      <c r="E35" s="51">
        <f>[2]EnergyUseFromEverBatt_Min_!$AW$8</f>
        <v>0.466366666666667</v>
      </c>
    </row>
    <row r="36" ht="16" spans="2:45">
      <c r="B36" s="33" t="s">
        <v>94</v>
      </c>
      <c r="C36" s="52" t="str">
        <f t="shared" si="0"/>
        <v>EN_STG_4hBatt</v>
      </c>
      <c r="D36" s="50" t="s">
        <v>138</v>
      </c>
      <c r="E36" s="51">
        <f>[2]EnergyUseFromEverBatt_Min_!$AW$9</f>
        <v>0.0956666666666667</v>
      </c>
    </row>
    <row r="42" spans="2:45"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</row>
    <row r="43" spans="2:45">
      <c r="B43" s="53" t="s">
        <v>139</v>
      </c>
      <c r="C43" s="53"/>
      <c r="D43" s="54"/>
      <c r="E43" s="54"/>
      <c r="F43" s="54"/>
      <c r="G43" s="54"/>
      <c r="H43" s="54"/>
      <c r="I43" s="54"/>
      <c r="J43" s="55"/>
      <c r="K43" s="55"/>
      <c r="L43" s="55"/>
      <c r="M43" s="55"/>
      <c r="N43" s="55"/>
      <c r="O43" s="55"/>
      <c r="P43" s="55"/>
      <c r="Q43" s="55"/>
      <c r="R43" s="55"/>
      <c r="S43" s="56"/>
    </row>
    <row r="44" ht="16" spans="2:45">
      <c r="B44" s="53" t="s">
        <v>81</v>
      </c>
      <c r="C44" s="57" t="s">
        <v>140</v>
      </c>
      <c r="D44" s="58" t="s">
        <v>141</v>
      </c>
      <c r="E44" s="58" t="s">
        <v>142</v>
      </c>
      <c r="F44" s="58" t="s">
        <v>143</v>
      </c>
      <c r="G44" s="58" t="s">
        <v>144</v>
      </c>
      <c r="H44" s="58" t="s">
        <v>145</v>
      </c>
      <c r="I44" s="58" t="s">
        <v>146</v>
      </c>
      <c r="J44" s="55"/>
      <c r="K44" s="55"/>
      <c r="L44" s="59"/>
      <c r="M44" s="59"/>
      <c r="N44" s="55"/>
      <c r="O44" s="55"/>
      <c r="P44" s="59"/>
      <c r="Q44" s="59"/>
      <c r="R44" s="55"/>
      <c r="S44" s="55"/>
    </row>
    <row r="45" ht="16" spans="2:45">
      <c r="B45" s="60" t="s">
        <v>90</v>
      </c>
      <c r="C45" s="53">
        <v>1</v>
      </c>
      <c r="D45" s="54"/>
      <c r="E45" s="54"/>
      <c r="F45" s="54"/>
      <c r="G45" s="54"/>
      <c r="H45" s="54"/>
      <c r="I45" s="54"/>
      <c r="J45" s="56"/>
      <c r="K45" s="55"/>
      <c r="L45" s="55"/>
      <c r="M45" s="55"/>
      <c r="N45" s="55"/>
      <c r="O45" s="55"/>
      <c r="P45" s="55"/>
      <c r="Q45" s="55"/>
      <c r="R45" s="55"/>
      <c r="S45" s="55"/>
    </row>
    <row r="46" spans="2:45">
      <c r="B46" s="61" t="str">
        <f t="shared" ref="B46:B51" si="1">C6</f>
        <v>EN_STG_4hBatt_LMO</v>
      </c>
      <c r="C46" s="54"/>
      <c r="D46" s="54">
        <v>1</v>
      </c>
      <c r="E46" s="54"/>
      <c r="F46" s="54"/>
      <c r="G46" s="54"/>
      <c r="H46" s="54"/>
      <c r="I46" s="54"/>
      <c r="J46" s="56"/>
      <c r="K46" s="55"/>
      <c r="L46" s="55"/>
      <c r="M46" s="55"/>
      <c r="N46" s="55"/>
      <c r="O46" s="55"/>
      <c r="P46" s="55"/>
      <c r="Q46" s="55"/>
      <c r="R46" s="55"/>
      <c r="S46" s="55"/>
    </row>
    <row r="47" spans="2:45">
      <c r="B47" s="61" t="str">
        <f t="shared" si="1"/>
        <v>EN_STG_4hBatt_NCA</v>
      </c>
      <c r="C47" s="54"/>
      <c r="D47" s="54"/>
      <c r="E47" s="54">
        <v>1</v>
      </c>
      <c r="F47" s="54"/>
      <c r="G47" s="54"/>
      <c r="H47" s="54"/>
      <c r="I47" s="54"/>
      <c r="J47" s="56"/>
      <c r="K47" s="55"/>
      <c r="L47" s="55"/>
      <c r="M47" s="55"/>
      <c r="N47" s="55"/>
      <c r="O47" s="55"/>
      <c r="P47" s="55"/>
      <c r="Q47" s="55"/>
      <c r="R47" s="55"/>
      <c r="S47" s="55"/>
    </row>
    <row r="48" spans="2:45">
      <c r="B48" s="61" t="str">
        <f t="shared" si="1"/>
        <v>EN_STG_4hBatt_NMC111</v>
      </c>
      <c r="C48" s="54"/>
      <c r="D48" s="54"/>
      <c r="E48" s="54"/>
      <c r="F48" s="54">
        <v>1</v>
      </c>
      <c r="G48" s="54"/>
      <c r="H48" s="54"/>
      <c r="I48" s="54"/>
      <c r="J48" s="56"/>
      <c r="K48" s="55"/>
      <c r="L48" s="55"/>
      <c r="M48" s="55"/>
      <c r="N48" s="55"/>
      <c r="O48" s="55"/>
      <c r="P48" s="55"/>
      <c r="Q48" s="55"/>
      <c r="R48" s="55"/>
      <c r="S48" s="55"/>
    </row>
    <row r="49" spans="2:19">
      <c r="B49" s="61" t="str">
        <f t="shared" si="1"/>
        <v>EN_STG_4hBatt_NMC532</v>
      </c>
      <c r="C49" s="54"/>
      <c r="D49" s="54"/>
      <c r="E49" s="54"/>
      <c r="F49" s="54"/>
      <c r="G49" s="54">
        <v>1</v>
      </c>
      <c r="H49" s="54"/>
      <c r="I49" s="54"/>
      <c r="J49" s="56"/>
      <c r="K49" s="55"/>
      <c r="L49" s="55"/>
      <c r="M49" s="55"/>
      <c r="N49" s="55"/>
      <c r="O49" s="55"/>
      <c r="P49" s="55"/>
      <c r="Q49" s="55"/>
      <c r="R49" s="55"/>
      <c r="S49" s="55"/>
    </row>
    <row r="50" spans="2:19">
      <c r="B50" s="61" t="str">
        <f t="shared" si="1"/>
        <v>EN_STG_4hBatt_NMC622</v>
      </c>
      <c r="C50" s="54"/>
      <c r="D50" s="54"/>
      <c r="E50" s="54"/>
      <c r="F50" s="54"/>
      <c r="G50" s="54"/>
      <c r="H50" s="54">
        <v>1</v>
      </c>
      <c r="I50" s="54"/>
      <c r="J50" s="56"/>
      <c r="K50" s="55"/>
      <c r="L50" s="55"/>
      <c r="M50" s="55"/>
      <c r="N50" s="55"/>
      <c r="O50" s="55"/>
      <c r="P50" s="55"/>
      <c r="Q50" s="55"/>
      <c r="R50" s="55"/>
      <c r="S50" s="55"/>
    </row>
    <row r="51" spans="2:19">
      <c r="B51" s="61" t="str">
        <f t="shared" si="1"/>
        <v>EN_STG_4hBatt_NMC811</v>
      </c>
      <c r="C51" s="54"/>
      <c r="D51" s="54"/>
      <c r="E51" s="54"/>
      <c r="F51" s="54"/>
      <c r="G51" s="54"/>
      <c r="H51" s="54"/>
      <c r="I51" s="54">
        <v>1</v>
      </c>
      <c r="J51" s="56"/>
      <c r="K51" s="55"/>
      <c r="L51" s="55"/>
      <c r="M51" s="55"/>
      <c r="N51" s="55"/>
      <c r="O51" s="55"/>
      <c r="P51" s="55"/>
      <c r="Q51" s="55"/>
      <c r="R51" s="55"/>
      <c r="S51" s="55"/>
    </row>
    <row r="52" spans="2:19">
      <c r="B52" s="55"/>
      <c r="C52" s="55"/>
      <c r="D52" s="55"/>
      <c r="E52" s="55"/>
      <c r="F52" s="55"/>
      <c r="G52" s="55"/>
      <c r="H52" s="55"/>
      <c r="I52" s="55"/>
      <c r="J52" s="62"/>
      <c r="K52" s="55"/>
      <c r="L52" s="55"/>
      <c r="M52" s="55"/>
      <c r="N52" s="55"/>
      <c r="O52" s="55"/>
      <c r="P52" s="55"/>
      <c r="Q52" s="55"/>
      <c r="R52" s="55"/>
      <c r="S52" s="55"/>
    </row>
    <row r="53" spans="2:19">
      <c r="B53" s="4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</row>
    <row r="54" spans="2:19">
      <c r="B54" s="4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</row>
    <row r="58" spans="2:19">
      <c r="B58" s="63" t="s">
        <v>147</v>
      </c>
      <c r="C58" s="63"/>
      <c r="D58" s="63"/>
      <c r="E58" s="63"/>
      <c r="F58" s="63"/>
      <c r="G58" s="63"/>
      <c r="H58" s="63"/>
      <c r="I58" s="63"/>
    </row>
    <row r="59" spans="2:19">
      <c r="B59" s="63" t="s">
        <v>81</v>
      </c>
      <c r="C59" s="64" t="s">
        <v>148</v>
      </c>
      <c r="D59" s="63" t="s">
        <v>149</v>
      </c>
      <c r="E59" s="63" t="s">
        <v>150</v>
      </c>
      <c r="F59" s="63" t="s">
        <v>151</v>
      </c>
      <c r="G59" s="63" t="s">
        <v>152</v>
      </c>
      <c r="H59" s="63" t="s">
        <v>153</v>
      </c>
      <c r="I59" s="63" t="s">
        <v>154</v>
      </c>
    </row>
    <row r="60" spans="2:19">
      <c r="B60" s="63" t="s">
        <v>90</v>
      </c>
      <c r="C60" s="63">
        <v>1</v>
      </c>
      <c r="D60" s="63"/>
      <c r="E60" s="63"/>
      <c r="F60" s="63"/>
      <c r="G60" s="63"/>
      <c r="H60" s="63"/>
      <c r="I60" s="63"/>
    </row>
    <row r="61" spans="2:19">
      <c r="B61" s="63" t="s">
        <v>97</v>
      </c>
      <c r="C61" s="63"/>
      <c r="D61" s="63">
        <v>1</v>
      </c>
      <c r="E61" s="63"/>
      <c r="F61" s="63"/>
      <c r="G61" s="63"/>
      <c r="H61" s="63"/>
      <c r="I61" s="63"/>
    </row>
    <row r="62" spans="2:19">
      <c r="B62" s="63" t="s">
        <v>99</v>
      </c>
      <c r="C62" s="63"/>
      <c r="D62" s="63"/>
      <c r="E62" s="63">
        <v>1</v>
      </c>
      <c r="F62" s="63"/>
      <c r="G62" s="63"/>
      <c r="H62" s="63"/>
      <c r="I62" s="63"/>
    </row>
    <row r="63" spans="2:19">
      <c r="B63" s="63" t="s">
        <v>100</v>
      </c>
      <c r="C63" s="63"/>
      <c r="D63" s="63"/>
      <c r="E63" s="63"/>
      <c r="F63" s="63">
        <v>1</v>
      </c>
      <c r="G63" s="63"/>
      <c r="H63" s="63"/>
      <c r="I63" s="63"/>
    </row>
    <row r="64" spans="2:19">
      <c r="B64" s="63" t="s">
        <v>101</v>
      </c>
      <c r="C64" s="63"/>
      <c r="D64" s="63"/>
      <c r="E64" s="63"/>
      <c r="F64" s="63"/>
      <c r="G64" s="63">
        <v>1</v>
      </c>
      <c r="H64" s="63"/>
      <c r="I64" s="63"/>
    </row>
    <row r="65" spans="2:9">
      <c r="B65" s="63" t="s">
        <v>102</v>
      </c>
      <c r="C65" s="63"/>
      <c r="D65" s="63"/>
      <c r="E65" s="63"/>
      <c r="F65" s="63"/>
      <c r="G65" s="63"/>
      <c r="H65" s="63">
        <v>1</v>
      </c>
      <c r="I65" s="63"/>
    </row>
    <row r="66" spans="2:9">
      <c r="B66" s="63" t="s">
        <v>103</v>
      </c>
      <c r="C66" s="63"/>
      <c r="D66" s="63"/>
      <c r="E66" s="63"/>
      <c r="F66" s="63"/>
      <c r="G66" s="63"/>
      <c r="H66" s="63"/>
      <c r="I66" s="63">
        <v>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G18" sqref="G18"/>
    </sheetView>
  </sheetViews>
  <sheetFormatPr defaultColWidth="11.4545454545455" defaultRowHeight="14.5"/>
  <sheetData>
    <row r="1" spans="1:1">
      <c r="A1" s="13" t="s">
        <v>155</v>
      </c>
    </row>
    <row r="2" spans="1:1">
      <c r="A2" t="s">
        <v>156</v>
      </c>
    </row>
    <row r="4" spans="1:1">
      <c r="A4" s="13" t="s">
        <v>157</v>
      </c>
    </row>
    <row r="5" spans="1:1">
      <c r="A5" t="s">
        <v>158</v>
      </c>
    </row>
    <row r="7" spans="1:1">
      <c r="A7" s="13" t="s">
        <v>159</v>
      </c>
    </row>
    <row r="8" spans="1:1">
      <c r="A8" t="s">
        <v>160</v>
      </c>
    </row>
    <row r="9" spans="1:1">
      <c r="A9" t="s">
        <v>161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H13" sqref="H13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162</v>
      </c>
      <c r="B1" t="s">
        <v>163</v>
      </c>
    </row>
    <row r="2" spans="1:2">
      <c r="A2" s="26">
        <v>43598</v>
      </c>
      <c r="B2" t="s">
        <v>164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AP24" sqref="AP24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2:30">
      <c r="D2" s="2" t="s">
        <v>165</v>
      </c>
      <c r="E2" s="2"/>
      <c r="F2" s="2"/>
      <c r="G2" s="2"/>
      <c r="P2" s="3" t="s">
        <v>166</v>
      </c>
      <c r="Q2" s="3"/>
      <c r="R2" s="3"/>
      <c r="S2" s="3"/>
      <c r="T2" s="3"/>
      <c r="U2" s="3"/>
      <c r="V2" s="3"/>
    </row>
    <row r="3" spans="2:30">
      <c r="B3" t="s">
        <v>3</v>
      </c>
      <c r="C3" s="2" t="s">
        <v>4</v>
      </c>
      <c r="D3" s="2" t="s">
        <v>5</v>
      </c>
      <c r="E3">
        <v>2010</v>
      </c>
      <c r="F3">
        <v>2050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P3" s="3" t="s">
        <v>12</v>
      </c>
      <c r="Q3" s="3" t="s">
        <v>3</v>
      </c>
      <c r="R3" s="3" t="s">
        <v>13</v>
      </c>
      <c r="S3" s="3" t="s">
        <v>14</v>
      </c>
      <c r="T3" s="3" t="s">
        <v>15</v>
      </c>
      <c r="U3" s="3" t="s">
        <v>16</v>
      </c>
      <c r="V3" s="3" t="s">
        <v>17</v>
      </c>
      <c r="W3" s="3" t="s">
        <v>18</v>
      </c>
      <c r="AC3" t="s">
        <v>19</v>
      </c>
      <c r="AD3" t="s">
        <v>20</v>
      </c>
    </row>
    <row r="4" spans="2:30">
      <c r="B4" t="s">
        <v>21</v>
      </c>
      <c r="C4" t="s">
        <v>22</v>
      </c>
      <c r="D4" t="s">
        <v>23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0">
        <v>40</v>
      </c>
      <c r="L4">
        <v>30</v>
      </c>
      <c r="N4" s="19">
        <v>4.39209127426147</v>
      </c>
      <c r="P4" s="3" t="s">
        <v>24</v>
      </c>
      <c r="Q4" s="3" t="str">
        <f>B4</f>
        <v>EN_COAPUL</v>
      </c>
      <c r="R4" s="3" t="s">
        <v>25</v>
      </c>
      <c r="S4" s="3" t="s">
        <v>26</v>
      </c>
      <c r="T4" s="3" t="s">
        <v>27</v>
      </c>
      <c r="U4" s="3" t="s">
        <v>28</v>
      </c>
      <c r="V4" s="3"/>
      <c r="W4" s="3" t="s">
        <v>29</v>
      </c>
      <c r="Z4">
        <v>1</v>
      </c>
      <c r="AA4" t="s">
        <v>30</v>
      </c>
      <c r="AB4" t="s">
        <v>31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32</v>
      </c>
      <c r="C5" t="s">
        <v>22</v>
      </c>
      <c r="D5" t="s">
        <v>23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0">
        <v>40</v>
      </c>
      <c r="L5">
        <v>30</v>
      </c>
      <c r="N5" s="19">
        <v>7.09491634368896</v>
      </c>
      <c r="P5" s="3"/>
      <c r="Q5" s="3" t="str">
        <f t="shared" ref="Q5:Q16" si="1">B5</f>
        <v>EN_COAIGCC</v>
      </c>
      <c r="R5" s="3" t="s">
        <v>33</v>
      </c>
      <c r="S5" s="3" t="s">
        <v>26</v>
      </c>
      <c r="T5" s="3" t="s">
        <v>27</v>
      </c>
      <c r="U5" s="3" t="s">
        <v>28</v>
      </c>
      <c r="V5" s="3"/>
      <c r="W5" s="3" t="s">
        <v>29</v>
      </c>
      <c r="Z5">
        <v>2</v>
      </c>
      <c r="AA5" t="s">
        <v>34</v>
      </c>
      <c r="AB5" t="s">
        <v>35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36</v>
      </c>
      <c r="C6" t="s">
        <v>22</v>
      </c>
      <c r="D6" t="s">
        <v>23</v>
      </c>
      <c r="H6" s="19">
        <v>65.3089370727539</v>
      </c>
      <c r="I6" s="19">
        <f t="shared" si="0"/>
        <v>1.28199676142799</v>
      </c>
      <c r="J6" s="19">
        <v>0.85</v>
      </c>
      <c r="K6" s="20">
        <v>40</v>
      </c>
      <c r="L6">
        <v>30</v>
      </c>
      <c r="N6" s="19">
        <v>4.37458610534668</v>
      </c>
      <c r="P6" s="3"/>
      <c r="Q6" s="3" t="str">
        <f t="shared" si="1"/>
        <v>EN_ZCOAIGCC</v>
      </c>
      <c r="R6" s="3" t="s">
        <v>37</v>
      </c>
      <c r="S6" s="3" t="s">
        <v>26</v>
      </c>
      <c r="T6" s="3" t="s">
        <v>27</v>
      </c>
      <c r="U6" s="3" t="s">
        <v>28</v>
      </c>
      <c r="V6" s="3"/>
      <c r="W6" s="3" t="s">
        <v>29</v>
      </c>
      <c r="Z6">
        <v>3</v>
      </c>
      <c r="AA6" t="s">
        <v>38</v>
      </c>
      <c r="AB6" t="s">
        <v>39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40</v>
      </c>
      <c r="C7" t="s">
        <v>41</v>
      </c>
      <c r="D7" t="s">
        <v>23</v>
      </c>
      <c r="H7" s="19">
        <v>31.2347888946533</v>
      </c>
      <c r="I7" s="19">
        <f t="shared" si="0"/>
        <v>1.95249267220497</v>
      </c>
      <c r="J7" s="19">
        <v>0.87</v>
      </c>
      <c r="K7" s="20">
        <v>30</v>
      </c>
      <c r="L7">
        <v>30</v>
      </c>
      <c r="N7" s="19">
        <v>6.66253423690796</v>
      </c>
      <c r="P7" s="3"/>
      <c r="Q7" s="3" t="str">
        <f t="shared" si="1"/>
        <v>EN_ZGasCCAdv</v>
      </c>
      <c r="R7" s="3" t="s">
        <v>42</v>
      </c>
      <c r="S7" s="3" t="s">
        <v>43</v>
      </c>
      <c r="T7" s="3" t="s">
        <v>27</v>
      </c>
      <c r="U7" s="3" t="s">
        <v>28</v>
      </c>
      <c r="V7" s="3"/>
      <c r="W7" s="3" t="s">
        <v>29</v>
      </c>
      <c r="Z7">
        <v>4</v>
      </c>
      <c r="AA7" t="s">
        <v>21</v>
      </c>
      <c r="AB7" t="s">
        <v>44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45</v>
      </c>
      <c r="C8" t="s">
        <v>41</v>
      </c>
      <c r="D8" t="s">
        <v>23</v>
      </c>
      <c r="H8" s="19">
        <v>15.101861000061</v>
      </c>
      <c r="I8" s="19">
        <f t="shared" si="0"/>
        <v>0.941362117065324</v>
      </c>
      <c r="J8" s="19">
        <v>0.87</v>
      </c>
      <c r="K8" s="20">
        <v>30</v>
      </c>
      <c r="L8">
        <v>30</v>
      </c>
      <c r="N8" s="19">
        <v>3.21223092079163</v>
      </c>
      <c r="P8" s="3"/>
      <c r="Q8" s="3" t="str">
        <f t="shared" si="1"/>
        <v>EN_GasCCAdv</v>
      </c>
      <c r="R8" s="3" t="s">
        <v>46</v>
      </c>
      <c r="S8" s="3" t="s">
        <v>43</v>
      </c>
      <c r="T8" s="3" t="s">
        <v>27</v>
      </c>
      <c r="U8" s="3" t="s">
        <v>28</v>
      </c>
      <c r="V8" s="3"/>
      <c r="W8" s="3" t="s">
        <v>29</v>
      </c>
      <c r="Z8">
        <v>5</v>
      </c>
      <c r="AA8" t="s">
        <v>32</v>
      </c>
      <c r="AB8" t="s">
        <v>44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47</v>
      </c>
      <c r="C9" t="s">
        <v>41</v>
      </c>
      <c r="D9" t="s">
        <v>23</v>
      </c>
      <c r="H9" s="19">
        <v>12.9399518966675</v>
      </c>
      <c r="I9" s="19">
        <f t="shared" si="0"/>
        <v>1.0367807696263</v>
      </c>
      <c r="J9" s="19">
        <v>0.87</v>
      </c>
      <c r="K9" s="20">
        <v>30</v>
      </c>
      <c r="L9">
        <v>30</v>
      </c>
      <c r="N9" s="19">
        <v>3.53783011436462</v>
      </c>
      <c r="P9" s="3"/>
      <c r="Q9" s="3" t="str">
        <f t="shared" si="1"/>
        <v>EN_GasCC</v>
      </c>
      <c r="R9" s="3" t="s">
        <v>48</v>
      </c>
      <c r="S9" s="3" t="s">
        <v>43</v>
      </c>
      <c r="T9" s="3" t="s">
        <v>27</v>
      </c>
      <c r="U9" s="3" t="s">
        <v>28</v>
      </c>
      <c r="V9" s="3"/>
      <c r="W9" s="3" t="s">
        <v>29</v>
      </c>
      <c r="Z9">
        <v>6</v>
      </c>
      <c r="AA9" t="s">
        <v>36</v>
      </c>
      <c r="AB9" t="s">
        <v>49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50</v>
      </c>
      <c r="C10" t="s">
        <v>41</v>
      </c>
      <c r="D10" t="s">
        <v>23</v>
      </c>
      <c r="H10" s="19">
        <v>6.91636180877686</v>
      </c>
      <c r="I10" s="19">
        <f t="shared" si="0"/>
        <v>2.9861954636044</v>
      </c>
      <c r="J10" s="19">
        <v>0.06</v>
      </c>
      <c r="K10" s="20">
        <v>30</v>
      </c>
      <c r="L10">
        <v>30</v>
      </c>
      <c r="N10" s="19">
        <v>10.1898612976074</v>
      </c>
      <c r="P10" s="3"/>
      <c r="Q10" s="3" t="str">
        <f t="shared" si="1"/>
        <v>EN_GasCTAdv</v>
      </c>
      <c r="R10" s="3" t="s">
        <v>51</v>
      </c>
      <c r="S10" s="3" t="s">
        <v>43</v>
      </c>
      <c r="T10" s="3" t="s">
        <v>27</v>
      </c>
      <c r="U10" s="3" t="s">
        <v>28</v>
      </c>
      <c r="V10" s="3"/>
      <c r="W10" s="3" t="s">
        <v>29</v>
      </c>
      <c r="Z10">
        <v>7</v>
      </c>
      <c r="AA10" t="s">
        <v>40</v>
      </c>
      <c r="AB10" t="s">
        <v>52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53</v>
      </c>
      <c r="C11" t="s">
        <v>41</v>
      </c>
      <c r="D11" t="s">
        <v>23</v>
      </c>
      <c r="H11" s="19">
        <v>7.21220207214355</v>
      </c>
      <c r="I11" s="19">
        <f t="shared" si="0"/>
        <v>4.4487695561515</v>
      </c>
      <c r="J11" s="19">
        <v>0.06</v>
      </c>
      <c r="K11" s="20">
        <v>30</v>
      </c>
      <c r="L11">
        <v>30</v>
      </c>
      <c r="N11" s="19">
        <v>15.1806354522705</v>
      </c>
      <c r="P11" s="3"/>
      <c r="Q11" s="3" t="str">
        <f t="shared" si="1"/>
        <v>EN_GasCT</v>
      </c>
      <c r="R11" s="3" t="s">
        <v>54</v>
      </c>
      <c r="S11" s="3" t="s">
        <v>43</v>
      </c>
      <c r="T11" s="3" t="s">
        <v>27</v>
      </c>
      <c r="U11" s="3" t="s">
        <v>28</v>
      </c>
      <c r="V11" s="3"/>
      <c r="W11" s="3" t="s">
        <v>29</v>
      </c>
      <c r="Z11">
        <v>8</v>
      </c>
      <c r="AA11" t="s">
        <v>45</v>
      </c>
      <c r="AB11" t="s">
        <v>55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56</v>
      </c>
      <c r="C12" t="s">
        <v>57</v>
      </c>
      <c r="D12" t="s">
        <v>23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0">
        <v>30</v>
      </c>
      <c r="L12">
        <v>30</v>
      </c>
      <c r="N12" s="19">
        <v>5.16757774353027</v>
      </c>
      <c r="P12" s="3"/>
      <c r="Q12" s="3" t="str">
        <f t="shared" si="1"/>
        <v>EN_Biomass</v>
      </c>
      <c r="R12" s="3" t="s">
        <v>58</v>
      </c>
      <c r="S12" s="3" t="s">
        <v>26</v>
      </c>
      <c r="T12" s="3" t="s">
        <v>27</v>
      </c>
      <c r="U12" s="3" t="s">
        <v>28</v>
      </c>
      <c r="V12" s="3"/>
      <c r="W12" s="3" t="s">
        <v>29</v>
      </c>
      <c r="Z12">
        <v>9</v>
      </c>
      <c r="AA12" t="s">
        <v>47</v>
      </c>
      <c r="AB12" t="s">
        <v>59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60</v>
      </c>
      <c r="C13" t="s">
        <v>57</v>
      </c>
      <c r="D13" t="s">
        <v>23</v>
      </c>
      <c r="H13" s="19">
        <v>103.787445068359</v>
      </c>
      <c r="I13" s="19">
        <f t="shared" si="0"/>
        <v>1.51438736650679</v>
      </c>
      <c r="J13" s="19">
        <v>0.83</v>
      </c>
      <c r="K13" s="20">
        <v>30</v>
      </c>
      <c r="L13">
        <v>30</v>
      </c>
      <c r="N13" s="19">
        <v>5.16757774353027</v>
      </c>
      <c r="P13" s="3"/>
      <c r="Q13" s="3" t="str">
        <f t="shared" si="1"/>
        <v>EN_ZBiomass</v>
      </c>
      <c r="R13" s="3" t="s">
        <v>61</v>
      </c>
      <c r="S13" s="3" t="s">
        <v>26</v>
      </c>
      <c r="T13" s="3" t="s">
        <v>27</v>
      </c>
      <c r="U13" s="3" t="s">
        <v>28</v>
      </c>
      <c r="V13" s="3"/>
      <c r="W13" s="3" t="s">
        <v>29</v>
      </c>
      <c r="Z13">
        <v>10</v>
      </c>
      <c r="AA13" t="s">
        <v>50</v>
      </c>
      <c r="AB13" t="s">
        <v>62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63</v>
      </c>
      <c r="C14" t="s">
        <v>64</v>
      </c>
      <c r="D14" t="s">
        <v>23</v>
      </c>
      <c r="H14" s="19">
        <v>15.101861000061</v>
      </c>
      <c r="I14" s="19">
        <f t="shared" si="0"/>
        <v>0.941362117065324</v>
      </c>
      <c r="J14" s="19">
        <v>0.3</v>
      </c>
      <c r="K14" s="20">
        <v>30</v>
      </c>
      <c r="L14">
        <v>30</v>
      </c>
      <c r="N14" s="19">
        <v>3.21223092079163</v>
      </c>
      <c r="P14" s="3"/>
      <c r="Q14" s="3" t="str">
        <f t="shared" si="1"/>
        <v>EN_OilCCAdv</v>
      </c>
      <c r="R14" s="3" t="s">
        <v>65</v>
      </c>
      <c r="S14" s="3" t="s">
        <v>43</v>
      </c>
      <c r="T14" s="3" t="s">
        <v>27</v>
      </c>
      <c r="U14" s="3" t="s">
        <v>28</v>
      </c>
      <c r="V14" s="3"/>
      <c r="W14" s="3" t="s">
        <v>29</v>
      </c>
      <c r="Z14">
        <v>11</v>
      </c>
      <c r="AA14" t="s">
        <v>53</v>
      </c>
      <c r="AB14" t="s">
        <v>66</v>
      </c>
      <c r="AC14">
        <f>MATCH(AB14,ovrcst!$A$4:$W$4,0)</f>
        <v>5</v>
      </c>
      <c r="AD14">
        <f>IFERROR(MATCH(AB14,heatrate!$K$4:$T$4,0),1)</f>
        <v>5</v>
      </c>
    </row>
    <row r="15" spans="2:30">
      <c r="B15" s="21" t="s">
        <v>67</v>
      </c>
      <c r="C15" t="s">
        <v>68</v>
      </c>
      <c r="D15" t="s">
        <v>23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0">
        <v>50</v>
      </c>
      <c r="L15">
        <v>30</v>
      </c>
      <c r="N15" s="19">
        <f>N13</f>
        <v>5.16757774353027</v>
      </c>
      <c r="Q15" s="3" t="str">
        <f t="shared" si="1"/>
        <v>EN_NuclearAdv</v>
      </c>
      <c r="R15" s="21" t="s">
        <v>69</v>
      </c>
      <c r="S15" s="3" t="s">
        <v>26</v>
      </c>
      <c r="T15" s="3" t="s">
        <v>27</v>
      </c>
      <c r="U15" s="3" t="s">
        <v>28</v>
      </c>
      <c r="V15" s="3"/>
      <c r="W15" s="3" t="s">
        <v>29</v>
      </c>
      <c r="Z15">
        <v>12</v>
      </c>
      <c r="AA15" t="s">
        <v>56</v>
      </c>
      <c r="AB15" t="s">
        <v>70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71</v>
      </c>
      <c r="C16" t="s">
        <v>72</v>
      </c>
      <c r="D16" t="s">
        <v>23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3" t="str">
        <f t="shared" si="1"/>
        <v>EN_GeoThermal</v>
      </c>
      <c r="R16" s="3" t="s">
        <v>73</v>
      </c>
      <c r="S16" s="3" t="s">
        <v>26</v>
      </c>
      <c r="T16" s="3" t="s">
        <v>27</v>
      </c>
      <c r="U16" s="3" t="s">
        <v>28</v>
      </c>
      <c r="V16" s="3"/>
      <c r="Z16">
        <v>13</v>
      </c>
      <c r="AA16" t="s">
        <v>60</v>
      </c>
      <c r="AB16" t="s">
        <v>49</v>
      </c>
      <c r="AC16">
        <f>MATCH(AB16,ovrcst!$A$4:$W$4,0)</f>
        <v>3</v>
      </c>
      <c r="AD16">
        <f>IFERROR(MATCH(AB16,heatrate!$K$4:$T$4,0),1)</f>
        <v>3</v>
      </c>
    </row>
    <row r="17" spans="2:34">
      <c r="Z17">
        <v>14</v>
      </c>
      <c r="AA17" t="s">
        <v>63</v>
      </c>
      <c r="AB17" t="s">
        <v>62</v>
      </c>
      <c r="AC17">
        <f>MATCH(AB17,ovrcst!$A$4:$W$4,0)</f>
        <v>6</v>
      </c>
      <c r="AD17">
        <f>IFERROR(MATCH(AB17,heatrate!$K$4:$T$4,0),1)</f>
        <v>6</v>
      </c>
    </row>
    <row r="18" spans="2:34">
      <c r="Z18">
        <v>15</v>
      </c>
      <c r="AA18" t="s">
        <v>74</v>
      </c>
      <c r="AB18" t="s">
        <v>75</v>
      </c>
      <c r="AC18">
        <f>MATCH(AB18,ovrcst!$A$4:$W$4,0)</f>
        <v>15</v>
      </c>
      <c r="AD18">
        <f>IFERROR(MATCH(AB18,heatrate!$K$4:$T$4,0),1)</f>
        <v>1</v>
      </c>
    </row>
    <row r="19" spans="2:34">
      <c r="Z19">
        <v>16</v>
      </c>
      <c r="AA19" s="21" t="s">
        <v>67</v>
      </c>
      <c r="AB19" t="s">
        <v>76</v>
      </c>
      <c r="AC19">
        <f>MATCH(AB19,ovrcst!$A$4:$W$4,0)</f>
        <v>11</v>
      </c>
      <c r="AD19">
        <f>IFERROR(MATCH(AB19,heatrate!$K$4:$T$4,0),1)</f>
        <v>1</v>
      </c>
    </row>
    <row r="20" spans="2:34">
      <c r="AA20" s="21"/>
    </row>
    <row r="21" spans="2:34">
      <c r="B21" t="s">
        <v>167</v>
      </c>
    </row>
    <row r="22" spans="2:34">
      <c r="B22" t="s">
        <v>3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0">
        <f>VLOOKUP(C$22,ovrcst!$A$5:$W$36,VLOOKUP('ELC_Gen-sdj'!$B23,'ELC_Gen-sdj'!$AA$4:$AC$19,3,FALSE))</f>
        <v>5715.78799287169</v>
      </c>
      <c r="D23" s="20">
        <f>VLOOKUP(D$22,ovrcst!$A$5:$W$36,VLOOKUP('ELC_Gen-sdj'!$B23,'ELC_Gen-sdj'!$AA$4:$AC$19,3,FALSE))</f>
        <v>5651.68641038696</v>
      </c>
      <c r="E23" s="20">
        <f>VLOOKUP(E$22,ovrcst!$A$5:$W$36,VLOOKUP('ELC_Gen-sdj'!$B23,'ELC_Gen-sdj'!$AA$4:$AC$19,3,FALSE))</f>
        <v>5513.49933604888</v>
      </c>
      <c r="F23" s="20">
        <f>VLOOKUP(F$22,ovrcst!$A$5:$W$36,VLOOKUP('ELC_Gen-sdj'!$B23,'ELC_Gen-sdj'!$AA$4:$AC$19,3,FALSE))</f>
        <v>5427.62747046843</v>
      </c>
      <c r="G23" s="20">
        <f>VLOOKUP(G$22,ovrcst!$A$5:$W$36,VLOOKUP('ELC_Gen-sdj'!$B23,'ELC_Gen-sdj'!$AA$4:$AC$19,3,FALSE))</f>
        <v>5366.88070773931</v>
      </c>
      <c r="H23" s="20">
        <f>VLOOKUP(H$22,ovrcst!$A$5:$W$36,VLOOKUP('ELC_Gen-sdj'!$B23,'ELC_Gen-sdj'!$AA$4:$AC$19,3,FALSE))</f>
        <v>5317.94418635438</v>
      </c>
      <c r="I23" s="20">
        <f>VLOOKUP(I$22,ovrcst!$A$5:$W$36,VLOOKUP('ELC_Gen-sdj'!$B23,'ELC_Gen-sdj'!$AA$4:$AC$19,3,FALSE))</f>
        <v>5278.09655804481</v>
      </c>
      <c r="J23" s="20">
        <f>VLOOKUP(J$22,ovrcst!$A$5:$W$36,VLOOKUP('ELC_Gen-sdj'!$B23,'ELC_Gen-sdj'!$AA$4:$AC$19,3,FALSE))</f>
        <v>5225.57549592668</v>
      </c>
      <c r="K23" s="20">
        <f>VLOOKUP(K$22,ovrcst!$A$5:$W$36,VLOOKUP('ELC_Gen-sdj'!$B23,'ELC_Gen-sdj'!$AA$4:$AC$19,3,FALSE))</f>
        <v>5162.74931160896</v>
      </c>
      <c r="L23" s="20">
        <f>VLOOKUP(L$22,ovrcst!$A$5:$W$36,VLOOKUP('ELC_Gen-sdj'!$B23,'ELC_Gen-sdj'!$AA$4:$AC$19,3,FALSE))</f>
        <v>5092.60736252546</v>
      </c>
      <c r="M23" s="20">
        <f>VLOOKUP(M$22,ovrcst!$A$5:$W$36,VLOOKUP('ELC_Gen-sdj'!$B23,'ELC_Gen-sdj'!$AA$4:$AC$19,3,FALSE))</f>
        <v>5020.64206517312</v>
      </c>
      <c r="N23" s="20">
        <f>VLOOKUP(N$22,ovrcst!$A$5:$W$36,VLOOKUP('ELC_Gen-sdj'!$B23,'ELC_Gen-sdj'!$AA$4:$AC$19,3,FALSE))</f>
        <v>4957.23809775967</v>
      </c>
      <c r="O23" s="20">
        <f>VLOOKUP(O$22,ovrcst!$A$5:$W$36,VLOOKUP('ELC_Gen-sdj'!$B23,'ELC_Gen-sdj'!$AA$4:$AC$19,3,FALSE))</f>
        <v>4894.15733197556</v>
      </c>
      <c r="P23" s="20">
        <f>VLOOKUP(P$22,ovrcst!$A$5:$W$36,VLOOKUP('ELC_Gen-sdj'!$B23,'ELC_Gen-sdj'!$AA$4:$AC$19,3,FALSE))</f>
        <v>4831.2734694501</v>
      </c>
      <c r="Q23" s="20">
        <f>VLOOKUP(Q$22,ovrcst!$A$5:$W$36,VLOOKUP('ELC_Gen-sdj'!$B23,'ELC_Gen-sdj'!$AA$4:$AC$19,3,FALSE))</f>
        <v>4771.21835641548</v>
      </c>
      <c r="R23" s="20">
        <f>VLOOKUP(R$22,ovrcst!$A$5:$W$36,VLOOKUP('ELC_Gen-sdj'!$B23,'ELC_Gen-sdj'!$AA$4:$AC$19,3,FALSE))</f>
        <v>4711.93395213849</v>
      </c>
      <c r="S23" s="20">
        <f>VLOOKUP(S$22,ovrcst!$A$5:$W$36,VLOOKUP('ELC_Gen-sdj'!$B23,'ELC_Gen-sdj'!$AA$4:$AC$19,3,FALSE))</f>
        <v>4649.74124032587</v>
      </c>
      <c r="T23" s="20">
        <f>VLOOKUP(T$22,ovrcst!$A$5:$W$36,VLOOKUP('ELC_Gen-sdj'!$B23,'ELC_Gen-sdj'!$AA$4:$AC$19,3,FALSE))</f>
        <v>4590.54186252546</v>
      </c>
      <c r="U23" s="20">
        <f>VLOOKUP(U$22,ovrcst!$A$5:$W$36,VLOOKUP('ELC_Gen-sdj'!$B23,'ELC_Gen-sdj'!$AA$4:$AC$19,3,FALSE))</f>
        <v>4532.31506924644</v>
      </c>
      <c r="V23" s="20">
        <f>VLOOKUP(V$22,ovrcst!$A$5:$W$36,VLOOKUP('ELC_Gen-sdj'!$B23,'ELC_Gen-sdj'!$AA$4:$AC$19,3,FALSE))</f>
        <v>4476.12543380855</v>
      </c>
      <c r="W23" s="20">
        <f>VLOOKUP(W$22,ovrcst!$A$5:$W$36,VLOOKUP('ELC_Gen-sdj'!$B23,'ELC_Gen-sdj'!$AA$4:$AC$19,3,FALSE))</f>
        <v>4419.47436659878</v>
      </c>
      <c r="X23" s="20">
        <f>VLOOKUP(X$22,ovrcst!$A$5:$W$36,VLOOKUP('ELC_Gen-sdj'!$B23,'ELC_Gen-sdj'!$AA$4:$AC$19,3,FALSE))</f>
        <v>4364.73067922607</v>
      </c>
      <c r="Y23" s="20">
        <f>VLOOKUP(Y$22,ovrcst!$A$5:$W$36,VLOOKUP('ELC_Gen-sdj'!$B23,'ELC_Gen-sdj'!$AA$4:$AC$19,3,FALSE))</f>
        <v>4311.29819144603</v>
      </c>
      <c r="Z23" s="20">
        <f>VLOOKUP(Z$22,ovrcst!$A$5:$W$36,VLOOKUP('ELC_Gen-sdj'!$B23,'ELC_Gen-sdj'!$AA$4:$AC$19,3,FALSE))</f>
        <v>4254.75452647658</v>
      </c>
      <c r="AA23" s="20">
        <f>VLOOKUP(AA$22,ovrcst!$A$5:$W$36,VLOOKUP('ELC_Gen-sdj'!$B23,'ELC_Gen-sdj'!$AA$4:$AC$19,3,FALSE))</f>
        <v>4204.72011812627</v>
      </c>
      <c r="AB23" s="20">
        <f>VLOOKUP(AB$22,ovrcst!$A$5:$W$36,VLOOKUP('ELC_Gen-sdj'!$B23,'ELC_Gen-sdj'!$AA$4:$AC$19,3,FALSE))</f>
        <v>4149.41306822811</v>
      </c>
      <c r="AC23" s="20">
        <f>VLOOKUP(AC$22,ovrcst!$A$5:$W$36,VLOOKUP('ELC_Gen-sdj'!$B23,'ELC_Gen-sdj'!$AA$4:$AC$19,3,FALSE))</f>
        <v>4099.60241344195</v>
      </c>
      <c r="AD23" s="20">
        <f>VLOOKUP(AD$22,ovrcst!$A$5:$W$36,VLOOKUP('ELC_Gen-sdj'!$B23,'ELC_Gen-sdj'!$AA$4:$AC$19,3,FALSE))</f>
        <v>4045.53744704684</v>
      </c>
      <c r="AE23" s="20">
        <f>VLOOKUP(AE$22,ovrcst!$A$5:$W$36,VLOOKUP('ELC_Gen-sdj'!$B23,'ELC_Gen-sdj'!$AA$4:$AC$19,3,FALSE))</f>
        <v>3995.28674338086</v>
      </c>
      <c r="AF23" s="20">
        <f>VLOOKUP(AF$22,ovrcst!$A$5:$W$36,VLOOKUP('ELC_Gen-sdj'!$B23,'ELC_Gen-sdj'!$AA$4:$AC$19,3,FALSE))</f>
        <v>3945.05319348269</v>
      </c>
      <c r="AG23" s="20">
        <f>VLOOKUP(AG$22,ovrcst!$A$5:$W$36,VLOOKUP('ELC_Gen-sdj'!$B23,'ELC_Gen-sdj'!$AA$4:$AC$19,3,FALSE))</f>
        <v>3894.91287474542</v>
      </c>
      <c r="AH23" s="20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0">
        <f>VLOOKUP(C$22,ovrcst!$A$5:$W$36,VLOOKUP('ELC_Gen-sdj'!$B24,'ELC_Gen-sdj'!$AA$4:$AC$19,3,FALSE))</f>
        <v>2204.75272645371</v>
      </c>
      <c r="D24" s="20">
        <f>VLOOKUP(D$22,ovrcst!$A$5:$W$36,VLOOKUP('ELC_Gen-sdj'!$B24,'ELC_Gen-sdj'!$AA$4:$AC$19,3,FALSE))</f>
        <v>2176.35507794149</v>
      </c>
      <c r="E24" s="20">
        <f>VLOOKUP(E$22,ovrcst!$A$5:$W$36,VLOOKUP('ELC_Gen-sdj'!$B24,'ELC_Gen-sdj'!$AA$4:$AC$19,3,FALSE))</f>
        <v>2119.52768406583</v>
      </c>
      <c r="F24" s="20">
        <f>VLOOKUP(F$22,ovrcst!$A$5:$W$36,VLOOKUP('ELC_Gen-sdj'!$B24,'ELC_Gen-sdj'!$AA$4:$AC$19,3,FALSE))</f>
        <v>2082.92714602501</v>
      </c>
      <c r="G24" s="20">
        <f>VLOOKUP(G$22,ovrcst!$A$5:$W$36,VLOOKUP('ELC_Gen-sdj'!$B24,'ELC_Gen-sdj'!$AA$4:$AC$19,3,FALSE))</f>
        <v>2023.7324353742</v>
      </c>
      <c r="H24" s="20">
        <f>VLOOKUP(H$22,ovrcst!$A$5:$W$36,VLOOKUP('ELC_Gen-sdj'!$B24,'ELC_Gen-sdj'!$AA$4:$AC$19,3,FALSE))</f>
        <v>1991.66805414048</v>
      </c>
      <c r="I24" s="20">
        <f>VLOOKUP(I$22,ovrcst!$A$5:$W$36,VLOOKUP('ELC_Gen-sdj'!$B24,'ELC_Gen-sdj'!$AA$4:$AC$19,3,FALSE))</f>
        <v>1962.45998140154</v>
      </c>
      <c r="J24" s="20">
        <f>VLOOKUP(J$22,ovrcst!$A$5:$W$36,VLOOKUP('ELC_Gen-sdj'!$B24,'ELC_Gen-sdj'!$AA$4:$AC$19,3,FALSE))</f>
        <v>1929.65633053454</v>
      </c>
      <c r="K24" s="20">
        <f>VLOOKUP(K$22,ovrcst!$A$5:$W$36,VLOOKUP('ELC_Gen-sdj'!$B24,'ELC_Gen-sdj'!$AA$4:$AC$19,3,FALSE))</f>
        <v>1894.16829580452</v>
      </c>
      <c r="L24" s="20">
        <f>VLOOKUP(L$22,ovrcst!$A$5:$W$36,VLOOKUP('ELC_Gen-sdj'!$B24,'ELC_Gen-sdj'!$AA$4:$AC$19,3,FALSE))</f>
        <v>1861.10162262903</v>
      </c>
      <c r="M24" s="20">
        <f>VLOOKUP(M$22,ovrcst!$A$5:$W$36,VLOOKUP('ELC_Gen-sdj'!$B24,'ELC_Gen-sdj'!$AA$4:$AC$19,3,FALSE))</f>
        <v>1827.58595893258</v>
      </c>
      <c r="N24" s="20">
        <f>VLOOKUP(N$22,ovrcst!$A$5:$W$36,VLOOKUP('ELC_Gen-sdj'!$B24,'ELC_Gen-sdj'!$AA$4:$AC$19,3,FALSE))</f>
        <v>1799.75824992702</v>
      </c>
      <c r="O24" s="20">
        <f>VLOOKUP(O$22,ovrcst!$A$5:$W$36,VLOOKUP('ELC_Gen-sdj'!$B24,'ELC_Gen-sdj'!$AA$4:$AC$19,3,FALSE))</f>
        <v>1772.72055130334</v>
      </c>
      <c r="P24" s="20">
        <f>VLOOKUP(P$22,ovrcst!$A$5:$W$36,VLOOKUP('ELC_Gen-sdj'!$B24,'ELC_Gen-sdj'!$AA$4:$AC$19,3,FALSE))</f>
        <v>1744.33989467314</v>
      </c>
      <c r="Q24" s="20">
        <f>VLOOKUP(Q$22,ovrcst!$A$5:$W$36,VLOOKUP('ELC_Gen-sdj'!$B24,'ELC_Gen-sdj'!$AA$4:$AC$19,3,FALSE))</f>
        <v>1718.35770627959</v>
      </c>
      <c r="R24" s="20">
        <f>VLOOKUP(R$22,ovrcst!$A$5:$W$36,VLOOKUP('ELC_Gen-sdj'!$B24,'ELC_Gen-sdj'!$AA$4:$AC$19,3,FALSE))</f>
        <v>1691.78351251916</v>
      </c>
      <c r="S24" s="20">
        <f>VLOOKUP(S$22,ovrcst!$A$5:$W$36,VLOOKUP('ELC_Gen-sdj'!$B24,'ELC_Gen-sdj'!$AA$4:$AC$19,3,FALSE))</f>
        <v>1665.42301550323</v>
      </c>
      <c r="T24" s="20">
        <f>VLOOKUP(T$22,ovrcst!$A$5:$W$36,VLOOKUP('ELC_Gen-sdj'!$B24,'ELC_Gen-sdj'!$AA$4:$AC$19,3,FALSE))</f>
        <v>1639.50490094674</v>
      </c>
      <c r="U24" s="20">
        <f>VLOOKUP(U$22,ovrcst!$A$5:$W$36,VLOOKUP('ELC_Gen-sdj'!$B24,'ELC_Gen-sdj'!$AA$4:$AC$19,3,FALSE))</f>
        <v>1615.45708723299</v>
      </c>
      <c r="V24" s="20">
        <f>VLOOKUP(V$22,ovrcst!$A$5:$W$36,VLOOKUP('ELC_Gen-sdj'!$B24,'ELC_Gen-sdj'!$AA$4:$AC$19,3,FALSE))</f>
        <v>1593.55262572813</v>
      </c>
      <c r="W24" s="20">
        <f>VLOOKUP(W$22,ovrcst!$A$5:$W$36,VLOOKUP('ELC_Gen-sdj'!$B24,'ELC_Gen-sdj'!$AA$4:$AC$19,3,FALSE))</f>
        <v>1571.51376228378</v>
      </c>
      <c r="X24" s="20">
        <f>VLOOKUP(X$22,ovrcst!$A$5:$W$36,VLOOKUP('ELC_Gen-sdj'!$B24,'ELC_Gen-sdj'!$AA$4:$AC$19,3,FALSE))</f>
        <v>1550.18195465609</v>
      </c>
      <c r="Y24" s="20">
        <f>VLOOKUP(Y$22,ovrcst!$A$5:$W$36,VLOOKUP('ELC_Gen-sdj'!$B24,'ELC_Gen-sdj'!$AA$4:$AC$19,3,FALSE))</f>
        <v>1529.34397686212</v>
      </c>
      <c r="Z24" s="20">
        <f>VLOOKUP(Z$22,ovrcst!$A$5:$W$36,VLOOKUP('ELC_Gen-sdj'!$B24,'ELC_Gen-sdj'!$AA$4:$AC$19,3,FALSE))</f>
        <v>1507.43160907651</v>
      </c>
      <c r="AA24" s="20">
        <f>VLOOKUP(AA$22,ovrcst!$A$5:$W$36,VLOOKUP('ELC_Gen-sdj'!$B24,'ELC_Gen-sdj'!$AA$4:$AC$19,3,FALSE))</f>
        <v>1487.85422631741</v>
      </c>
      <c r="AB24" s="20">
        <f>VLOOKUP(AB$22,ovrcst!$A$5:$W$36,VLOOKUP('ELC_Gen-sdj'!$B24,'ELC_Gen-sdj'!$AA$4:$AC$19,3,FALSE))</f>
        <v>1466.43899239628</v>
      </c>
      <c r="AC24" s="20">
        <f>VLOOKUP(AC$22,ovrcst!$A$5:$W$36,VLOOKUP('ELC_Gen-sdj'!$B24,'ELC_Gen-sdj'!$AA$4:$AC$19,3,FALSE))</f>
        <v>1446.99435859464</v>
      </c>
      <c r="AD24" s="20">
        <f>VLOOKUP(AD$22,ovrcst!$A$5:$W$36,VLOOKUP('ELC_Gen-sdj'!$B24,'ELC_Gen-sdj'!$AA$4:$AC$19,3,FALSE))</f>
        <v>1426.07696709696</v>
      </c>
      <c r="AE24" s="20">
        <f>VLOOKUP(AE$22,ovrcst!$A$5:$W$36,VLOOKUP('ELC_Gen-sdj'!$B24,'ELC_Gen-sdj'!$AA$4:$AC$19,3,FALSE))</f>
        <v>1406.53286050958</v>
      </c>
      <c r="AF24" s="20">
        <f>VLOOKUP(AF$22,ovrcst!$A$5:$W$36,VLOOKUP('ELC_Gen-sdj'!$B24,'ELC_Gen-sdj'!$AA$4:$AC$19,3,FALSE))</f>
        <v>1387.02238292344</v>
      </c>
      <c r="AG24" s="20">
        <f>VLOOKUP(AG$22,ovrcst!$A$5:$W$36,VLOOKUP('ELC_Gen-sdj'!$B24,'ELC_Gen-sdj'!$AA$4:$AC$19,3,FALSE))</f>
        <v>1367.57267611025</v>
      </c>
      <c r="AH24" s="20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0">
        <f>VLOOKUP(S$22,ovrcst!$A$5:$W$36,VLOOKUP('ELC_Gen-sdj'!$B25,'ELC_Gen-sdj'!$AA$4:$AC$19,3,FALSE))</f>
        <v>618.168914546257</v>
      </c>
      <c r="T25" s="20">
        <f>VLOOKUP(T$22,ovrcst!$A$5:$W$36,VLOOKUP('ELC_Gen-sdj'!$B25,'ELC_Gen-sdj'!$AA$4:$AC$19,3,FALSE))</f>
        <v>610.47914950728</v>
      </c>
      <c r="U25" s="20">
        <f>VLOOKUP(U$22,ovrcst!$A$5:$W$36,VLOOKUP('ELC_Gen-sdj'!$B25,'ELC_Gen-sdj'!$AA$4:$AC$19,3,FALSE))</f>
        <v>603.691580563318</v>
      </c>
      <c r="V25" s="20">
        <f>VLOOKUP(V$22,ovrcst!$A$5:$W$36,VLOOKUP('ELC_Gen-sdj'!$B25,'ELC_Gen-sdj'!$AA$4:$AC$19,3,FALSE))</f>
        <v>597.892836262686</v>
      </c>
      <c r="W25" s="20">
        <f>VLOOKUP(W$22,ovrcst!$A$5:$W$36,VLOOKUP('ELC_Gen-sdj'!$B25,'ELC_Gen-sdj'!$AA$4:$AC$19,3,FALSE))</f>
        <v>592.006173702015</v>
      </c>
      <c r="X25" s="20">
        <f>VLOOKUP(X$22,ovrcst!$A$5:$W$36,VLOOKUP('ELC_Gen-sdj'!$B25,'ELC_Gen-sdj'!$AA$4:$AC$19,3,FALSE))</f>
        <v>586.348874834534</v>
      </c>
      <c r="Y25" s="20">
        <f>VLOOKUP(Y$22,ovrcst!$A$5:$W$36,VLOOKUP('ELC_Gen-sdj'!$B25,'ELC_Gen-sdj'!$AA$4:$AC$19,3,FALSE))</f>
        <v>580.842559567583</v>
      </c>
      <c r="Z25" s="20">
        <f>VLOOKUP(Z$22,ovrcst!$A$5:$W$36,VLOOKUP('ELC_Gen-sdj'!$B25,'ELC_Gen-sdj'!$AA$4:$AC$19,3,FALSE))</f>
        <v>574.890643844683</v>
      </c>
      <c r="AA25" s="20">
        <f>VLOOKUP(AA$22,ovrcst!$A$5:$W$36,VLOOKUP('ELC_Gen-sdj'!$B25,'ELC_Gen-sdj'!$AA$4:$AC$19,3,FALSE))</f>
        <v>569.792897852625</v>
      </c>
      <c r="AB25" s="20">
        <f>VLOOKUP(AB$22,ovrcst!$A$5:$W$36,VLOOKUP('ELC_Gen-sdj'!$B25,'ELC_Gen-sdj'!$AA$4:$AC$19,3,FALSE))</f>
        <v>563.955384063833</v>
      </c>
      <c r="AC25" s="20">
        <f>VLOOKUP(AC$22,ovrcst!$A$5:$W$36,VLOOKUP('ELC_Gen-sdj'!$B25,'ELC_Gen-sdj'!$AA$4:$AC$19,3,FALSE))</f>
        <v>558.839234630093</v>
      </c>
      <c r="AD25" s="20">
        <f>VLOOKUP(AD$22,ovrcst!$A$5:$W$36,VLOOKUP('ELC_Gen-sdj'!$B25,'ELC_Gen-sdj'!$AA$4:$AC$19,3,FALSE))</f>
        <v>553.117693778497</v>
      </c>
      <c r="AE25" s="20">
        <f>VLOOKUP(AE$22,ovrcst!$A$5:$W$36,VLOOKUP('ELC_Gen-sdj'!$B25,'ELC_Gen-sdj'!$AA$4:$AC$19,3,FALSE))</f>
        <v>547.891688115899</v>
      </c>
      <c r="AF25" s="20">
        <f>VLOOKUP(AF$22,ovrcst!$A$5:$W$36,VLOOKUP('ELC_Gen-sdj'!$B25,'ELC_Gen-sdj'!$AA$4:$AC$19,3,FALSE))</f>
        <v>542.643182821003</v>
      </c>
      <c r="AG25" s="20">
        <f>VLOOKUP(AG$22,ovrcst!$A$5:$W$36,VLOOKUP('ELC_Gen-sdj'!$B25,'ELC_Gen-sdj'!$AA$4:$AC$19,3,FALSE))</f>
        <v>537.382221650243</v>
      </c>
      <c r="AH25" s="20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0">
        <f>VLOOKUP(C$22,ovrcst!$A$5:$W$36,VLOOKUP('ELC_Gen-sdj'!$B26,'ELC_Gen-sdj'!$AA$4:$AC$19,3,FALSE))</f>
        <v>999.327221030146</v>
      </c>
      <c r="D26" s="20">
        <f>VLOOKUP(D$22,ovrcst!$A$5:$W$36,VLOOKUP('ELC_Gen-sdj'!$B26,'ELC_Gen-sdj'!$AA$4:$AC$19,3,FALSE))</f>
        <v>990.019633973847</v>
      </c>
      <c r="E26" s="20">
        <f>VLOOKUP(E$22,ovrcst!$A$5:$W$36,VLOOKUP('ELC_Gen-sdj'!$B26,'ELC_Gen-sdj'!$AA$4:$AC$19,3,FALSE))</f>
        <v>967.683340229199</v>
      </c>
      <c r="F26" s="20">
        <f>VLOOKUP(F$22,ovrcst!$A$5:$W$36,VLOOKUP('ELC_Gen-sdj'!$B26,'ELC_Gen-sdj'!$AA$4:$AC$19,3,FALSE))</f>
        <v>954.469402561413</v>
      </c>
      <c r="G26" s="20">
        <f>VLOOKUP(G$22,ovrcst!$A$5:$W$36,VLOOKUP('ELC_Gen-sdj'!$B26,'ELC_Gen-sdj'!$AA$4:$AC$19,3,FALSE))</f>
        <v>945.639986721449</v>
      </c>
      <c r="H26" s="20">
        <f>VLOOKUP(H$22,ovrcst!$A$5:$W$36,VLOOKUP('ELC_Gen-sdj'!$B26,'ELC_Gen-sdj'!$AA$4:$AC$19,3,FALSE))</f>
        <v>938.870543747053</v>
      </c>
      <c r="I26" s="20">
        <f>VLOOKUP(I$22,ovrcst!$A$5:$W$36,VLOOKUP('ELC_Gen-sdj'!$B26,'ELC_Gen-sdj'!$AA$4:$AC$19,3,FALSE))</f>
        <v>933.69142090121</v>
      </c>
      <c r="J26" s="20">
        <f>VLOOKUP(J$22,ovrcst!$A$5:$W$36,VLOOKUP('ELC_Gen-sdj'!$B26,'ELC_Gen-sdj'!$AA$4:$AC$19,3,FALSE))</f>
        <v>926.254818285912</v>
      </c>
      <c r="K26" s="20">
        <f>VLOOKUP(K$22,ovrcst!$A$5:$W$36,VLOOKUP('ELC_Gen-sdj'!$B26,'ELC_Gen-sdj'!$AA$4:$AC$19,3,FALSE))</f>
        <v>916.967434834066</v>
      </c>
      <c r="L26" s="20">
        <f>VLOOKUP(L$22,ovrcst!$A$5:$W$36,VLOOKUP('ELC_Gen-sdj'!$B26,'ELC_Gen-sdj'!$AA$4:$AC$19,3,FALSE))</f>
        <v>906.349900410865</v>
      </c>
      <c r="M26" s="20">
        <f>VLOOKUP(M$22,ovrcst!$A$5:$W$36,VLOOKUP('ELC_Gen-sdj'!$B26,'ELC_Gen-sdj'!$AA$4:$AC$19,3,FALSE))</f>
        <v>895.373356298171</v>
      </c>
      <c r="N26" s="20">
        <f>VLOOKUP(N$22,ovrcst!$A$5:$W$36,VLOOKUP('ELC_Gen-sdj'!$B26,'ELC_Gen-sdj'!$AA$4:$AC$19,3,FALSE))</f>
        <v>885.891110106132</v>
      </c>
      <c r="O26" s="20">
        <f>VLOOKUP(O$22,ovrcst!$A$5:$W$36,VLOOKUP('ELC_Gen-sdj'!$B26,'ELC_Gen-sdj'!$AA$4:$AC$19,3,FALSE))</f>
        <v>876.436935541293</v>
      </c>
      <c r="P26" s="20">
        <f>VLOOKUP(P$22,ovrcst!$A$5:$W$36,VLOOKUP('ELC_Gen-sdj'!$B26,'ELC_Gen-sdj'!$AA$4:$AC$19,3,FALSE))</f>
        <v>866.988047379411</v>
      </c>
      <c r="Q26" s="20">
        <f>VLOOKUP(Q$22,ovrcst!$A$5:$W$36,VLOOKUP('ELC_Gen-sdj'!$B26,'ELC_Gen-sdj'!$AA$4:$AC$19,3,FALSE))</f>
        <v>858.017564251831</v>
      </c>
      <c r="R26" s="20">
        <f>VLOOKUP(R$22,ovrcst!$A$5:$W$36,VLOOKUP('ELC_Gen-sdj'!$B26,'ELC_Gen-sdj'!$AA$4:$AC$19,3,FALSE))</f>
        <v>849.15749131602</v>
      </c>
      <c r="S26" s="20">
        <f>VLOOKUP(S$22,ovrcst!$A$5:$W$36,VLOOKUP('ELC_Gen-sdj'!$B26,'ELC_Gen-sdj'!$AA$4:$AC$19,3,FALSE))</f>
        <v>839.743840387965</v>
      </c>
      <c r="T26" s="20">
        <f>VLOOKUP(T$22,ovrcst!$A$5:$W$36,VLOOKUP('ELC_Gen-sdj'!$B26,'ELC_Gen-sdj'!$AA$4:$AC$19,3,FALSE))</f>
        <v>830.840954708594</v>
      </c>
      <c r="U26" s="20">
        <f>VLOOKUP(U$22,ovrcst!$A$5:$W$36,VLOOKUP('ELC_Gen-sdj'!$B26,'ELC_Gen-sdj'!$AA$4:$AC$19,3,FALSE))</f>
        <v>822.085359916095</v>
      </c>
      <c r="V26" s="20">
        <f>VLOOKUP(V$22,ovrcst!$A$5:$W$36,VLOOKUP('ELC_Gen-sdj'!$B26,'ELC_Gen-sdj'!$AA$4:$AC$19,3,FALSE))</f>
        <v>813.671039287192</v>
      </c>
      <c r="W26" s="20">
        <f>VLOOKUP(W$22,ovrcst!$A$5:$W$36,VLOOKUP('ELC_Gen-sdj'!$B26,'ELC_Gen-sdj'!$AA$4:$AC$19,3,FALSE))</f>
        <v>805.145428040836</v>
      </c>
      <c r="X26" s="20">
        <f>VLOOKUP(X$22,ovrcst!$A$5:$W$36,VLOOKUP('ELC_Gen-sdj'!$B26,'ELC_Gen-sdj'!$AA$4:$AC$19,3,FALSE))</f>
        <v>796.939536405362</v>
      </c>
      <c r="Y26" s="20">
        <f>VLOOKUP(Y$22,ovrcst!$A$5:$W$36,VLOOKUP('ELC_Gen-sdj'!$B26,'ELC_Gen-sdj'!$AA$4:$AC$19,3,FALSE))</f>
        <v>788.946595206251</v>
      </c>
      <c r="Z26" s="20">
        <f>VLOOKUP(Z$22,ovrcst!$A$5:$W$36,VLOOKUP('ELC_Gen-sdj'!$B26,'ELC_Gen-sdj'!$AA$4:$AC$19,3,FALSE))</f>
        <v>780.356381883438</v>
      </c>
      <c r="AA26" s="20">
        <f>VLOOKUP(AA$22,ovrcst!$A$5:$W$36,VLOOKUP('ELC_Gen-sdj'!$B26,'ELC_Gen-sdj'!$AA$4:$AC$19,3,FALSE))</f>
        <v>772.93328682633</v>
      </c>
      <c r="AB26" s="20">
        <f>VLOOKUP(AB$22,ovrcst!$A$5:$W$36,VLOOKUP('ELC_Gen-sdj'!$B26,'ELC_Gen-sdj'!$AA$4:$AC$19,3,FALSE))</f>
        <v>764.514502487323</v>
      </c>
      <c r="AC26" s="20">
        <f>VLOOKUP(AC$22,ovrcst!$A$5:$W$36,VLOOKUP('ELC_Gen-sdj'!$B26,'ELC_Gen-sdj'!$AA$4:$AC$19,3,FALSE))</f>
        <v>757.081012633868</v>
      </c>
      <c r="AD26" s="20">
        <f>VLOOKUP(AD$22,ovrcst!$A$5:$W$36,VLOOKUP('ELC_Gen-sdj'!$B26,'ELC_Gen-sdj'!$AA$4:$AC$19,3,FALSE))</f>
        <v>748.83530266437</v>
      </c>
      <c r="AE26" s="20">
        <f>VLOOKUP(AE$22,ovrcst!$A$5:$W$36,VLOOKUP('ELC_Gen-sdj'!$B26,'ELC_Gen-sdj'!$AA$4:$AC$19,3,FALSE))</f>
        <v>741.268088177278</v>
      </c>
      <c r="AF26" s="20">
        <f>VLOOKUP(AF$22,ovrcst!$A$5:$W$36,VLOOKUP('ELC_Gen-sdj'!$B26,'ELC_Gen-sdj'!$AA$4:$AC$19,3,FALSE))</f>
        <v>733.677909494164</v>
      </c>
      <c r="AG26" s="20">
        <f>VLOOKUP(AG$22,ovrcst!$A$5:$W$36,VLOOKUP('ELC_Gen-sdj'!$B26,'ELC_Gen-sdj'!$AA$4:$AC$19,3,FALSE))</f>
        <v>726.078452182782</v>
      </c>
      <c r="AH26" s="20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0">
        <f>VLOOKUP(S$22,ovrcst!$A$5:$W$36,VLOOKUP('ELC_Gen-sdj'!$B27,'ELC_Gen-sdj'!$AA$4:$AC$19,3,FALSE))</f>
        <v>508.979757944719</v>
      </c>
      <c r="T27" s="20">
        <f>VLOOKUP(T$22,ovrcst!$A$5:$W$36,VLOOKUP('ELC_Gen-sdj'!$B27,'ELC_Gen-sdj'!$AA$4:$AC$19,3,FALSE))</f>
        <v>501.934129832032</v>
      </c>
      <c r="U27" s="20">
        <f>VLOOKUP(U$22,ovrcst!$A$5:$W$36,VLOOKUP('ELC_Gen-sdj'!$B27,'ELC_Gen-sdj'!$AA$4:$AC$19,3,FALSE))</f>
        <v>496.130374588873</v>
      </c>
      <c r="V27" s="20">
        <f>VLOOKUP(V$22,ovrcst!$A$5:$W$36,VLOOKUP('ELC_Gen-sdj'!$B27,'ELC_Gen-sdj'!$AA$4:$AC$19,3,FALSE))</f>
        <v>491.604288819957</v>
      </c>
      <c r="W27" s="20">
        <f>VLOOKUP(W$22,ovrcst!$A$5:$W$36,VLOOKUP('ELC_Gen-sdj'!$B27,'ELC_Gen-sdj'!$AA$4:$AC$19,3,FALSE))</f>
        <v>487.002323640894</v>
      </c>
      <c r="X27" s="20">
        <f>VLOOKUP(X$22,ovrcst!$A$5:$W$36,VLOOKUP('ELC_Gen-sdj'!$B27,'ELC_Gen-sdj'!$AA$4:$AC$19,3,FALSE))</f>
        <v>482.585346095273</v>
      </c>
      <c r="Y27" s="20">
        <f>VLOOKUP(Y$22,ovrcst!$A$5:$W$36,VLOOKUP('ELC_Gen-sdj'!$B27,'ELC_Gen-sdj'!$AA$4:$AC$19,3,FALSE))</f>
        <v>478.288981788792</v>
      </c>
      <c r="Z27" s="20">
        <f>VLOOKUP(Z$22,ovrcst!$A$5:$W$36,VLOOKUP('ELC_Gen-sdj'!$B27,'ELC_Gen-sdj'!$AA$4:$AC$19,3,FALSE))</f>
        <v>473.621929407715</v>
      </c>
      <c r="AA27" s="20">
        <f>VLOOKUP(AA$22,ovrcst!$A$5:$W$36,VLOOKUP('ELC_Gen-sdj'!$B27,'ELC_Gen-sdj'!$AA$4:$AC$19,3,FALSE))</f>
        <v>469.655174123396</v>
      </c>
      <c r="AB27" s="20">
        <f>VLOOKUP(AB$22,ovrcst!$A$5:$W$36,VLOOKUP('ELC_Gen-sdj'!$B27,'ELC_Gen-sdj'!$AA$4:$AC$19,3,FALSE))</f>
        <v>465.075075864443</v>
      </c>
      <c r="AC27" s="20">
        <f>VLOOKUP(AC$22,ovrcst!$A$5:$W$36,VLOOKUP('ELC_Gen-sdj'!$B27,'ELC_Gen-sdj'!$AA$4:$AC$19,3,FALSE))</f>
        <v>461.08628247391</v>
      </c>
      <c r="AD27" s="20">
        <f>VLOOKUP(AD$22,ovrcst!$A$5:$W$36,VLOOKUP('ELC_Gen-sdj'!$B27,'ELC_Gen-sdj'!$AA$4:$AC$19,3,FALSE))</f>
        <v>456.594510632247</v>
      </c>
      <c r="AE27" s="20">
        <f>VLOOKUP(AE$22,ovrcst!$A$5:$W$36,VLOOKUP('ELC_Gen-sdj'!$B27,'ELC_Gen-sdj'!$AA$4:$AC$19,3,FALSE))</f>
        <v>452.508084100085</v>
      </c>
      <c r="AF27" s="20">
        <f>VLOOKUP(AF$22,ovrcst!$A$5:$W$36,VLOOKUP('ELC_Gen-sdj'!$B27,'ELC_Gen-sdj'!$AA$4:$AC$19,3,FALSE))</f>
        <v>448.399676523743</v>
      </c>
      <c r="AG27" s="20">
        <f>VLOOKUP(AG$22,ovrcst!$A$5:$W$36,VLOOKUP('ELC_Gen-sdj'!$B27,'ELC_Gen-sdj'!$AA$4:$AC$19,3,FALSE))</f>
        <v>444.277622702084</v>
      </c>
      <c r="AH27" s="20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0">
        <f>VLOOKUP(C$22,ovrcst!$A$5:$W$36,VLOOKUP('ELC_Gen-sdj'!$B28,'ELC_Gen-sdj'!$AA$4:$AC$19,3,FALSE))</f>
        <v>1126.00240868118</v>
      </c>
      <c r="D28" s="20">
        <f>VLOOKUP(D$22,ovrcst!$A$5:$W$36,VLOOKUP('ELC_Gen-sdj'!$B28,'ELC_Gen-sdj'!$AA$4:$AC$19,3,FALSE))</f>
        <v>1115.51531642354</v>
      </c>
      <c r="E28" s="20">
        <f>VLOOKUP(E$22,ovrcst!$A$5:$W$36,VLOOKUP('ELC_Gen-sdj'!$B28,'ELC_Gen-sdj'!$AA$4:$AC$19,3,FALSE))</f>
        <v>1090.34743554724</v>
      </c>
      <c r="F28" s="20">
        <f>VLOOKUP(F$22,ovrcst!$A$5:$W$36,VLOOKUP('ELC_Gen-sdj'!$B28,'ELC_Gen-sdj'!$AA$4:$AC$19,3,FALSE))</f>
        <v>1075.45842589533</v>
      </c>
      <c r="G28" s="20">
        <f>VLOOKUP(G$22,ovrcst!$A$5:$W$36,VLOOKUP('ELC_Gen-sdj'!$B28,'ELC_Gen-sdj'!$AA$4:$AC$19,3,FALSE))</f>
        <v>1065.50995753768</v>
      </c>
      <c r="H28" s="20">
        <f>VLOOKUP(H$22,ovrcst!$A$5:$W$36,VLOOKUP('ELC_Gen-sdj'!$B28,'ELC_Gen-sdj'!$AA$4:$AC$19,3,FALSE))</f>
        <v>1057.88235569402</v>
      </c>
      <c r="I28" s="20">
        <f>VLOOKUP(I$22,ovrcst!$A$5:$W$36,VLOOKUP('ELC_Gen-sdj'!$B28,'ELC_Gen-sdj'!$AA$4:$AC$19,3,FALSE))</f>
        <v>1052.04678877528</v>
      </c>
      <c r="J28" s="20">
        <f>VLOOKUP(J$22,ovrcst!$A$5:$W$36,VLOOKUP('ELC_Gen-sdj'!$B28,'ELC_Gen-sdj'!$AA$4:$AC$19,3,FALSE))</f>
        <v>1043.66744345521</v>
      </c>
      <c r="K28" s="20">
        <f>VLOOKUP(K$22,ovrcst!$A$5:$W$36,VLOOKUP('ELC_Gen-sdj'!$B28,'ELC_Gen-sdj'!$AA$4:$AC$19,3,FALSE))</f>
        <v>1033.20273512339</v>
      </c>
      <c r="L28" s="20">
        <f>VLOOKUP(L$22,ovrcst!$A$5:$W$36,VLOOKUP('ELC_Gen-sdj'!$B28,'ELC_Gen-sdj'!$AA$4:$AC$19,3,FALSE))</f>
        <v>1021.23943742682</v>
      </c>
      <c r="M28" s="20">
        <f>VLOOKUP(M$22,ovrcst!$A$5:$W$36,VLOOKUP('ELC_Gen-sdj'!$B28,'ELC_Gen-sdj'!$AA$4:$AC$19,3,FALSE))</f>
        <v>1008.87135522222</v>
      </c>
      <c r="N28" s="20">
        <f>VLOOKUP(N$22,ovrcst!$A$5:$W$36,VLOOKUP('ELC_Gen-sdj'!$B28,'ELC_Gen-sdj'!$AA$4:$AC$19,3,FALSE))</f>
        <v>998.187232461611</v>
      </c>
      <c r="O28" s="20">
        <f>VLOOKUP(O$22,ovrcst!$A$5:$W$36,VLOOKUP('ELC_Gen-sdj'!$B28,'ELC_Gen-sdj'!$AA$4:$AC$19,3,FALSE))</f>
        <v>987.534472219941</v>
      </c>
      <c r="P28" s="20">
        <f>VLOOKUP(P$22,ovrcst!$A$5:$W$36,VLOOKUP('ELC_Gen-sdj'!$B28,'ELC_Gen-sdj'!$AA$4:$AC$19,3,FALSE))</f>
        <v>976.888065089786</v>
      </c>
      <c r="Q28" s="20">
        <f>VLOOKUP(Q$22,ovrcst!$A$5:$W$36,VLOOKUP('ELC_Gen-sdj'!$B28,'ELC_Gen-sdj'!$AA$4:$AC$19,3,FALSE))</f>
        <v>966.780399332981</v>
      </c>
      <c r="R28" s="20">
        <f>VLOOKUP(R$22,ovrcst!$A$5:$W$36,VLOOKUP('ELC_Gen-sdj'!$B28,'ELC_Gen-sdj'!$AA$4:$AC$19,3,FALSE))</f>
        <v>956.797188471185</v>
      </c>
      <c r="S28" s="20">
        <f>VLOOKUP(S$22,ovrcst!$A$5:$W$36,VLOOKUP('ELC_Gen-sdj'!$B28,'ELC_Gen-sdj'!$AA$4:$AC$19,3,FALSE))</f>
        <v>946.190303959903</v>
      </c>
      <c r="T28" s="20">
        <f>VLOOKUP(T$22,ovrcst!$A$5:$W$36,VLOOKUP('ELC_Gen-sdj'!$B28,'ELC_Gen-sdj'!$AA$4:$AC$19,3,FALSE))</f>
        <v>936.158885091964</v>
      </c>
      <c r="U28" s="20">
        <f>VLOOKUP(U$22,ovrcst!$A$5:$W$36,VLOOKUP('ELC_Gen-sdj'!$B28,'ELC_Gen-sdj'!$AA$4:$AC$19,3,FALSE))</f>
        <v>926.29330898547</v>
      </c>
      <c r="V28" s="20">
        <f>VLOOKUP(V$22,ovrcst!$A$5:$W$36,VLOOKUP('ELC_Gen-sdj'!$B28,'ELC_Gen-sdj'!$AA$4:$AC$19,3,FALSE))</f>
        <v>916.812523041013</v>
      </c>
      <c r="W28" s="20">
        <f>VLOOKUP(W$22,ovrcst!$A$5:$W$36,VLOOKUP('ELC_Gen-sdj'!$B28,'ELC_Gen-sdj'!$AA$4:$AC$19,3,FALSE))</f>
        <v>907.206117018737</v>
      </c>
      <c r="X28" s="20">
        <f>VLOOKUP(X$22,ovrcst!$A$5:$W$36,VLOOKUP('ELC_Gen-sdj'!$B28,'ELC_Gen-sdj'!$AA$4:$AC$19,3,FALSE))</f>
        <v>897.960133556692</v>
      </c>
      <c r="Y28" s="20">
        <f>VLOOKUP(Y$22,ovrcst!$A$5:$W$36,VLOOKUP('ELC_Gen-sdj'!$B28,'ELC_Gen-sdj'!$AA$4:$AC$19,3,FALSE))</f>
        <v>888.95396763848</v>
      </c>
      <c r="Z28" s="20">
        <f>VLOOKUP(Z$22,ovrcst!$A$5:$W$36,VLOOKUP('ELC_Gen-sdj'!$B28,'ELC_Gen-sdj'!$AA$4:$AC$19,3,FALSE))</f>
        <v>879.274869489975</v>
      </c>
      <c r="AA28" s="20">
        <f>VLOOKUP(AA$22,ovrcst!$A$5:$W$36,VLOOKUP('ELC_Gen-sdj'!$B28,'ELC_Gen-sdj'!$AA$4:$AC$19,3,FALSE))</f>
        <v>870.910855874527</v>
      </c>
      <c r="AB28" s="20">
        <f>VLOOKUP(AB$22,ovrcst!$A$5:$W$36,VLOOKUP('ELC_Gen-sdj'!$B28,'ELC_Gen-sdj'!$AA$4:$AC$19,3,FALSE))</f>
        <v>861.424765483083</v>
      </c>
      <c r="AC28" s="20">
        <f>VLOOKUP(AC$22,ovrcst!$A$5:$W$36,VLOOKUP('ELC_Gen-sdj'!$B28,'ELC_Gen-sdj'!$AA$4:$AC$19,3,FALSE))</f>
        <v>853.049093354065</v>
      </c>
      <c r="AD28" s="20">
        <f>VLOOKUP(AD$22,ovrcst!$A$5:$W$36,VLOOKUP('ELC_Gen-sdj'!$B28,'ELC_Gen-sdj'!$AA$4:$AC$19,3,FALSE))</f>
        <v>843.758282826161</v>
      </c>
      <c r="AE28" s="20">
        <f>VLOOKUP(AE$22,ovrcst!$A$5:$W$36,VLOOKUP('ELC_Gen-sdj'!$B28,'ELC_Gen-sdj'!$AA$4:$AC$19,3,FALSE))</f>
        <v>835.23163261213</v>
      </c>
      <c r="AF28" s="20">
        <f>VLOOKUP(AF$22,ovrcst!$A$5:$W$36,VLOOKUP('ELC_Gen-sdj'!$B28,'ELC_Gen-sdj'!$AA$4:$AC$19,3,FALSE))</f>
        <v>826.679391354344</v>
      </c>
      <c r="AG28" s="20">
        <f>VLOOKUP(AG$22,ovrcst!$A$5:$W$36,VLOOKUP('ELC_Gen-sdj'!$B28,'ELC_Gen-sdj'!$AA$4:$AC$19,3,FALSE))</f>
        <v>818.116541202583</v>
      </c>
      <c r="AH28" s="20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0">
        <f>VLOOKUP(C$22,ovrcst!$A$5:$W$36,VLOOKUP('ELC_Gen-sdj'!$B29,'ELC_Gen-sdj'!$AA$4:$AC$19,3,FALSE))</f>
        <v>3899.57828443114</v>
      </c>
      <c r="D29" s="20">
        <f>VLOOKUP(D$22,ovrcst!$A$5:$W$36,VLOOKUP('ELC_Gen-sdj'!$B29,'ELC_Gen-sdj'!$AA$4:$AC$19,3,FALSE))</f>
        <v>3858.23884431138</v>
      </c>
      <c r="E29" s="20">
        <f>VLOOKUP(E$22,ovrcst!$A$5:$W$36,VLOOKUP('ELC_Gen-sdj'!$B29,'ELC_Gen-sdj'!$AA$4:$AC$19,3,FALSE))</f>
        <v>3756.43707684631</v>
      </c>
      <c r="F29" s="20">
        <f>VLOOKUP(F$22,ovrcst!$A$5:$W$36,VLOOKUP('ELC_Gen-sdj'!$B29,'ELC_Gen-sdj'!$AA$4:$AC$19,3,FALSE))</f>
        <v>3698.73997105788</v>
      </c>
      <c r="G29" s="20">
        <f>VLOOKUP(G$22,ovrcst!$A$5:$W$36,VLOOKUP('ELC_Gen-sdj'!$B29,'ELC_Gen-sdj'!$AA$4:$AC$19,3,FALSE))</f>
        <v>3659.72181636727</v>
      </c>
      <c r="H29" s="20">
        <f>VLOOKUP(H$22,ovrcst!$A$5:$W$36,VLOOKUP('ELC_Gen-sdj'!$B29,'ELC_Gen-sdj'!$AA$4:$AC$19,3,FALSE))</f>
        <v>3628.72984530938</v>
      </c>
      <c r="I29" s="20">
        <f>VLOOKUP(I$22,ovrcst!$A$5:$W$36,VLOOKUP('ELC_Gen-sdj'!$B29,'ELC_Gen-sdj'!$AA$4:$AC$19,3,FALSE))</f>
        <v>3603.92155189621</v>
      </c>
      <c r="J29" s="20">
        <f>VLOOKUP(J$22,ovrcst!$A$5:$W$36,VLOOKUP('ELC_Gen-sdj'!$B29,'ELC_Gen-sdj'!$AA$4:$AC$19,3,FALSE))</f>
        <v>3570.4401746507</v>
      </c>
      <c r="K29" s="20">
        <f>VLOOKUP(K$22,ovrcst!$A$5:$W$36,VLOOKUP('ELC_Gen-sdj'!$B29,'ELC_Gen-sdj'!$AA$4:$AC$19,3,FALSE))</f>
        <v>3529.88627245509</v>
      </c>
      <c r="L29" s="20">
        <f>VLOOKUP(L$22,ovrcst!$A$5:$W$36,VLOOKUP('ELC_Gen-sdj'!$B29,'ELC_Gen-sdj'!$AA$4:$AC$19,3,FALSE))</f>
        <v>3484.29142714571</v>
      </c>
      <c r="M29" s="20">
        <f>VLOOKUP(M$22,ovrcst!$A$5:$W$36,VLOOKUP('ELC_Gen-sdj'!$B29,'ELC_Gen-sdj'!$AA$4:$AC$19,3,FALSE))</f>
        <v>3437.404000998</v>
      </c>
      <c r="N29" s="20">
        <f>VLOOKUP(N$22,ovrcst!$A$5:$W$36,VLOOKUP('ELC_Gen-sdj'!$B29,'ELC_Gen-sdj'!$AA$4:$AC$19,3,FALSE))</f>
        <v>3396.33672155689</v>
      </c>
      <c r="O29" s="20">
        <f>VLOOKUP(O$22,ovrcst!$A$5:$W$36,VLOOKUP('ELC_Gen-sdj'!$B29,'ELC_Gen-sdj'!$AA$4:$AC$19,3,FALSE))</f>
        <v>3355.45291217565</v>
      </c>
      <c r="P29" s="20">
        <f>VLOOKUP(P$22,ovrcst!$A$5:$W$36,VLOOKUP('ELC_Gen-sdj'!$B29,'ELC_Gen-sdj'!$AA$4:$AC$19,3,FALSE))</f>
        <v>3314.66607784431</v>
      </c>
      <c r="Q29" s="20">
        <f>VLOOKUP(Q$22,ovrcst!$A$5:$W$36,VLOOKUP('ELC_Gen-sdj'!$B29,'ELC_Gen-sdj'!$AA$4:$AC$19,3,FALSE))</f>
        <v>3275.78144510978</v>
      </c>
      <c r="R29" s="20">
        <f>VLOOKUP(R$22,ovrcst!$A$5:$W$36,VLOOKUP('ELC_Gen-sdj'!$B29,'ELC_Gen-sdj'!$AA$4:$AC$19,3,FALSE))</f>
        <v>3237.39020958084</v>
      </c>
      <c r="S29" s="20">
        <f>VLOOKUP(S$22,ovrcst!$A$5:$W$36,VLOOKUP('ELC_Gen-sdj'!$B29,'ELC_Gen-sdj'!$AA$4:$AC$19,3,FALSE))</f>
        <v>3196.96325149701</v>
      </c>
      <c r="T29" s="20">
        <f>VLOOKUP(T$22,ovrcst!$A$5:$W$36,VLOOKUP('ELC_Gen-sdj'!$B29,'ELC_Gen-sdj'!$AA$4:$AC$19,3,FALSE))</f>
        <v>3158.55593512974</v>
      </c>
      <c r="U29" s="20">
        <f>VLOOKUP(U$22,ovrcst!$A$5:$W$36,VLOOKUP('ELC_Gen-sdj'!$B29,'ELC_Gen-sdj'!$AA$4:$AC$19,3,FALSE))</f>
        <v>3120.78114271457</v>
      </c>
      <c r="V29" s="20">
        <f>VLOOKUP(V$22,ovrcst!$A$5:$W$36,VLOOKUP('ELC_Gen-sdj'!$B29,'ELC_Gen-sdj'!$AA$4:$AC$19,3,FALSE))</f>
        <v>3084.37227145709</v>
      </c>
      <c r="W29" s="20">
        <f>VLOOKUP(W$22,ovrcst!$A$5:$W$36,VLOOKUP('ELC_Gen-sdj'!$B29,'ELC_Gen-sdj'!$AA$4:$AC$19,3,FALSE))</f>
        <v>3047.61058982036</v>
      </c>
      <c r="X29" s="20">
        <f>VLOOKUP(X$22,ovrcst!$A$5:$W$36,VLOOKUP('ELC_Gen-sdj'!$B29,'ELC_Gen-sdj'!$AA$4:$AC$19,3,FALSE))</f>
        <v>3012.1285748503</v>
      </c>
      <c r="Y29" s="20">
        <f>VLOOKUP(Y$22,ovrcst!$A$5:$W$36,VLOOKUP('ELC_Gen-sdj'!$B29,'ELC_Gen-sdj'!$AA$4:$AC$19,3,FALSE))</f>
        <v>2977.51762075848</v>
      </c>
      <c r="Z29" s="20">
        <f>VLOOKUP(Z$22,ovrcst!$A$5:$W$36,VLOOKUP('ELC_Gen-sdj'!$B29,'ELC_Gen-sdj'!$AA$4:$AC$19,3,FALSE))</f>
        <v>2940.72134031936</v>
      </c>
      <c r="AA29" s="20">
        <f>VLOOKUP(AA$22,ovrcst!$A$5:$W$36,VLOOKUP('ELC_Gen-sdj'!$B29,'ELC_Gen-sdj'!$AA$4:$AC$19,3,FALSE))</f>
        <v>2908.39098203593</v>
      </c>
      <c r="AB29" s="20">
        <f>VLOOKUP(AB$22,ovrcst!$A$5:$W$36,VLOOKUP('ELC_Gen-sdj'!$B29,'ELC_Gen-sdj'!$AA$4:$AC$19,3,FALSE))</f>
        <v>2872.37902095808</v>
      </c>
      <c r="AC29" s="20">
        <f>VLOOKUP(AC$22,ovrcst!$A$5:$W$36,VLOOKUP('ELC_Gen-sdj'!$B29,'ELC_Gen-sdj'!$AA$4:$AC$19,3,FALSE))</f>
        <v>2840.13637724551</v>
      </c>
      <c r="AD29" s="20">
        <f>VLOOKUP(AD$22,ovrcst!$A$5:$W$36,VLOOKUP('ELC_Gen-sdj'!$B29,'ELC_Gen-sdj'!$AA$4:$AC$19,3,FALSE))</f>
        <v>2804.91263572854</v>
      </c>
      <c r="AE29" s="20">
        <f>VLOOKUP(AE$22,ovrcst!$A$5:$W$36,VLOOKUP('ELC_Gen-sdj'!$B29,'ELC_Gen-sdj'!$AA$4:$AC$19,3,FALSE))</f>
        <v>2772.29817664671</v>
      </c>
      <c r="AF29" s="20">
        <f>VLOOKUP(AF$22,ovrcst!$A$5:$W$36,VLOOKUP('ELC_Gen-sdj'!$B29,'ELC_Gen-sdj'!$AA$4:$AC$19,3,FALSE))</f>
        <v>2739.66203293413</v>
      </c>
      <c r="AG29" s="20">
        <f>VLOOKUP(AG$22,ovrcst!$A$5:$W$36,VLOOKUP('ELC_Gen-sdj'!$B29,'ELC_Gen-sdj'!$AA$4:$AC$19,3,FALSE))</f>
        <v>2707.05610279441</v>
      </c>
      <c r="AH29" s="20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0">
        <f>VLOOKUP(C$22,ovrcst!$A$5:$W$36,VLOOKUP('ELC_Gen-sdj'!$B30,'ELC_Gen-sdj'!$AA$4:$AC$19,3,FALSE))</f>
        <v>5715.78799287169</v>
      </c>
      <c r="D30" s="20">
        <f>VLOOKUP(D$22,ovrcst!$A$5:$W$36,VLOOKUP('ELC_Gen-sdj'!$B30,'ELC_Gen-sdj'!$AA$4:$AC$19,3,FALSE))</f>
        <v>5651.68641038696</v>
      </c>
      <c r="E30" s="20">
        <f>VLOOKUP(E$22,ovrcst!$A$5:$W$36,VLOOKUP('ELC_Gen-sdj'!$B30,'ELC_Gen-sdj'!$AA$4:$AC$19,3,FALSE))</f>
        <v>5513.49933604888</v>
      </c>
      <c r="F30" s="20">
        <f>VLOOKUP(F$22,ovrcst!$A$5:$W$36,VLOOKUP('ELC_Gen-sdj'!$B30,'ELC_Gen-sdj'!$AA$4:$AC$19,3,FALSE))</f>
        <v>5427.62747046843</v>
      </c>
      <c r="G30" s="20">
        <f>VLOOKUP(G$22,ovrcst!$A$5:$W$36,VLOOKUP('ELC_Gen-sdj'!$B30,'ELC_Gen-sdj'!$AA$4:$AC$19,3,FALSE))</f>
        <v>5366.88070773931</v>
      </c>
      <c r="H30" s="20">
        <f>VLOOKUP(H$22,ovrcst!$A$5:$W$36,VLOOKUP('ELC_Gen-sdj'!$B30,'ELC_Gen-sdj'!$AA$4:$AC$19,3,FALSE))</f>
        <v>5317.94418635438</v>
      </c>
      <c r="I30" s="20">
        <f>VLOOKUP(I$22,ovrcst!$A$5:$W$36,VLOOKUP('ELC_Gen-sdj'!$B30,'ELC_Gen-sdj'!$AA$4:$AC$19,3,FALSE))</f>
        <v>5278.09655804481</v>
      </c>
      <c r="J30" s="20">
        <f>VLOOKUP(J$22,ovrcst!$A$5:$W$36,VLOOKUP('ELC_Gen-sdj'!$B30,'ELC_Gen-sdj'!$AA$4:$AC$19,3,FALSE))</f>
        <v>5225.57549592668</v>
      </c>
      <c r="K30" s="20">
        <f>VLOOKUP(K$22,ovrcst!$A$5:$W$36,VLOOKUP('ELC_Gen-sdj'!$B30,'ELC_Gen-sdj'!$AA$4:$AC$19,3,FALSE))</f>
        <v>5162.74931160896</v>
      </c>
      <c r="L30" s="20">
        <f>VLOOKUP(L$22,ovrcst!$A$5:$W$36,VLOOKUP('ELC_Gen-sdj'!$B30,'ELC_Gen-sdj'!$AA$4:$AC$19,3,FALSE))</f>
        <v>5092.60736252546</v>
      </c>
      <c r="M30" s="20">
        <f>VLOOKUP(M$22,ovrcst!$A$5:$W$36,VLOOKUP('ELC_Gen-sdj'!$B30,'ELC_Gen-sdj'!$AA$4:$AC$19,3,FALSE))</f>
        <v>5020.64206517312</v>
      </c>
      <c r="N30" s="20">
        <f>VLOOKUP(N$22,ovrcst!$A$5:$W$36,VLOOKUP('ELC_Gen-sdj'!$B30,'ELC_Gen-sdj'!$AA$4:$AC$19,3,FALSE))</f>
        <v>4957.23809775967</v>
      </c>
      <c r="O30" s="20">
        <f>VLOOKUP(O$22,ovrcst!$A$5:$W$36,VLOOKUP('ELC_Gen-sdj'!$B30,'ELC_Gen-sdj'!$AA$4:$AC$19,3,FALSE))</f>
        <v>4894.15733197556</v>
      </c>
      <c r="P30" s="20">
        <f>VLOOKUP(P$22,ovrcst!$A$5:$W$36,VLOOKUP('ELC_Gen-sdj'!$B30,'ELC_Gen-sdj'!$AA$4:$AC$19,3,FALSE))</f>
        <v>4831.2734694501</v>
      </c>
      <c r="Q30" s="20">
        <f>VLOOKUP(Q$22,ovrcst!$A$5:$W$36,VLOOKUP('ELC_Gen-sdj'!$B30,'ELC_Gen-sdj'!$AA$4:$AC$19,3,FALSE))</f>
        <v>4771.21835641548</v>
      </c>
      <c r="R30" s="20">
        <f>VLOOKUP(R$22,ovrcst!$A$5:$W$36,VLOOKUP('ELC_Gen-sdj'!$B30,'ELC_Gen-sdj'!$AA$4:$AC$19,3,FALSE))</f>
        <v>4711.93395213849</v>
      </c>
      <c r="S30" s="20">
        <f>VLOOKUP(S$22,ovrcst!$A$5:$W$36,VLOOKUP('ELC_Gen-sdj'!$B30,'ELC_Gen-sdj'!$AA$4:$AC$19,3,FALSE))</f>
        <v>4649.74124032587</v>
      </c>
      <c r="T30" s="20">
        <f>VLOOKUP(T$22,ovrcst!$A$5:$W$36,VLOOKUP('ELC_Gen-sdj'!$B30,'ELC_Gen-sdj'!$AA$4:$AC$19,3,FALSE))</f>
        <v>4590.54186252546</v>
      </c>
      <c r="U30" s="20">
        <f>VLOOKUP(U$22,ovrcst!$A$5:$W$36,VLOOKUP('ELC_Gen-sdj'!$B30,'ELC_Gen-sdj'!$AA$4:$AC$19,3,FALSE))</f>
        <v>4532.31506924644</v>
      </c>
      <c r="V30" s="20">
        <f>VLOOKUP(V$22,ovrcst!$A$5:$W$36,VLOOKUP('ELC_Gen-sdj'!$B30,'ELC_Gen-sdj'!$AA$4:$AC$19,3,FALSE))</f>
        <v>4476.12543380855</v>
      </c>
      <c r="W30" s="20">
        <f>VLOOKUP(W$22,ovrcst!$A$5:$W$36,VLOOKUP('ELC_Gen-sdj'!$B30,'ELC_Gen-sdj'!$AA$4:$AC$19,3,FALSE))</f>
        <v>4419.47436659878</v>
      </c>
      <c r="X30" s="20">
        <f>VLOOKUP(X$22,ovrcst!$A$5:$W$36,VLOOKUP('ELC_Gen-sdj'!$B30,'ELC_Gen-sdj'!$AA$4:$AC$19,3,FALSE))</f>
        <v>4364.73067922607</v>
      </c>
      <c r="Y30" s="20">
        <f>VLOOKUP(Y$22,ovrcst!$A$5:$W$36,VLOOKUP('ELC_Gen-sdj'!$B30,'ELC_Gen-sdj'!$AA$4:$AC$19,3,FALSE))</f>
        <v>4311.29819144603</v>
      </c>
      <c r="Z30" s="20">
        <f>VLOOKUP(Z$22,ovrcst!$A$5:$W$36,VLOOKUP('ELC_Gen-sdj'!$B30,'ELC_Gen-sdj'!$AA$4:$AC$19,3,FALSE))</f>
        <v>4254.75452647658</v>
      </c>
      <c r="AA30" s="20">
        <f>VLOOKUP(AA$22,ovrcst!$A$5:$W$36,VLOOKUP('ELC_Gen-sdj'!$B30,'ELC_Gen-sdj'!$AA$4:$AC$19,3,FALSE))</f>
        <v>4204.72011812627</v>
      </c>
      <c r="AB30" s="20">
        <f>VLOOKUP(AB$22,ovrcst!$A$5:$W$36,VLOOKUP('ELC_Gen-sdj'!$B30,'ELC_Gen-sdj'!$AA$4:$AC$19,3,FALSE))</f>
        <v>4149.41306822811</v>
      </c>
      <c r="AC30" s="20">
        <f>VLOOKUP(AC$22,ovrcst!$A$5:$W$36,VLOOKUP('ELC_Gen-sdj'!$B30,'ELC_Gen-sdj'!$AA$4:$AC$19,3,FALSE))</f>
        <v>4099.60241344195</v>
      </c>
      <c r="AD30" s="20">
        <f>VLOOKUP(AD$22,ovrcst!$A$5:$W$36,VLOOKUP('ELC_Gen-sdj'!$B30,'ELC_Gen-sdj'!$AA$4:$AC$19,3,FALSE))</f>
        <v>4045.53744704684</v>
      </c>
      <c r="AE30" s="20">
        <f>VLOOKUP(AE$22,ovrcst!$A$5:$W$36,VLOOKUP('ELC_Gen-sdj'!$B30,'ELC_Gen-sdj'!$AA$4:$AC$19,3,FALSE))</f>
        <v>3995.28674338086</v>
      </c>
      <c r="AF30" s="20">
        <f>VLOOKUP(AF$22,ovrcst!$A$5:$W$36,VLOOKUP('ELC_Gen-sdj'!$B30,'ELC_Gen-sdj'!$AA$4:$AC$19,3,FALSE))</f>
        <v>3945.05319348269</v>
      </c>
      <c r="AG30" s="20">
        <f>VLOOKUP(AG$22,ovrcst!$A$5:$W$36,VLOOKUP('ELC_Gen-sdj'!$B30,'ELC_Gen-sdj'!$AA$4:$AC$19,3,FALSE))</f>
        <v>3894.91287474542</v>
      </c>
      <c r="AH30" s="20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0">
        <f>VLOOKUP(S$22,ovrcst!$A$5:$W$36,VLOOKUP('ELC_Gen-sdj'!$B31,'ELC_Gen-sdj'!$AA$4:$AC$19,3,FALSE))</f>
        <v>508.979757944719</v>
      </c>
      <c r="T31" s="20">
        <f>VLOOKUP(T$22,ovrcst!$A$5:$W$36,VLOOKUP('ELC_Gen-sdj'!$B31,'ELC_Gen-sdj'!$AA$4:$AC$19,3,FALSE))</f>
        <v>501.934129832032</v>
      </c>
      <c r="U31" s="20">
        <f>VLOOKUP(U$22,ovrcst!$A$5:$W$36,VLOOKUP('ELC_Gen-sdj'!$B31,'ELC_Gen-sdj'!$AA$4:$AC$19,3,FALSE))</f>
        <v>496.130374588873</v>
      </c>
      <c r="V31" s="20">
        <f>VLOOKUP(V$22,ovrcst!$A$5:$W$36,VLOOKUP('ELC_Gen-sdj'!$B31,'ELC_Gen-sdj'!$AA$4:$AC$19,3,FALSE))</f>
        <v>491.604288819957</v>
      </c>
      <c r="W31" s="20">
        <f>VLOOKUP(W$22,ovrcst!$A$5:$W$36,VLOOKUP('ELC_Gen-sdj'!$B31,'ELC_Gen-sdj'!$AA$4:$AC$19,3,FALSE))</f>
        <v>487.002323640894</v>
      </c>
      <c r="X31" s="20">
        <f>VLOOKUP(X$22,ovrcst!$A$5:$W$36,VLOOKUP('ELC_Gen-sdj'!$B31,'ELC_Gen-sdj'!$AA$4:$AC$19,3,FALSE))</f>
        <v>482.585346095273</v>
      </c>
      <c r="Y31" s="20">
        <f>VLOOKUP(Y$22,ovrcst!$A$5:$W$36,VLOOKUP('ELC_Gen-sdj'!$B31,'ELC_Gen-sdj'!$AA$4:$AC$19,3,FALSE))</f>
        <v>478.288981788792</v>
      </c>
      <c r="Z31" s="20">
        <f>VLOOKUP(Z$22,ovrcst!$A$5:$W$36,VLOOKUP('ELC_Gen-sdj'!$B31,'ELC_Gen-sdj'!$AA$4:$AC$19,3,FALSE))</f>
        <v>473.621929407715</v>
      </c>
      <c r="AA31" s="20">
        <f>VLOOKUP(AA$22,ovrcst!$A$5:$W$36,VLOOKUP('ELC_Gen-sdj'!$B31,'ELC_Gen-sdj'!$AA$4:$AC$19,3,FALSE))</f>
        <v>469.655174123396</v>
      </c>
      <c r="AB31" s="20">
        <f>VLOOKUP(AB$22,ovrcst!$A$5:$W$36,VLOOKUP('ELC_Gen-sdj'!$B31,'ELC_Gen-sdj'!$AA$4:$AC$19,3,FALSE))</f>
        <v>465.075075864443</v>
      </c>
      <c r="AC31" s="20">
        <f>VLOOKUP(AC$22,ovrcst!$A$5:$W$36,VLOOKUP('ELC_Gen-sdj'!$B31,'ELC_Gen-sdj'!$AA$4:$AC$19,3,FALSE))</f>
        <v>461.08628247391</v>
      </c>
      <c r="AD31" s="20">
        <f>VLOOKUP(AD$22,ovrcst!$A$5:$W$36,VLOOKUP('ELC_Gen-sdj'!$B31,'ELC_Gen-sdj'!$AA$4:$AC$19,3,FALSE))</f>
        <v>456.594510632247</v>
      </c>
      <c r="AE31" s="20">
        <f>VLOOKUP(AE$22,ovrcst!$A$5:$W$36,VLOOKUP('ELC_Gen-sdj'!$B31,'ELC_Gen-sdj'!$AA$4:$AC$19,3,FALSE))</f>
        <v>452.508084100085</v>
      </c>
      <c r="AF31" s="20">
        <f>VLOOKUP(AF$22,ovrcst!$A$5:$W$36,VLOOKUP('ELC_Gen-sdj'!$B31,'ELC_Gen-sdj'!$AA$4:$AC$19,3,FALSE))</f>
        <v>448.399676523743</v>
      </c>
      <c r="AG31" s="20">
        <f>VLOOKUP(AG$22,ovrcst!$A$5:$W$36,VLOOKUP('ELC_Gen-sdj'!$B31,'ELC_Gen-sdj'!$AA$4:$AC$19,3,FALSE))</f>
        <v>444.277622702084</v>
      </c>
      <c r="AH31" s="20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0">
        <f>VLOOKUP(C$22,ovrcst!$A$5:$W$36,VLOOKUP('ELC_Gen-sdj'!$B32,'ELC_Gen-sdj'!$AA$4:$AC$19,3,FALSE))</f>
        <v>6034.26585443669</v>
      </c>
      <c r="D32" s="20">
        <f>VLOOKUP(D$22,ovrcst!$A$5:$W$36,VLOOKUP('ELC_Gen-sdj'!$B32,'ELC_Gen-sdj'!$AA$4:$AC$19,3,FALSE))</f>
        <v>5962.73873678963</v>
      </c>
      <c r="E32" s="20">
        <f>VLOOKUP(E$22,ovrcst!$A$5:$W$36,VLOOKUP('ELC_Gen-sdj'!$B32,'ELC_Gen-sdj'!$AA$4:$AC$19,3,FALSE))</f>
        <v>5813.15380059821</v>
      </c>
      <c r="F32" s="20">
        <f>VLOOKUP(F$22,ovrcst!$A$5:$W$36,VLOOKUP('ELC_Gen-sdj'!$B32,'ELC_Gen-sdj'!$AA$4:$AC$19,3,FALSE))</f>
        <v>5718.84833798604</v>
      </c>
      <c r="G32" s="20">
        <f>VLOOKUP(G$22,ovrcst!$A$5:$W$36,VLOOKUP('ELC_Gen-sdj'!$B32,'ELC_Gen-sdj'!$AA$4:$AC$19,3,FALSE))</f>
        <v>5651.08385742772</v>
      </c>
      <c r="H32" s="20">
        <f>VLOOKUP(H$22,ovrcst!$A$5:$W$36,VLOOKUP('ELC_Gen-sdj'!$B32,'ELC_Gen-sdj'!$AA$4:$AC$19,3,FALSE))</f>
        <v>5595.79708175474</v>
      </c>
      <c r="I32" s="20">
        <f>VLOOKUP(I$22,ovrcst!$A$5:$W$36,VLOOKUP('ELC_Gen-sdj'!$B32,'ELC_Gen-sdj'!$AA$4:$AC$19,3,FALSE))</f>
        <v>5550.10310867398</v>
      </c>
      <c r="J32" s="20">
        <f>VLOOKUP(J$22,ovrcst!$A$5:$W$36,VLOOKUP('ELC_Gen-sdj'!$B32,'ELC_Gen-sdj'!$AA$4:$AC$19,3,FALSE))</f>
        <v>5491.11552043869</v>
      </c>
      <c r="K32" s="20">
        <f>VLOOKUP(K$22,ovrcst!$A$5:$W$36,VLOOKUP('ELC_Gen-sdj'!$B32,'ELC_Gen-sdj'!$AA$4:$AC$19,3,FALSE))</f>
        <v>5421.3467996012</v>
      </c>
      <c r="L32" s="20">
        <f>VLOOKUP(L$22,ovrcst!$A$5:$W$36,VLOOKUP('ELC_Gen-sdj'!$B32,'ELC_Gen-sdj'!$AA$4:$AC$19,3,FALSE))</f>
        <v>5343.95884646062</v>
      </c>
      <c r="M32" s="20">
        <f>VLOOKUP(M$22,ovrcst!$A$5:$W$36,VLOOKUP('ELC_Gen-sdj'!$B32,'ELC_Gen-sdj'!$AA$4:$AC$19,3,FALSE))</f>
        <v>5264.72730209372</v>
      </c>
      <c r="N32" s="20">
        <f>VLOOKUP(N$22,ovrcst!$A$5:$W$36,VLOOKUP('ELC_Gen-sdj'!$B32,'ELC_Gen-sdj'!$AA$4:$AC$19,3,FALSE))</f>
        <v>5194.53991525424</v>
      </c>
      <c r="O32" s="20">
        <f>VLOOKUP(O$22,ovrcst!$A$5:$W$36,VLOOKUP('ELC_Gen-sdj'!$B32,'ELC_Gen-sdj'!$AA$4:$AC$19,3,FALSE))</f>
        <v>5124.75026121635</v>
      </c>
      <c r="P32" s="20">
        <f>VLOOKUP(P$22,ovrcst!$A$5:$W$36,VLOOKUP('ELC_Gen-sdj'!$B32,'ELC_Gen-sdj'!$AA$4:$AC$19,3,FALSE))</f>
        <v>5055.2288444666</v>
      </c>
      <c r="Q32" s="20">
        <f>VLOOKUP(Q$22,ovrcst!$A$5:$W$36,VLOOKUP('ELC_Gen-sdj'!$B32,'ELC_Gen-sdj'!$AA$4:$AC$19,3,FALSE))</f>
        <v>4988.72474376869</v>
      </c>
      <c r="R32" s="20">
        <f>VLOOKUP(R$22,ovrcst!$A$5:$W$36,VLOOKUP('ELC_Gen-sdj'!$B32,'ELC_Gen-sdj'!$AA$4:$AC$19,3,FALSE))</f>
        <v>4923.08474975075</v>
      </c>
      <c r="S32" s="20">
        <f>VLOOKUP(S$22,ovrcst!$A$5:$W$36,VLOOKUP('ELC_Gen-sdj'!$B32,'ELC_Gen-sdj'!$AA$4:$AC$19,3,FALSE))</f>
        <v>4854.46638584247</v>
      </c>
      <c r="T32" s="20">
        <f>VLOOKUP(T$22,ovrcst!$A$5:$W$36,VLOOKUP('ELC_Gen-sdj'!$B32,'ELC_Gen-sdj'!$AA$4:$AC$19,3,FALSE))</f>
        <v>4789.033777667</v>
      </c>
      <c r="U32" s="20">
        <f>VLOOKUP(U$22,ovrcst!$A$5:$W$36,VLOOKUP('ELC_Gen-sdj'!$B32,'ELC_Gen-sdj'!$AA$4:$AC$19,3,FALSE))</f>
        <v>4724.67363509472</v>
      </c>
      <c r="V32" s="20">
        <f>VLOOKUP(V$22,ovrcst!$A$5:$W$36,VLOOKUP('ELC_Gen-sdj'!$B32,'ELC_Gen-sdj'!$AA$4:$AC$19,3,FALSE))</f>
        <v>4662.49299002991</v>
      </c>
      <c r="W32" s="20">
        <f>VLOOKUP(W$22,ovrcst!$A$5:$W$36,VLOOKUP('ELC_Gen-sdj'!$B32,'ELC_Gen-sdj'!$AA$4:$AC$19,3,FALSE))</f>
        <v>4599.88832303091</v>
      </c>
      <c r="X32" s="20">
        <f>VLOOKUP(X$22,ovrcst!$A$5:$W$36,VLOOKUP('ELC_Gen-sdj'!$B32,'ELC_Gen-sdj'!$AA$4:$AC$19,3,FALSE))</f>
        <v>4539.32538285145</v>
      </c>
      <c r="Y32" s="20">
        <f>VLOOKUP(Y$22,ovrcst!$A$5:$W$36,VLOOKUP('ELC_Gen-sdj'!$B32,'ELC_Gen-sdj'!$AA$4:$AC$19,3,FALSE))</f>
        <v>4480.18006480558</v>
      </c>
      <c r="Z32" s="20">
        <f>VLOOKUP(Z$22,ovrcst!$A$5:$W$36,VLOOKUP('ELC_Gen-sdj'!$B32,'ELC_Gen-sdj'!$AA$4:$AC$19,3,FALSE))</f>
        <v>4417.85775473579</v>
      </c>
      <c r="AA32" s="20">
        <f>VLOOKUP(AA$22,ovrcst!$A$5:$W$36,VLOOKUP('ELC_Gen-sdj'!$B32,'ELC_Gen-sdj'!$AA$4:$AC$19,3,FALSE))</f>
        <v>4362.34947457627</v>
      </c>
      <c r="AB32" s="20">
        <f>VLOOKUP(AB$22,ovrcst!$A$5:$W$36,VLOOKUP('ELC_Gen-sdj'!$B32,'ELC_Gen-sdj'!$AA$4:$AC$19,3,FALSE))</f>
        <v>4301.42433998006</v>
      </c>
      <c r="AC32" s="20">
        <f>VLOOKUP(AC$22,ovrcst!$A$5:$W$36,VLOOKUP('ELC_Gen-sdj'!$B32,'ELC_Gen-sdj'!$AA$4:$AC$19,3,FALSE))</f>
        <v>4246.25099302094</v>
      </c>
      <c r="AD32" s="20">
        <f>VLOOKUP(AD$22,ovrcst!$A$5:$W$36,VLOOKUP('ELC_Gen-sdj'!$B32,'ELC_Gen-sdj'!$AA$4:$AC$19,3,FALSE))</f>
        <v>4186.72692821535</v>
      </c>
      <c r="AE32" s="20">
        <f>VLOOKUP(AE$22,ovrcst!$A$5:$W$36,VLOOKUP('ELC_Gen-sdj'!$B32,'ELC_Gen-sdj'!$AA$4:$AC$19,3,FALSE))</f>
        <v>4131.20550448654</v>
      </c>
      <c r="AF32" s="20">
        <f>VLOOKUP(AF$22,ovrcst!$A$5:$W$36,VLOOKUP('ELC_Gen-sdj'!$B32,'ELC_Gen-sdj'!$AA$4:$AC$19,3,FALSE))</f>
        <v>4075.75442572283</v>
      </c>
      <c r="AG32" s="20">
        <f>VLOOKUP(AG$22,ovrcst!$A$5:$W$36,VLOOKUP('ELC_Gen-sdj'!$B32,'ELC_Gen-sdj'!$AA$4:$AC$19,3,FALSE))</f>
        <v>4020.45328813559</v>
      </c>
      <c r="AH32" s="20">
        <f>VLOOKUP(AH$22,ovrcst!$A$5:$W$36,VLOOKUP('ELC_Gen-sdj'!$B32,'ELC_Gen-sdj'!$AA$4:$AC$19,3,FALSE))</f>
        <v>3965.67012861416</v>
      </c>
    </row>
    <row r="35" spans="2:34">
      <c r="B35" t="s">
        <v>168</v>
      </c>
    </row>
    <row r="36" spans="2:34">
      <c r="B36" t="s">
        <v>3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23">
      <c r="A1" s="9" t="s">
        <v>169</v>
      </c>
    </row>
    <row r="2" spans="1:23">
      <c r="A2" t="s">
        <v>170</v>
      </c>
    </row>
    <row r="4" ht="43.5" spans="1:23">
      <c r="A4" s="11" t="s">
        <v>171</v>
      </c>
      <c r="B4" s="11" t="s">
        <v>44</v>
      </c>
      <c r="C4" s="11" t="s">
        <v>49</v>
      </c>
      <c r="D4" s="11" t="s">
        <v>172</v>
      </c>
      <c r="E4" s="11" t="s">
        <v>66</v>
      </c>
      <c r="F4" s="11" t="s">
        <v>62</v>
      </c>
      <c r="G4" s="11" t="s">
        <v>59</v>
      </c>
      <c r="H4" s="11" t="s">
        <v>55</v>
      </c>
      <c r="I4" s="11" t="s">
        <v>52</v>
      </c>
      <c r="J4" s="11" t="s">
        <v>173</v>
      </c>
      <c r="K4" s="11" t="s">
        <v>76</v>
      </c>
      <c r="L4" s="11" t="s">
        <v>70</v>
      </c>
      <c r="M4" s="11" t="s">
        <v>174</v>
      </c>
      <c r="N4" s="11" t="s">
        <v>175</v>
      </c>
      <c r="O4" s="11" t="s">
        <v>75</v>
      </c>
      <c r="P4" s="11" t="s">
        <v>176</v>
      </c>
      <c r="Q4" s="11" t="s">
        <v>35</v>
      </c>
      <c r="R4" s="11" t="s">
        <v>39</v>
      </c>
      <c r="S4" s="11" t="s">
        <v>177</v>
      </c>
      <c r="T4" s="11" t="s">
        <v>178</v>
      </c>
      <c r="U4" s="11" t="s">
        <v>31</v>
      </c>
      <c r="V4" s="11" t="s">
        <v>179</v>
      </c>
      <c r="W4" s="11" t="s">
        <v>180</v>
      </c>
    </row>
    <row r="5" spans="1:23">
      <c r="A5" s="14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4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4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4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4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4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4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4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4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4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4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4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4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4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4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4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4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4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4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4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4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4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4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4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4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4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4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4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4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4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4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4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Y10" sqref="Y10"/>
    </sheetView>
  </sheetViews>
  <sheetFormatPr defaultColWidth="8.81818181818182" defaultRowHeight="14.5"/>
  <sheetData>
    <row r="1" spans="1:20">
      <c r="A1" s="9" t="s">
        <v>181</v>
      </c>
    </row>
    <row r="2" spans="1:20">
      <c r="A2" s="2" t="s">
        <v>182</v>
      </c>
    </row>
    <row r="3" spans="1:20">
      <c r="L3" s="10">
        <f>3.6/1.055</f>
        <v>3.41232227488152</v>
      </c>
    </row>
    <row r="4" ht="43.5" spans="1:20">
      <c r="A4" s="11" t="s">
        <v>171</v>
      </c>
      <c r="B4" s="11" t="s">
        <v>44</v>
      </c>
      <c r="C4" s="12" t="s">
        <v>49</v>
      </c>
      <c r="D4" s="12" t="s">
        <v>172</v>
      </c>
      <c r="E4" s="12" t="s">
        <v>66</v>
      </c>
      <c r="F4" s="12" t="s">
        <v>62</v>
      </c>
      <c r="G4" s="12" t="s">
        <v>59</v>
      </c>
      <c r="H4" s="12" t="s">
        <v>55</v>
      </c>
      <c r="I4" s="12" t="s">
        <v>52</v>
      </c>
      <c r="J4" s="12" t="s">
        <v>173</v>
      </c>
      <c r="K4" s="13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4">
        <v>2019</v>
      </c>
      <c r="B5" s="15">
        <v>9750</v>
      </c>
      <c r="C5" s="15">
        <v>11650</v>
      </c>
      <c r="D5" s="15">
        <v>8500</v>
      </c>
      <c r="E5" s="15">
        <v>9840</v>
      </c>
      <c r="F5" s="15">
        <v>9800</v>
      </c>
      <c r="G5" s="15">
        <v>6600</v>
      </c>
      <c r="H5" s="15">
        <v>6300</v>
      </c>
      <c r="I5" s="15">
        <v>7525</v>
      </c>
      <c r="J5" s="15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4">
        <v>2020</v>
      </c>
      <c r="B6" s="15">
        <v>9750</v>
      </c>
      <c r="C6" s="15">
        <v>11650</v>
      </c>
      <c r="D6" s="15">
        <v>8500</v>
      </c>
      <c r="E6" s="15">
        <v>9800</v>
      </c>
      <c r="F6" s="15">
        <v>9800</v>
      </c>
      <c r="G6" s="15">
        <v>6600</v>
      </c>
      <c r="H6" s="15">
        <v>6300</v>
      </c>
      <c r="I6" s="15">
        <v>7525</v>
      </c>
      <c r="J6" s="15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4">
        <v>2021</v>
      </c>
      <c r="B7" s="15">
        <v>9750</v>
      </c>
      <c r="C7" s="15">
        <v>11650</v>
      </c>
      <c r="D7" s="15">
        <v>8432</v>
      </c>
      <c r="E7" s="15">
        <v>9760</v>
      </c>
      <c r="F7" s="15">
        <v>9550</v>
      </c>
      <c r="G7" s="15">
        <v>6600</v>
      </c>
      <c r="H7" s="15">
        <v>6300</v>
      </c>
      <c r="I7" s="15">
        <v>7525</v>
      </c>
      <c r="J7" s="15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4">
        <v>2022</v>
      </c>
      <c r="B8" s="15">
        <v>9750</v>
      </c>
      <c r="C8" s="15">
        <v>11650</v>
      </c>
      <c r="D8" s="15">
        <v>8364</v>
      </c>
      <c r="E8" s="15">
        <v>9720</v>
      </c>
      <c r="F8" s="15">
        <v>9300</v>
      </c>
      <c r="G8" s="15">
        <v>6537.5</v>
      </c>
      <c r="H8" s="15">
        <v>6275</v>
      </c>
      <c r="I8" s="15">
        <v>7517</v>
      </c>
      <c r="J8" s="15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4">
        <v>2023</v>
      </c>
      <c r="B9" s="15">
        <v>9573.666667</v>
      </c>
      <c r="C9" s="15">
        <v>10852.333333</v>
      </c>
      <c r="D9" s="15">
        <v>8296</v>
      </c>
      <c r="E9" s="15">
        <v>9680</v>
      </c>
      <c r="F9" s="15">
        <v>9050</v>
      </c>
      <c r="G9" s="15">
        <v>6475</v>
      </c>
      <c r="H9" s="15">
        <v>6250</v>
      </c>
      <c r="I9" s="15">
        <v>7509</v>
      </c>
      <c r="J9" s="15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4">
        <v>2024</v>
      </c>
      <c r="B10" s="15">
        <v>9397.333333</v>
      </c>
      <c r="C10" s="15">
        <v>10054.666667</v>
      </c>
      <c r="D10" s="15">
        <v>8228</v>
      </c>
      <c r="E10" s="15">
        <v>9640</v>
      </c>
      <c r="F10" s="15">
        <v>8800</v>
      </c>
      <c r="G10" s="15">
        <v>6412.5</v>
      </c>
      <c r="H10" s="15">
        <v>6225</v>
      </c>
      <c r="I10" s="15">
        <v>7501</v>
      </c>
      <c r="J10" s="15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4">
        <v>2025</v>
      </c>
      <c r="B11" s="15">
        <v>9221</v>
      </c>
      <c r="C11" s="15">
        <v>9257</v>
      </c>
      <c r="D11" s="15">
        <v>8160</v>
      </c>
      <c r="E11" s="15">
        <v>9600</v>
      </c>
      <c r="F11" s="15">
        <v>8550</v>
      </c>
      <c r="G11" s="15">
        <v>6350</v>
      </c>
      <c r="H11" s="15">
        <v>6200</v>
      </c>
      <c r="I11" s="15">
        <v>7493</v>
      </c>
      <c r="J11" s="15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4">
        <v>2026</v>
      </c>
      <c r="B12" s="15">
        <v>9221</v>
      </c>
      <c r="C12" s="15">
        <v>9257</v>
      </c>
      <c r="D12" s="15">
        <v>8160</v>
      </c>
      <c r="E12" s="15">
        <v>9600</v>
      </c>
      <c r="F12" s="15">
        <v>8550</v>
      </c>
      <c r="G12" s="15">
        <v>6350</v>
      </c>
      <c r="H12" s="15">
        <v>6200</v>
      </c>
      <c r="I12" s="15">
        <v>7493</v>
      </c>
      <c r="J12" s="15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4">
        <v>2027</v>
      </c>
      <c r="B13" s="15">
        <v>9221</v>
      </c>
      <c r="C13" s="15">
        <v>9257</v>
      </c>
      <c r="D13" s="15">
        <v>8160</v>
      </c>
      <c r="E13" s="15">
        <v>9600</v>
      </c>
      <c r="F13" s="15">
        <v>8550</v>
      </c>
      <c r="G13" s="15">
        <v>6350</v>
      </c>
      <c r="H13" s="15">
        <v>6200</v>
      </c>
      <c r="I13" s="15">
        <v>7493</v>
      </c>
      <c r="J13" s="15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4">
        <v>2028</v>
      </c>
      <c r="B14" s="15">
        <v>9221</v>
      </c>
      <c r="C14" s="15">
        <v>9257</v>
      </c>
      <c r="D14" s="15">
        <v>8160</v>
      </c>
      <c r="E14" s="15">
        <v>9600</v>
      </c>
      <c r="F14" s="15">
        <v>8550</v>
      </c>
      <c r="G14" s="15">
        <v>6350</v>
      </c>
      <c r="H14" s="15">
        <v>6200</v>
      </c>
      <c r="I14" s="15">
        <v>7493</v>
      </c>
      <c r="J14" s="15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4">
        <v>2029</v>
      </c>
      <c r="B15" s="15">
        <v>9221</v>
      </c>
      <c r="C15" s="15">
        <v>9257</v>
      </c>
      <c r="D15" s="15">
        <v>8160</v>
      </c>
      <c r="E15" s="15">
        <v>9600</v>
      </c>
      <c r="F15" s="15">
        <v>8550</v>
      </c>
      <c r="G15" s="15">
        <v>6350</v>
      </c>
      <c r="H15" s="15">
        <v>6200</v>
      </c>
      <c r="I15" s="15">
        <v>7493</v>
      </c>
      <c r="J15" s="15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4">
        <v>2030</v>
      </c>
      <c r="B16" s="15">
        <v>9221</v>
      </c>
      <c r="C16" s="15">
        <v>9257</v>
      </c>
      <c r="D16" s="15">
        <v>8160</v>
      </c>
      <c r="E16" s="15">
        <v>9600</v>
      </c>
      <c r="F16" s="15">
        <v>8550</v>
      </c>
      <c r="G16" s="15">
        <v>6350</v>
      </c>
      <c r="H16" s="15">
        <v>6200</v>
      </c>
      <c r="I16" s="15">
        <v>7493</v>
      </c>
      <c r="J16" s="15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4">
        <v>2031</v>
      </c>
      <c r="B17" s="15">
        <v>9221</v>
      </c>
      <c r="C17" s="15">
        <v>9257</v>
      </c>
      <c r="D17" s="15">
        <v>8160</v>
      </c>
      <c r="E17" s="15">
        <v>9600</v>
      </c>
      <c r="F17" s="15">
        <v>8550</v>
      </c>
      <c r="G17" s="15">
        <v>6350</v>
      </c>
      <c r="H17" s="15">
        <v>6200</v>
      </c>
      <c r="I17" s="15">
        <v>7493</v>
      </c>
      <c r="J17" s="15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4">
        <v>2032</v>
      </c>
      <c r="B18" s="15">
        <v>9221</v>
      </c>
      <c r="C18" s="15">
        <v>9257</v>
      </c>
      <c r="D18" s="15">
        <v>8160</v>
      </c>
      <c r="E18" s="15">
        <v>9600</v>
      </c>
      <c r="F18" s="15">
        <v>8550</v>
      </c>
      <c r="G18" s="15">
        <v>6350</v>
      </c>
      <c r="H18" s="15">
        <v>6200</v>
      </c>
      <c r="I18" s="15">
        <v>7493</v>
      </c>
      <c r="J18" s="15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4">
        <v>2033</v>
      </c>
      <c r="B19" s="15">
        <v>9221</v>
      </c>
      <c r="C19" s="15">
        <v>9257</v>
      </c>
      <c r="D19" s="15">
        <v>8160</v>
      </c>
      <c r="E19" s="15">
        <v>9600</v>
      </c>
      <c r="F19" s="15">
        <v>8550</v>
      </c>
      <c r="G19" s="15">
        <v>6350</v>
      </c>
      <c r="H19" s="15">
        <v>6200</v>
      </c>
      <c r="I19" s="15">
        <v>7493</v>
      </c>
      <c r="J19" s="15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4">
        <v>2034</v>
      </c>
      <c r="B20" s="15">
        <v>9221</v>
      </c>
      <c r="C20" s="15">
        <v>9257</v>
      </c>
      <c r="D20" s="15">
        <v>8160</v>
      </c>
      <c r="E20" s="15">
        <v>9600</v>
      </c>
      <c r="F20" s="15">
        <v>8550</v>
      </c>
      <c r="G20" s="15">
        <v>6350</v>
      </c>
      <c r="H20" s="15">
        <v>6200</v>
      </c>
      <c r="I20" s="15">
        <v>7493</v>
      </c>
      <c r="J20" s="15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4">
        <v>2035</v>
      </c>
      <c r="B21" s="15">
        <v>9221</v>
      </c>
      <c r="C21" s="15">
        <v>9257</v>
      </c>
      <c r="D21" s="15">
        <v>8160</v>
      </c>
      <c r="E21" s="15">
        <v>9600</v>
      </c>
      <c r="F21" s="15">
        <v>8550</v>
      </c>
      <c r="G21" s="15">
        <v>6350</v>
      </c>
      <c r="H21" s="15">
        <v>6200</v>
      </c>
      <c r="I21" s="15">
        <v>7493</v>
      </c>
      <c r="J21" s="15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4">
        <v>2036</v>
      </c>
      <c r="B22" s="15">
        <v>9221</v>
      </c>
      <c r="C22" s="15">
        <v>9257</v>
      </c>
      <c r="D22" s="15">
        <v>8160</v>
      </c>
      <c r="E22" s="15">
        <v>9600</v>
      </c>
      <c r="F22" s="15">
        <v>8550</v>
      </c>
      <c r="G22" s="15">
        <v>6350</v>
      </c>
      <c r="H22" s="15">
        <v>6200</v>
      </c>
      <c r="I22" s="15">
        <v>7493</v>
      </c>
      <c r="J22" s="15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4">
        <v>2037</v>
      </c>
      <c r="B23" s="15">
        <v>9221</v>
      </c>
      <c r="C23" s="15">
        <v>9257</v>
      </c>
      <c r="D23" s="15">
        <v>8160</v>
      </c>
      <c r="E23" s="15">
        <v>9600</v>
      </c>
      <c r="F23" s="15">
        <v>8550</v>
      </c>
      <c r="G23" s="15">
        <v>6350</v>
      </c>
      <c r="H23" s="15">
        <v>6200</v>
      </c>
      <c r="I23" s="15">
        <v>7493</v>
      </c>
      <c r="J23" s="15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4">
        <v>2038</v>
      </c>
      <c r="B24" s="15">
        <v>9221</v>
      </c>
      <c r="C24" s="15">
        <v>9257</v>
      </c>
      <c r="D24" s="15">
        <v>8160</v>
      </c>
      <c r="E24" s="15">
        <v>9600</v>
      </c>
      <c r="F24" s="15">
        <v>8550</v>
      </c>
      <c r="G24" s="15">
        <v>6350</v>
      </c>
      <c r="H24" s="15">
        <v>6200</v>
      </c>
      <c r="I24" s="15">
        <v>7493</v>
      </c>
      <c r="J24" s="15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4">
        <v>2039</v>
      </c>
      <c r="B25" s="15">
        <v>9221</v>
      </c>
      <c r="C25" s="15">
        <v>9257</v>
      </c>
      <c r="D25" s="15">
        <v>8160</v>
      </c>
      <c r="E25" s="15">
        <v>9600</v>
      </c>
      <c r="F25" s="15">
        <v>8550</v>
      </c>
      <c r="G25" s="15">
        <v>6350</v>
      </c>
      <c r="H25" s="15">
        <v>6200</v>
      </c>
      <c r="I25" s="15">
        <v>7493</v>
      </c>
      <c r="J25" s="15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4">
        <v>2040</v>
      </c>
      <c r="B26" s="15">
        <v>9221</v>
      </c>
      <c r="C26" s="15">
        <v>9257</v>
      </c>
      <c r="D26" s="15">
        <v>8160</v>
      </c>
      <c r="E26" s="15">
        <v>9600</v>
      </c>
      <c r="F26" s="15">
        <v>8550</v>
      </c>
      <c r="G26" s="15">
        <v>6350</v>
      </c>
      <c r="H26" s="15">
        <v>6200</v>
      </c>
      <c r="I26" s="15">
        <v>7493</v>
      </c>
      <c r="J26" s="15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4">
        <v>2041</v>
      </c>
      <c r="B27" s="15">
        <v>9221</v>
      </c>
      <c r="C27" s="15">
        <v>9257</v>
      </c>
      <c r="D27" s="15">
        <v>8160</v>
      </c>
      <c r="E27" s="15">
        <v>9600</v>
      </c>
      <c r="F27" s="15">
        <v>8550</v>
      </c>
      <c r="G27" s="15">
        <v>6350</v>
      </c>
      <c r="H27" s="15">
        <v>6200</v>
      </c>
      <c r="I27" s="15">
        <v>7493</v>
      </c>
      <c r="J27" s="15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4">
        <v>2042</v>
      </c>
      <c r="B28" s="15">
        <v>9221</v>
      </c>
      <c r="C28" s="15">
        <v>9257</v>
      </c>
      <c r="D28" s="15">
        <v>8160</v>
      </c>
      <c r="E28" s="15">
        <v>9600</v>
      </c>
      <c r="F28" s="15">
        <v>8550</v>
      </c>
      <c r="G28" s="15">
        <v>6350</v>
      </c>
      <c r="H28" s="15">
        <v>6200</v>
      </c>
      <c r="I28" s="15">
        <v>7493</v>
      </c>
      <c r="J28" s="15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4">
        <v>2043</v>
      </c>
      <c r="B29" s="15">
        <v>9221</v>
      </c>
      <c r="C29" s="15">
        <v>9257</v>
      </c>
      <c r="D29" s="15">
        <v>8160</v>
      </c>
      <c r="E29" s="15">
        <v>9600</v>
      </c>
      <c r="F29" s="15">
        <v>8550</v>
      </c>
      <c r="G29" s="15">
        <v>6350</v>
      </c>
      <c r="H29" s="15">
        <v>6200</v>
      </c>
      <c r="I29" s="15">
        <v>7493</v>
      </c>
      <c r="J29" s="15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4">
        <v>2044</v>
      </c>
      <c r="B30" s="15">
        <v>9221</v>
      </c>
      <c r="C30" s="15">
        <v>9257</v>
      </c>
      <c r="D30" s="15">
        <v>8160</v>
      </c>
      <c r="E30" s="15">
        <v>9600</v>
      </c>
      <c r="F30" s="15">
        <v>8550</v>
      </c>
      <c r="G30" s="15">
        <v>6350</v>
      </c>
      <c r="H30" s="15">
        <v>6200</v>
      </c>
      <c r="I30" s="15">
        <v>7493</v>
      </c>
      <c r="J30" s="15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4">
        <v>2045</v>
      </c>
      <c r="B31" s="15">
        <v>9221</v>
      </c>
      <c r="C31" s="15">
        <v>9257</v>
      </c>
      <c r="D31" s="15">
        <v>8160</v>
      </c>
      <c r="E31" s="15">
        <v>9600</v>
      </c>
      <c r="F31" s="15">
        <v>8550</v>
      </c>
      <c r="G31" s="15">
        <v>6350</v>
      </c>
      <c r="H31" s="15">
        <v>6200</v>
      </c>
      <c r="I31" s="15">
        <v>7493</v>
      </c>
      <c r="J31" s="15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4">
        <v>2046</v>
      </c>
      <c r="B32" s="15">
        <v>9221</v>
      </c>
      <c r="C32" s="15">
        <v>9257</v>
      </c>
      <c r="D32" s="15">
        <v>8160</v>
      </c>
      <c r="E32" s="15">
        <v>9600</v>
      </c>
      <c r="F32" s="15">
        <v>8550</v>
      </c>
      <c r="G32" s="15">
        <v>6350</v>
      </c>
      <c r="H32" s="15">
        <v>6200</v>
      </c>
      <c r="I32" s="15">
        <v>7493</v>
      </c>
      <c r="J32" s="15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4">
        <v>2047</v>
      </c>
      <c r="B33" s="15">
        <v>9221</v>
      </c>
      <c r="C33" s="15">
        <v>9257</v>
      </c>
      <c r="D33" s="15">
        <v>8160</v>
      </c>
      <c r="E33" s="15">
        <v>9600</v>
      </c>
      <c r="F33" s="15">
        <v>8550</v>
      </c>
      <c r="G33" s="15">
        <v>6350</v>
      </c>
      <c r="H33" s="15">
        <v>6200</v>
      </c>
      <c r="I33" s="15">
        <v>7493</v>
      </c>
      <c r="J33" s="15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4">
        <v>2048</v>
      </c>
      <c r="B34" s="15">
        <v>9221</v>
      </c>
      <c r="C34" s="15">
        <v>9257</v>
      </c>
      <c r="D34" s="15">
        <v>8160</v>
      </c>
      <c r="E34" s="15">
        <v>9600</v>
      </c>
      <c r="F34" s="15">
        <v>8550</v>
      </c>
      <c r="G34" s="15">
        <v>6350</v>
      </c>
      <c r="H34" s="15">
        <v>6200</v>
      </c>
      <c r="I34" s="15">
        <v>7493</v>
      </c>
      <c r="J34" s="15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4">
        <v>2049</v>
      </c>
      <c r="B35" s="15">
        <v>9221</v>
      </c>
      <c r="C35" s="15">
        <v>9257</v>
      </c>
      <c r="D35" s="15">
        <v>8160</v>
      </c>
      <c r="E35" s="15">
        <v>9600</v>
      </c>
      <c r="F35" s="15">
        <v>8550</v>
      </c>
      <c r="G35" s="15">
        <v>6350</v>
      </c>
      <c r="H35" s="15">
        <v>6200</v>
      </c>
      <c r="I35" s="15">
        <v>7493</v>
      </c>
      <c r="J35" s="15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4">
        <v>2050</v>
      </c>
      <c r="B36" s="15">
        <v>9221</v>
      </c>
      <c r="C36" s="15">
        <v>9257</v>
      </c>
      <c r="D36" s="15">
        <v>8160</v>
      </c>
      <c r="E36" s="15">
        <v>9600</v>
      </c>
      <c r="F36" s="15">
        <v>8550</v>
      </c>
      <c r="G36" s="15">
        <v>6350</v>
      </c>
      <c r="H36" s="15">
        <v>6200</v>
      </c>
      <c r="I36" s="15">
        <v>7493</v>
      </c>
      <c r="J36" s="15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zoomScale="72" zoomScaleNormal="72" workbookViewId="0">
      <selection activeCell="K19" sqref="K19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6">
      <c r="A3" s="1"/>
      <c r="B3" s="1"/>
      <c r="D3" s="2" t="s">
        <v>183</v>
      </c>
      <c r="I3" s="3" t="s">
        <v>1</v>
      </c>
      <c r="J3" s="3"/>
      <c r="K3" s="3"/>
      <c r="L3" s="3"/>
      <c r="M3" s="3"/>
      <c r="N3" s="3"/>
      <c r="O3" s="3"/>
    </row>
    <row r="4" spans="1:16">
      <c r="A4" s="4"/>
      <c r="B4" s="2" t="s">
        <v>3</v>
      </c>
      <c r="C4" s="2" t="s">
        <v>4</v>
      </c>
      <c r="D4" s="2" t="s">
        <v>5</v>
      </c>
      <c r="E4" t="s">
        <v>8</v>
      </c>
      <c r="F4" t="s">
        <v>184</v>
      </c>
      <c r="G4" s="2" t="s">
        <v>185</v>
      </c>
      <c r="H4" s="1"/>
      <c r="I4" s="3" t="s">
        <v>12</v>
      </c>
      <c r="J4" s="3" t="s">
        <v>3</v>
      </c>
      <c r="K4" s="3" t="s">
        <v>13</v>
      </c>
      <c r="L4" s="3" t="s">
        <v>14</v>
      </c>
      <c r="M4" s="3" t="s">
        <v>15</v>
      </c>
      <c r="N4" s="3" t="s">
        <v>16</v>
      </c>
      <c r="O4" s="3" t="s">
        <v>17</v>
      </c>
      <c r="P4" s="3" t="s">
        <v>18</v>
      </c>
    </row>
    <row r="5" spans="1:16">
      <c r="B5" s="3" t="str">
        <f>J5</f>
        <v>Sto-CO2_CB1</v>
      </c>
      <c r="C5" t="s">
        <v>186</v>
      </c>
      <c r="E5" s="5">
        <v>0.001</v>
      </c>
      <c r="F5" s="6"/>
      <c r="G5" s="7"/>
      <c r="I5" s="3" t="s">
        <v>187</v>
      </c>
      <c r="J5" s="3" t="s">
        <v>188</v>
      </c>
      <c r="K5" t="s">
        <v>189</v>
      </c>
      <c r="L5" s="3"/>
      <c r="M5" s="3" t="s">
        <v>190</v>
      </c>
      <c r="N5" s="3" t="s">
        <v>191</v>
      </c>
      <c r="O5" s="3"/>
      <c r="P5" s="3"/>
    </row>
    <row r="6" spans="1:16">
      <c r="B6" s="3" t="str">
        <f t="shared" ref="B6:B14" si="0">J6</f>
        <v>Sto-CO2_CB2</v>
      </c>
      <c r="C6" t="s">
        <v>186</v>
      </c>
      <c r="E6" s="5">
        <v>0.001</v>
      </c>
      <c r="F6" s="6"/>
      <c r="G6" s="7"/>
      <c r="I6" s="3"/>
      <c r="J6" s="3" t="s">
        <v>192</v>
      </c>
      <c r="K6" t="s">
        <v>193</v>
      </c>
      <c r="L6" s="3"/>
      <c r="M6" s="3" t="s">
        <v>190</v>
      </c>
      <c r="N6" s="3" t="s">
        <v>191</v>
      </c>
      <c r="O6" s="3"/>
      <c r="P6" s="3"/>
    </row>
    <row r="7" spans="1:16">
      <c r="B7" s="3" t="str">
        <f t="shared" si="0"/>
        <v>Sto-CO2_DGF</v>
      </c>
      <c r="C7" t="s">
        <v>186</v>
      </c>
      <c r="E7" s="5">
        <v>0.001</v>
      </c>
      <c r="F7" s="6"/>
      <c r="G7" s="7"/>
      <c r="I7" s="3"/>
      <c r="J7" s="3" t="s">
        <v>194</v>
      </c>
      <c r="K7" t="s">
        <v>195</v>
      </c>
      <c r="L7" s="3"/>
      <c r="M7" s="3" t="s">
        <v>190</v>
      </c>
      <c r="N7" s="3" t="s">
        <v>191</v>
      </c>
      <c r="O7" s="3"/>
      <c r="P7" s="3"/>
    </row>
    <row r="8" spans="1:16">
      <c r="B8" s="3" t="str">
        <f t="shared" si="0"/>
        <v>Sto-CO2_DGO</v>
      </c>
      <c r="C8" t="s">
        <v>186</v>
      </c>
      <c r="E8" s="5">
        <v>0.001</v>
      </c>
      <c r="F8" s="6"/>
      <c r="G8" s="7"/>
      <c r="I8" s="3"/>
      <c r="J8" s="3" t="s">
        <v>196</v>
      </c>
      <c r="K8" t="s">
        <v>197</v>
      </c>
      <c r="L8" s="3"/>
      <c r="M8" s="3" t="s">
        <v>190</v>
      </c>
      <c r="N8" s="3" t="s">
        <v>191</v>
      </c>
      <c r="O8" s="3"/>
      <c r="P8" s="3"/>
    </row>
    <row r="9" spans="1:16">
      <c r="B9" s="3" t="str">
        <f t="shared" si="0"/>
        <v>Sto-CO2_DOF</v>
      </c>
      <c r="C9" t="s">
        <v>186</v>
      </c>
      <c r="E9" s="5">
        <v>0.001</v>
      </c>
      <c r="F9" s="6"/>
      <c r="G9" s="7"/>
      <c r="I9" s="3"/>
      <c r="J9" s="3" t="s">
        <v>198</v>
      </c>
      <c r="K9" t="s">
        <v>199</v>
      </c>
      <c r="L9" s="3"/>
      <c r="M9" s="3" t="s">
        <v>190</v>
      </c>
      <c r="N9" s="3" t="s">
        <v>191</v>
      </c>
      <c r="O9" s="3"/>
      <c r="P9" s="3"/>
    </row>
    <row r="10" spans="1:16">
      <c r="B10" s="3" t="str">
        <f t="shared" si="0"/>
        <v>Sto-CO2_DOO</v>
      </c>
      <c r="C10" t="s">
        <v>186</v>
      </c>
      <c r="E10" s="5">
        <v>0.001</v>
      </c>
      <c r="F10" s="6"/>
      <c r="G10" s="7"/>
      <c r="I10" s="3"/>
      <c r="J10" s="3" t="s">
        <v>200</v>
      </c>
      <c r="K10" t="s">
        <v>201</v>
      </c>
      <c r="L10" s="3"/>
      <c r="M10" s="3" t="s">
        <v>190</v>
      </c>
      <c r="N10" s="3" t="s">
        <v>191</v>
      </c>
      <c r="O10" s="3"/>
      <c r="P10" s="3"/>
    </row>
    <row r="11" spans="1:16">
      <c r="B11" s="3" t="str">
        <f t="shared" si="0"/>
        <v>Sto-CO2_DSA</v>
      </c>
      <c r="C11" t="s">
        <v>186</v>
      </c>
      <c r="E11" s="5">
        <v>0.001</v>
      </c>
      <c r="F11" s="6"/>
      <c r="G11" s="7"/>
      <c r="I11" s="3"/>
      <c r="J11" s="3" t="s">
        <v>202</v>
      </c>
      <c r="K11" t="s">
        <v>203</v>
      </c>
      <c r="L11" s="3"/>
      <c r="M11" s="3" t="s">
        <v>190</v>
      </c>
      <c r="N11" s="3" t="s">
        <v>191</v>
      </c>
      <c r="O11" s="3"/>
      <c r="P11" s="3"/>
    </row>
    <row r="12" spans="1:16">
      <c r="B12" s="3" t="str">
        <f t="shared" si="0"/>
        <v>Sto-CO2_DSO</v>
      </c>
      <c r="C12" t="s">
        <v>186</v>
      </c>
      <c r="E12" s="5">
        <v>0.001</v>
      </c>
      <c r="F12" s="6"/>
      <c r="G12" s="7"/>
      <c r="I12" s="3"/>
      <c r="J12" s="3" t="s">
        <v>204</v>
      </c>
      <c r="K12" t="s">
        <v>205</v>
      </c>
      <c r="L12" s="3"/>
      <c r="M12" s="3" t="s">
        <v>190</v>
      </c>
      <c r="N12" s="3" t="s">
        <v>191</v>
      </c>
      <c r="O12" s="3"/>
      <c r="P12" s="3"/>
    </row>
    <row r="13" spans="1:16">
      <c r="B13" s="3" t="str">
        <f t="shared" si="0"/>
        <v>Sto-CO2_EOF</v>
      </c>
      <c r="C13" t="s">
        <v>186</v>
      </c>
      <c r="E13" s="5">
        <v>0.001</v>
      </c>
      <c r="F13" s="6"/>
      <c r="G13" s="7"/>
      <c r="I13" s="3"/>
      <c r="J13" s="3" t="s">
        <v>206</v>
      </c>
      <c r="K13" t="s">
        <v>207</v>
      </c>
      <c r="L13" s="3"/>
      <c r="M13" s="3" t="s">
        <v>190</v>
      </c>
      <c r="N13" s="3" t="s">
        <v>191</v>
      </c>
      <c r="O13" s="3"/>
      <c r="P13" s="3"/>
    </row>
    <row r="14" spans="1:16">
      <c r="B14" s="3" t="str">
        <f t="shared" si="0"/>
        <v>Sto-CO2_EOR</v>
      </c>
      <c r="C14" t="s">
        <v>186</v>
      </c>
      <c r="E14" s="5">
        <v>0.001</v>
      </c>
      <c r="F14" s="6"/>
      <c r="G14" s="7"/>
      <c r="I14" s="3"/>
      <c r="J14" s="3" t="s">
        <v>208</v>
      </c>
      <c r="K14" t="s">
        <v>209</v>
      </c>
      <c r="L14" s="3"/>
      <c r="M14" s="3" t="s">
        <v>190</v>
      </c>
      <c r="N14" s="3" t="s">
        <v>191</v>
      </c>
      <c r="O14" s="3"/>
      <c r="P14" s="3"/>
    </row>
    <row r="15" spans="1:16">
      <c r="B15" t="s">
        <v>210</v>
      </c>
      <c r="G15" s="7"/>
      <c r="I15" t="s">
        <v>210</v>
      </c>
    </row>
    <row r="16" spans="1:16">
      <c r="B16" s="3" t="str">
        <f>J16</f>
        <v>Pipeline-CO2</v>
      </c>
      <c r="C16" t="s">
        <v>211</v>
      </c>
      <c r="D16" t="str">
        <f>C8</f>
        <v>CO2ForStorage</v>
      </c>
      <c r="F16">
        <v>1</v>
      </c>
      <c r="G16" s="7"/>
      <c r="I16" t="s">
        <v>187</v>
      </c>
      <c r="J16" s="3" t="s">
        <v>212</v>
      </c>
      <c r="K16" s="3" t="s">
        <v>213</v>
      </c>
      <c r="M16" s="3" t="s">
        <v>190</v>
      </c>
      <c r="N16" s="3" t="s">
        <v>191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ELC_Storage_for_NoCir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2008-03-25T10:08:00Z</dcterms:created>
  <cp:lastPrinted>2008-07-01T10:28:00Z</cp:lastPrinted>
  <dcterms:modified xsi:type="dcterms:W3CDTF">2026-06-16T23:58:11Z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1033-12.1.0.26880</vt:lpwstr>
  </property>
  <property fmtid="{D5CDD505-2E9C-101B-9397-08002B2CF9AE}" pid="5" name="CalculationRule">
    <vt:i4>0</vt:i4>
  </property>
</Properties>
</file>