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  <comment ref="H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J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AP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P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L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<sst xmlns="http://schemas.openxmlformats.org/spreadsheetml/2006/main" count="660" uniqueCount="214">
  <si>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</si>
  <si>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</si>
  <si>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</si>
  <si>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</si>
  <si>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</si>
  <si>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</si>
  <si>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</si>
  <si>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</si>
  <si>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</si>
  <si>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</si>
  <si>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</si>
  <si>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</si>
  <si>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</si>
  <si>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</si>
  <si>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</si>
  <si>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</si>
  <si>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</si>
  <si>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</si>
  <si>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</si>
  <si>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</si>
  <si>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</si>
  <si>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</si>
  <si>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</si>
  <si>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</si>
  <si>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</si>
  <si>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</si>
  <si>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</si>
  <si>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</si>
  <si>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</si>
  <si>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</si>
  <si>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</si>
  <si>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</si>
  <si>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</si>
  <si>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</si>
  <si>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</si>
  <si>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</si>
  <si>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</si>
  <si>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</si>
  <si>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</si>
  <si>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</si>
  <si>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</si>
  <si>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</si>
  <si>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</si>
  <si>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</si>
  <si>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</si>
  <si>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</si>
  <si>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</si>
  <si>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</si>
  <si>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</si>
  <si>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</si>
  <si>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</si>
  <si>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</si>
  <si>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</si>
  <si>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</si>
  <si>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</si>
  <si>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</si>
  <si>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</si>
  <si>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</si>
  <si>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</si>
  <si>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</si>
  <si>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</si>
  <si>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</si>
  <si>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</si>
  <si>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</si>
  <si>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</si>
  <si>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</si>
  <si>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</si>
  <si>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</si>
  <si>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</si>
  <si>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</si>
  <si>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</si>
  <si>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</si>
  <si>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</si>
  <si>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</si>
  <si>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</si>
  <si>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</si>
  <si>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</si>
  <si>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</si>
  <si>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tm_expf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</si>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</sst>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64"/>
  <sheetViews>
    <sheetView zoomScale="61" zoomScaleNormal="61" workbookViewId="0">
      <selection activeCell="E66" sqref="E66"/>
    </sheetView>
  </sheetViews>
  <sheetFormatPr defaultColWidth="9.09090909090909" defaultRowHeight="14.5"/>
  <cols>
    <col min="1" max="1" width="8.45454545454546" customWidth="1"/>
    <col min="2" max="2" width="22.0909090909091" customWidth="1"/>
    <col min="3" max="3" width="14.4545454545455" customWidth="1"/>
    <col min="4" max="4" width="11" customWidth="1"/>
    <col min="5" max="5" width="11.4545454545455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  <row r="50" spans="3:12">
      <c r="E50" s="2" t="s">
        <v>78</v>
      </c>
      <c r="F50" s="2"/>
      <c r="G50" s="2"/>
      <c r="H50" s="2"/>
    </row>
    <row r="51" spans="3:12">
      <c r="C51" t="s">
        <v>2</v>
      </c>
      <c r="D51" s="2" t="s">
        <v>3</v>
      </c>
      <c r="E51" s="2" t="s">
        <v>4</v>
      </c>
      <c r="F51">
        <v>2020</v>
      </c>
      <c r="G51">
        <v>2050</v>
      </c>
    </row>
    <row r="52" spans="3:12">
      <c r="C52" s="21" t="s">
        <v>66</v>
      </c>
      <c r="D52" t="s">
        <v>67</v>
      </c>
      <c r="E52" t="s">
        <v>22</v>
      </c>
      <c r="F52">
        <v>1.05</v>
      </c>
      <c r="G52" s="19">
        <v>1.05</v>
      </c>
      <c r="H52" s="19"/>
      <c r="I52" s="19"/>
      <c r="J52" s="19"/>
      <c r="K52" s="19"/>
      <c r="L52" s="20"/>
    </row>
    <row r="53" spans="3:12">
      <c r="F53" s="19"/>
      <c r="G53" s="19"/>
      <c r="H53" s="19"/>
      <c r="I53" s="19"/>
      <c r="J53" s="19"/>
      <c r="K53" s="19"/>
      <c r="L53" s="20"/>
    </row>
    <row r="54" spans="3:12">
      <c r="I54" s="19"/>
      <c r="J54" s="19"/>
      <c r="K54" s="19"/>
      <c r="L54" s="20"/>
    </row>
    <row r="55" spans="3:12">
      <c r="I55" s="19"/>
      <c r="J55" s="19"/>
      <c r="K55" s="19"/>
      <c r="L55" s="20"/>
    </row>
    <row r="56" spans="3:12">
      <c r="I56" s="19"/>
      <c r="J56" s="19"/>
      <c r="K56" s="19"/>
      <c r="L56" s="20"/>
    </row>
    <row r="57" spans="3:12">
      <c r="I57" s="19"/>
      <c r="J57" s="19"/>
      <c r="K57" s="19"/>
      <c r="L57" s="20"/>
    </row>
    <row r="58" spans="3:12">
      <c r="I58" s="19"/>
      <c r="J58" s="19"/>
      <c r="K58" s="19"/>
      <c r="L58" s="20"/>
    </row>
    <row r="59" spans="3:12">
      <c r="I59" s="19"/>
      <c r="J59" s="19"/>
      <c r="K59" s="19"/>
      <c r="L59" s="20"/>
    </row>
    <row r="60" spans="3:12">
      <c r="F60" s="19"/>
      <c r="G60" s="19"/>
      <c r="I60" s="19"/>
      <c r="J60" s="19"/>
      <c r="K60" s="19"/>
      <c r="L60" s="20"/>
    </row>
    <row r="61" spans="3:12">
      <c r="I61" s="19"/>
      <c r="J61" s="19"/>
      <c r="K61" s="19"/>
      <c r="L61" s="20"/>
    </row>
    <row r="62" spans="3:12">
      <c r="I62" s="19"/>
      <c r="J62" s="19"/>
      <c r="K62" s="19"/>
      <c r="L62" s="20"/>
    </row>
    <row r="63" spans="3:12">
      <c r="I63" s="19"/>
      <c r="J63" s="19"/>
      <c r="K63" s="19"/>
      <c r="L63" s="20"/>
    </row>
    <row r="64" spans="3:12">
      <c r="H64" s="65"/>
      <c r="I64" s="66"/>
      <c r="J64" s="65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tabSelected="1" zoomScale="75" zoomScaleNormal="75" topLeftCell="F1" workbookViewId="0">
      <selection activeCell="K33" sqref="K33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48">
      <c r="X1" s="28"/>
      <c r="Y1" s="29" t="s">
        <v>79</v>
      </c>
      <c r="Z1" s="28"/>
      <c r="AA1" s="28"/>
      <c r="AB1" s="28"/>
      <c r="AC1" s="28"/>
      <c r="AD1" s="28"/>
      <c r="AE1" s="28"/>
      <c r="AF1" s="28"/>
    </row>
    <row r="2" spans="2:48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48">
      <c r="B3" s="3" t="s">
        <v>11</v>
      </c>
      <c r="C3" s="3" t="s">
        <v>2</v>
      </c>
      <c r="D3" s="3" t="s">
        <v>12</v>
      </c>
      <c r="E3" s="3" t="s">
        <v>14</v>
      </c>
      <c r="F3" s="3" t="s">
        <v>15</v>
      </c>
      <c r="G3" s="3" t="s">
        <v>13</v>
      </c>
      <c r="H3" s="3" t="s">
        <v>16</v>
      </c>
      <c r="W3" s="31"/>
      <c r="X3" s="32" t="s">
        <v>80</v>
      </c>
      <c r="Y3" s="29" t="s">
        <v>81</v>
      </c>
      <c r="Z3" s="29" t="s">
        <v>82</v>
      </c>
      <c r="AA3" s="29" t="s">
        <v>83</v>
      </c>
      <c r="AB3" s="29" t="s">
        <v>84</v>
      </c>
      <c r="AC3" s="29" t="s">
        <v>85</v>
      </c>
      <c r="AD3" s="29" t="s">
        <v>86</v>
      </c>
      <c r="AE3" s="29" t="s">
        <v>87</v>
      </c>
      <c r="AF3" s="29" t="s">
        <v>88</v>
      </c>
    </row>
    <row r="4" spans="2:48"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42</v>
      </c>
      <c r="H4" s="3"/>
      <c r="W4" s="31"/>
      <c r="X4" s="33" t="s">
        <v>94</v>
      </c>
      <c r="Y4" s="29" t="s">
        <v>90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48">
      <c r="B5" s="3" t="s">
        <v>23</v>
      </c>
      <c r="C5" s="3" t="s">
        <v>95</v>
      </c>
      <c r="D5" s="3" t="s">
        <v>96</v>
      </c>
      <c r="E5" s="3" t="s">
        <v>92</v>
      </c>
      <c r="F5" s="3" t="s">
        <v>27</v>
      </c>
      <c r="G5" s="3" t="s">
        <v>42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48">
      <c r="B6" s="3" t="s">
        <v>89</v>
      </c>
      <c r="C6" s="3" t="s">
        <v>97</v>
      </c>
      <c r="D6" s="3" t="s">
        <v>98</v>
      </c>
      <c r="E6" s="3" t="s">
        <v>92</v>
      </c>
      <c r="F6" s="3" t="s">
        <v>93</v>
      </c>
      <c r="G6" s="3" t="s">
        <v>42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48">
      <c r="B7" s="3"/>
      <c r="C7" s="3" t="s">
        <v>99</v>
      </c>
      <c r="E7" s="3" t="s">
        <v>92</v>
      </c>
      <c r="F7" s="3" t="s">
        <v>93</v>
      </c>
      <c r="G7" s="3" t="s">
        <v>42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48">
      <c r="B8" s="3"/>
      <c r="C8" s="3" t="s">
        <v>100</v>
      </c>
      <c r="E8" s="3" t="s">
        <v>92</v>
      </c>
      <c r="F8" s="3" t="s">
        <v>93</v>
      </c>
      <c r="G8" s="3" t="s">
        <v>42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48">
      <c r="B9" s="3"/>
      <c r="C9" s="3" t="s">
        <v>101</v>
      </c>
      <c r="E9" s="3" t="s">
        <v>92</v>
      </c>
      <c r="F9" s="3" t="s">
        <v>93</v>
      </c>
      <c r="G9" s="3" t="s">
        <v>42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48">
      <c r="B10" s="3"/>
      <c r="C10" s="3" t="s">
        <v>102</v>
      </c>
      <c r="E10" s="3" t="s">
        <v>92</v>
      </c>
      <c r="F10" s="3" t="s">
        <v>93</v>
      </c>
      <c r="G10" s="3" t="s">
        <v>42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48">
      <c r="B11" s="3"/>
      <c r="C11" s="3" t="s">
        <v>103</v>
      </c>
      <c r="E11" s="3" t="s">
        <v>92</v>
      </c>
      <c r="F11" s="3" t="s">
        <v>93</v>
      </c>
      <c r="G11" s="3" t="s">
        <v>42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48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48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48">
      <c r="G14" t="s">
        <v>104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104</v>
      </c>
    </row>
    <row r="15" spans="2:48">
      <c r="B15" t="s">
        <v>2</v>
      </c>
      <c r="C15" t="s">
        <v>3</v>
      </c>
      <c r="D15" t="s">
        <v>105</v>
      </c>
      <c r="E15" t="s">
        <v>4</v>
      </c>
      <c r="F15" t="s">
        <v>106</v>
      </c>
      <c r="G15" t="s">
        <v>107</v>
      </c>
      <c r="H15" t="s">
        <v>108</v>
      </c>
      <c r="I15" t="s">
        <v>109</v>
      </c>
      <c r="J15" t="s">
        <v>110</v>
      </c>
      <c r="K15" t="s">
        <v>111</v>
      </c>
      <c r="L15" t="s">
        <v>9</v>
      </c>
      <c r="M15" t="s">
        <v>112</v>
      </c>
      <c r="N15" t="s">
        <v>6</v>
      </c>
      <c r="O15" t="s">
        <v>113</v>
      </c>
      <c r="P15" t="s">
        <v>114</v>
      </c>
      <c r="Q15" t="s">
        <v>115</v>
      </c>
      <c r="R15" s="37" t="s">
        <v>116</v>
      </c>
      <c r="V15" s="27" t="s">
        <v>117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2</v>
      </c>
      <c r="AG15" t="s">
        <v>3</v>
      </c>
      <c r="AH15" t="s">
        <v>105</v>
      </c>
      <c r="AI15" t="s">
        <v>4</v>
      </c>
      <c r="AJ15" t="s">
        <v>106</v>
      </c>
      <c r="AK15" t="s">
        <v>107</v>
      </c>
      <c r="AL15" t="s">
        <v>108</v>
      </c>
      <c r="AM15" t="s">
        <v>109</v>
      </c>
      <c r="AN15" t="s">
        <v>110</v>
      </c>
      <c r="AO15" t="s">
        <v>111</v>
      </c>
      <c r="AP15" t="s">
        <v>9</v>
      </c>
      <c r="AQ15" t="s">
        <v>112</v>
      </c>
      <c r="AR15" t="s">
        <v>6</v>
      </c>
      <c r="AS15" t="s">
        <v>113</v>
      </c>
      <c r="AT15" t="s">
        <v>114</v>
      </c>
      <c r="AU15" t="s">
        <v>115</v>
      </c>
      <c r="AV15" s="37" t="s">
        <v>116</v>
      </c>
    </row>
    <row r="16" spans="2:48">
      <c r="B16" t="s">
        <v>90</v>
      </c>
      <c r="C16" t="s">
        <v>22</v>
      </c>
      <c r="E16" t="s">
        <v>22</v>
      </c>
      <c r="G16" t="s">
        <v>118</v>
      </c>
      <c r="H16">
        <v>0.92</v>
      </c>
      <c r="I16" s="19">
        <v>1.314</v>
      </c>
      <c r="J16">
        <v>1</v>
      </c>
      <c r="L16" s="24"/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97</v>
      </c>
      <c r="AG16" t="s">
        <v>22</v>
      </c>
      <c r="AI16" t="s">
        <v>22</v>
      </c>
      <c r="AK16" t="s">
        <v>118</v>
      </c>
      <c r="AL16" s="24">
        <v>0.9</v>
      </c>
      <c r="AM16" s="19">
        <v>1.314</v>
      </c>
      <c r="AN16">
        <v>1</v>
      </c>
      <c r="AP16" s="24">
        <v>10</v>
      </c>
      <c r="AU16">
        <v>2020</v>
      </c>
      <c r="AV16" s="24">
        <v>3000</v>
      </c>
    </row>
    <row r="17" s="27" customFormat="1" ht="16" spans="2:67">
      <c r="D17" s="38"/>
      <c r="F17" s="27" t="s">
        <v>119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120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119</v>
      </c>
      <c r="AK17" s="31" t="s">
        <v>119</v>
      </c>
      <c r="AL17" s="31"/>
      <c r="AM17" s="44"/>
      <c r="AN17" s="31"/>
      <c r="AO17" s="44">
        <v>1.08695652173913</v>
      </c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22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121</v>
      </c>
      <c r="AK18" t="s">
        <v>22</v>
      </c>
      <c r="AM18" s="19"/>
      <c r="AS18">
        <v>1</v>
      </c>
    </row>
    <row r="19" spans="2:67">
      <c r="B19" t="s">
        <v>95</v>
      </c>
      <c r="E19" t="s">
        <v>122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99</v>
      </c>
      <c r="AG19" t="s">
        <v>22</v>
      </c>
      <c r="AI19" t="s">
        <v>22</v>
      </c>
      <c r="AK19" t="s">
        <v>118</v>
      </c>
      <c r="AL19" s="24">
        <v>0.94</v>
      </c>
      <c r="AM19" s="19">
        <f>AM16</f>
        <v>1.314</v>
      </c>
      <c r="AN19">
        <v>1</v>
      </c>
      <c r="AP19" s="24">
        <v>12</v>
      </c>
      <c r="AU19">
        <v>2020</v>
      </c>
      <c r="AV19" s="24">
        <v>3500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119</v>
      </c>
      <c r="AK20" s="31" t="s">
        <v>119</v>
      </c>
      <c r="AL20" s="31"/>
      <c r="AM20" s="44"/>
      <c r="AN20" s="31"/>
      <c r="AO20" s="44">
        <v>1.08695652173913</v>
      </c>
      <c r="AP20" s="31"/>
      <c r="AQ20" s="31"/>
      <c r="AR20" s="31"/>
      <c r="AS20" s="31"/>
      <c r="AT20" s="31"/>
      <c r="AU20" s="31"/>
      <c r="AV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121</v>
      </c>
      <c r="AK21" t="s">
        <v>22</v>
      </c>
      <c r="AM21" s="19"/>
      <c r="AS21">
        <v>1</v>
      </c>
    </row>
    <row r="22" spans="2:67">
      <c r="L22" s="24">
        <v>20</v>
      </c>
      <c r="W22" s="40"/>
      <c r="X22" s="35"/>
      <c r="Y22" s="35"/>
      <c r="Z22" s="35"/>
      <c r="AA22" s="40"/>
      <c r="AB22" s="45"/>
      <c r="AC22" s="45"/>
      <c r="AF22" s="31" t="s">
        <v>100</v>
      </c>
      <c r="AG22" t="s">
        <v>22</v>
      </c>
      <c r="AI22" t="s">
        <v>22</v>
      </c>
      <c r="AK22" t="s">
        <v>118</v>
      </c>
      <c r="AL22" s="24">
        <v>0.94</v>
      </c>
      <c r="AM22" s="19">
        <f>AM19</f>
        <v>1.314</v>
      </c>
      <c r="AN22">
        <v>1</v>
      </c>
      <c r="AP22" s="24">
        <v>13</v>
      </c>
      <c r="AU22">
        <v>2020</v>
      </c>
      <c r="AV22" s="24">
        <v>4000</v>
      </c>
    </row>
    <row r="23" spans="2:67">
      <c r="B23" s="3" t="s">
        <v>123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119</v>
      </c>
      <c r="AK23" s="31" t="s">
        <v>119</v>
      </c>
      <c r="AL23" s="24"/>
      <c r="AM23" s="44"/>
      <c r="AN23" s="31"/>
      <c r="AO23" s="44">
        <v>1.08695652173913</v>
      </c>
      <c r="AP23" s="31"/>
      <c r="AQ23" s="31"/>
      <c r="AR23" s="31"/>
      <c r="AS23" s="31"/>
      <c r="AT23" s="31"/>
      <c r="AU23" s="31"/>
      <c r="AV23" s="31"/>
    </row>
    <row r="24" spans="2:67">
      <c r="B24" s="3" t="s">
        <v>124</v>
      </c>
      <c r="C24" s="3" t="s">
        <v>125</v>
      </c>
      <c r="D24" s="3" t="s">
        <v>126</v>
      </c>
      <c r="E24" s="3" t="s">
        <v>127</v>
      </c>
      <c r="F24" s="3" t="s">
        <v>128</v>
      </c>
      <c r="G24" s="3" t="s">
        <v>129</v>
      </c>
      <c r="H24" s="3" t="s">
        <v>130</v>
      </c>
      <c r="I24" s="3" t="s">
        <v>131</v>
      </c>
      <c r="W24" s="45"/>
      <c r="X24" s="46"/>
      <c r="Y24" s="47"/>
      <c r="Z24" s="42"/>
      <c r="AA24" s="40"/>
      <c r="AB24" s="45"/>
      <c r="AC24" s="45"/>
      <c r="AH24" s="3"/>
      <c r="AJ24" s="3" t="s">
        <v>121</v>
      </c>
      <c r="AK24" t="s">
        <v>22</v>
      </c>
      <c r="AL24" s="24"/>
      <c r="AM24" s="19"/>
      <c r="AS24">
        <v>1</v>
      </c>
    </row>
    <row r="25" spans="2:67">
      <c r="B25" s="3" t="s">
        <v>132</v>
      </c>
      <c r="C25" s="3" t="s">
        <v>121</v>
      </c>
      <c r="D25" s="3" t="s">
        <v>133</v>
      </c>
      <c r="E25" s="3" t="s">
        <v>92</v>
      </c>
      <c r="F25" s="3"/>
      <c r="G25" s="3" t="s">
        <v>42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101</v>
      </c>
      <c r="AG25" t="s">
        <v>22</v>
      </c>
      <c r="AI25" t="s">
        <v>22</v>
      </c>
      <c r="AK25" t="s">
        <v>118</v>
      </c>
      <c r="AL25" s="24">
        <v>0.94</v>
      </c>
      <c r="AM25" s="19">
        <f>AM22</f>
        <v>1.314</v>
      </c>
      <c r="AN25">
        <v>1</v>
      </c>
      <c r="AP25" s="24">
        <v>13</v>
      </c>
      <c r="AU25">
        <v>2020</v>
      </c>
      <c r="AV25" s="24">
        <v>4000</v>
      </c>
    </row>
    <row r="26" spans="2:67">
      <c r="C26" s="3" t="s">
        <v>119</v>
      </c>
      <c r="D26" s="3" t="s">
        <v>134</v>
      </c>
      <c r="E26" s="3" t="s">
        <v>92</v>
      </c>
      <c r="F26" s="3"/>
      <c r="G26" s="3" t="s">
        <v>42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119</v>
      </c>
      <c r="AK26" s="31" t="s">
        <v>119</v>
      </c>
      <c r="AL26" s="24"/>
      <c r="AM26" s="44"/>
      <c r="AN26" s="31"/>
      <c r="AO26" s="44">
        <v>1.08695652173913</v>
      </c>
      <c r="AP26" s="31"/>
      <c r="AQ26" s="31"/>
      <c r="AR26" s="31"/>
      <c r="AS26" s="31"/>
      <c r="AT26" s="31"/>
      <c r="AU26" s="31"/>
      <c r="AV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121</v>
      </c>
      <c r="AK27" t="s">
        <v>22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102</v>
      </c>
      <c r="AG28" t="s">
        <v>22</v>
      </c>
      <c r="AI28" t="s">
        <v>22</v>
      </c>
      <c r="AK28" t="s">
        <v>118</v>
      </c>
      <c r="AL28" s="24">
        <v>0.94</v>
      </c>
      <c r="AM28" s="19">
        <f>AM25</f>
        <v>1.314</v>
      </c>
      <c r="AN28">
        <v>1</v>
      </c>
      <c r="AP28" s="24">
        <v>13</v>
      </c>
      <c r="AU28">
        <v>2020</v>
      </c>
      <c r="AV28" s="24">
        <v>4000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119</v>
      </c>
      <c r="AK29" s="31" t="s">
        <v>119</v>
      </c>
      <c r="AL29" s="24"/>
      <c r="AM29" s="44"/>
      <c r="AN29" s="31"/>
      <c r="AO29" s="44">
        <v>1.08695652173913</v>
      </c>
      <c r="AP29" s="31"/>
      <c r="AQ29" s="31"/>
      <c r="AR29" s="31"/>
      <c r="AS29" s="31"/>
      <c r="AT29" s="31"/>
      <c r="AU29" s="31"/>
      <c r="AV29" s="31"/>
    </row>
    <row r="30" spans="2:67">
      <c r="B30" s="28"/>
      <c r="C30" s="28"/>
      <c r="D30" s="48" t="s">
        <v>79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121</v>
      </c>
      <c r="AK30" t="s">
        <v>22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103</v>
      </c>
      <c r="AG31" t="s">
        <v>22</v>
      </c>
      <c r="AI31" t="s">
        <v>22</v>
      </c>
      <c r="AK31" t="s">
        <v>118</v>
      </c>
      <c r="AL31" s="24">
        <v>0.94</v>
      </c>
      <c r="AM31" s="19">
        <f>AM28</f>
        <v>1.314</v>
      </c>
      <c r="AN31">
        <v>1</v>
      </c>
      <c r="AP31" s="24">
        <v>13</v>
      </c>
      <c r="AU31">
        <v>2020</v>
      </c>
      <c r="AV31" s="24">
        <v>4000</v>
      </c>
    </row>
    <row r="32" spans="2:67">
      <c r="B32" s="32" t="s">
        <v>80</v>
      </c>
      <c r="C32" s="48" t="s">
        <v>2</v>
      </c>
      <c r="D32" s="48" t="s">
        <v>3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119</v>
      </c>
      <c r="AK32" s="31" t="s">
        <v>119</v>
      </c>
      <c r="AL32" s="31"/>
      <c r="AM32" s="44"/>
      <c r="AN32" s="31"/>
      <c r="AO32" s="44">
        <v>1.08695652173913</v>
      </c>
      <c r="AP32" s="31"/>
      <c r="AQ32" s="31"/>
      <c r="AR32" s="31"/>
      <c r="AS32" s="31"/>
      <c r="AT32" s="31"/>
      <c r="AU32" s="31"/>
      <c r="AV32" s="31"/>
    </row>
    <row r="33" spans="2:45">
      <c r="B33" s="33" t="s">
        <v>94</v>
      </c>
      <c r="C33" s="49" t="s">
        <v>90</v>
      </c>
      <c r="D33" s="50" t="s">
        <v>135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121</v>
      </c>
      <c r="AK33" t="s">
        <v>22</v>
      </c>
      <c r="AM33" s="19"/>
      <c r="AS33">
        <v>1</v>
      </c>
    </row>
    <row r="34" ht="16" spans="2:45">
      <c r="B34" s="33" t="s">
        <v>94</v>
      </c>
      <c r="C34" s="52" t="str">
        <f t="shared" ref="C34:C36" si="0">C33</f>
        <v>EN_STG_4hBatt</v>
      </c>
      <c r="D34" s="50" t="s">
        <v>136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94</v>
      </c>
      <c r="C35" s="52" t="str">
        <f t="shared" si="0"/>
        <v>EN_STG_4hBatt</v>
      </c>
      <c r="D35" s="50" t="s">
        <v>137</v>
      </c>
      <c r="E35" s="51">
        <f>[2]EnergyUseFromEverBatt_Min_!$AW$8</f>
        <v>0.466366666666667</v>
      </c>
    </row>
    <row r="36" ht="16" spans="2:45">
      <c r="B36" s="33" t="s">
        <v>94</v>
      </c>
      <c r="C36" s="52" t="str">
        <f t="shared" si="0"/>
        <v>EN_STG_4hBatt</v>
      </c>
      <c r="D36" s="50" t="s">
        <v>138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139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81</v>
      </c>
      <c r="C44" s="57" t="s">
        <v>140</v>
      </c>
      <c r="D44" s="58" t="s">
        <v>141</v>
      </c>
      <c r="E44" s="58" t="s">
        <v>142</v>
      </c>
      <c r="F44" s="58" t="s">
        <v>143</v>
      </c>
      <c r="G44" s="58" t="s">
        <v>144</v>
      </c>
      <c r="H44" s="58" t="s">
        <v>145</v>
      </c>
      <c r="I44" s="58" t="s">
        <v>146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90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147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81</v>
      </c>
      <c r="C59" s="64" t="s">
        <v>148</v>
      </c>
      <c r="D59" s="63" t="s">
        <v>149</v>
      </c>
      <c r="E59" s="63" t="s">
        <v>150</v>
      </c>
      <c r="F59" s="63" t="s">
        <v>151</v>
      </c>
      <c r="G59" s="63" t="s">
        <v>152</v>
      </c>
      <c r="H59" s="63" t="s">
        <v>153</v>
      </c>
      <c r="I59" s="63" t="s">
        <v>154</v>
      </c>
    </row>
    <row r="60" spans="2:19">
      <c r="B60" s="63" t="s">
        <v>90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97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99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100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101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102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103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155</v>
      </c>
    </row>
    <row r="2" spans="1:1">
      <c r="A2" t="s">
        <v>156</v>
      </c>
    </row>
    <row r="4" spans="1:1">
      <c r="A4" s="13" t="s">
        <v>157</v>
      </c>
    </row>
    <row r="5" spans="1:1">
      <c r="A5" t="s">
        <v>158</v>
      </c>
    </row>
    <row r="7" spans="1:1">
      <c r="A7" s="13" t="s">
        <v>159</v>
      </c>
    </row>
    <row r="8" spans="1:1">
      <c r="A8" t="s">
        <v>160</v>
      </c>
    </row>
    <row r="9" spans="1:1">
      <c r="A9" t="s">
        <v>161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162</v>
      </c>
      <c r="B1" t="s">
        <v>163</v>
      </c>
    </row>
    <row r="2" spans="1:2">
      <c r="A2" s="26">
        <v>43598</v>
      </c>
      <c r="B2" t="s">
        <v>164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topLeftCell="A38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165</v>
      </c>
      <c r="E2" s="2"/>
      <c r="F2" s="2"/>
      <c r="G2" s="2"/>
      <c r="P2" s="3" t="s">
        <v>166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167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168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169</v>
      </c>
    </row>
    <row r="2" spans="1:23">
      <c r="A2" t="s">
        <v>170</v>
      </c>
    </row>
    <row r="4" ht="43.5" spans="1:23">
      <c r="A4" s="11" t="s">
        <v>171</v>
      </c>
      <c r="B4" s="11" t="s">
        <v>43</v>
      </c>
      <c r="C4" s="11" t="s">
        <v>48</v>
      </c>
      <c r="D4" s="11" t="s">
        <v>172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173</v>
      </c>
      <c r="K4" s="11" t="s">
        <v>75</v>
      </c>
      <c r="L4" s="11" t="s">
        <v>69</v>
      </c>
      <c r="M4" s="11" t="s">
        <v>174</v>
      </c>
      <c r="N4" s="11" t="s">
        <v>175</v>
      </c>
      <c r="O4" s="11" t="s">
        <v>74</v>
      </c>
      <c r="P4" s="11" t="s">
        <v>176</v>
      </c>
      <c r="Q4" s="11" t="s">
        <v>34</v>
      </c>
      <c r="R4" s="11" t="s">
        <v>38</v>
      </c>
      <c r="S4" s="11" t="s">
        <v>177</v>
      </c>
      <c r="T4" s="11" t="s">
        <v>178</v>
      </c>
      <c r="U4" s="11" t="s">
        <v>30</v>
      </c>
      <c r="V4" s="11" t="s">
        <v>179</v>
      </c>
      <c r="W4" s="11" t="s">
        <v>180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181</v>
      </c>
    </row>
    <row r="2" spans="1:20">
      <c r="A2" s="2" t="s">
        <v>182</v>
      </c>
    </row>
    <row r="3" spans="1:20">
      <c r="L3" s="10">
        <f>3.6/1.055</f>
        <v>3.41232227488152</v>
      </c>
    </row>
    <row r="4" ht="43.5" spans="1:20">
      <c r="A4" s="11" t="s">
        <v>171</v>
      </c>
      <c r="B4" s="11" t="s">
        <v>43</v>
      </c>
      <c r="C4" s="12" t="s">
        <v>48</v>
      </c>
      <c r="D4" s="12" t="s">
        <v>172</v>
      </c>
      <c r="E4" s="12" t="s">
        <v>65</v>
      </c>
      <c r="F4" s="12" t="s">
        <v>61</v>
      </c>
      <c r="G4" s="12" t="s">
        <v>58</v>
      </c>
      <c r="H4" s="12" t="s">
        <v>54</v>
      </c>
      <c r="I4" s="12" t="s">
        <v>51</v>
      </c>
      <c r="J4" s="12" t="s">
        <v>173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183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2</v>
      </c>
      <c r="C4" s="2" t="s">
        <v>3</v>
      </c>
      <c r="D4" s="2" t="s">
        <v>4</v>
      </c>
      <c r="E4" t="s">
        <v>7</v>
      </c>
      <c r="F4" t="s">
        <v>184</v>
      </c>
      <c r="G4" s="2" t="s">
        <v>185</v>
      </c>
      <c r="H4" s="1"/>
      <c r="I4" s="3" t="s">
        <v>11</v>
      </c>
      <c r="J4" s="3" t="s">
        <v>2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>
      <c r="B5" s="3" t="str">
        <f>J5</f>
        <v>Sto-CO2_CB1</v>
      </c>
      <c r="C5" t="s">
        <v>186</v>
      </c>
      <c r="E5" s="5">
        <v>0.001</v>
      </c>
      <c r="F5" s="6"/>
      <c r="G5" s="7"/>
      <c r="I5" s="3" t="s">
        <v>187</v>
      </c>
      <c r="J5" s="3" t="s">
        <v>188</v>
      </c>
      <c r="K5" t="s">
        <v>189</v>
      </c>
      <c r="L5" s="3"/>
      <c r="M5" s="3" t="s">
        <v>190</v>
      </c>
      <c r="N5" s="3" t="s">
        <v>191</v>
      </c>
      <c r="O5" s="3"/>
      <c r="P5" s="3"/>
    </row>
    <row r="6" spans="1:16">
      <c r="B6" s="3" t="str">
        <f t="shared" ref="B6:B14" si="0">J6</f>
        <v>Sto-CO2_CB2</v>
      </c>
      <c r="C6" t="s">
        <v>186</v>
      </c>
      <c r="E6" s="5">
        <v>0.001</v>
      </c>
      <c r="F6" s="6"/>
      <c r="G6" s="7"/>
      <c r="I6" s="3"/>
      <c r="J6" s="3" t="s">
        <v>192</v>
      </c>
      <c r="K6" t="s">
        <v>193</v>
      </c>
      <c r="L6" s="3"/>
      <c r="M6" s="3" t="s">
        <v>190</v>
      </c>
      <c r="N6" s="3" t="s">
        <v>191</v>
      </c>
      <c r="O6" s="3"/>
      <c r="P6" s="3"/>
    </row>
    <row r="7" spans="1:16">
      <c r="B7" s="3" t="str">
        <f t="shared" si="0"/>
        <v>Sto-CO2_DGF</v>
      </c>
      <c r="C7" t="s">
        <v>186</v>
      </c>
      <c r="E7" s="5">
        <v>0.001</v>
      </c>
      <c r="F7" s="6"/>
      <c r="G7" s="7"/>
      <c r="I7" s="3"/>
      <c r="J7" s="3" t="s">
        <v>194</v>
      </c>
      <c r="K7" t="s">
        <v>195</v>
      </c>
      <c r="L7" s="3"/>
      <c r="M7" s="3" t="s">
        <v>190</v>
      </c>
      <c r="N7" s="3" t="s">
        <v>191</v>
      </c>
      <c r="O7" s="3"/>
      <c r="P7" s="3"/>
    </row>
    <row r="8" spans="1:16">
      <c r="B8" s="3" t="str">
        <f t="shared" si="0"/>
        <v>Sto-CO2_DGO</v>
      </c>
      <c r="C8" t="s">
        <v>186</v>
      </c>
      <c r="E8" s="5">
        <v>0.001</v>
      </c>
      <c r="F8" s="6"/>
      <c r="G8" s="7"/>
      <c r="I8" s="3"/>
      <c r="J8" s="3" t="s">
        <v>196</v>
      </c>
      <c r="K8" t="s">
        <v>197</v>
      </c>
      <c r="L8" s="3"/>
      <c r="M8" s="3" t="s">
        <v>190</v>
      </c>
      <c r="N8" s="3" t="s">
        <v>191</v>
      </c>
      <c r="O8" s="3"/>
      <c r="P8" s="3"/>
    </row>
    <row r="9" spans="1:16">
      <c r="B9" s="3" t="str">
        <f t="shared" si="0"/>
        <v>Sto-CO2_DOF</v>
      </c>
      <c r="C9" t="s">
        <v>186</v>
      </c>
      <c r="E9" s="5">
        <v>0.001</v>
      </c>
      <c r="F9" s="6"/>
      <c r="G9" s="7"/>
      <c r="I9" s="3"/>
      <c r="J9" s="3" t="s">
        <v>198</v>
      </c>
      <c r="K9" t="s">
        <v>199</v>
      </c>
      <c r="L9" s="3"/>
      <c r="M9" s="3" t="s">
        <v>190</v>
      </c>
      <c r="N9" s="3" t="s">
        <v>191</v>
      </c>
      <c r="O9" s="3"/>
      <c r="P9" s="3"/>
    </row>
    <row r="10" spans="1:16">
      <c r="B10" s="3" t="str">
        <f t="shared" si="0"/>
        <v>Sto-CO2_DOO</v>
      </c>
      <c r="C10" t="s">
        <v>186</v>
      </c>
      <c r="E10" s="5">
        <v>0.001</v>
      </c>
      <c r="F10" s="6"/>
      <c r="G10" s="7"/>
      <c r="I10" s="3"/>
      <c r="J10" s="3" t="s">
        <v>200</v>
      </c>
      <c r="K10" t="s">
        <v>201</v>
      </c>
      <c r="L10" s="3"/>
      <c r="M10" s="3" t="s">
        <v>190</v>
      </c>
      <c r="N10" s="3" t="s">
        <v>191</v>
      </c>
      <c r="O10" s="3"/>
      <c r="P10" s="3"/>
    </row>
    <row r="11" spans="1:16">
      <c r="B11" s="3" t="str">
        <f t="shared" si="0"/>
        <v>Sto-CO2_DSA</v>
      </c>
      <c r="C11" t="s">
        <v>186</v>
      </c>
      <c r="E11" s="5">
        <v>0.001</v>
      </c>
      <c r="F11" s="6"/>
      <c r="G11" s="7"/>
      <c r="I11" s="3"/>
      <c r="J11" s="3" t="s">
        <v>202</v>
      </c>
      <c r="K11" t="s">
        <v>203</v>
      </c>
      <c r="L11" s="3"/>
      <c r="M11" s="3" t="s">
        <v>190</v>
      </c>
      <c r="N11" s="3" t="s">
        <v>191</v>
      </c>
      <c r="O11" s="3"/>
      <c r="P11" s="3"/>
    </row>
    <row r="12" spans="1:16">
      <c r="B12" s="3" t="str">
        <f t="shared" si="0"/>
        <v>Sto-CO2_DSO</v>
      </c>
      <c r="C12" t="s">
        <v>186</v>
      </c>
      <c r="E12" s="5">
        <v>0.001</v>
      </c>
      <c r="F12" s="6"/>
      <c r="G12" s="7"/>
      <c r="I12" s="3"/>
      <c r="J12" s="3" t="s">
        <v>204</v>
      </c>
      <c r="K12" t="s">
        <v>205</v>
      </c>
      <c r="L12" s="3"/>
      <c r="M12" s="3" t="s">
        <v>190</v>
      </c>
      <c r="N12" s="3" t="s">
        <v>191</v>
      </c>
      <c r="O12" s="3"/>
      <c r="P12" s="3"/>
    </row>
    <row r="13" spans="1:16">
      <c r="B13" s="3" t="str">
        <f t="shared" si="0"/>
        <v>Sto-CO2_EOF</v>
      </c>
      <c r="C13" t="s">
        <v>186</v>
      </c>
      <c r="E13" s="5">
        <v>0.001</v>
      </c>
      <c r="F13" s="6"/>
      <c r="G13" s="7"/>
      <c r="I13" s="3"/>
      <c r="J13" s="3" t="s">
        <v>206</v>
      </c>
      <c r="K13" t="s">
        <v>207</v>
      </c>
      <c r="L13" s="3"/>
      <c r="M13" s="3" t="s">
        <v>190</v>
      </c>
      <c r="N13" s="3" t="s">
        <v>191</v>
      </c>
      <c r="O13" s="3"/>
      <c r="P13" s="3"/>
    </row>
    <row r="14" spans="1:16">
      <c r="B14" s="3" t="str">
        <f t="shared" si="0"/>
        <v>Sto-CO2_EOR</v>
      </c>
      <c r="C14" t="s">
        <v>186</v>
      </c>
      <c r="E14" s="5">
        <v>0.001</v>
      </c>
      <c r="F14" s="6"/>
      <c r="G14" s="7"/>
      <c r="I14" s="3"/>
      <c r="J14" s="3" t="s">
        <v>208</v>
      </c>
      <c r="K14" t="s">
        <v>209</v>
      </c>
      <c r="L14" s="3"/>
      <c r="M14" s="3" t="s">
        <v>190</v>
      </c>
      <c r="N14" s="3" t="s">
        <v>191</v>
      </c>
      <c r="O14" s="3"/>
      <c r="P14" s="3"/>
    </row>
    <row r="15" spans="1:16">
      <c r="B15" t="s">
        <v>210</v>
      </c>
      <c r="G15" s="7"/>
      <c r="I15" t="s">
        <v>210</v>
      </c>
    </row>
    <row r="16" spans="1:16">
      <c r="B16" s="3" t="str">
        <f>J16</f>
        <v>Pipeline-CO2</v>
      </c>
      <c r="C16" t="s">
        <v>211</v>
      </c>
      <c r="D16" t="str">
        <f>C8</f>
        <v>CO2ForStorage</v>
      </c>
      <c r="F16">
        <v>1</v>
      </c>
      <c r="G16" s="7"/>
      <c r="I16" t="s">
        <v>187</v>
      </c>
      <c r="J16" s="3" t="s">
        <v>212</v>
      </c>
      <c r="K16" s="3" t="s">
        <v>213</v>
      </c>
      <c r="M16" s="3" t="s">
        <v>190</v>
      </c>
      <c r="N16" s="3" t="s">
        <v>191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2026-06-22T15:00:20Z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