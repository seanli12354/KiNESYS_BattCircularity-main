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8" documentId="11_E6C806404CFC219E6C578DFE4A49ADA51770FEE8" xr6:coauthVersionLast="47" xr6:coauthVersionMax="47" xr10:uidLastSave="{AA8EA84E-7AD7-4C25-8DB8-B426B0D90CA4}"/>
  <bookViews>
    <workbookView xWindow="-110" yWindow="-110" windowWidth="19420" windowHeight="12220" firstSheet="2" activeTab="7" xr2:uid="{00000000-000D-0000-FFFF-FFFF00000000}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9" l="1"/>
  <c r="L11" i="19"/>
  <c r="G11" i="19"/>
  <c r="D16" i="20"/>
  <c r="B16" i="20"/>
  <c r="B14" i="20"/>
  <c r="B13" i="20"/>
  <c r="B12" i="20"/>
  <c r="B11" i="20"/>
  <c r="B10" i="20"/>
  <c r="B9" i="20"/>
  <c r="B8" i="20"/>
  <c r="B7" i="20"/>
  <c r="B6" i="20"/>
  <c r="B5" i="20"/>
  <c r="T36" i="23"/>
  <c r="S36" i="23"/>
  <c r="R36" i="23"/>
  <c r="Q36" i="23"/>
  <c r="P36" i="23"/>
  <c r="O36" i="23"/>
  <c r="N36" i="23"/>
  <c r="M36" i="23"/>
  <c r="L36" i="23"/>
  <c r="K36" i="23"/>
  <c r="T35" i="23"/>
  <c r="S35" i="23"/>
  <c r="R35" i="23"/>
  <c r="Q35" i="23"/>
  <c r="P35" i="23"/>
  <c r="O35" i="23"/>
  <c r="N35" i="23"/>
  <c r="M35" i="23"/>
  <c r="L35" i="23"/>
  <c r="K35" i="23"/>
  <c r="T34" i="23"/>
  <c r="S34" i="23"/>
  <c r="R34" i="23"/>
  <c r="Q34" i="23"/>
  <c r="P34" i="23"/>
  <c r="O34" i="23"/>
  <c r="N34" i="23"/>
  <c r="M34" i="23"/>
  <c r="L34" i="23"/>
  <c r="K34" i="23"/>
  <c r="T33" i="23"/>
  <c r="S33" i="23"/>
  <c r="R33" i="23"/>
  <c r="Q33" i="23"/>
  <c r="P33" i="23"/>
  <c r="O33" i="23"/>
  <c r="N33" i="23"/>
  <c r="M33" i="23"/>
  <c r="L33" i="23"/>
  <c r="K33" i="23"/>
  <c r="T32" i="23"/>
  <c r="S32" i="23"/>
  <c r="R32" i="23"/>
  <c r="Q32" i="23"/>
  <c r="P32" i="23"/>
  <c r="O32" i="23"/>
  <c r="N32" i="23"/>
  <c r="M32" i="23"/>
  <c r="L32" i="23"/>
  <c r="K32" i="23"/>
  <c r="T31" i="23"/>
  <c r="S31" i="23"/>
  <c r="R31" i="23"/>
  <c r="Q31" i="23"/>
  <c r="P31" i="23"/>
  <c r="O31" i="23"/>
  <c r="N31" i="23"/>
  <c r="M31" i="23"/>
  <c r="L31" i="23"/>
  <c r="K31" i="23"/>
  <c r="T30" i="23"/>
  <c r="S30" i="23"/>
  <c r="R30" i="23"/>
  <c r="Q30" i="23"/>
  <c r="P30" i="23"/>
  <c r="O30" i="23"/>
  <c r="N30" i="23"/>
  <c r="M30" i="23"/>
  <c r="L30" i="23"/>
  <c r="K30" i="23"/>
  <c r="T29" i="23"/>
  <c r="S29" i="23"/>
  <c r="R29" i="23"/>
  <c r="Q29" i="23"/>
  <c r="P29" i="23"/>
  <c r="O29" i="23"/>
  <c r="N29" i="23"/>
  <c r="M29" i="23"/>
  <c r="L29" i="23"/>
  <c r="K29" i="23"/>
  <c r="T28" i="23"/>
  <c r="S28" i="23"/>
  <c r="R28" i="23"/>
  <c r="Q28" i="23"/>
  <c r="P28" i="23"/>
  <c r="O28" i="23"/>
  <c r="N28" i="23"/>
  <c r="M28" i="23"/>
  <c r="L28" i="23"/>
  <c r="K28" i="23"/>
  <c r="T27" i="23"/>
  <c r="S27" i="23"/>
  <c r="R27" i="23"/>
  <c r="Q27" i="23"/>
  <c r="P27" i="23"/>
  <c r="O27" i="23"/>
  <c r="N27" i="23"/>
  <c r="M27" i="23"/>
  <c r="L27" i="23"/>
  <c r="K27" i="23"/>
  <c r="T26" i="23"/>
  <c r="S26" i="23"/>
  <c r="R26" i="23"/>
  <c r="Q26" i="23"/>
  <c r="P26" i="23"/>
  <c r="O26" i="23"/>
  <c r="N26" i="23"/>
  <c r="M26" i="23"/>
  <c r="L26" i="23"/>
  <c r="K26" i="23"/>
  <c r="T25" i="23"/>
  <c r="S25" i="23"/>
  <c r="R25" i="23"/>
  <c r="Q25" i="23"/>
  <c r="P25" i="23"/>
  <c r="O25" i="23"/>
  <c r="N25" i="23"/>
  <c r="M25" i="23"/>
  <c r="L25" i="23"/>
  <c r="K25" i="23"/>
  <c r="T24" i="23"/>
  <c r="S24" i="23"/>
  <c r="R24" i="23"/>
  <c r="Q24" i="23"/>
  <c r="P24" i="23"/>
  <c r="O24" i="23"/>
  <c r="N24" i="23"/>
  <c r="M24" i="23"/>
  <c r="L24" i="23"/>
  <c r="K24" i="23"/>
  <c r="T23" i="23"/>
  <c r="S23" i="23"/>
  <c r="R23" i="23"/>
  <c r="Q23" i="23"/>
  <c r="P23" i="23"/>
  <c r="O23" i="23"/>
  <c r="N23" i="23"/>
  <c r="M23" i="23"/>
  <c r="L23" i="23"/>
  <c r="K23" i="23"/>
  <c r="T22" i="23"/>
  <c r="S22" i="23"/>
  <c r="R22" i="23"/>
  <c r="Q22" i="23"/>
  <c r="P22" i="23"/>
  <c r="O22" i="23"/>
  <c r="N22" i="23"/>
  <c r="M22" i="23"/>
  <c r="L22" i="23"/>
  <c r="K22" i="23"/>
  <c r="T21" i="23"/>
  <c r="S21" i="23"/>
  <c r="R21" i="23"/>
  <c r="Q21" i="23"/>
  <c r="P21" i="23"/>
  <c r="O21" i="23"/>
  <c r="N21" i="23"/>
  <c r="M21" i="23"/>
  <c r="L21" i="23"/>
  <c r="K21" i="23"/>
  <c r="T20" i="23"/>
  <c r="S20" i="23"/>
  <c r="R20" i="23"/>
  <c r="Q20" i="23"/>
  <c r="P20" i="23"/>
  <c r="O20" i="23"/>
  <c r="N20" i="23"/>
  <c r="M20" i="23"/>
  <c r="L20" i="23"/>
  <c r="K20" i="23"/>
  <c r="T19" i="23"/>
  <c r="S19" i="23"/>
  <c r="R19" i="23"/>
  <c r="Q19" i="23"/>
  <c r="P19" i="23"/>
  <c r="O19" i="23"/>
  <c r="N19" i="23"/>
  <c r="M19" i="23"/>
  <c r="L19" i="23"/>
  <c r="K19" i="23"/>
  <c r="T18" i="23"/>
  <c r="S18" i="23"/>
  <c r="R18" i="23"/>
  <c r="Q18" i="23"/>
  <c r="P18" i="23"/>
  <c r="O18" i="23"/>
  <c r="N18" i="23"/>
  <c r="M18" i="23"/>
  <c r="L18" i="23"/>
  <c r="K18" i="23"/>
  <c r="T17" i="23"/>
  <c r="S17" i="23"/>
  <c r="R17" i="23"/>
  <c r="Q17" i="23"/>
  <c r="P17" i="23"/>
  <c r="O17" i="23"/>
  <c r="N17" i="23"/>
  <c r="M17" i="23"/>
  <c r="L17" i="23"/>
  <c r="K17" i="23"/>
  <c r="T16" i="23"/>
  <c r="S16" i="23"/>
  <c r="R16" i="23"/>
  <c r="Q16" i="23"/>
  <c r="P16" i="23"/>
  <c r="O16" i="23"/>
  <c r="N16" i="23"/>
  <c r="M16" i="23"/>
  <c r="L16" i="23"/>
  <c r="K16" i="23"/>
  <c r="T15" i="23"/>
  <c r="S15" i="23"/>
  <c r="R15" i="23"/>
  <c r="Q15" i="23"/>
  <c r="P15" i="23"/>
  <c r="O15" i="23"/>
  <c r="N15" i="23"/>
  <c r="M15" i="23"/>
  <c r="L15" i="23"/>
  <c r="K15" i="23"/>
  <c r="T14" i="23"/>
  <c r="S14" i="23"/>
  <c r="R14" i="23"/>
  <c r="Q14" i="23"/>
  <c r="P14" i="23"/>
  <c r="O14" i="23"/>
  <c r="N14" i="23"/>
  <c r="M14" i="23"/>
  <c r="L14" i="23"/>
  <c r="K14" i="23"/>
  <c r="T13" i="23"/>
  <c r="S13" i="23"/>
  <c r="R13" i="23"/>
  <c r="Q13" i="23"/>
  <c r="P13" i="23"/>
  <c r="O13" i="23"/>
  <c r="N13" i="23"/>
  <c r="M13" i="23"/>
  <c r="L13" i="23"/>
  <c r="K13" i="23"/>
  <c r="T12" i="23"/>
  <c r="S12" i="23"/>
  <c r="R12" i="23"/>
  <c r="Q12" i="23"/>
  <c r="P12" i="23"/>
  <c r="O12" i="23"/>
  <c r="N12" i="23"/>
  <c r="M12" i="23"/>
  <c r="L12" i="23"/>
  <c r="K12" i="23"/>
  <c r="T11" i="23"/>
  <c r="S11" i="23"/>
  <c r="R11" i="23"/>
  <c r="Q11" i="23"/>
  <c r="P11" i="23"/>
  <c r="O11" i="23"/>
  <c r="N11" i="23"/>
  <c r="M11" i="23"/>
  <c r="L11" i="23"/>
  <c r="K11" i="23"/>
  <c r="T10" i="23"/>
  <c r="S10" i="23"/>
  <c r="R10" i="23"/>
  <c r="Q10" i="23"/>
  <c r="P10" i="23"/>
  <c r="O10" i="23"/>
  <c r="N10" i="23"/>
  <c r="M10" i="23"/>
  <c r="L10" i="23"/>
  <c r="K10" i="23"/>
  <c r="T9" i="23"/>
  <c r="S9" i="23"/>
  <c r="R9" i="23"/>
  <c r="Q9" i="23"/>
  <c r="P9" i="23"/>
  <c r="O9" i="23"/>
  <c r="N9" i="23"/>
  <c r="M9" i="23"/>
  <c r="L9" i="23"/>
  <c r="K9" i="23"/>
  <c r="T8" i="23"/>
  <c r="S8" i="23"/>
  <c r="R8" i="23"/>
  <c r="Q8" i="23"/>
  <c r="P8" i="23"/>
  <c r="O8" i="23"/>
  <c r="N8" i="23"/>
  <c r="M8" i="23"/>
  <c r="L8" i="23"/>
  <c r="K8" i="23"/>
  <c r="T7" i="23"/>
  <c r="S7" i="23"/>
  <c r="R7" i="23"/>
  <c r="Q7" i="23"/>
  <c r="P7" i="23"/>
  <c r="O7" i="23"/>
  <c r="N7" i="23"/>
  <c r="M7" i="23"/>
  <c r="L7" i="23"/>
  <c r="K7" i="23"/>
  <c r="T6" i="23"/>
  <c r="S6" i="23"/>
  <c r="R6" i="23"/>
  <c r="Q6" i="23"/>
  <c r="P6" i="23"/>
  <c r="O6" i="23"/>
  <c r="N6" i="23"/>
  <c r="M6" i="23"/>
  <c r="L6" i="23"/>
  <c r="K6" i="23"/>
  <c r="T5" i="23"/>
  <c r="S5" i="23"/>
  <c r="R5" i="23"/>
  <c r="Q5" i="23"/>
  <c r="P5" i="23"/>
  <c r="O5" i="23"/>
  <c r="N5" i="23"/>
  <c r="M5" i="23"/>
  <c r="L5" i="23"/>
  <c r="K5" i="23"/>
  <c r="T4" i="23"/>
  <c r="S4" i="23"/>
  <c r="R4" i="23"/>
  <c r="Q4" i="23"/>
  <c r="P4" i="23"/>
  <c r="O4" i="23"/>
  <c r="N4" i="23"/>
  <c r="M4" i="23"/>
  <c r="L4" i="23"/>
  <c r="K4" i="23"/>
  <c r="L3" i="23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C37" i="26"/>
  <c r="B37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R26" i="26"/>
  <c r="Q26" i="26"/>
  <c r="P26" i="26"/>
  <c r="O26" i="26"/>
  <c r="N26" i="26"/>
  <c r="M26" i="26"/>
  <c r="L26" i="26"/>
  <c r="K26" i="26"/>
  <c r="J26" i="26"/>
  <c r="I26" i="26"/>
  <c r="H26" i="26"/>
  <c r="G26" i="26"/>
  <c r="F26" i="26"/>
  <c r="E26" i="26"/>
  <c r="D26" i="26"/>
  <c r="C26" i="26"/>
  <c r="B26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C25" i="26"/>
  <c r="B25" i="26"/>
  <c r="AH24" i="26"/>
  <c r="AG24" i="26"/>
  <c r="AF24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C24" i="26"/>
  <c r="B24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AD19" i="26"/>
  <c r="AC19" i="26"/>
  <c r="AD18" i="26"/>
  <c r="AC18" i="26"/>
  <c r="AD17" i="26"/>
  <c r="AC17" i="26"/>
  <c r="AD16" i="26"/>
  <c r="AC16" i="26"/>
  <c r="Q16" i="26"/>
  <c r="AD15" i="26"/>
  <c r="AC15" i="26"/>
  <c r="Q15" i="26"/>
  <c r="N15" i="26"/>
  <c r="J15" i="26"/>
  <c r="I15" i="26"/>
  <c r="H15" i="26"/>
  <c r="AD14" i="26"/>
  <c r="AC14" i="26"/>
  <c r="Q14" i="26"/>
  <c r="I14" i="26"/>
  <c r="AD13" i="26"/>
  <c r="AC13" i="26"/>
  <c r="Q13" i="26"/>
  <c r="I13" i="26"/>
  <c r="AD12" i="26"/>
  <c r="AC12" i="26"/>
  <c r="Q12" i="26"/>
  <c r="I12" i="26"/>
  <c r="AD11" i="26"/>
  <c r="AC11" i="26"/>
  <c r="Q11" i="26"/>
  <c r="I11" i="26"/>
  <c r="AD10" i="26"/>
  <c r="AC10" i="26"/>
  <c r="Q10" i="26"/>
  <c r="I10" i="26"/>
  <c r="AD9" i="26"/>
  <c r="AC9" i="26"/>
  <c r="Q9" i="26"/>
  <c r="I9" i="26"/>
  <c r="AD8" i="26"/>
  <c r="AC8" i="26"/>
  <c r="Q8" i="26"/>
  <c r="I8" i="26"/>
  <c r="AD7" i="26"/>
  <c r="AC7" i="26"/>
  <c r="Q7" i="26"/>
  <c r="I7" i="26"/>
  <c r="AD6" i="26"/>
  <c r="AC6" i="26"/>
  <c r="Q6" i="26"/>
  <c r="I6" i="26"/>
  <c r="AD5" i="26"/>
  <c r="AC5" i="26"/>
  <c r="Q5" i="26"/>
  <c r="I5" i="26"/>
  <c r="AD4" i="26"/>
  <c r="AC4" i="26"/>
  <c r="Q4" i="26"/>
  <c r="I4" i="26"/>
  <c r="B44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AH37" i="21"/>
  <c r="AG37" i="21"/>
  <c r="AF37" i="21"/>
  <c r="AE37" i="21"/>
  <c r="AD37" i="21"/>
  <c r="AC37" i="21"/>
  <c r="AB37" i="21"/>
  <c r="AA37" i="21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C37" i="21"/>
  <c r="B37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AH26" i="21"/>
  <c r="AG26" i="21"/>
  <c r="AF26" i="21"/>
  <c r="AE26" i="21"/>
  <c r="AD26" i="21"/>
  <c r="AC26" i="21"/>
  <c r="AB26" i="21"/>
  <c r="AA26" i="21"/>
  <c r="Z26" i="21"/>
  <c r="Y26" i="21"/>
  <c r="X26" i="21"/>
  <c r="W26" i="21"/>
  <c r="V26" i="21"/>
  <c r="U26" i="21"/>
  <c r="T26" i="21"/>
  <c r="S26" i="21"/>
  <c r="R26" i="21"/>
  <c r="Q26" i="21"/>
  <c r="P26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C26" i="21"/>
  <c r="B26" i="21"/>
  <c r="AH25" i="21"/>
  <c r="AG25" i="21"/>
  <c r="AF25" i="21"/>
  <c r="AE25" i="21"/>
  <c r="AD25" i="21"/>
  <c r="AC25" i="21"/>
  <c r="AB25" i="21"/>
  <c r="AA25" i="2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C25" i="21"/>
  <c r="B25" i="21"/>
  <c r="AH24" i="21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U24" i="21"/>
  <c r="T24" i="21"/>
  <c r="S24" i="21"/>
  <c r="R24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C24" i="21"/>
  <c r="B24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AD19" i="21"/>
  <c r="AC19" i="21"/>
  <c r="AD18" i="21"/>
  <c r="AC18" i="21"/>
  <c r="AD17" i="21"/>
  <c r="AC17" i="21"/>
  <c r="AD16" i="21"/>
  <c r="AC16" i="21"/>
  <c r="Q16" i="21"/>
  <c r="AD15" i="21"/>
  <c r="AC15" i="21"/>
  <c r="Q15" i="21"/>
  <c r="N15" i="21"/>
  <c r="J15" i="21"/>
  <c r="I15" i="21"/>
  <c r="H15" i="21"/>
  <c r="AD14" i="21"/>
  <c r="AC14" i="21"/>
  <c r="Q14" i="21"/>
  <c r="I14" i="21"/>
  <c r="AD13" i="21"/>
  <c r="AC13" i="21"/>
  <c r="Q13" i="21"/>
  <c r="I13" i="21"/>
  <c r="AD12" i="21"/>
  <c r="AC12" i="21"/>
  <c r="Q12" i="21"/>
  <c r="I12" i="21"/>
  <c r="AD11" i="21"/>
  <c r="AC11" i="21"/>
  <c r="Q11" i="21"/>
  <c r="I11" i="21"/>
  <c r="AD10" i="21"/>
  <c r="AC10" i="21"/>
  <c r="Q10" i="21"/>
  <c r="I10" i="21"/>
  <c r="AD9" i="21"/>
  <c r="AC9" i="21"/>
  <c r="Q9" i="21"/>
  <c r="I9" i="21"/>
  <c r="AD8" i="21"/>
  <c r="AC8" i="21"/>
  <c r="Q8" i="21"/>
  <c r="I8" i="21"/>
  <c r="AD7" i="21"/>
  <c r="AC7" i="21"/>
  <c r="Q7" i="21"/>
  <c r="I7" i="21"/>
  <c r="AD6" i="21"/>
  <c r="AC6" i="21"/>
  <c r="Q6" i="21"/>
  <c r="I6" i="21"/>
  <c r="AD5" i="21"/>
  <c r="AC5" i="21"/>
  <c r="Q5" i="21"/>
  <c r="I5" i="21"/>
  <c r="AD4" i="21"/>
  <c r="AC4" i="21"/>
  <c r="Q4" i="21"/>
  <c r="I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M10" authorId="0" shapeId="0" xr:uid="{00000000-0006-0000-07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25 is too </t>
        </r>
      </text>
    </comment>
    <comment ref="Y11" authorId="0" shapeId="0" xr:uid="{00000000-0006-0000-07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new grid storage generally not goes to repurpose within SOH&lt;60%</t>
        </r>
      </text>
    </comment>
    <comment ref="Q13" authorId="1" shapeId="0" xr:uid="{00000000-0006-0000-0700-000003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<sst xmlns="http://schemas.openxmlformats.org/spreadsheetml/2006/main" count="531" uniqueCount="187">
  <si>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</si>
  <si>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</si>
  <si>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</si>
  <si>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</si>
  <si>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</si>
  <si>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</si>
  <si>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</si>
  <si>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</si>
  <si>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</si>
  <si>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</si>
  <si>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</si>
  <si>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</si>
  <si>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</si>
  <si>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</si>
  <si>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</si>
  <si>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</si>
  <si>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</si>
  <si>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</si>
  <si>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</si>
  <si>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</si>
  <si>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</si>
  <si>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</si>
  <si>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</si>
  <si>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</si>
  <si>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</si>
  <si>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</si>
  <si>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</si>
  <si>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</si>
  <si>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</si>
  <si>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</si>
  <si>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</si>
  <si>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</si>
  <si>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</si>
  <si>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</si>
  <si>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</si>
  <si>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</si>
  <si>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</si>
  <si>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</si>
  <si>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</si>
  <si>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</si>
  <si>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</si>
  <si>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</si>
  <si>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</si>
  <si>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</si>
  <si>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</si>
  <si>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</si>
  <si>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</si>
  <si>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</si>
  <si>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</si>
  <si>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</si>
  <si>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</si>
  <si>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</si>
  <si>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</si>
  <si>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</si>
  <si>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</si>
  <si>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</si>
  <si>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</si>
  <si>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</si>
  <si>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</si>
  <si>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</si>
  <si>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</si>
  <si>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</si>
  <si>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</si>
  <si>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</si>
  <si>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</si>
  <si>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</si>
  <si>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</si>
  <si>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</si>
  <si>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</si>
  <si>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</si>
  <si>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</si>
  <si>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</si>
  <si>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</si>
  <si>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</si>
  <si>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</si>
  <si>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</si>
  <si>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</si>
  <si>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</si>
  <si>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</si>
  <si>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</si>
  <si>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</si>
  <si>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</si>
  <si>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</si>
  <si>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</si>
  <si>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</si>
  <si>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</si>
  <si>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</si>
  <si>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</si>
  <si>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</si>
  <si>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</si>
  <si>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</si>
  <si>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</si>
  <si>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</si>
  <si>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</si>
  <si>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</si>
  <si>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</si>
  <si>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</si>
  <si>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</si>
  <si>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</si>
  <si>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</si>
  <si>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</si>
  <si>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</si>
  <si>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</si>
  <si>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</si>
  <si>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</si>
  <si>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</si>
  <si>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</si>
  <si>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</si>
  <si>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</si>
  <si>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</si>
  <si>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</si>
  <si>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</si>
  <si>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</si>
  <si>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</si>
  <si>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</si>
  <si>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</si>
  <si>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</si>
  <si>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</si>
  <si>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</si>
  <si>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</si>
  <si>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</si>
  <si>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</si>
  <si>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</si>
  <si>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</si>
  <si>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</si>
  <si>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</si>
  <si>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</si>
  <si>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</si>
  <si>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</si>
  <si>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</si>
  <si>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</si>
  <si>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</si>
  <si>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</si>
  <si>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</si>
  <si>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</si>
  <si>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</si>
  <si>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</si>
  <si>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</si>
  <si>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</si>
  <si>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</si>
  <si>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</si>
  <si>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</si>
  <si>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</si>
  <si>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</si>
  <si>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</si>
  <si>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</si>
  <si>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</si>
  <si>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</si>
  <si>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</si>
  <si>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</si>
  <si>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</si>
  <si>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</si>
  <si>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</si>
  <si>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</si>
  <si>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</si>
  <si>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</si>
  <si>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</si>
  <si>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</si>
  <si>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</si>
  <si>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</si>
  <si>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</si>
  <si>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</si>
  <si>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</si>
  <si>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</si>
  <si>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</si>
  <si>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</si>
  <si>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</si>
  <si>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</si>
  <si>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</si>
  <si>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</si>
  <si>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</si>
  <si>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</si>
  <si>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</si>
  <si>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</si>
  <si>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</si>
  <si>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</si>
  <si>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</si>
  <si>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</si>
  <si>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</si>
  <si>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</si>
  <si>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</si>
  <si>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</si>
  <si>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</si>
  <si>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PJ</t>
  </si>
  <si>
    <t>Aux commodity for storage discharging</t>
  </si>
  <si>
    <t>CAP2ACT</t>
  </si>
  <si>
    <t>~FI_T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</si>
</sst>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_(* #,##0.00_);_(* \(#,##0.00\);_(* &quot;-&quot;??_);_(@_)"/>
    <numFmt numFmtId="166" formatCode="_ * #,##0.00_ ;_ * \-#,##0.00_ ;_ * &quot;-&quot;??_ ;_ @_ "/>
    <numFmt numFmtId="167" formatCode="m\o\n\th\ d\,\ yyyy"/>
    <numFmt numFmtId="168" formatCode="#.00"/>
    <numFmt numFmtId="169" formatCode="#."/>
    <numFmt numFmtId="170" formatCode="\Te\x\t"/>
  </numFmts>
  <fonts count="2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ahoma"/>
      <charset val="1"/>
    </font>
    <font>
      <b/>
      <sz val="9"/>
      <name val="Times New Roman"/>
    </font>
    <font>
      <sz val="9"/>
      <name val="Times New Roman"/>
    </font>
    <font>
      <sz val="9"/>
      <name val="Tahoma"/>
      <charset val="1"/>
    </font>
    <font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31">
    <xf numFmtId="0" fontId="0" fillId="0" borderId="0"/>
    <xf numFmtId="9" fontId="7" fillId="0" borderId="0" applyFont="0" applyFill="0" applyBorder="0" applyAlignment="0" applyProtection="0"/>
    <xf numFmtId="0" fontId="8" fillId="4" borderId="6" applyNumberFormat="0" applyAlignment="0" applyProtection="0"/>
    <xf numFmtId="0" fontId="11" fillId="5" borderId="0" applyNumberFormat="0" applyBorder="0" applyAlignment="0" applyProtection="0"/>
    <xf numFmtId="0" fontId="15" fillId="0" borderId="7" applyNumberFormat="0" applyFont="0" applyProtection="0">
      <alignment wrapText="1"/>
    </xf>
    <xf numFmtId="165" fontId="27" fillId="0" borderId="0" applyFont="0" applyFill="0" applyBorder="0" applyAlignment="0" applyProtection="0"/>
    <xf numFmtId="166" fontId="27" fillId="0" borderId="0" applyFont="0" applyFill="0" applyBorder="0" applyAlignment="0" applyProtection="0"/>
    <xf numFmtId="167" fontId="16" fillId="0" borderId="0">
      <protection locked="0"/>
    </xf>
    <xf numFmtId="168" fontId="16" fillId="0" borderId="0">
      <protection locked="0"/>
    </xf>
    <xf numFmtId="0" fontId="15" fillId="0" borderId="0" applyNumberFormat="0" applyFill="0" applyBorder="0" applyAlignment="0" applyProtection="0"/>
    <xf numFmtId="0" fontId="15" fillId="0" borderId="0" applyNumberFormat="0" applyProtection="0">
      <alignment vertical="top" wrapText="1"/>
    </xf>
    <xf numFmtId="0" fontId="15" fillId="0" borderId="8" applyNumberFormat="0" applyProtection="0">
      <alignment vertical="top" wrapText="1"/>
    </xf>
    <xf numFmtId="0" fontId="17" fillId="0" borderId="9" applyNumberFormat="0" applyProtection="0">
      <alignment wrapText="1"/>
    </xf>
    <xf numFmtId="0" fontId="17" fillId="0" borderId="10" applyNumberFormat="0" applyProtection="0">
      <alignment horizontal="left" wrapText="1"/>
    </xf>
    <xf numFmtId="169" fontId="18" fillId="0" borderId="0">
      <protection locked="0"/>
    </xf>
    <xf numFmtId="169" fontId="18" fillId="0" borderId="0">
      <protection locked="0"/>
    </xf>
    <xf numFmtId="0" fontId="7" fillId="0" borderId="0"/>
    <xf numFmtId="0" fontId="1" fillId="0" borderId="0"/>
    <xf numFmtId="0" fontId="1" fillId="0" borderId="0"/>
    <xf numFmtId="0" fontId="19" fillId="0" borderId="0"/>
    <xf numFmtId="0" fontId="20" fillId="0" borderId="0"/>
    <xf numFmtId="0" fontId="21" fillId="0" borderId="0"/>
    <xf numFmtId="0" fontId="21" fillId="0" borderId="0"/>
    <xf numFmtId="0" fontId="21" fillId="0" borderId="0"/>
    <xf numFmtId="0" fontId="17" fillId="0" borderId="11" applyNumberFormat="0" applyProtection="0">
      <alignment wrapText="1"/>
    </xf>
    <xf numFmtId="9" fontId="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15" fillId="0" borderId="12" applyNumberFormat="0" applyFont="0" applyFill="0" applyProtection="0">
      <alignment wrapText="1"/>
    </xf>
    <xf numFmtId="0" fontId="17" fillId="0" borderId="13" applyNumberFormat="0" applyFill="0" applyProtection="0">
      <alignment wrapText="1"/>
    </xf>
    <xf numFmtId="0" fontId="1" fillId="0" borderId="0"/>
    <xf numFmtId="0" fontId="22" fillId="0" borderId="0" applyNumberFormat="0" applyProtection="0">
      <alignment horizontal="left"/>
    </xf>
  </cellStyleXfs>
  <cellXfs count="40">
    <xf numFmtId="0" fontId="0" fillId="0" borderId="0" xfId="0"/>
    <xf numFmtId="170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3" borderId="0" xfId="0" applyFont="1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vertical="center"/>
    </xf>
    <xf numFmtId="0" fontId="1" fillId="3" borderId="1" xfId="0" applyFont="1" applyFill="1" applyBorder="1"/>
    <xf numFmtId="0" fontId="1" fillId="3" borderId="2" xfId="0" applyFont="1" applyFill="1" applyBorder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1" fillId="0" borderId="0" xfId="0" applyFont="1" applyFill="1" applyBorder="1"/>
    <xf numFmtId="0" fontId="0" fillId="0" borderId="0" xfId="0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2" fontId="0" fillId="0" borderId="0" xfId="1" applyNumberFormat="1" applyFont="1"/>
    <xf numFmtId="9" fontId="0" fillId="0" borderId="0" xfId="1" applyFont="1"/>
    <xf numFmtId="1" fontId="0" fillId="0" borderId="0" xfId="1" applyNumberFormat="1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5" xfId="22" applyFont="1" applyBorder="1" applyAlignment="1">
      <alignment horizontal="right" wrapText="1"/>
    </xf>
    <xf numFmtId="1" fontId="7" fillId="0" borderId="5" xfId="23" applyNumberFormat="1" applyFont="1" applyBorder="1" applyAlignment="1">
      <alignment horizontal="right" wrapText="1"/>
    </xf>
    <xf numFmtId="0" fontId="8" fillId="4" borderId="6" xfId="2"/>
    <xf numFmtId="0" fontId="9" fillId="0" borderId="0" xfId="0" applyFont="1"/>
    <xf numFmtId="0" fontId="10" fillId="5" borderId="0" xfId="3" applyFont="1"/>
    <xf numFmtId="2" fontId="11" fillId="5" borderId="0" xfId="3" applyNumberFormat="1"/>
    <xf numFmtId="1" fontId="7" fillId="0" borderId="5" xfId="21" applyNumberFormat="1" applyFont="1" applyBorder="1" applyAlignment="1">
      <alignment horizontal="right" wrapText="1"/>
    </xf>
    <xf numFmtId="0" fontId="1" fillId="0" borderId="0" xfId="18"/>
    <xf numFmtId="0" fontId="12" fillId="0" borderId="0" xfId="0" applyFont="1"/>
    <xf numFmtId="1" fontId="0" fillId="0" borderId="0" xfId="0" applyNumberFormat="1"/>
    <xf numFmtId="0" fontId="13" fillId="0" borderId="0" xfId="0" applyFont="1"/>
    <xf numFmtId="1" fontId="13" fillId="0" borderId="0" xfId="0" applyNumberFormat="1" applyFont="1"/>
    <xf numFmtId="1" fontId="14" fillId="2" borderId="0" xfId="0" applyNumberFormat="1" applyFont="1" applyFill="1"/>
    <xf numFmtId="1" fontId="0" fillId="2" borderId="0" xfId="0" applyNumberFormat="1" applyFill="1"/>
    <xf numFmtId="14" fontId="0" fillId="0" borderId="0" xfId="0" applyNumberFormat="1"/>
  </cellXfs>
  <cellStyles count="31">
    <cellStyle name="Bad" xfId="3" builtinId="27"/>
    <cellStyle name="Body: normal cell" xfId="4" xr:uid="{00000000-0005-0000-0000-000031000000}"/>
    <cellStyle name="Comma 2" xfId="5" xr:uid="{00000000-0005-0000-0000-000032000000}"/>
    <cellStyle name="Comma 2 2" xfId="6" xr:uid="{00000000-0005-0000-0000-000033000000}"/>
    <cellStyle name="Date" xfId="7" xr:uid="{00000000-0005-0000-0000-000034000000}"/>
    <cellStyle name="Fixed" xfId="8" xr:uid="{00000000-0005-0000-0000-000035000000}"/>
    <cellStyle name="Font: Calibri, 9pt regular" xfId="9" xr:uid="{00000000-0005-0000-0000-000036000000}"/>
    <cellStyle name="Footnotes: all except top row" xfId="10" xr:uid="{00000000-0005-0000-0000-000037000000}"/>
    <cellStyle name="Footnotes: top row" xfId="11" xr:uid="{00000000-0005-0000-0000-000038000000}"/>
    <cellStyle name="Header: bottom row" xfId="12" xr:uid="{00000000-0005-0000-0000-000039000000}"/>
    <cellStyle name="Header: top rows" xfId="13" xr:uid="{00000000-0005-0000-0000-00003A000000}"/>
    <cellStyle name="Heading1" xfId="14" xr:uid="{00000000-0005-0000-0000-00003B000000}"/>
    <cellStyle name="Heading2" xfId="15" xr:uid="{00000000-0005-0000-0000-00003C000000}"/>
    <cellStyle name="Input" xfId="2" builtinId="20"/>
    <cellStyle name="Normal" xfId="0" builtinId="0"/>
    <cellStyle name="Normal 2" xfId="16" xr:uid="{00000000-0005-0000-0000-00003D000000}"/>
    <cellStyle name="Normal 2 2" xfId="17" xr:uid="{00000000-0005-0000-0000-00003E000000}"/>
    <cellStyle name="Normal 2 3" xfId="18" xr:uid="{00000000-0005-0000-0000-00003F000000}"/>
    <cellStyle name="Normal 3" xfId="19" xr:uid="{00000000-0005-0000-0000-000040000000}"/>
    <cellStyle name="Normal 4" xfId="20" xr:uid="{00000000-0005-0000-0000-000041000000}"/>
    <cellStyle name="Normal_ovrcst" xfId="21" xr:uid="{00000000-0005-0000-0000-000042000000}"/>
    <cellStyle name="Normal_Sheet1" xfId="22" xr:uid="{00000000-0005-0000-0000-000043000000}"/>
    <cellStyle name="Normal_Sheet2" xfId="23" xr:uid="{00000000-0005-0000-0000-000044000000}"/>
    <cellStyle name="Parent row" xfId="24" xr:uid="{00000000-0005-0000-0000-000045000000}"/>
    <cellStyle name="Percent" xfId="1" builtinId="5"/>
    <cellStyle name="Percent 2" xfId="25" xr:uid="{00000000-0005-0000-0000-000046000000}"/>
    <cellStyle name="Percent 3" xfId="26" xr:uid="{00000000-0005-0000-0000-000047000000}"/>
    <cellStyle name="Section Break" xfId="27" xr:uid="{00000000-0005-0000-0000-000048000000}"/>
    <cellStyle name="Section Break: parent row" xfId="28" xr:uid="{00000000-0005-0000-0000-000049000000}"/>
    <cellStyle name="Standard_WEO 2008 - RE Technology Cost (status 27-03-2008)-ext" xfId="29" xr:uid="{00000000-0005-0000-0000-00004A000000}"/>
    <cellStyle name="Table title" xfId="30" xr:uid="{00000000-0005-0000-0000-00004B000000}"/>
  </cellStyles>
  <dxfs count="0"/>
  <tableStyles count="0" defaultTableStyle="TableStyleMedium9" defaultPivotStyle="PivotStyleLight16"/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>
      <selection activeCell="E19" sqref="E19"/>
    </sheetView>
  </sheetViews>
  <sheetFormatPr defaultColWidth="11.453125" defaultRowHeight="14.5"/>
  <sheetData>
    <row r="1" spans="1:1">
      <c r="A1" s="28" t="s">
        <v>0</v>
      </c>
    </row>
    <row r="2" spans="1:1">
      <c r="A2" t="s">
        <v>1</v>
      </c>
    </row>
    <row r="4" spans="1:1">
      <c r="A4" s="28" t="s">
        <v>2</v>
      </c>
    </row>
    <row r="5" spans="1:1">
      <c r="A5" t="s">
        <v>3</v>
      </c>
    </row>
    <row r="7" spans="1:1">
      <c r="A7" s="28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defaultColWidth="9.08984375" defaultRowHeight="14.5"/>
  <cols>
    <col min="1" max="1" width="9.7265625" customWidth="1"/>
  </cols>
  <sheetData>
    <row r="1" spans="1:2">
      <c r="A1" t="s">
        <v>7</v>
      </c>
      <c r="B1" t="s">
        <v>8</v>
      </c>
    </row>
    <row r="2" spans="1:2">
      <c r="A2" s="39">
        <v>43598</v>
      </c>
      <c r="B2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H44"/>
  <sheetViews>
    <sheetView topLeftCell="A32" workbookViewId="0"/>
  </sheetViews>
  <sheetFormatPr defaultColWidth="8.81640625" defaultRowHeight="14.5"/>
  <cols>
    <col min="1" max="1" width="6.453125" customWidth="1"/>
    <col min="2" max="2" width="14.453125" customWidth="1"/>
    <col min="3" max="3" width="9.453125" customWidth="1"/>
    <col min="4" max="4" width="11" customWidth="1"/>
    <col min="5" max="5" width="7" customWidth="1"/>
    <col min="6" max="6" width="8" customWidth="1"/>
    <col min="7" max="7" width="8.81640625" customWidth="1"/>
    <col min="8" max="8" width="6.81640625" customWidth="1"/>
    <col min="9" max="9" width="5.453125" customWidth="1"/>
    <col min="10" max="13" width="5" customWidth="1"/>
    <col min="14" max="14" width="5.453125" customWidth="1"/>
    <col min="15" max="15" width="5" customWidth="1"/>
    <col min="16" max="16" width="8.453125" customWidth="1"/>
    <col min="17" max="17" width="15.453125" customWidth="1"/>
    <col min="18" max="18" width="29.453125" customWidth="1"/>
    <col min="19" max="19" width="10.26953125" customWidth="1"/>
    <col min="20" max="20" width="7.81640625" customWidth="1"/>
    <col min="21" max="26" width="5" customWidth="1"/>
    <col min="27" max="27" width="14.453125" customWidth="1"/>
    <col min="28" max="28" width="17.7265625" customWidth="1"/>
    <col min="29" max="29" width="5" customWidth="1"/>
    <col min="30" max="30" width="5.453125" customWidth="1"/>
    <col min="31" max="34" width="5" customWidth="1"/>
  </cols>
  <sheetData>
    <row r="2" spans="2:30">
      <c r="D2" s="17" t="s">
        <v>10</v>
      </c>
      <c r="E2" s="17"/>
      <c r="F2" s="17"/>
      <c r="G2" s="17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17" t="s">
        <v>13</v>
      </c>
      <c r="D3" s="1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0.38772727272727298</v>
      </c>
      <c r="F4" s="2">
        <v>0.390389016018307</v>
      </c>
      <c r="G4" s="2">
        <v>2882.65777101602</v>
      </c>
      <c r="H4" s="2">
        <v>30.636104583740199</v>
      </c>
      <c r="I4" s="2">
        <f>N4/3.6*1.055</f>
        <v>1.2871267484294</v>
      </c>
      <c r="J4" s="2">
        <v>0.85</v>
      </c>
      <c r="K4" s="34">
        <v>40</v>
      </c>
      <c r="L4">
        <v>30</v>
      </c>
      <c r="N4" s="2">
        <v>4.3920912742614702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0.39218390804597703</v>
      </c>
      <c r="F5" s="2">
        <v>0.457986577181209</v>
      </c>
      <c r="G5" s="2">
        <v>3718.04794517343</v>
      </c>
      <c r="H5" s="2">
        <v>50.494167327880902</v>
      </c>
      <c r="I5" s="2">
        <f t="shared" ref="I5:I15" si="0">N5/3.6*1.055</f>
        <v>2.07920465071996</v>
      </c>
      <c r="J5" s="2">
        <v>0.85</v>
      </c>
      <c r="K5" s="34">
        <v>40</v>
      </c>
      <c r="L5">
        <v>30</v>
      </c>
      <c r="N5" s="2">
        <v>7.0949163436889604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65.308937072753906</v>
      </c>
      <c r="I6" s="2">
        <f t="shared" si="0"/>
        <v>1.2819967614279899</v>
      </c>
      <c r="J6" s="2">
        <v>0.85</v>
      </c>
      <c r="K6" s="34">
        <v>40</v>
      </c>
      <c r="L6">
        <v>30</v>
      </c>
      <c r="N6" s="2">
        <v>4.3745861053466797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31.234788894653299</v>
      </c>
      <c r="I7" s="2">
        <f t="shared" si="0"/>
        <v>1.95249267220497</v>
      </c>
      <c r="J7" s="2">
        <v>0.87</v>
      </c>
      <c r="K7" s="34">
        <v>30</v>
      </c>
      <c r="L7">
        <v>30</v>
      </c>
      <c r="N7" s="2">
        <v>6.6625342369079599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0.94136211706532402</v>
      </c>
      <c r="J8" s="2">
        <v>0.87</v>
      </c>
      <c r="K8" s="34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1.0367807696263001</v>
      </c>
      <c r="J9" s="2">
        <v>0.87</v>
      </c>
      <c r="K9" s="34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6.9163618087768599</v>
      </c>
      <c r="I10" s="2">
        <f t="shared" si="0"/>
        <v>2.9861954636044001</v>
      </c>
      <c r="J10" s="2">
        <v>0.06</v>
      </c>
      <c r="K10" s="34">
        <v>30</v>
      </c>
      <c r="L10">
        <v>30</v>
      </c>
      <c r="N10" s="2">
        <v>10.189861297607401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7.2122020721435502</v>
      </c>
      <c r="I11" s="2">
        <f t="shared" si="0"/>
        <v>4.4487695561515004</v>
      </c>
      <c r="J11" s="2">
        <v>0.06</v>
      </c>
      <c r="K11" s="34">
        <v>30</v>
      </c>
      <c r="L11">
        <v>30</v>
      </c>
      <c r="N11" s="2">
        <v>15.180635452270501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0.25274074074074099</v>
      </c>
      <c r="F12" s="2">
        <v>0.27801481481481499</v>
      </c>
      <c r="H12" s="2">
        <v>103.78744506835901</v>
      </c>
      <c r="I12" s="2">
        <f t="shared" si="0"/>
        <v>1.51438736650679</v>
      </c>
      <c r="J12" s="2">
        <v>0.83</v>
      </c>
      <c r="K12" s="34">
        <v>30</v>
      </c>
      <c r="L12">
        <v>30</v>
      </c>
      <c r="N12" s="2">
        <v>5.1675777435302699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103.78744506835901</v>
      </c>
      <c r="I13" s="2">
        <f t="shared" si="0"/>
        <v>1.51438736650679</v>
      </c>
      <c r="J13" s="2">
        <v>0.83</v>
      </c>
      <c r="K13" s="34">
        <v>30</v>
      </c>
      <c r="L13">
        <v>30</v>
      </c>
      <c r="N13" s="2">
        <v>5.1675777435302699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0.94136211706532402</v>
      </c>
      <c r="J14" s="2">
        <v>0.3</v>
      </c>
      <c r="K14" s="34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2" t="s">
        <v>76</v>
      </c>
      <c r="C15" t="s">
        <v>77</v>
      </c>
      <c r="D15" t="s">
        <v>32</v>
      </c>
      <c r="E15">
        <v>0.33</v>
      </c>
      <c r="H15" s="2">
        <f>H13</f>
        <v>103.78744506835901</v>
      </c>
      <c r="I15" s="2">
        <f t="shared" si="0"/>
        <v>1.51438736650679</v>
      </c>
      <c r="J15" s="2">
        <f>J6</f>
        <v>0.85</v>
      </c>
      <c r="K15" s="34">
        <v>50</v>
      </c>
      <c r="L15">
        <v>30</v>
      </c>
      <c r="N15" s="2">
        <f>N13</f>
        <v>5.1675777435302699</v>
      </c>
      <c r="Q15" s="1" t="str">
        <f t="shared" si="1"/>
        <v>EN_NuclearAdv</v>
      </c>
      <c r="R15" s="3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3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:34">
      <c r="AA20" s="32"/>
    </row>
    <row r="21" spans="2:34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4">
        <f>VLOOKUP(C$22,ovrcst!$A$5:$W$36,VLOOKUP('ELC_Gen-sdj'!$B23,'ELC_Gen-sdj'!$AA$4:$AC$19,3,FALSE))</f>
        <v>5715.7879928716902</v>
      </c>
      <c r="D23" s="34">
        <f>VLOOKUP(D$22,ovrcst!$A$5:$W$36,VLOOKUP('ELC_Gen-sdj'!$B23,'ELC_Gen-sdj'!$AA$4:$AC$19,3,FALSE))</f>
        <v>5651.6864103869602</v>
      </c>
      <c r="E23" s="34">
        <f>VLOOKUP(E$22,ovrcst!$A$5:$W$36,VLOOKUP('ELC_Gen-sdj'!$B23,'ELC_Gen-sdj'!$AA$4:$AC$19,3,FALSE))</f>
        <v>5513.4993360488797</v>
      </c>
      <c r="F23" s="34">
        <f>VLOOKUP(F$22,ovrcst!$A$5:$W$36,VLOOKUP('ELC_Gen-sdj'!$B23,'ELC_Gen-sdj'!$AA$4:$AC$19,3,FALSE))</f>
        <v>5427.6274704684301</v>
      </c>
      <c r="G23" s="34">
        <f>VLOOKUP(G$22,ovrcst!$A$5:$W$36,VLOOKUP('ELC_Gen-sdj'!$B23,'ELC_Gen-sdj'!$AA$4:$AC$19,3,FALSE))</f>
        <v>5366.8807077393103</v>
      </c>
      <c r="H23" s="34">
        <f>VLOOKUP(H$22,ovrcst!$A$5:$W$36,VLOOKUP('ELC_Gen-sdj'!$B23,'ELC_Gen-sdj'!$AA$4:$AC$19,3,FALSE))</f>
        <v>5317.9441863543798</v>
      </c>
      <c r="I23" s="34">
        <f>VLOOKUP(I$22,ovrcst!$A$5:$W$36,VLOOKUP('ELC_Gen-sdj'!$B23,'ELC_Gen-sdj'!$AA$4:$AC$19,3,FALSE))</f>
        <v>5278.0965580448101</v>
      </c>
      <c r="J23" s="34">
        <f>VLOOKUP(J$22,ovrcst!$A$5:$W$36,VLOOKUP('ELC_Gen-sdj'!$B23,'ELC_Gen-sdj'!$AA$4:$AC$19,3,FALSE))</f>
        <v>5225.5754959266797</v>
      </c>
      <c r="K23" s="34">
        <f>VLOOKUP(K$22,ovrcst!$A$5:$W$36,VLOOKUP('ELC_Gen-sdj'!$B23,'ELC_Gen-sdj'!$AA$4:$AC$19,3,FALSE))</f>
        <v>5162.7493116089599</v>
      </c>
      <c r="L23" s="34">
        <f>VLOOKUP(L$22,ovrcst!$A$5:$W$36,VLOOKUP('ELC_Gen-sdj'!$B23,'ELC_Gen-sdj'!$AA$4:$AC$19,3,FALSE))</f>
        <v>5092.6073625254603</v>
      </c>
      <c r="M23" s="34">
        <f>VLOOKUP(M$22,ovrcst!$A$5:$W$36,VLOOKUP('ELC_Gen-sdj'!$B23,'ELC_Gen-sdj'!$AA$4:$AC$19,3,FALSE))</f>
        <v>5020.6420651731196</v>
      </c>
      <c r="N23" s="34">
        <f>VLOOKUP(N$22,ovrcst!$A$5:$W$36,VLOOKUP('ELC_Gen-sdj'!$B23,'ELC_Gen-sdj'!$AA$4:$AC$19,3,FALSE))</f>
        <v>4957.2380977596704</v>
      </c>
      <c r="O23" s="34">
        <f>VLOOKUP(O$22,ovrcst!$A$5:$W$36,VLOOKUP('ELC_Gen-sdj'!$B23,'ELC_Gen-sdj'!$AA$4:$AC$19,3,FALSE))</f>
        <v>4894.1573319755598</v>
      </c>
      <c r="P23" s="34">
        <f>VLOOKUP(P$22,ovrcst!$A$5:$W$36,VLOOKUP('ELC_Gen-sdj'!$B23,'ELC_Gen-sdj'!$AA$4:$AC$19,3,FALSE))</f>
        <v>4831.2734694500996</v>
      </c>
      <c r="Q23" s="34">
        <f>VLOOKUP(Q$22,ovrcst!$A$5:$W$36,VLOOKUP('ELC_Gen-sdj'!$B23,'ELC_Gen-sdj'!$AA$4:$AC$19,3,FALSE))</f>
        <v>4771.2183564154802</v>
      </c>
      <c r="R23" s="34">
        <f>VLOOKUP(R$22,ovrcst!$A$5:$W$36,VLOOKUP('ELC_Gen-sdj'!$B23,'ELC_Gen-sdj'!$AA$4:$AC$19,3,FALSE))</f>
        <v>4711.93395213849</v>
      </c>
      <c r="S23" s="34">
        <f>VLOOKUP(S$22,ovrcst!$A$5:$W$36,VLOOKUP('ELC_Gen-sdj'!$B23,'ELC_Gen-sdj'!$AA$4:$AC$19,3,FALSE))</f>
        <v>4649.7412403258704</v>
      </c>
      <c r="T23" s="34">
        <f>VLOOKUP(T$22,ovrcst!$A$5:$W$36,VLOOKUP('ELC_Gen-sdj'!$B23,'ELC_Gen-sdj'!$AA$4:$AC$19,3,FALSE))</f>
        <v>4590.5418625254597</v>
      </c>
      <c r="U23" s="34">
        <f>VLOOKUP(U$22,ovrcst!$A$5:$W$36,VLOOKUP('ELC_Gen-sdj'!$B23,'ELC_Gen-sdj'!$AA$4:$AC$19,3,FALSE))</f>
        <v>4532.3150692464396</v>
      </c>
      <c r="V23" s="34">
        <f>VLOOKUP(V$22,ovrcst!$A$5:$W$36,VLOOKUP('ELC_Gen-sdj'!$B23,'ELC_Gen-sdj'!$AA$4:$AC$19,3,FALSE))</f>
        <v>4476.12543380855</v>
      </c>
      <c r="W23" s="34">
        <f>VLOOKUP(W$22,ovrcst!$A$5:$W$36,VLOOKUP('ELC_Gen-sdj'!$B23,'ELC_Gen-sdj'!$AA$4:$AC$19,3,FALSE))</f>
        <v>4419.4743665987799</v>
      </c>
      <c r="X23" s="34">
        <f>VLOOKUP(X$22,ovrcst!$A$5:$W$36,VLOOKUP('ELC_Gen-sdj'!$B23,'ELC_Gen-sdj'!$AA$4:$AC$19,3,FALSE))</f>
        <v>4364.7306792260697</v>
      </c>
      <c r="Y23" s="34">
        <f>VLOOKUP(Y$22,ovrcst!$A$5:$W$36,VLOOKUP('ELC_Gen-sdj'!$B23,'ELC_Gen-sdj'!$AA$4:$AC$19,3,FALSE))</f>
        <v>4311.2981914460297</v>
      </c>
      <c r="Z23" s="34">
        <f>VLOOKUP(Z$22,ovrcst!$A$5:$W$36,VLOOKUP('ELC_Gen-sdj'!$B23,'ELC_Gen-sdj'!$AA$4:$AC$19,3,FALSE))</f>
        <v>4254.7545264765804</v>
      </c>
      <c r="AA23" s="34">
        <f>VLOOKUP(AA$22,ovrcst!$A$5:$W$36,VLOOKUP('ELC_Gen-sdj'!$B23,'ELC_Gen-sdj'!$AA$4:$AC$19,3,FALSE))</f>
        <v>4204.7201181262699</v>
      </c>
      <c r="AB23" s="34">
        <f>VLOOKUP(AB$22,ovrcst!$A$5:$W$36,VLOOKUP('ELC_Gen-sdj'!$B23,'ELC_Gen-sdj'!$AA$4:$AC$19,3,FALSE))</f>
        <v>4149.4130682281102</v>
      </c>
      <c r="AC23" s="34">
        <f>VLOOKUP(AC$22,ovrcst!$A$5:$W$36,VLOOKUP('ELC_Gen-sdj'!$B23,'ELC_Gen-sdj'!$AA$4:$AC$19,3,FALSE))</f>
        <v>4099.6024134419504</v>
      </c>
      <c r="AD23" s="34">
        <f>VLOOKUP(AD$22,ovrcst!$A$5:$W$36,VLOOKUP('ELC_Gen-sdj'!$B23,'ELC_Gen-sdj'!$AA$4:$AC$19,3,FALSE))</f>
        <v>4045.53744704684</v>
      </c>
      <c r="AE23" s="34">
        <f>VLOOKUP(AE$22,ovrcst!$A$5:$W$36,VLOOKUP('ELC_Gen-sdj'!$B23,'ELC_Gen-sdj'!$AA$4:$AC$19,3,FALSE))</f>
        <v>3995.2867433808601</v>
      </c>
      <c r="AF23" s="34">
        <f>VLOOKUP(AF$22,ovrcst!$A$5:$W$36,VLOOKUP('ELC_Gen-sdj'!$B23,'ELC_Gen-sdj'!$AA$4:$AC$19,3,FALSE))</f>
        <v>3945.0531934826899</v>
      </c>
      <c r="AG23" s="34">
        <f>VLOOKUP(AG$22,ovrcst!$A$5:$W$36,VLOOKUP('ELC_Gen-sdj'!$B23,'ELC_Gen-sdj'!$AA$4:$AC$19,3,FALSE))</f>
        <v>3894.9128747454201</v>
      </c>
      <c r="AH23" s="34">
        <f>VLOOKUP(AH$22,ovrcst!$A$5:$W$36,VLOOKUP('ELC_Gen-sdj'!$B23,'ELC_Gen-sdj'!$AA$4:$AC$19,3,FALSE))</f>
        <v>3845.2213075356399</v>
      </c>
    </row>
    <row r="24" spans="2:34">
      <c r="B24" t="str">
        <f t="shared" si="2"/>
        <v>EN_ZGasCCAdv</v>
      </c>
      <c r="C24" s="34">
        <f>VLOOKUP(C$22,ovrcst!$A$5:$W$36,VLOOKUP('ELC_Gen-sdj'!$B24,'ELC_Gen-sdj'!$AA$4:$AC$19,3,FALSE))</f>
        <v>2204.7527264537098</v>
      </c>
      <c r="D24" s="34">
        <f>VLOOKUP(D$22,ovrcst!$A$5:$W$36,VLOOKUP('ELC_Gen-sdj'!$B24,'ELC_Gen-sdj'!$AA$4:$AC$19,3,FALSE))</f>
        <v>2176.35507794149</v>
      </c>
      <c r="E24" s="34">
        <f>VLOOKUP(E$22,ovrcst!$A$5:$W$36,VLOOKUP('ELC_Gen-sdj'!$B24,'ELC_Gen-sdj'!$AA$4:$AC$19,3,FALSE))</f>
        <v>2119.5276840658298</v>
      </c>
      <c r="F24" s="34">
        <f>VLOOKUP(F$22,ovrcst!$A$5:$W$36,VLOOKUP('ELC_Gen-sdj'!$B24,'ELC_Gen-sdj'!$AA$4:$AC$19,3,FALSE))</f>
        <v>2082.9271460250102</v>
      </c>
      <c r="G24" s="34">
        <f>VLOOKUP(G$22,ovrcst!$A$5:$W$36,VLOOKUP('ELC_Gen-sdj'!$B24,'ELC_Gen-sdj'!$AA$4:$AC$19,3,FALSE))</f>
        <v>2023.7324353741999</v>
      </c>
      <c r="H24" s="34">
        <f>VLOOKUP(H$22,ovrcst!$A$5:$W$36,VLOOKUP('ELC_Gen-sdj'!$B24,'ELC_Gen-sdj'!$AA$4:$AC$19,3,FALSE))</f>
        <v>1991.6680541404801</v>
      </c>
      <c r="I24" s="34">
        <f>VLOOKUP(I$22,ovrcst!$A$5:$W$36,VLOOKUP('ELC_Gen-sdj'!$B24,'ELC_Gen-sdj'!$AA$4:$AC$19,3,FALSE))</f>
        <v>1962.4599814015401</v>
      </c>
      <c r="J24" s="34">
        <f>VLOOKUP(J$22,ovrcst!$A$5:$W$36,VLOOKUP('ELC_Gen-sdj'!$B24,'ELC_Gen-sdj'!$AA$4:$AC$19,3,FALSE))</f>
        <v>1929.6563305345401</v>
      </c>
      <c r="K24" s="34">
        <f>VLOOKUP(K$22,ovrcst!$A$5:$W$36,VLOOKUP('ELC_Gen-sdj'!$B24,'ELC_Gen-sdj'!$AA$4:$AC$19,3,FALSE))</f>
        <v>1894.1682958045201</v>
      </c>
      <c r="L24" s="34">
        <f>VLOOKUP(L$22,ovrcst!$A$5:$W$36,VLOOKUP('ELC_Gen-sdj'!$B24,'ELC_Gen-sdj'!$AA$4:$AC$19,3,FALSE))</f>
        <v>1861.1016226290301</v>
      </c>
      <c r="M24" s="34">
        <f>VLOOKUP(M$22,ovrcst!$A$5:$W$36,VLOOKUP('ELC_Gen-sdj'!$B24,'ELC_Gen-sdj'!$AA$4:$AC$19,3,FALSE))</f>
        <v>1827.5859589325801</v>
      </c>
      <c r="N24" s="34">
        <f>VLOOKUP(N$22,ovrcst!$A$5:$W$36,VLOOKUP('ELC_Gen-sdj'!$B24,'ELC_Gen-sdj'!$AA$4:$AC$19,3,FALSE))</f>
        <v>1799.75824992702</v>
      </c>
      <c r="O24" s="34">
        <f>VLOOKUP(O$22,ovrcst!$A$5:$W$36,VLOOKUP('ELC_Gen-sdj'!$B24,'ELC_Gen-sdj'!$AA$4:$AC$19,3,FALSE))</f>
        <v>1772.72055130334</v>
      </c>
      <c r="P24" s="34">
        <f>VLOOKUP(P$22,ovrcst!$A$5:$W$36,VLOOKUP('ELC_Gen-sdj'!$B24,'ELC_Gen-sdj'!$AA$4:$AC$19,3,FALSE))</f>
        <v>1744.33989467314</v>
      </c>
      <c r="Q24" s="34">
        <f>VLOOKUP(Q$22,ovrcst!$A$5:$W$36,VLOOKUP('ELC_Gen-sdj'!$B24,'ELC_Gen-sdj'!$AA$4:$AC$19,3,FALSE))</f>
        <v>1718.35770627959</v>
      </c>
      <c r="R24" s="34">
        <f>VLOOKUP(R$22,ovrcst!$A$5:$W$36,VLOOKUP('ELC_Gen-sdj'!$B24,'ELC_Gen-sdj'!$AA$4:$AC$19,3,FALSE))</f>
        <v>1691.78351251916</v>
      </c>
      <c r="S24" s="34">
        <f>VLOOKUP(S$22,ovrcst!$A$5:$W$36,VLOOKUP('ELC_Gen-sdj'!$B24,'ELC_Gen-sdj'!$AA$4:$AC$19,3,FALSE))</f>
        <v>1665.4230155032301</v>
      </c>
      <c r="T24" s="34">
        <f>VLOOKUP(T$22,ovrcst!$A$5:$W$36,VLOOKUP('ELC_Gen-sdj'!$B24,'ELC_Gen-sdj'!$AA$4:$AC$19,3,FALSE))</f>
        <v>1639.50490094674</v>
      </c>
      <c r="U24" s="34">
        <f>VLOOKUP(U$22,ovrcst!$A$5:$W$36,VLOOKUP('ELC_Gen-sdj'!$B24,'ELC_Gen-sdj'!$AA$4:$AC$19,3,FALSE))</f>
        <v>1615.45708723299</v>
      </c>
      <c r="V24" s="34">
        <f>VLOOKUP(V$22,ovrcst!$A$5:$W$36,VLOOKUP('ELC_Gen-sdj'!$B24,'ELC_Gen-sdj'!$AA$4:$AC$19,3,FALSE))</f>
        <v>1593.5526257281299</v>
      </c>
      <c r="W24" s="34">
        <f>VLOOKUP(W$22,ovrcst!$A$5:$W$36,VLOOKUP('ELC_Gen-sdj'!$B24,'ELC_Gen-sdj'!$AA$4:$AC$19,3,FALSE))</f>
        <v>1571.5137622837799</v>
      </c>
      <c r="X24" s="34">
        <f>VLOOKUP(X$22,ovrcst!$A$5:$W$36,VLOOKUP('ELC_Gen-sdj'!$B24,'ELC_Gen-sdj'!$AA$4:$AC$19,3,FALSE))</f>
        <v>1550.1819546560901</v>
      </c>
      <c r="Y24" s="34">
        <f>VLOOKUP(Y$22,ovrcst!$A$5:$W$36,VLOOKUP('ELC_Gen-sdj'!$B24,'ELC_Gen-sdj'!$AA$4:$AC$19,3,FALSE))</f>
        <v>1529.3439768621199</v>
      </c>
      <c r="Z24" s="34">
        <f>VLOOKUP(Z$22,ovrcst!$A$5:$W$36,VLOOKUP('ELC_Gen-sdj'!$B24,'ELC_Gen-sdj'!$AA$4:$AC$19,3,FALSE))</f>
        <v>1507.4316090765101</v>
      </c>
      <c r="AA24" s="34">
        <f>VLOOKUP(AA$22,ovrcst!$A$5:$W$36,VLOOKUP('ELC_Gen-sdj'!$B24,'ELC_Gen-sdj'!$AA$4:$AC$19,3,FALSE))</f>
        <v>1487.8542263174099</v>
      </c>
      <c r="AB24" s="34">
        <f>VLOOKUP(AB$22,ovrcst!$A$5:$W$36,VLOOKUP('ELC_Gen-sdj'!$B24,'ELC_Gen-sdj'!$AA$4:$AC$19,3,FALSE))</f>
        <v>1466.4389923962799</v>
      </c>
      <c r="AC24" s="34">
        <f>VLOOKUP(AC$22,ovrcst!$A$5:$W$36,VLOOKUP('ELC_Gen-sdj'!$B24,'ELC_Gen-sdj'!$AA$4:$AC$19,3,FALSE))</f>
        <v>1446.9943585946401</v>
      </c>
      <c r="AD24" s="34">
        <f>VLOOKUP(AD$22,ovrcst!$A$5:$W$36,VLOOKUP('ELC_Gen-sdj'!$B24,'ELC_Gen-sdj'!$AA$4:$AC$19,3,FALSE))</f>
        <v>1426.0769670969601</v>
      </c>
      <c r="AE24" s="34">
        <f>VLOOKUP(AE$22,ovrcst!$A$5:$W$36,VLOOKUP('ELC_Gen-sdj'!$B24,'ELC_Gen-sdj'!$AA$4:$AC$19,3,FALSE))</f>
        <v>1406.5328605095799</v>
      </c>
      <c r="AF24" s="34">
        <f>VLOOKUP(AF$22,ovrcst!$A$5:$W$36,VLOOKUP('ELC_Gen-sdj'!$B24,'ELC_Gen-sdj'!$AA$4:$AC$19,3,FALSE))</f>
        <v>1387.0223829234401</v>
      </c>
      <c r="AG24" s="34">
        <f>VLOOKUP(AG$22,ovrcst!$A$5:$W$36,VLOOKUP('ELC_Gen-sdj'!$B24,'ELC_Gen-sdj'!$AA$4:$AC$19,3,FALSE))</f>
        <v>1367.5726761102501</v>
      </c>
      <c r="AH24" s="34">
        <f>VLOOKUP(AH$22,ovrcst!$A$5:$W$36,VLOOKUP('ELC_Gen-sdj'!$B24,'ELC_Gen-sdj'!$AA$4:$AC$19,3,FALSE))</f>
        <v>1348.30881861084</v>
      </c>
    </row>
    <row r="25" spans="2:34">
      <c r="B25" s="35" t="str">
        <f t="shared" si="2"/>
        <v>EN_GasCCAdv</v>
      </c>
      <c r="C25" s="36">
        <f>VLOOKUP(C$22,ovrcst!$A$5:$W$36,VLOOKUP('ELC_Gen-sdj'!$B25,'ELC_Gen-sdj'!$AA$4:$AC$19,3,FALSE))</f>
        <v>794.43951592145902</v>
      </c>
      <c r="D25" s="36">
        <f>VLOOKUP(D$22,ovrcst!$A$5:$W$36,VLOOKUP('ELC_Gen-sdj'!$B25,'ELC_Gen-sdj'!$AA$4:$AC$19,3,FALSE))</f>
        <v>786.43841465656703</v>
      </c>
      <c r="E25" s="36">
        <f>VLOOKUP(E$22,ovrcst!$A$5:$W$36,VLOOKUP('ELC_Gen-sdj'!$B25,'ELC_Gen-sdj'!$AA$4:$AC$19,3,FALSE))</f>
        <v>768.10346098691002</v>
      </c>
      <c r="F25" s="36">
        <f>VLOOKUP(F$22,ovrcst!$A$5:$W$36,VLOOKUP('ELC_Gen-sdj'!$B25,'ELC_Gen-sdj'!$AA$4:$AC$19,3,FALSE))</f>
        <v>757.02855199294004</v>
      </c>
      <c r="G25" s="36">
        <f>VLOOKUP(G$22,ovrcst!$A$5:$W$36,VLOOKUP('ELC_Gen-sdj'!$B25,'ELC_Gen-sdj'!$AA$4:$AC$19,3,FALSE))</f>
        <v>732.12888568171797</v>
      </c>
      <c r="H25" s="36">
        <f>VLOOKUP(H$22,ovrcst!$A$5:$W$36,VLOOKUP('ELC_Gen-sdj'!$B25,'ELC_Gen-sdj'!$AA$4:$AC$19,3,FALSE))</f>
        <v>720.96291458302699</v>
      </c>
      <c r="I25" s="36">
        <f>VLOOKUP(I$22,ovrcst!$A$5:$W$36,VLOOKUP('ELC_Gen-sdj'!$B25,'ELC_Gen-sdj'!$AA$4:$AC$19,3,FALSE))</f>
        <v>710.71389634505101</v>
      </c>
      <c r="J25" s="36">
        <f>VLOOKUP(J$22,ovrcst!$A$5:$W$36,VLOOKUP('ELC_Gen-sdj'!$B25,'ELC_Gen-sdj'!$AA$4:$AC$19,3,FALSE))</f>
        <v>699.33326132519505</v>
      </c>
      <c r="K25" s="36">
        <f>VLOOKUP(K$22,ovrcst!$A$5:$W$36,VLOOKUP('ELC_Gen-sdj'!$B25,'ELC_Gen-sdj'!$AA$4:$AC$19,3,FALSE))</f>
        <v>687.13795686865706</v>
      </c>
      <c r="L25" s="36">
        <f>VLOOKUP(L$22,ovrcst!$A$5:$W$36,VLOOKUP('ELC_Gen-sdj'!$B25,'ELC_Gen-sdj'!$AA$4:$AC$19,3,FALSE))</f>
        <v>676.65861983379898</v>
      </c>
      <c r="M25" s="36">
        <f>VLOOKUP(M$22,ovrcst!$A$5:$W$36,VLOOKUP('ELC_Gen-sdj'!$B25,'ELC_Gen-sdj'!$AA$4:$AC$19,3,FALSE))</f>
        <v>666.00142576114104</v>
      </c>
      <c r="N25" s="36">
        <f>VLOOKUP(N$22,ovrcst!$A$5:$W$36,VLOOKUP('ELC_Gen-sdj'!$B25,'ELC_Gen-sdj'!$AA$4:$AC$19,3,FALSE))</f>
        <v>657.80877518752698</v>
      </c>
      <c r="O25" s="36">
        <f>VLOOKUP(O$22,ovrcst!$A$5:$W$36,VLOOKUP('ELC_Gen-sdj'!$B25,'ELC_Gen-sdj'!$AA$4:$AC$19,3,FALSE))</f>
        <v>649.975040447124</v>
      </c>
      <c r="P25" s="36">
        <f>VLOOKUP(P$22,ovrcst!$A$5:$W$36,VLOOKUP('ELC_Gen-sdj'!$B25,'ELC_Gen-sdj'!$AA$4:$AC$19,3,FALSE))</f>
        <v>641.36372168701303</v>
      </c>
      <c r="Q25" s="36">
        <f>VLOOKUP(Q$22,ovrcst!$A$5:$W$36,VLOOKUP('ELC_Gen-sdj'!$B25,'ELC_Gen-sdj'!$AA$4:$AC$19,3,FALSE))</f>
        <v>633.82202162082694</v>
      </c>
      <c r="R25" s="36">
        <f>VLOOKUP(R$22,ovrcst!$A$5:$W$36,VLOOKUP('ELC_Gen-sdj'!$B25,'ELC_Gen-sdj'!$AA$4:$AC$19,3,FALSE))</f>
        <v>625.87377279747</v>
      </c>
      <c r="S25" s="34">
        <f>VLOOKUP(S$22,ovrcst!$A$5:$W$36,VLOOKUP('ELC_Gen-sdj'!$B25,'ELC_Gen-sdj'!$AA$4:$AC$19,3,FALSE))</f>
        <v>618.16891454625704</v>
      </c>
      <c r="T25" s="34">
        <f>VLOOKUP(T$22,ovrcst!$A$5:$W$36,VLOOKUP('ELC_Gen-sdj'!$B25,'ELC_Gen-sdj'!$AA$4:$AC$19,3,FALSE))</f>
        <v>610.47914950728</v>
      </c>
      <c r="U25" s="34">
        <f>VLOOKUP(U$22,ovrcst!$A$5:$W$36,VLOOKUP('ELC_Gen-sdj'!$B25,'ELC_Gen-sdj'!$AA$4:$AC$19,3,FALSE))</f>
        <v>603.69158056331798</v>
      </c>
      <c r="V25" s="34">
        <f>VLOOKUP(V$22,ovrcst!$A$5:$W$36,VLOOKUP('ELC_Gen-sdj'!$B25,'ELC_Gen-sdj'!$AA$4:$AC$19,3,FALSE))</f>
        <v>597.89283626268605</v>
      </c>
      <c r="W25" s="34">
        <f>VLOOKUP(W$22,ovrcst!$A$5:$W$36,VLOOKUP('ELC_Gen-sdj'!$B25,'ELC_Gen-sdj'!$AA$4:$AC$19,3,FALSE))</f>
        <v>592.00617370201496</v>
      </c>
      <c r="X25" s="34">
        <f>VLOOKUP(X$22,ovrcst!$A$5:$W$36,VLOOKUP('ELC_Gen-sdj'!$B25,'ELC_Gen-sdj'!$AA$4:$AC$19,3,FALSE))</f>
        <v>586.34887483453394</v>
      </c>
      <c r="Y25" s="34">
        <f>VLOOKUP(Y$22,ovrcst!$A$5:$W$36,VLOOKUP('ELC_Gen-sdj'!$B25,'ELC_Gen-sdj'!$AA$4:$AC$19,3,FALSE))</f>
        <v>580.84255956758295</v>
      </c>
      <c r="Z25" s="34">
        <f>VLOOKUP(Z$22,ovrcst!$A$5:$W$36,VLOOKUP('ELC_Gen-sdj'!$B25,'ELC_Gen-sdj'!$AA$4:$AC$19,3,FALSE))</f>
        <v>574.89064384468304</v>
      </c>
      <c r="AA25" s="34">
        <f>VLOOKUP(AA$22,ovrcst!$A$5:$W$36,VLOOKUP('ELC_Gen-sdj'!$B25,'ELC_Gen-sdj'!$AA$4:$AC$19,3,FALSE))</f>
        <v>569.79289785262495</v>
      </c>
      <c r="AB25" s="34">
        <f>VLOOKUP(AB$22,ovrcst!$A$5:$W$36,VLOOKUP('ELC_Gen-sdj'!$B25,'ELC_Gen-sdj'!$AA$4:$AC$19,3,FALSE))</f>
        <v>563.95538406383298</v>
      </c>
      <c r="AC25" s="34">
        <f>VLOOKUP(AC$22,ovrcst!$A$5:$W$36,VLOOKUP('ELC_Gen-sdj'!$B25,'ELC_Gen-sdj'!$AA$4:$AC$19,3,FALSE))</f>
        <v>558.83923463009296</v>
      </c>
      <c r="AD25" s="34">
        <f>VLOOKUP(AD$22,ovrcst!$A$5:$W$36,VLOOKUP('ELC_Gen-sdj'!$B25,'ELC_Gen-sdj'!$AA$4:$AC$19,3,FALSE))</f>
        <v>553.11769377849703</v>
      </c>
      <c r="AE25" s="34">
        <f>VLOOKUP(AE$22,ovrcst!$A$5:$W$36,VLOOKUP('ELC_Gen-sdj'!$B25,'ELC_Gen-sdj'!$AA$4:$AC$19,3,FALSE))</f>
        <v>547.891688115899</v>
      </c>
      <c r="AF25" s="34">
        <f>VLOOKUP(AF$22,ovrcst!$A$5:$W$36,VLOOKUP('ELC_Gen-sdj'!$B25,'ELC_Gen-sdj'!$AA$4:$AC$19,3,FALSE))</f>
        <v>542.64318282100305</v>
      </c>
      <c r="AG25" s="34">
        <f>VLOOKUP(AG$22,ovrcst!$A$5:$W$36,VLOOKUP('ELC_Gen-sdj'!$B25,'ELC_Gen-sdj'!$AA$4:$AC$19,3,FALSE))</f>
        <v>537.38222165024297</v>
      </c>
      <c r="AH25" s="34">
        <f>VLOOKUP(AH$22,ovrcst!$A$5:$W$36,VLOOKUP('ELC_Gen-sdj'!$B25,'ELC_Gen-sdj'!$AA$4:$AC$19,3,FALSE))</f>
        <v>532.15789913957894</v>
      </c>
    </row>
    <row r="26" spans="2:34">
      <c r="B26" t="str">
        <f t="shared" si="2"/>
        <v>EN_GasCC</v>
      </c>
      <c r="C26" s="34">
        <f>VLOOKUP(C$22,ovrcst!$A$5:$W$36,VLOOKUP('ELC_Gen-sdj'!$B26,'ELC_Gen-sdj'!$AA$4:$AC$19,3,FALSE))</f>
        <v>999.32722103014601</v>
      </c>
      <c r="D26" s="34">
        <f>VLOOKUP(D$22,ovrcst!$A$5:$W$36,VLOOKUP('ELC_Gen-sdj'!$B26,'ELC_Gen-sdj'!$AA$4:$AC$19,3,FALSE))</f>
        <v>990.01963397384702</v>
      </c>
      <c r="E26" s="34">
        <f>VLOOKUP(E$22,ovrcst!$A$5:$W$36,VLOOKUP('ELC_Gen-sdj'!$B26,'ELC_Gen-sdj'!$AA$4:$AC$19,3,FALSE))</f>
        <v>967.68334022919896</v>
      </c>
      <c r="F26" s="34">
        <f>VLOOKUP(F$22,ovrcst!$A$5:$W$36,VLOOKUP('ELC_Gen-sdj'!$B26,'ELC_Gen-sdj'!$AA$4:$AC$19,3,FALSE))</f>
        <v>954.46940256141295</v>
      </c>
      <c r="G26" s="34">
        <f>VLOOKUP(G$22,ovrcst!$A$5:$W$36,VLOOKUP('ELC_Gen-sdj'!$B26,'ELC_Gen-sdj'!$AA$4:$AC$19,3,FALSE))</f>
        <v>945.63998672144896</v>
      </c>
      <c r="H26" s="34">
        <f>VLOOKUP(H$22,ovrcst!$A$5:$W$36,VLOOKUP('ELC_Gen-sdj'!$B26,'ELC_Gen-sdj'!$AA$4:$AC$19,3,FALSE))</f>
        <v>938.87054374705303</v>
      </c>
      <c r="I26" s="34">
        <f>VLOOKUP(I$22,ovrcst!$A$5:$W$36,VLOOKUP('ELC_Gen-sdj'!$B26,'ELC_Gen-sdj'!$AA$4:$AC$19,3,FALSE))</f>
        <v>933.69142090120999</v>
      </c>
      <c r="J26" s="34">
        <f>VLOOKUP(J$22,ovrcst!$A$5:$W$36,VLOOKUP('ELC_Gen-sdj'!$B26,'ELC_Gen-sdj'!$AA$4:$AC$19,3,FALSE))</f>
        <v>926.25481828591205</v>
      </c>
      <c r="K26" s="34">
        <f>VLOOKUP(K$22,ovrcst!$A$5:$W$36,VLOOKUP('ELC_Gen-sdj'!$B26,'ELC_Gen-sdj'!$AA$4:$AC$19,3,FALSE))</f>
        <v>916.96743483406601</v>
      </c>
      <c r="L26" s="34">
        <f>VLOOKUP(L$22,ovrcst!$A$5:$W$36,VLOOKUP('ELC_Gen-sdj'!$B26,'ELC_Gen-sdj'!$AA$4:$AC$19,3,FALSE))</f>
        <v>906.34990041086496</v>
      </c>
      <c r="M26" s="34">
        <f>VLOOKUP(M$22,ovrcst!$A$5:$W$36,VLOOKUP('ELC_Gen-sdj'!$B26,'ELC_Gen-sdj'!$AA$4:$AC$19,3,FALSE))</f>
        <v>895.37335629817096</v>
      </c>
      <c r="N26" s="34">
        <f>VLOOKUP(N$22,ovrcst!$A$5:$W$36,VLOOKUP('ELC_Gen-sdj'!$B26,'ELC_Gen-sdj'!$AA$4:$AC$19,3,FALSE))</f>
        <v>885.89111010613203</v>
      </c>
      <c r="O26" s="34">
        <f>VLOOKUP(O$22,ovrcst!$A$5:$W$36,VLOOKUP('ELC_Gen-sdj'!$B26,'ELC_Gen-sdj'!$AA$4:$AC$19,3,FALSE))</f>
        <v>876.436935541293</v>
      </c>
      <c r="P26" s="34">
        <f>VLOOKUP(P$22,ovrcst!$A$5:$W$36,VLOOKUP('ELC_Gen-sdj'!$B26,'ELC_Gen-sdj'!$AA$4:$AC$19,3,FALSE))</f>
        <v>866.988047379411</v>
      </c>
      <c r="Q26" s="34">
        <f>VLOOKUP(Q$22,ovrcst!$A$5:$W$36,VLOOKUP('ELC_Gen-sdj'!$B26,'ELC_Gen-sdj'!$AA$4:$AC$19,3,FALSE))</f>
        <v>858.017564251831</v>
      </c>
      <c r="R26" s="34">
        <f>VLOOKUP(R$22,ovrcst!$A$5:$W$36,VLOOKUP('ELC_Gen-sdj'!$B26,'ELC_Gen-sdj'!$AA$4:$AC$19,3,FALSE))</f>
        <v>849.15749131602001</v>
      </c>
      <c r="S26" s="34">
        <f>VLOOKUP(S$22,ovrcst!$A$5:$W$36,VLOOKUP('ELC_Gen-sdj'!$B26,'ELC_Gen-sdj'!$AA$4:$AC$19,3,FALSE))</f>
        <v>839.74384038796495</v>
      </c>
      <c r="T26" s="34">
        <f>VLOOKUP(T$22,ovrcst!$A$5:$W$36,VLOOKUP('ELC_Gen-sdj'!$B26,'ELC_Gen-sdj'!$AA$4:$AC$19,3,FALSE))</f>
        <v>830.84095470859404</v>
      </c>
      <c r="U26" s="34">
        <f>VLOOKUP(U$22,ovrcst!$A$5:$W$36,VLOOKUP('ELC_Gen-sdj'!$B26,'ELC_Gen-sdj'!$AA$4:$AC$19,3,FALSE))</f>
        <v>822.08535991609494</v>
      </c>
      <c r="V26" s="34">
        <f>VLOOKUP(V$22,ovrcst!$A$5:$W$36,VLOOKUP('ELC_Gen-sdj'!$B26,'ELC_Gen-sdj'!$AA$4:$AC$19,3,FALSE))</f>
        <v>813.671039287192</v>
      </c>
      <c r="W26" s="34">
        <f>VLOOKUP(W$22,ovrcst!$A$5:$W$36,VLOOKUP('ELC_Gen-sdj'!$B26,'ELC_Gen-sdj'!$AA$4:$AC$19,3,FALSE))</f>
        <v>805.14542804083601</v>
      </c>
      <c r="X26" s="34">
        <f>VLOOKUP(X$22,ovrcst!$A$5:$W$36,VLOOKUP('ELC_Gen-sdj'!$B26,'ELC_Gen-sdj'!$AA$4:$AC$19,3,FALSE))</f>
        <v>796.93953640536199</v>
      </c>
      <c r="Y26" s="34">
        <f>VLOOKUP(Y$22,ovrcst!$A$5:$W$36,VLOOKUP('ELC_Gen-sdj'!$B26,'ELC_Gen-sdj'!$AA$4:$AC$19,3,FALSE))</f>
        <v>788.946595206251</v>
      </c>
      <c r="Z26" s="34">
        <f>VLOOKUP(Z$22,ovrcst!$A$5:$W$36,VLOOKUP('ELC_Gen-sdj'!$B26,'ELC_Gen-sdj'!$AA$4:$AC$19,3,FALSE))</f>
        <v>780.35638188343796</v>
      </c>
      <c r="AA26" s="34">
        <f>VLOOKUP(AA$22,ovrcst!$A$5:$W$36,VLOOKUP('ELC_Gen-sdj'!$B26,'ELC_Gen-sdj'!$AA$4:$AC$19,3,FALSE))</f>
        <v>772.93328682633</v>
      </c>
      <c r="AB26" s="34">
        <f>VLOOKUP(AB$22,ovrcst!$A$5:$W$36,VLOOKUP('ELC_Gen-sdj'!$B26,'ELC_Gen-sdj'!$AA$4:$AC$19,3,FALSE))</f>
        <v>764.51450248732306</v>
      </c>
      <c r="AC26" s="34">
        <f>VLOOKUP(AC$22,ovrcst!$A$5:$W$36,VLOOKUP('ELC_Gen-sdj'!$B26,'ELC_Gen-sdj'!$AA$4:$AC$19,3,FALSE))</f>
        <v>757.081012633868</v>
      </c>
      <c r="AD26" s="34">
        <f>VLOOKUP(AD$22,ovrcst!$A$5:$W$36,VLOOKUP('ELC_Gen-sdj'!$B26,'ELC_Gen-sdj'!$AA$4:$AC$19,3,FALSE))</f>
        <v>748.83530266437003</v>
      </c>
      <c r="AE26" s="34">
        <f>VLOOKUP(AE$22,ovrcst!$A$5:$W$36,VLOOKUP('ELC_Gen-sdj'!$B26,'ELC_Gen-sdj'!$AA$4:$AC$19,3,FALSE))</f>
        <v>741.26808817727795</v>
      </c>
      <c r="AF26" s="34">
        <f>VLOOKUP(AF$22,ovrcst!$A$5:$W$36,VLOOKUP('ELC_Gen-sdj'!$B26,'ELC_Gen-sdj'!$AA$4:$AC$19,3,FALSE))</f>
        <v>733.67790949416406</v>
      </c>
      <c r="AG26" s="34">
        <f>VLOOKUP(AG$22,ovrcst!$A$5:$W$36,VLOOKUP('ELC_Gen-sdj'!$B26,'ELC_Gen-sdj'!$AA$4:$AC$19,3,FALSE))</f>
        <v>726.07845218278203</v>
      </c>
      <c r="AH26" s="34">
        <f>VLOOKUP(AH$22,ovrcst!$A$5:$W$36,VLOOKUP('ELC_Gen-sdj'!$B26,'ELC_Gen-sdj'!$AA$4:$AC$19,3,FALSE))</f>
        <v>718.53584439077395</v>
      </c>
    </row>
    <row r="27" spans="2:34">
      <c r="B27" s="3" t="str">
        <f t="shared" si="2"/>
        <v>EN_GasCTAdv</v>
      </c>
      <c r="C27" s="38">
        <f>VLOOKUP(C$22,ovrcst!$A$5:$W$36,VLOOKUP('ELC_Gen-sdj'!$B27,'ELC_Gen-sdj'!$AA$4:$AC$19,3,FALSE))</f>
        <v>691.07681578878396</v>
      </c>
      <c r="D27" s="38">
        <f>VLOOKUP(D$22,ovrcst!$A$5:$W$36,VLOOKUP('ELC_Gen-sdj'!$B27,'ELC_Gen-sdj'!$AA$4:$AC$19,3,FALSE))</f>
        <v>683.76621123055702</v>
      </c>
      <c r="E27" s="38">
        <f>VLOOKUP(E$22,ovrcst!$A$5:$W$36,VLOOKUP('ELC_Gen-sdj'!$B27,'ELC_Gen-sdj'!$AA$4:$AC$19,3,FALSE))</f>
        <v>667.48039872330696</v>
      </c>
      <c r="F27" s="38">
        <f>VLOOKUP(F$22,ovrcst!$A$5:$W$36,VLOOKUP('ELC_Gen-sdj'!$B27,'ELC_Gen-sdj'!$AA$4:$AC$19,3,FALSE))</f>
        <v>657.51436560113495</v>
      </c>
      <c r="G27" s="38">
        <f>VLOOKUP(G$22,ovrcst!$A$5:$W$36,VLOOKUP('ELC_Gen-sdj'!$B27,'ELC_Gen-sdj'!$AA$4:$AC$19,3,FALSE))</f>
        <v>625.44563297699199</v>
      </c>
      <c r="H27" s="38">
        <f>VLOOKUP(H$22,ovrcst!$A$5:$W$36,VLOOKUP('ELC_Gen-sdj'!$B27,'ELC_Gen-sdj'!$AA$4:$AC$19,3,FALSE))</f>
        <v>612.365128735692</v>
      </c>
      <c r="I27" s="38">
        <f>VLOOKUP(I$22,ovrcst!$A$5:$W$36,VLOOKUP('ELC_Gen-sdj'!$B27,'ELC_Gen-sdj'!$AA$4:$AC$19,3,FALSE))</f>
        <v>599.880182823018</v>
      </c>
      <c r="J27" s="38">
        <f>VLOOKUP(J$22,ovrcst!$A$5:$W$36,VLOOKUP('ELC_Gen-sdj'!$B27,'ELC_Gen-sdj'!$AA$4:$AC$19,3,FALSE))</f>
        <v>586.79665335842799</v>
      </c>
      <c r="K27" s="38">
        <f>VLOOKUP(K$22,ovrcst!$A$5:$W$36,VLOOKUP('ELC_Gen-sdj'!$B27,'ELC_Gen-sdj'!$AA$4:$AC$19,3,FALSE))</f>
        <v>573.38688246717504</v>
      </c>
      <c r="L27" s="38">
        <f>VLOOKUP(L$22,ovrcst!$A$5:$W$36,VLOOKUP('ELC_Gen-sdj'!$B27,'ELC_Gen-sdj'!$AA$4:$AC$19,3,FALSE))</f>
        <v>563.08421888622399</v>
      </c>
      <c r="M27" s="38">
        <f>VLOOKUP(M$22,ovrcst!$A$5:$W$36,VLOOKUP('ELC_Gen-sdj'!$B27,'ELC_Gen-sdj'!$AA$4:$AC$19,3,FALSE))</f>
        <v>552.68940292531795</v>
      </c>
      <c r="N27" s="38">
        <f>VLOOKUP(N$22,ovrcst!$A$5:$W$36,VLOOKUP('ELC_Gen-sdj'!$B27,'ELC_Gen-sdj'!$AA$4:$AC$19,3,FALSE))</f>
        <v>545.18176316075005</v>
      </c>
      <c r="O27" s="38">
        <f>VLOOKUP(O$22,ovrcst!$A$5:$W$36,VLOOKUP('ELC_Gen-sdj'!$B27,'ELC_Gen-sdj'!$AA$4:$AC$19,3,FALSE))</f>
        <v>538.18215417600504</v>
      </c>
      <c r="P27" s="38">
        <f>VLOOKUP(P$22,ovrcst!$A$5:$W$36,VLOOKUP('ELC_Gen-sdj'!$B27,'ELC_Gen-sdj'!$AA$4:$AC$19,3,FALSE))</f>
        <v>530.05109484271497</v>
      </c>
      <c r="Q27" s="38">
        <f>VLOOKUP(Q$22,ovrcst!$A$5:$W$36,VLOOKUP('ELC_Gen-sdj'!$B27,'ELC_Gen-sdj'!$AA$4:$AC$19,3,FALSE))</f>
        <v>523.251718409148</v>
      </c>
      <c r="R27" s="38">
        <f>VLOOKUP(R$22,ovrcst!$A$5:$W$36,VLOOKUP('ELC_Gen-sdj'!$B27,'ELC_Gen-sdj'!$AA$4:$AC$19,3,FALSE))</f>
        <v>515.81087957852696</v>
      </c>
      <c r="S27" s="34">
        <f>VLOOKUP(S$22,ovrcst!$A$5:$W$36,VLOOKUP('ELC_Gen-sdj'!$B27,'ELC_Gen-sdj'!$AA$4:$AC$19,3,FALSE))</f>
        <v>508.97975794471898</v>
      </c>
      <c r="T27" s="34">
        <f>VLOOKUP(T$22,ovrcst!$A$5:$W$36,VLOOKUP('ELC_Gen-sdj'!$B27,'ELC_Gen-sdj'!$AA$4:$AC$19,3,FALSE))</f>
        <v>501.934129832032</v>
      </c>
      <c r="U27" s="34">
        <f>VLOOKUP(U$22,ovrcst!$A$5:$W$36,VLOOKUP('ELC_Gen-sdj'!$B27,'ELC_Gen-sdj'!$AA$4:$AC$19,3,FALSE))</f>
        <v>496.130374588873</v>
      </c>
      <c r="V27" s="34">
        <f>VLOOKUP(V$22,ovrcst!$A$5:$W$36,VLOOKUP('ELC_Gen-sdj'!$B27,'ELC_Gen-sdj'!$AA$4:$AC$19,3,FALSE))</f>
        <v>491.60428881995699</v>
      </c>
      <c r="W27" s="34">
        <f>VLOOKUP(W$22,ovrcst!$A$5:$W$36,VLOOKUP('ELC_Gen-sdj'!$B27,'ELC_Gen-sdj'!$AA$4:$AC$19,3,FALSE))</f>
        <v>487.00232364089402</v>
      </c>
      <c r="X27" s="34">
        <f>VLOOKUP(X$22,ovrcst!$A$5:$W$36,VLOOKUP('ELC_Gen-sdj'!$B27,'ELC_Gen-sdj'!$AA$4:$AC$19,3,FALSE))</f>
        <v>482.585346095273</v>
      </c>
      <c r="Y27" s="34">
        <f>VLOOKUP(Y$22,ovrcst!$A$5:$W$36,VLOOKUP('ELC_Gen-sdj'!$B27,'ELC_Gen-sdj'!$AA$4:$AC$19,3,FALSE))</f>
        <v>478.288981788792</v>
      </c>
      <c r="Z27" s="34">
        <f>VLOOKUP(Z$22,ovrcst!$A$5:$W$36,VLOOKUP('ELC_Gen-sdj'!$B27,'ELC_Gen-sdj'!$AA$4:$AC$19,3,FALSE))</f>
        <v>473.62192940771502</v>
      </c>
      <c r="AA27" s="34">
        <f>VLOOKUP(AA$22,ovrcst!$A$5:$W$36,VLOOKUP('ELC_Gen-sdj'!$B27,'ELC_Gen-sdj'!$AA$4:$AC$19,3,FALSE))</f>
        <v>469.65517412339602</v>
      </c>
      <c r="AB27" s="34">
        <f>VLOOKUP(AB$22,ovrcst!$A$5:$W$36,VLOOKUP('ELC_Gen-sdj'!$B27,'ELC_Gen-sdj'!$AA$4:$AC$19,3,FALSE))</f>
        <v>465.07507586444302</v>
      </c>
      <c r="AC27" s="34">
        <f>VLOOKUP(AC$22,ovrcst!$A$5:$W$36,VLOOKUP('ELC_Gen-sdj'!$B27,'ELC_Gen-sdj'!$AA$4:$AC$19,3,FALSE))</f>
        <v>461.08628247390999</v>
      </c>
      <c r="AD27" s="34">
        <f>VLOOKUP(AD$22,ovrcst!$A$5:$W$36,VLOOKUP('ELC_Gen-sdj'!$B27,'ELC_Gen-sdj'!$AA$4:$AC$19,3,FALSE))</f>
        <v>456.59451063224702</v>
      </c>
      <c r="AE27" s="34">
        <f>VLOOKUP(AE$22,ovrcst!$A$5:$W$36,VLOOKUP('ELC_Gen-sdj'!$B27,'ELC_Gen-sdj'!$AA$4:$AC$19,3,FALSE))</f>
        <v>452.508084100085</v>
      </c>
      <c r="AF27" s="34">
        <f>VLOOKUP(AF$22,ovrcst!$A$5:$W$36,VLOOKUP('ELC_Gen-sdj'!$B27,'ELC_Gen-sdj'!$AA$4:$AC$19,3,FALSE))</f>
        <v>448.39967652374298</v>
      </c>
      <c r="AG27" s="34">
        <f>VLOOKUP(AG$22,ovrcst!$A$5:$W$36,VLOOKUP('ELC_Gen-sdj'!$B27,'ELC_Gen-sdj'!$AA$4:$AC$19,3,FALSE))</f>
        <v>444.27762270208399</v>
      </c>
      <c r="AH27" s="34">
        <f>VLOOKUP(AH$22,ovrcst!$A$5:$W$36,VLOOKUP('ELC_Gen-sdj'!$B27,'ELC_Gen-sdj'!$AA$4:$AC$19,3,FALSE))</f>
        <v>440.18226175197299</v>
      </c>
    </row>
    <row r="28" spans="2:34">
      <c r="B28" t="str">
        <f t="shared" si="2"/>
        <v>EN_GasCT</v>
      </c>
      <c r="C28" s="34">
        <f>VLOOKUP(C$22,ovrcst!$A$5:$W$36,VLOOKUP('ELC_Gen-sdj'!$B28,'ELC_Gen-sdj'!$AA$4:$AC$19,3,FALSE))</f>
        <v>1126.00240868118</v>
      </c>
      <c r="D28" s="34">
        <f>VLOOKUP(D$22,ovrcst!$A$5:$W$36,VLOOKUP('ELC_Gen-sdj'!$B28,'ELC_Gen-sdj'!$AA$4:$AC$19,3,FALSE))</f>
        <v>1115.5153164235401</v>
      </c>
      <c r="E28" s="34">
        <f>VLOOKUP(E$22,ovrcst!$A$5:$W$36,VLOOKUP('ELC_Gen-sdj'!$B28,'ELC_Gen-sdj'!$AA$4:$AC$19,3,FALSE))</f>
        <v>1090.3474355472399</v>
      </c>
      <c r="F28" s="34">
        <f>VLOOKUP(F$22,ovrcst!$A$5:$W$36,VLOOKUP('ELC_Gen-sdj'!$B28,'ELC_Gen-sdj'!$AA$4:$AC$19,3,FALSE))</f>
        <v>1075.45842589533</v>
      </c>
      <c r="G28" s="34">
        <f>VLOOKUP(G$22,ovrcst!$A$5:$W$36,VLOOKUP('ELC_Gen-sdj'!$B28,'ELC_Gen-sdj'!$AA$4:$AC$19,3,FALSE))</f>
        <v>1065.5099575376801</v>
      </c>
      <c r="H28" s="34">
        <f>VLOOKUP(H$22,ovrcst!$A$5:$W$36,VLOOKUP('ELC_Gen-sdj'!$B28,'ELC_Gen-sdj'!$AA$4:$AC$19,3,FALSE))</f>
        <v>1057.8823556940199</v>
      </c>
      <c r="I28" s="34">
        <f>VLOOKUP(I$22,ovrcst!$A$5:$W$36,VLOOKUP('ELC_Gen-sdj'!$B28,'ELC_Gen-sdj'!$AA$4:$AC$19,3,FALSE))</f>
        <v>1052.04678877528</v>
      </c>
      <c r="J28" s="34">
        <f>VLOOKUP(J$22,ovrcst!$A$5:$W$36,VLOOKUP('ELC_Gen-sdj'!$B28,'ELC_Gen-sdj'!$AA$4:$AC$19,3,FALSE))</f>
        <v>1043.6674434552101</v>
      </c>
      <c r="K28" s="34">
        <f>VLOOKUP(K$22,ovrcst!$A$5:$W$36,VLOOKUP('ELC_Gen-sdj'!$B28,'ELC_Gen-sdj'!$AA$4:$AC$19,3,FALSE))</f>
        <v>1033.2027351233901</v>
      </c>
      <c r="L28" s="34">
        <f>VLOOKUP(L$22,ovrcst!$A$5:$W$36,VLOOKUP('ELC_Gen-sdj'!$B28,'ELC_Gen-sdj'!$AA$4:$AC$19,3,FALSE))</f>
        <v>1021.23943742682</v>
      </c>
      <c r="M28" s="34">
        <f>VLOOKUP(M$22,ovrcst!$A$5:$W$36,VLOOKUP('ELC_Gen-sdj'!$B28,'ELC_Gen-sdj'!$AA$4:$AC$19,3,FALSE))</f>
        <v>1008.87135522222</v>
      </c>
      <c r="N28" s="34">
        <f>VLOOKUP(N$22,ovrcst!$A$5:$W$36,VLOOKUP('ELC_Gen-sdj'!$B28,'ELC_Gen-sdj'!$AA$4:$AC$19,3,FALSE))</f>
        <v>998.18723246161096</v>
      </c>
      <c r="O28" s="34">
        <f>VLOOKUP(O$22,ovrcst!$A$5:$W$36,VLOOKUP('ELC_Gen-sdj'!$B28,'ELC_Gen-sdj'!$AA$4:$AC$19,3,FALSE))</f>
        <v>987.53447221994099</v>
      </c>
      <c r="P28" s="34">
        <f>VLOOKUP(P$22,ovrcst!$A$5:$W$36,VLOOKUP('ELC_Gen-sdj'!$B28,'ELC_Gen-sdj'!$AA$4:$AC$19,3,FALSE))</f>
        <v>976.88806508978598</v>
      </c>
      <c r="Q28" s="34">
        <f>VLOOKUP(Q$22,ovrcst!$A$5:$W$36,VLOOKUP('ELC_Gen-sdj'!$B28,'ELC_Gen-sdj'!$AA$4:$AC$19,3,FALSE))</f>
        <v>966.78039933298101</v>
      </c>
      <c r="R28" s="34">
        <f>VLOOKUP(R$22,ovrcst!$A$5:$W$36,VLOOKUP('ELC_Gen-sdj'!$B28,'ELC_Gen-sdj'!$AA$4:$AC$19,3,FALSE))</f>
        <v>956.797188471185</v>
      </c>
      <c r="S28" s="34">
        <f>VLOOKUP(S$22,ovrcst!$A$5:$W$36,VLOOKUP('ELC_Gen-sdj'!$B28,'ELC_Gen-sdj'!$AA$4:$AC$19,3,FALSE))</f>
        <v>946.19030395990296</v>
      </c>
      <c r="T28" s="34">
        <f>VLOOKUP(T$22,ovrcst!$A$5:$W$36,VLOOKUP('ELC_Gen-sdj'!$B28,'ELC_Gen-sdj'!$AA$4:$AC$19,3,FALSE))</f>
        <v>936.15888509196395</v>
      </c>
      <c r="U28" s="34">
        <f>VLOOKUP(U$22,ovrcst!$A$5:$W$36,VLOOKUP('ELC_Gen-sdj'!$B28,'ELC_Gen-sdj'!$AA$4:$AC$19,3,FALSE))</f>
        <v>926.29330898547005</v>
      </c>
      <c r="V28" s="34">
        <f>VLOOKUP(V$22,ovrcst!$A$5:$W$36,VLOOKUP('ELC_Gen-sdj'!$B28,'ELC_Gen-sdj'!$AA$4:$AC$19,3,FALSE))</f>
        <v>916.81252304101304</v>
      </c>
      <c r="W28" s="34">
        <f>VLOOKUP(W$22,ovrcst!$A$5:$W$36,VLOOKUP('ELC_Gen-sdj'!$B28,'ELC_Gen-sdj'!$AA$4:$AC$19,3,FALSE))</f>
        <v>907.20611701873702</v>
      </c>
      <c r="X28" s="34">
        <f>VLOOKUP(X$22,ovrcst!$A$5:$W$36,VLOOKUP('ELC_Gen-sdj'!$B28,'ELC_Gen-sdj'!$AA$4:$AC$19,3,FALSE))</f>
        <v>897.96013355669197</v>
      </c>
      <c r="Y28" s="34">
        <f>VLOOKUP(Y$22,ovrcst!$A$5:$W$36,VLOOKUP('ELC_Gen-sdj'!$B28,'ELC_Gen-sdj'!$AA$4:$AC$19,3,FALSE))</f>
        <v>888.95396763847998</v>
      </c>
      <c r="Z28" s="34">
        <f>VLOOKUP(Z$22,ovrcst!$A$5:$W$36,VLOOKUP('ELC_Gen-sdj'!$B28,'ELC_Gen-sdj'!$AA$4:$AC$19,3,FALSE))</f>
        <v>879.274869489975</v>
      </c>
      <c r="AA28" s="34">
        <f>VLOOKUP(AA$22,ovrcst!$A$5:$W$36,VLOOKUP('ELC_Gen-sdj'!$B28,'ELC_Gen-sdj'!$AA$4:$AC$19,3,FALSE))</f>
        <v>870.91085587452699</v>
      </c>
      <c r="AB28" s="34">
        <f>VLOOKUP(AB$22,ovrcst!$A$5:$W$36,VLOOKUP('ELC_Gen-sdj'!$B28,'ELC_Gen-sdj'!$AA$4:$AC$19,3,FALSE))</f>
        <v>861.42476548308298</v>
      </c>
      <c r="AC28" s="34">
        <f>VLOOKUP(AC$22,ovrcst!$A$5:$W$36,VLOOKUP('ELC_Gen-sdj'!$B28,'ELC_Gen-sdj'!$AA$4:$AC$19,3,FALSE))</f>
        <v>853.04909335406501</v>
      </c>
      <c r="AD28" s="34">
        <f>VLOOKUP(AD$22,ovrcst!$A$5:$W$36,VLOOKUP('ELC_Gen-sdj'!$B28,'ELC_Gen-sdj'!$AA$4:$AC$19,3,FALSE))</f>
        <v>843.75828282616101</v>
      </c>
      <c r="AE28" s="34">
        <f>VLOOKUP(AE$22,ovrcst!$A$5:$W$36,VLOOKUP('ELC_Gen-sdj'!$B28,'ELC_Gen-sdj'!$AA$4:$AC$19,3,FALSE))</f>
        <v>835.23163261213006</v>
      </c>
      <c r="AF28" s="34">
        <f>VLOOKUP(AF$22,ovrcst!$A$5:$W$36,VLOOKUP('ELC_Gen-sdj'!$B28,'ELC_Gen-sdj'!$AA$4:$AC$19,3,FALSE))</f>
        <v>826.67939135434403</v>
      </c>
      <c r="AG28" s="34">
        <f>VLOOKUP(AG$22,ovrcst!$A$5:$W$36,VLOOKUP('ELC_Gen-sdj'!$B28,'ELC_Gen-sdj'!$AA$4:$AC$19,3,FALSE))</f>
        <v>818.11654120258299</v>
      </c>
      <c r="AH28" s="34">
        <f>VLOOKUP(AH$22,ovrcst!$A$5:$W$36,VLOOKUP('ELC_Gen-sdj'!$B28,'ELC_Gen-sdj'!$AA$4:$AC$19,3,FALSE))</f>
        <v>809.61792891620803</v>
      </c>
    </row>
    <row r="29" spans="2:34">
      <c r="B29" t="str">
        <f t="shared" si="2"/>
        <v>EN_Biomass</v>
      </c>
      <c r="C29" s="34">
        <f>VLOOKUP(C$22,ovrcst!$A$5:$W$36,VLOOKUP('ELC_Gen-sdj'!$B29,'ELC_Gen-sdj'!$AA$4:$AC$19,3,FALSE))</f>
        <v>3899.5782844311402</v>
      </c>
      <c r="D29" s="34">
        <f>VLOOKUP(D$22,ovrcst!$A$5:$W$36,VLOOKUP('ELC_Gen-sdj'!$B29,'ELC_Gen-sdj'!$AA$4:$AC$19,3,FALSE))</f>
        <v>3858.23884431138</v>
      </c>
      <c r="E29" s="34">
        <f>VLOOKUP(E$22,ovrcst!$A$5:$W$36,VLOOKUP('ELC_Gen-sdj'!$B29,'ELC_Gen-sdj'!$AA$4:$AC$19,3,FALSE))</f>
        <v>3756.43707684631</v>
      </c>
      <c r="F29" s="34">
        <f>VLOOKUP(F$22,ovrcst!$A$5:$W$36,VLOOKUP('ELC_Gen-sdj'!$B29,'ELC_Gen-sdj'!$AA$4:$AC$19,3,FALSE))</f>
        <v>3698.7399710578802</v>
      </c>
      <c r="G29" s="34">
        <f>VLOOKUP(G$22,ovrcst!$A$5:$W$36,VLOOKUP('ELC_Gen-sdj'!$B29,'ELC_Gen-sdj'!$AA$4:$AC$19,3,FALSE))</f>
        <v>3659.7218163672701</v>
      </c>
      <c r="H29" s="34">
        <f>VLOOKUP(H$22,ovrcst!$A$5:$W$36,VLOOKUP('ELC_Gen-sdj'!$B29,'ELC_Gen-sdj'!$AA$4:$AC$19,3,FALSE))</f>
        <v>3628.7298453093799</v>
      </c>
      <c r="I29" s="34">
        <f>VLOOKUP(I$22,ovrcst!$A$5:$W$36,VLOOKUP('ELC_Gen-sdj'!$B29,'ELC_Gen-sdj'!$AA$4:$AC$19,3,FALSE))</f>
        <v>3603.9215518962101</v>
      </c>
      <c r="J29" s="34">
        <f>VLOOKUP(J$22,ovrcst!$A$5:$W$36,VLOOKUP('ELC_Gen-sdj'!$B29,'ELC_Gen-sdj'!$AA$4:$AC$19,3,FALSE))</f>
        <v>3570.4401746507001</v>
      </c>
      <c r="K29" s="34">
        <f>VLOOKUP(K$22,ovrcst!$A$5:$W$36,VLOOKUP('ELC_Gen-sdj'!$B29,'ELC_Gen-sdj'!$AA$4:$AC$19,3,FALSE))</f>
        <v>3529.88627245509</v>
      </c>
      <c r="L29" s="34">
        <f>VLOOKUP(L$22,ovrcst!$A$5:$W$36,VLOOKUP('ELC_Gen-sdj'!$B29,'ELC_Gen-sdj'!$AA$4:$AC$19,3,FALSE))</f>
        <v>3484.2914271457098</v>
      </c>
      <c r="M29" s="34">
        <f>VLOOKUP(M$22,ovrcst!$A$5:$W$36,VLOOKUP('ELC_Gen-sdj'!$B29,'ELC_Gen-sdj'!$AA$4:$AC$19,3,FALSE))</f>
        <v>3437.4040009979999</v>
      </c>
      <c r="N29" s="34">
        <f>VLOOKUP(N$22,ovrcst!$A$5:$W$36,VLOOKUP('ELC_Gen-sdj'!$B29,'ELC_Gen-sdj'!$AA$4:$AC$19,3,FALSE))</f>
        <v>3396.3367215568901</v>
      </c>
      <c r="O29" s="34">
        <f>VLOOKUP(O$22,ovrcst!$A$5:$W$36,VLOOKUP('ELC_Gen-sdj'!$B29,'ELC_Gen-sdj'!$AA$4:$AC$19,3,FALSE))</f>
        <v>3355.45291217565</v>
      </c>
      <c r="P29" s="34">
        <f>VLOOKUP(P$22,ovrcst!$A$5:$W$36,VLOOKUP('ELC_Gen-sdj'!$B29,'ELC_Gen-sdj'!$AA$4:$AC$19,3,FALSE))</f>
        <v>3314.6660778443102</v>
      </c>
      <c r="Q29" s="34">
        <f>VLOOKUP(Q$22,ovrcst!$A$5:$W$36,VLOOKUP('ELC_Gen-sdj'!$B29,'ELC_Gen-sdj'!$AA$4:$AC$19,3,FALSE))</f>
        <v>3275.7814451097802</v>
      </c>
      <c r="R29" s="34">
        <f>VLOOKUP(R$22,ovrcst!$A$5:$W$36,VLOOKUP('ELC_Gen-sdj'!$B29,'ELC_Gen-sdj'!$AA$4:$AC$19,3,FALSE))</f>
        <v>3237.3902095808398</v>
      </c>
      <c r="S29" s="34">
        <f>VLOOKUP(S$22,ovrcst!$A$5:$W$36,VLOOKUP('ELC_Gen-sdj'!$B29,'ELC_Gen-sdj'!$AA$4:$AC$19,3,FALSE))</f>
        <v>3196.9632514970099</v>
      </c>
      <c r="T29" s="34">
        <f>VLOOKUP(T$22,ovrcst!$A$5:$W$36,VLOOKUP('ELC_Gen-sdj'!$B29,'ELC_Gen-sdj'!$AA$4:$AC$19,3,FALSE))</f>
        <v>3158.5559351297402</v>
      </c>
      <c r="U29" s="34">
        <f>VLOOKUP(U$22,ovrcst!$A$5:$W$36,VLOOKUP('ELC_Gen-sdj'!$B29,'ELC_Gen-sdj'!$AA$4:$AC$19,3,FALSE))</f>
        <v>3120.7811427145698</v>
      </c>
      <c r="V29" s="34">
        <f>VLOOKUP(V$22,ovrcst!$A$5:$W$36,VLOOKUP('ELC_Gen-sdj'!$B29,'ELC_Gen-sdj'!$AA$4:$AC$19,3,FALSE))</f>
        <v>3084.3722714570899</v>
      </c>
      <c r="W29" s="34">
        <f>VLOOKUP(W$22,ovrcst!$A$5:$W$36,VLOOKUP('ELC_Gen-sdj'!$B29,'ELC_Gen-sdj'!$AA$4:$AC$19,3,FALSE))</f>
        <v>3047.61058982036</v>
      </c>
      <c r="X29" s="34">
        <f>VLOOKUP(X$22,ovrcst!$A$5:$W$36,VLOOKUP('ELC_Gen-sdj'!$B29,'ELC_Gen-sdj'!$AA$4:$AC$19,3,FALSE))</f>
        <v>3012.1285748503001</v>
      </c>
      <c r="Y29" s="34">
        <f>VLOOKUP(Y$22,ovrcst!$A$5:$W$36,VLOOKUP('ELC_Gen-sdj'!$B29,'ELC_Gen-sdj'!$AA$4:$AC$19,3,FALSE))</f>
        <v>2977.51762075848</v>
      </c>
      <c r="Z29" s="34">
        <f>VLOOKUP(Z$22,ovrcst!$A$5:$W$36,VLOOKUP('ELC_Gen-sdj'!$B29,'ELC_Gen-sdj'!$AA$4:$AC$19,3,FALSE))</f>
        <v>2940.72134031936</v>
      </c>
      <c r="AA29" s="34">
        <f>VLOOKUP(AA$22,ovrcst!$A$5:$W$36,VLOOKUP('ELC_Gen-sdj'!$B29,'ELC_Gen-sdj'!$AA$4:$AC$19,3,FALSE))</f>
        <v>2908.3909820359299</v>
      </c>
      <c r="AB29" s="34">
        <f>VLOOKUP(AB$22,ovrcst!$A$5:$W$36,VLOOKUP('ELC_Gen-sdj'!$B29,'ELC_Gen-sdj'!$AA$4:$AC$19,3,FALSE))</f>
        <v>2872.3790209580802</v>
      </c>
      <c r="AC29" s="34">
        <f>VLOOKUP(AC$22,ovrcst!$A$5:$W$36,VLOOKUP('ELC_Gen-sdj'!$B29,'ELC_Gen-sdj'!$AA$4:$AC$19,3,FALSE))</f>
        <v>2840.1363772455102</v>
      </c>
      <c r="AD29" s="34">
        <f>VLOOKUP(AD$22,ovrcst!$A$5:$W$36,VLOOKUP('ELC_Gen-sdj'!$B29,'ELC_Gen-sdj'!$AA$4:$AC$19,3,FALSE))</f>
        <v>2804.91263572854</v>
      </c>
      <c r="AE29" s="34">
        <f>VLOOKUP(AE$22,ovrcst!$A$5:$W$36,VLOOKUP('ELC_Gen-sdj'!$B29,'ELC_Gen-sdj'!$AA$4:$AC$19,3,FALSE))</f>
        <v>2772.2981766467101</v>
      </c>
      <c r="AF29" s="34">
        <f>VLOOKUP(AF$22,ovrcst!$A$5:$W$36,VLOOKUP('ELC_Gen-sdj'!$B29,'ELC_Gen-sdj'!$AA$4:$AC$19,3,FALSE))</f>
        <v>2739.6620329341299</v>
      </c>
      <c r="AG29" s="34">
        <f>VLOOKUP(AG$22,ovrcst!$A$5:$W$36,VLOOKUP('ELC_Gen-sdj'!$B29,'ELC_Gen-sdj'!$AA$4:$AC$19,3,FALSE))</f>
        <v>2707.05610279441</v>
      </c>
      <c r="AH29" s="3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4">
        <f>VLOOKUP(C$22,ovrcst!$A$5:$W$36,VLOOKUP('ELC_Gen-sdj'!$B30,'ELC_Gen-sdj'!$AA$4:$AC$19,3,FALSE))</f>
        <v>5715.7879928716902</v>
      </c>
      <c r="D30" s="34">
        <f>VLOOKUP(D$22,ovrcst!$A$5:$W$36,VLOOKUP('ELC_Gen-sdj'!$B30,'ELC_Gen-sdj'!$AA$4:$AC$19,3,FALSE))</f>
        <v>5651.6864103869602</v>
      </c>
      <c r="E30" s="34">
        <f>VLOOKUP(E$22,ovrcst!$A$5:$W$36,VLOOKUP('ELC_Gen-sdj'!$B30,'ELC_Gen-sdj'!$AA$4:$AC$19,3,FALSE))</f>
        <v>5513.4993360488797</v>
      </c>
      <c r="F30" s="34">
        <f>VLOOKUP(F$22,ovrcst!$A$5:$W$36,VLOOKUP('ELC_Gen-sdj'!$B30,'ELC_Gen-sdj'!$AA$4:$AC$19,3,FALSE))</f>
        <v>5427.6274704684301</v>
      </c>
      <c r="G30" s="34">
        <f>VLOOKUP(G$22,ovrcst!$A$5:$W$36,VLOOKUP('ELC_Gen-sdj'!$B30,'ELC_Gen-sdj'!$AA$4:$AC$19,3,FALSE))</f>
        <v>5366.8807077393103</v>
      </c>
      <c r="H30" s="34">
        <f>VLOOKUP(H$22,ovrcst!$A$5:$W$36,VLOOKUP('ELC_Gen-sdj'!$B30,'ELC_Gen-sdj'!$AA$4:$AC$19,3,FALSE))</f>
        <v>5317.9441863543798</v>
      </c>
      <c r="I30" s="34">
        <f>VLOOKUP(I$22,ovrcst!$A$5:$W$36,VLOOKUP('ELC_Gen-sdj'!$B30,'ELC_Gen-sdj'!$AA$4:$AC$19,3,FALSE))</f>
        <v>5278.0965580448101</v>
      </c>
      <c r="J30" s="34">
        <f>VLOOKUP(J$22,ovrcst!$A$5:$W$36,VLOOKUP('ELC_Gen-sdj'!$B30,'ELC_Gen-sdj'!$AA$4:$AC$19,3,FALSE))</f>
        <v>5225.5754959266797</v>
      </c>
      <c r="K30" s="34">
        <f>VLOOKUP(K$22,ovrcst!$A$5:$W$36,VLOOKUP('ELC_Gen-sdj'!$B30,'ELC_Gen-sdj'!$AA$4:$AC$19,3,FALSE))</f>
        <v>5162.7493116089599</v>
      </c>
      <c r="L30" s="34">
        <f>VLOOKUP(L$22,ovrcst!$A$5:$W$36,VLOOKUP('ELC_Gen-sdj'!$B30,'ELC_Gen-sdj'!$AA$4:$AC$19,3,FALSE))</f>
        <v>5092.6073625254603</v>
      </c>
      <c r="M30" s="34">
        <f>VLOOKUP(M$22,ovrcst!$A$5:$W$36,VLOOKUP('ELC_Gen-sdj'!$B30,'ELC_Gen-sdj'!$AA$4:$AC$19,3,FALSE))</f>
        <v>5020.6420651731196</v>
      </c>
      <c r="N30" s="34">
        <f>VLOOKUP(N$22,ovrcst!$A$5:$W$36,VLOOKUP('ELC_Gen-sdj'!$B30,'ELC_Gen-sdj'!$AA$4:$AC$19,3,FALSE))</f>
        <v>4957.2380977596704</v>
      </c>
      <c r="O30" s="34">
        <f>VLOOKUP(O$22,ovrcst!$A$5:$W$36,VLOOKUP('ELC_Gen-sdj'!$B30,'ELC_Gen-sdj'!$AA$4:$AC$19,3,FALSE))</f>
        <v>4894.1573319755598</v>
      </c>
      <c r="P30" s="34">
        <f>VLOOKUP(P$22,ovrcst!$A$5:$W$36,VLOOKUP('ELC_Gen-sdj'!$B30,'ELC_Gen-sdj'!$AA$4:$AC$19,3,FALSE))</f>
        <v>4831.2734694500996</v>
      </c>
      <c r="Q30" s="34">
        <f>VLOOKUP(Q$22,ovrcst!$A$5:$W$36,VLOOKUP('ELC_Gen-sdj'!$B30,'ELC_Gen-sdj'!$AA$4:$AC$19,3,FALSE))</f>
        <v>4771.2183564154802</v>
      </c>
      <c r="R30" s="34">
        <f>VLOOKUP(R$22,ovrcst!$A$5:$W$36,VLOOKUP('ELC_Gen-sdj'!$B30,'ELC_Gen-sdj'!$AA$4:$AC$19,3,FALSE))</f>
        <v>4711.93395213849</v>
      </c>
      <c r="S30" s="34">
        <f>VLOOKUP(S$22,ovrcst!$A$5:$W$36,VLOOKUP('ELC_Gen-sdj'!$B30,'ELC_Gen-sdj'!$AA$4:$AC$19,3,FALSE))</f>
        <v>4649.7412403258704</v>
      </c>
      <c r="T30" s="34">
        <f>VLOOKUP(T$22,ovrcst!$A$5:$W$36,VLOOKUP('ELC_Gen-sdj'!$B30,'ELC_Gen-sdj'!$AA$4:$AC$19,3,FALSE))</f>
        <v>4590.5418625254597</v>
      </c>
      <c r="U30" s="34">
        <f>VLOOKUP(U$22,ovrcst!$A$5:$W$36,VLOOKUP('ELC_Gen-sdj'!$B30,'ELC_Gen-sdj'!$AA$4:$AC$19,3,FALSE))</f>
        <v>4532.3150692464396</v>
      </c>
      <c r="V30" s="34">
        <f>VLOOKUP(V$22,ovrcst!$A$5:$W$36,VLOOKUP('ELC_Gen-sdj'!$B30,'ELC_Gen-sdj'!$AA$4:$AC$19,3,FALSE))</f>
        <v>4476.12543380855</v>
      </c>
      <c r="W30" s="34">
        <f>VLOOKUP(W$22,ovrcst!$A$5:$W$36,VLOOKUP('ELC_Gen-sdj'!$B30,'ELC_Gen-sdj'!$AA$4:$AC$19,3,FALSE))</f>
        <v>4419.4743665987799</v>
      </c>
      <c r="X30" s="34">
        <f>VLOOKUP(X$22,ovrcst!$A$5:$W$36,VLOOKUP('ELC_Gen-sdj'!$B30,'ELC_Gen-sdj'!$AA$4:$AC$19,3,FALSE))</f>
        <v>4364.7306792260697</v>
      </c>
      <c r="Y30" s="34">
        <f>VLOOKUP(Y$22,ovrcst!$A$5:$W$36,VLOOKUP('ELC_Gen-sdj'!$B30,'ELC_Gen-sdj'!$AA$4:$AC$19,3,FALSE))</f>
        <v>4311.2981914460297</v>
      </c>
      <c r="Z30" s="34">
        <f>VLOOKUP(Z$22,ovrcst!$A$5:$W$36,VLOOKUP('ELC_Gen-sdj'!$B30,'ELC_Gen-sdj'!$AA$4:$AC$19,3,FALSE))</f>
        <v>4254.7545264765804</v>
      </c>
      <c r="AA30" s="34">
        <f>VLOOKUP(AA$22,ovrcst!$A$5:$W$36,VLOOKUP('ELC_Gen-sdj'!$B30,'ELC_Gen-sdj'!$AA$4:$AC$19,3,FALSE))</f>
        <v>4204.7201181262699</v>
      </c>
      <c r="AB30" s="34">
        <f>VLOOKUP(AB$22,ovrcst!$A$5:$W$36,VLOOKUP('ELC_Gen-sdj'!$B30,'ELC_Gen-sdj'!$AA$4:$AC$19,3,FALSE))</f>
        <v>4149.4130682281102</v>
      </c>
      <c r="AC30" s="34">
        <f>VLOOKUP(AC$22,ovrcst!$A$5:$W$36,VLOOKUP('ELC_Gen-sdj'!$B30,'ELC_Gen-sdj'!$AA$4:$AC$19,3,FALSE))</f>
        <v>4099.6024134419504</v>
      </c>
      <c r="AD30" s="34">
        <f>VLOOKUP(AD$22,ovrcst!$A$5:$W$36,VLOOKUP('ELC_Gen-sdj'!$B30,'ELC_Gen-sdj'!$AA$4:$AC$19,3,FALSE))</f>
        <v>4045.53744704684</v>
      </c>
      <c r="AE30" s="34">
        <f>VLOOKUP(AE$22,ovrcst!$A$5:$W$36,VLOOKUP('ELC_Gen-sdj'!$B30,'ELC_Gen-sdj'!$AA$4:$AC$19,3,FALSE))</f>
        <v>3995.2867433808601</v>
      </c>
      <c r="AF30" s="34">
        <f>VLOOKUP(AF$22,ovrcst!$A$5:$W$36,VLOOKUP('ELC_Gen-sdj'!$B30,'ELC_Gen-sdj'!$AA$4:$AC$19,3,FALSE))</f>
        <v>3945.0531934826899</v>
      </c>
      <c r="AG30" s="34">
        <f>VLOOKUP(AG$22,ovrcst!$A$5:$W$36,VLOOKUP('ELC_Gen-sdj'!$B30,'ELC_Gen-sdj'!$AA$4:$AC$19,3,FALSE))</f>
        <v>3894.9128747454201</v>
      </c>
      <c r="AH30" s="34">
        <f>VLOOKUP(AH$22,ovrcst!$A$5:$W$36,VLOOKUP('ELC_Gen-sdj'!$B30,'ELC_Gen-sdj'!$AA$4:$AC$19,3,FALSE))</f>
        <v>3845.2213075356399</v>
      </c>
    </row>
    <row r="31" spans="2:34">
      <c r="B31" s="3" t="str">
        <f t="shared" si="2"/>
        <v>EN_OilCCAdv</v>
      </c>
      <c r="C31" s="38">
        <f>VLOOKUP(C$22,ovrcst!$A$5:$W$36,VLOOKUP('ELC_Gen-sdj'!$B31,'ELC_Gen-sdj'!$AA$4:$AC$19,3,FALSE))</f>
        <v>691.07681578878396</v>
      </c>
      <c r="D31" s="38">
        <f>VLOOKUP(D$22,ovrcst!$A$5:$W$36,VLOOKUP('ELC_Gen-sdj'!$B31,'ELC_Gen-sdj'!$AA$4:$AC$19,3,FALSE))</f>
        <v>683.76621123055702</v>
      </c>
      <c r="E31" s="38">
        <f>VLOOKUP(E$22,ovrcst!$A$5:$W$36,VLOOKUP('ELC_Gen-sdj'!$B31,'ELC_Gen-sdj'!$AA$4:$AC$19,3,FALSE))</f>
        <v>667.48039872330696</v>
      </c>
      <c r="F31" s="38">
        <f>VLOOKUP(F$22,ovrcst!$A$5:$W$36,VLOOKUP('ELC_Gen-sdj'!$B31,'ELC_Gen-sdj'!$AA$4:$AC$19,3,FALSE))</f>
        <v>657.51436560113495</v>
      </c>
      <c r="G31" s="38">
        <f>VLOOKUP(G$22,ovrcst!$A$5:$W$36,VLOOKUP('ELC_Gen-sdj'!$B31,'ELC_Gen-sdj'!$AA$4:$AC$19,3,FALSE))</f>
        <v>625.44563297699199</v>
      </c>
      <c r="H31" s="38">
        <f>VLOOKUP(H$22,ovrcst!$A$5:$W$36,VLOOKUP('ELC_Gen-sdj'!$B31,'ELC_Gen-sdj'!$AA$4:$AC$19,3,FALSE))</f>
        <v>612.365128735692</v>
      </c>
      <c r="I31" s="38">
        <f>VLOOKUP(I$22,ovrcst!$A$5:$W$36,VLOOKUP('ELC_Gen-sdj'!$B31,'ELC_Gen-sdj'!$AA$4:$AC$19,3,FALSE))</f>
        <v>599.880182823018</v>
      </c>
      <c r="J31" s="38">
        <f>VLOOKUP(J$22,ovrcst!$A$5:$W$36,VLOOKUP('ELC_Gen-sdj'!$B31,'ELC_Gen-sdj'!$AA$4:$AC$19,3,FALSE))</f>
        <v>586.79665335842799</v>
      </c>
      <c r="K31" s="38">
        <f>VLOOKUP(K$22,ovrcst!$A$5:$W$36,VLOOKUP('ELC_Gen-sdj'!$B31,'ELC_Gen-sdj'!$AA$4:$AC$19,3,FALSE))</f>
        <v>573.38688246717504</v>
      </c>
      <c r="L31" s="38">
        <f>VLOOKUP(L$22,ovrcst!$A$5:$W$36,VLOOKUP('ELC_Gen-sdj'!$B31,'ELC_Gen-sdj'!$AA$4:$AC$19,3,FALSE))</f>
        <v>563.08421888622399</v>
      </c>
      <c r="M31" s="38">
        <f>VLOOKUP(M$22,ovrcst!$A$5:$W$36,VLOOKUP('ELC_Gen-sdj'!$B31,'ELC_Gen-sdj'!$AA$4:$AC$19,3,FALSE))</f>
        <v>552.68940292531795</v>
      </c>
      <c r="N31" s="38">
        <f>VLOOKUP(N$22,ovrcst!$A$5:$W$36,VLOOKUP('ELC_Gen-sdj'!$B31,'ELC_Gen-sdj'!$AA$4:$AC$19,3,FALSE))</f>
        <v>545.18176316075005</v>
      </c>
      <c r="O31" s="38">
        <f>VLOOKUP(O$22,ovrcst!$A$5:$W$36,VLOOKUP('ELC_Gen-sdj'!$B31,'ELC_Gen-sdj'!$AA$4:$AC$19,3,FALSE))</f>
        <v>538.18215417600504</v>
      </c>
      <c r="P31" s="38">
        <f>VLOOKUP(P$22,ovrcst!$A$5:$W$36,VLOOKUP('ELC_Gen-sdj'!$B31,'ELC_Gen-sdj'!$AA$4:$AC$19,3,FALSE))</f>
        <v>530.05109484271497</v>
      </c>
      <c r="Q31" s="38">
        <f>VLOOKUP(Q$22,ovrcst!$A$5:$W$36,VLOOKUP('ELC_Gen-sdj'!$B31,'ELC_Gen-sdj'!$AA$4:$AC$19,3,FALSE))</f>
        <v>523.251718409148</v>
      </c>
      <c r="R31" s="38">
        <f>VLOOKUP(R$22,ovrcst!$A$5:$W$36,VLOOKUP('ELC_Gen-sdj'!$B31,'ELC_Gen-sdj'!$AA$4:$AC$19,3,FALSE))</f>
        <v>515.81087957852696</v>
      </c>
      <c r="S31" s="34">
        <f>VLOOKUP(S$22,ovrcst!$A$5:$W$36,VLOOKUP('ELC_Gen-sdj'!$B31,'ELC_Gen-sdj'!$AA$4:$AC$19,3,FALSE))</f>
        <v>508.97975794471898</v>
      </c>
      <c r="T31" s="34">
        <f>VLOOKUP(T$22,ovrcst!$A$5:$W$36,VLOOKUP('ELC_Gen-sdj'!$B31,'ELC_Gen-sdj'!$AA$4:$AC$19,3,FALSE))</f>
        <v>501.934129832032</v>
      </c>
      <c r="U31" s="34">
        <f>VLOOKUP(U$22,ovrcst!$A$5:$W$36,VLOOKUP('ELC_Gen-sdj'!$B31,'ELC_Gen-sdj'!$AA$4:$AC$19,3,FALSE))</f>
        <v>496.130374588873</v>
      </c>
      <c r="V31" s="34">
        <f>VLOOKUP(V$22,ovrcst!$A$5:$W$36,VLOOKUP('ELC_Gen-sdj'!$B31,'ELC_Gen-sdj'!$AA$4:$AC$19,3,FALSE))</f>
        <v>491.60428881995699</v>
      </c>
      <c r="W31" s="34">
        <f>VLOOKUP(W$22,ovrcst!$A$5:$W$36,VLOOKUP('ELC_Gen-sdj'!$B31,'ELC_Gen-sdj'!$AA$4:$AC$19,3,FALSE))</f>
        <v>487.00232364089402</v>
      </c>
      <c r="X31" s="34">
        <f>VLOOKUP(X$22,ovrcst!$A$5:$W$36,VLOOKUP('ELC_Gen-sdj'!$B31,'ELC_Gen-sdj'!$AA$4:$AC$19,3,FALSE))</f>
        <v>482.585346095273</v>
      </c>
      <c r="Y31" s="34">
        <f>VLOOKUP(Y$22,ovrcst!$A$5:$W$36,VLOOKUP('ELC_Gen-sdj'!$B31,'ELC_Gen-sdj'!$AA$4:$AC$19,3,FALSE))</f>
        <v>478.288981788792</v>
      </c>
      <c r="Z31" s="34">
        <f>VLOOKUP(Z$22,ovrcst!$A$5:$W$36,VLOOKUP('ELC_Gen-sdj'!$B31,'ELC_Gen-sdj'!$AA$4:$AC$19,3,FALSE))</f>
        <v>473.62192940771502</v>
      </c>
      <c r="AA31" s="34">
        <f>VLOOKUP(AA$22,ovrcst!$A$5:$W$36,VLOOKUP('ELC_Gen-sdj'!$B31,'ELC_Gen-sdj'!$AA$4:$AC$19,3,FALSE))</f>
        <v>469.65517412339602</v>
      </c>
      <c r="AB31" s="34">
        <f>VLOOKUP(AB$22,ovrcst!$A$5:$W$36,VLOOKUP('ELC_Gen-sdj'!$B31,'ELC_Gen-sdj'!$AA$4:$AC$19,3,FALSE))</f>
        <v>465.07507586444302</v>
      </c>
      <c r="AC31" s="34">
        <f>VLOOKUP(AC$22,ovrcst!$A$5:$W$36,VLOOKUP('ELC_Gen-sdj'!$B31,'ELC_Gen-sdj'!$AA$4:$AC$19,3,FALSE))</f>
        <v>461.08628247390999</v>
      </c>
      <c r="AD31" s="34">
        <f>VLOOKUP(AD$22,ovrcst!$A$5:$W$36,VLOOKUP('ELC_Gen-sdj'!$B31,'ELC_Gen-sdj'!$AA$4:$AC$19,3,FALSE))</f>
        <v>456.59451063224702</v>
      </c>
      <c r="AE31" s="34">
        <f>VLOOKUP(AE$22,ovrcst!$A$5:$W$36,VLOOKUP('ELC_Gen-sdj'!$B31,'ELC_Gen-sdj'!$AA$4:$AC$19,3,FALSE))</f>
        <v>452.508084100085</v>
      </c>
      <c r="AF31" s="34">
        <f>VLOOKUP(AF$22,ovrcst!$A$5:$W$36,VLOOKUP('ELC_Gen-sdj'!$B31,'ELC_Gen-sdj'!$AA$4:$AC$19,3,FALSE))</f>
        <v>448.39967652374298</v>
      </c>
      <c r="AG31" s="34">
        <f>VLOOKUP(AG$22,ovrcst!$A$5:$W$36,VLOOKUP('ELC_Gen-sdj'!$B31,'ELC_Gen-sdj'!$AA$4:$AC$19,3,FALSE))</f>
        <v>444.27762270208399</v>
      </c>
      <c r="AH31" s="34">
        <f>VLOOKUP(AH$22,ovrcst!$A$5:$W$36,VLOOKUP('ELC_Gen-sdj'!$B31,'ELC_Gen-sdj'!$AA$4:$AC$19,3,FALSE))</f>
        <v>440.18226175197299</v>
      </c>
    </row>
    <row r="32" spans="2:34">
      <c r="B32" t="str">
        <f t="shared" si="2"/>
        <v>EN_NuclearAdv</v>
      </c>
      <c r="C32" s="34">
        <f>VLOOKUP(C$22,ovrcst!$A$5:$W$36,VLOOKUP('ELC_Gen-sdj'!$B32,'ELC_Gen-sdj'!$AA$4:$AC$19,3,FALSE))</f>
        <v>6034.2658544366896</v>
      </c>
      <c r="D32" s="34">
        <f>VLOOKUP(D$22,ovrcst!$A$5:$W$36,VLOOKUP('ELC_Gen-sdj'!$B32,'ELC_Gen-sdj'!$AA$4:$AC$19,3,FALSE))</f>
        <v>5962.7387367896299</v>
      </c>
      <c r="E32" s="34">
        <f>VLOOKUP(E$22,ovrcst!$A$5:$W$36,VLOOKUP('ELC_Gen-sdj'!$B32,'ELC_Gen-sdj'!$AA$4:$AC$19,3,FALSE))</f>
        <v>5813.1538005982102</v>
      </c>
      <c r="F32" s="34">
        <f>VLOOKUP(F$22,ovrcst!$A$5:$W$36,VLOOKUP('ELC_Gen-sdj'!$B32,'ELC_Gen-sdj'!$AA$4:$AC$19,3,FALSE))</f>
        <v>5718.84833798604</v>
      </c>
      <c r="G32" s="34">
        <f>VLOOKUP(G$22,ovrcst!$A$5:$W$36,VLOOKUP('ELC_Gen-sdj'!$B32,'ELC_Gen-sdj'!$AA$4:$AC$19,3,FALSE))</f>
        <v>5651.0838574277204</v>
      </c>
      <c r="H32" s="34">
        <f>VLOOKUP(H$22,ovrcst!$A$5:$W$36,VLOOKUP('ELC_Gen-sdj'!$B32,'ELC_Gen-sdj'!$AA$4:$AC$19,3,FALSE))</f>
        <v>5595.7970817547402</v>
      </c>
      <c r="I32" s="34">
        <f>VLOOKUP(I$22,ovrcst!$A$5:$W$36,VLOOKUP('ELC_Gen-sdj'!$B32,'ELC_Gen-sdj'!$AA$4:$AC$19,3,FALSE))</f>
        <v>5550.1031086739804</v>
      </c>
      <c r="J32" s="34">
        <f>VLOOKUP(J$22,ovrcst!$A$5:$W$36,VLOOKUP('ELC_Gen-sdj'!$B32,'ELC_Gen-sdj'!$AA$4:$AC$19,3,FALSE))</f>
        <v>5491.1155204386896</v>
      </c>
      <c r="K32" s="34">
        <f>VLOOKUP(K$22,ovrcst!$A$5:$W$36,VLOOKUP('ELC_Gen-sdj'!$B32,'ELC_Gen-sdj'!$AA$4:$AC$19,3,FALSE))</f>
        <v>5421.3467996011996</v>
      </c>
      <c r="L32" s="34">
        <f>VLOOKUP(L$22,ovrcst!$A$5:$W$36,VLOOKUP('ELC_Gen-sdj'!$B32,'ELC_Gen-sdj'!$AA$4:$AC$19,3,FALSE))</f>
        <v>5343.9588464606204</v>
      </c>
      <c r="M32" s="34">
        <f>VLOOKUP(M$22,ovrcst!$A$5:$W$36,VLOOKUP('ELC_Gen-sdj'!$B32,'ELC_Gen-sdj'!$AA$4:$AC$19,3,FALSE))</f>
        <v>5264.72730209372</v>
      </c>
      <c r="N32" s="34">
        <f>VLOOKUP(N$22,ovrcst!$A$5:$W$36,VLOOKUP('ELC_Gen-sdj'!$B32,'ELC_Gen-sdj'!$AA$4:$AC$19,3,FALSE))</f>
        <v>5194.5399152542404</v>
      </c>
      <c r="O32" s="34">
        <f>VLOOKUP(O$22,ovrcst!$A$5:$W$36,VLOOKUP('ELC_Gen-sdj'!$B32,'ELC_Gen-sdj'!$AA$4:$AC$19,3,FALSE))</f>
        <v>5124.7502612163498</v>
      </c>
      <c r="P32" s="34">
        <f>VLOOKUP(P$22,ovrcst!$A$5:$W$36,VLOOKUP('ELC_Gen-sdj'!$B32,'ELC_Gen-sdj'!$AA$4:$AC$19,3,FALSE))</f>
        <v>5055.2288444666001</v>
      </c>
      <c r="Q32" s="34">
        <f>VLOOKUP(Q$22,ovrcst!$A$5:$W$36,VLOOKUP('ELC_Gen-sdj'!$B32,'ELC_Gen-sdj'!$AA$4:$AC$19,3,FALSE))</f>
        <v>4988.7247437686901</v>
      </c>
      <c r="R32" s="34">
        <f>VLOOKUP(R$22,ovrcst!$A$5:$W$36,VLOOKUP('ELC_Gen-sdj'!$B32,'ELC_Gen-sdj'!$AA$4:$AC$19,3,FALSE))</f>
        <v>4923.0847497507502</v>
      </c>
      <c r="S32" s="34">
        <f>VLOOKUP(S$22,ovrcst!$A$5:$W$36,VLOOKUP('ELC_Gen-sdj'!$B32,'ELC_Gen-sdj'!$AA$4:$AC$19,3,FALSE))</f>
        <v>4854.4663858424701</v>
      </c>
      <c r="T32" s="34">
        <f>VLOOKUP(T$22,ovrcst!$A$5:$W$36,VLOOKUP('ELC_Gen-sdj'!$B32,'ELC_Gen-sdj'!$AA$4:$AC$19,3,FALSE))</f>
        <v>4789.0337776670003</v>
      </c>
      <c r="U32" s="34">
        <f>VLOOKUP(U$22,ovrcst!$A$5:$W$36,VLOOKUP('ELC_Gen-sdj'!$B32,'ELC_Gen-sdj'!$AA$4:$AC$19,3,FALSE))</f>
        <v>4724.6736350947203</v>
      </c>
      <c r="V32" s="34">
        <f>VLOOKUP(V$22,ovrcst!$A$5:$W$36,VLOOKUP('ELC_Gen-sdj'!$B32,'ELC_Gen-sdj'!$AA$4:$AC$19,3,FALSE))</f>
        <v>4662.4929900299103</v>
      </c>
      <c r="W32" s="34">
        <f>VLOOKUP(W$22,ovrcst!$A$5:$W$36,VLOOKUP('ELC_Gen-sdj'!$B32,'ELC_Gen-sdj'!$AA$4:$AC$19,3,FALSE))</f>
        <v>4599.8883230309102</v>
      </c>
      <c r="X32" s="34">
        <f>VLOOKUP(X$22,ovrcst!$A$5:$W$36,VLOOKUP('ELC_Gen-sdj'!$B32,'ELC_Gen-sdj'!$AA$4:$AC$19,3,FALSE))</f>
        <v>4539.3253828514498</v>
      </c>
      <c r="Y32" s="34">
        <f>VLOOKUP(Y$22,ovrcst!$A$5:$W$36,VLOOKUP('ELC_Gen-sdj'!$B32,'ELC_Gen-sdj'!$AA$4:$AC$19,3,FALSE))</f>
        <v>4480.1800648055796</v>
      </c>
      <c r="Z32" s="34">
        <f>VLOOKUP(Z$22,ovrcst!$A$5:$W$36,VLOOKUP('ELC_Gen-sdj'!$B32,'ELC_Gen-sdj'!$AA$4:$AC$19,3,FALSE))</f>
        <v>4417.85775473579</v>
      </c>
      <c r="AA32" s="34">
        <f>VLOOKUP(AA$22,ovrcst!$A$5:$W$36,VLOOKUP('ELC_Gen-sdj'!$B32,'ELC_Gen-sdj'!$AA$4:$AC$19,3,FALSE))</f>
        <v>4362.34947457627</v>
      </c>
      <c r="AB32" s="34">
        <f>VLOOKUP(AB$22,ovrcst!$A$5:$W$36,VLOOKUP('ELC_Gen-sdj'!$B32,'ELC_Gen-sdj'!$AA$4:$AC$19,3,FALSE))</f>
        <v>4301.4243399800598</v>
      </c>
      <c r="AC32" s="34">
        <f>VLOOKUP(AC$22,ovrcst!$A$5:$W$36,VLOOKUP('ELC_Gen-sdj'!$B32,'ELC_Gen-sdj'!$AA$4:$AC$19,3,FALSE))</f>
        <v>4246.2509930209399</v>
      </c>
      <c r="AD32" s="34">
        <f>VLOOKUP(AD$22,ovrcst!$A$5:$W$36,VLOOKUP('ELC_Gen-sdj'!$B32,'ELC_Gen-sdj'!$AA$4:$AC$19,3,FALSE))</f>
        <v>4186.7269282153502</v>
      </c>
      <c r="AE32" s="34">
        <f>VLOOKUP(AE$22,ovrcst!$A$5:$W$36,VLOOKUP('ELC_Gen-sdj'!$B32,'ELC_Gen-sdj'!$AA$4:$AC$19,3,FALSE))</f>
        <v>4131.2055044865401</v>
      </c>
      <c r="AF32" s="34">
        <f>VLOOKUP(AF$22,ovrcst!$A$5:$W$36,VLOOKUP('ELC_Gen-sdj'!$B32,'ELC_Gen-sdj'!$AA$4:$AC$19,3,FALSE))</f>
        <v>4075.7544257228301</v>
      </c>
      <c r="AG32" s="34">
        <f>VLOOKUP(AG$22,ovrcst!$A$5:$W$36,VLOOKUP('ELC_Gen-sdj'!$B32,'ELC_Gen-sdj'!$AA$4:$AC$19,3,FALSE))</f>
        <v>4020.4532881355899</v>
      </c>
      <c r="AH32" s="34">
        <f>VLOOKUP(AH$22,ovrcst!$A$5:$W$36,VLOOKUP('ELC_Gen-sdj'!$B32,'ELC_Gen-sdj'!$AA$4:$AC$19,3,FALSE))</f>
        <v>3965.6701286141601</v>
      </c>
    </row>
    <row r="35" spans="2:34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0.29290319956064498</v>
      </c>
      <c r="D37" s="2">
        <f>VLOOKUP(D$22,heatrate!$K$5:$T$36,VLOOKUP('ELC_Gen-sdj'!$B37,'ELC_Gen-sdj'!$AA$4:$AD$19,4,FALSE))</f>
        <v>0.29290319956064498</v>
      </c>
      <c r="E37" s="2">
        <f>VLOOKUP(E$22,heatrate!$K$5:$T$36,VLOOKUP('ELC_Gen-sdj'!$B37,'ELC_Gen-sdj'!$AA$4:$AD$19,4,FALSE))</f>
        <v>0.29290319956064498</v>
      </c>
      <c r="F37" s="2">
        <f>VLOOKUP(F$22,heatrate!$K$5:$T$36,VLOOKUP('ELC_Gen-sdj'!$B37,'ELC_Gen-sdj'!$AA$4:$AD$19,4,FALSE))</f>
        <v>0.29290319956064498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0.33937696672540701</v>
      </c>
      <c r="I37" s="2">
        <f>VLOOKUP(I$22,heatrate!$K$5:$T$36,VLOOKUP('ELC_Gen-sdj'!$B37,'ELC_Gen-sdj'!$AA$4:$AD$19,4,FALSE))</f>
        <v>0.36862074914999599</v>
      </c>
      <c r="J37" s="2">
        <f>VLOOKUP(J$22,heatrate!$K$5:$T$36,VLOOKUP('ELC_Gen-sdj'!$B37,'ELC_Gen-sdj'!$AA$4:$AD$19,4,FALSE))</f>
        <v>0.36862074914999599</v>
      </c>
      <c r="K37" s="2">
        <f>VLOOKUP(K$22,heatrate!$K$5:$T$36,VLOOKUP('ELC_Gen-sdj'!$B37,'ELC_Gen-sdj'!$AA$4:$AD$19,4,FALSE))</f>
        <v>0.36862074914999599</v>
      </c>
      <c r="L37" s="2">
        <f>VLOOKUP(L$22,heatrate!$K$5:$T$36,VLOOKUP('ELC_Gen-sdj'!$B37,'ELC_Gen-sdj'!$AA$4:$AD$19,4,FALSE))</f>
        <v>0.36862074914999599</v>
      </c>
      <c r="M37" s="2">
        <f>VLOOKUP(M$22,heatrate!$K$5:$T$36,VLOOKUP('ELC_Gen-sdj'!$B37,'ELC_Gen-sdj'!$AA$4:$AD$19,4,FALSE))</f>
        <v>0.36862074914999599</v>
      </c>
      <c r="N37" s="2">
        <f>VLOOKUP(N$22,heatrate!$K$5:$T$36,VLOOKUP('ELC_Gen-sdj'!$B37,'ELC_Gen-sdj'!$AA$4:$AD$19,4,FALSE))</f>
        <v>0.36862074914999599</v>
      </c>
      <c r="O37" s="2">
        <f>VLOOKUP(O$22,heatrate!$K$5:$T$36,VLOOKUP('ELC_Gen-sdj'!$B37,'ELC_Gen-sdj'!$AA$4:$AD$19,4,FALSE))</f>
        <v>0.36862074914999599</v>
      </c>
      <c r="P37" s="2">
        <f>VLOOKUP(P$22,heatrate!$K$5:$T$36,VLOOKUP('ELC_Gen-sdj'!$B37,'ELC_Gen-sdj'!$AA$4:$AD$19,4,FALSE))</f>
        <v>0.36862074914999599</v>
      </c>
      <c r="Q37" s="2">
        <f>VLOOKUP(Q$22,heatrate!$K$5:$T$36,VLOOKUP('ELC_Gen-sdj'!$B37,'ELC_Gen-sdj'!$AA$4:$AD$19,4,FALSE))</f>
        <v>0.36862074914999599</v>
      </c>
      <c r="R37" s="2">
        <f>VLOOKUP(R$22,heatrate!$K$5:$T$36,VLOOKUP('ELC_Gen-sdj'!$B37,'ELC_Gen-sdj'!$AA$4:$AD$19,4,FALSE))</f>
        <v>0.36862074914999599</v>
      </c>
      <c r="S37" s="2">
        <f>VLOOKUP(S$22,heatrate!$K$5:$T$36,VLOOKUP('ELC_Gen-sdj'!$B37,'ELC_Gen-sdj'!$AA$4:$AD$19,4,FALSE))</f>
        <v>0.36862074914999599</v>
      </c>
      <c r="T37" s="2">
        <f>VLOOKUP(T$22,heatrate!$K$5:$T$36,VLOOKUP('ELC_Gen-sdj'!$B37,'ELC_Gen-sdj'!$AA$4:$AD$19,4,FALSE))</f>
        <v>0.36862074914999599</v>
      </c>
      <c r="U37" s="2">
        <f>VLOOKUP(U$22,heatrate!$K$5:$T$36,VLOOKUP('ELC_Gen-sdj'!$B37,'ELC_Gen-sdj'!$AA$4:$AD$19,4,FALSE))</f>
        <v>0.36862074914999599</v>
      </c>
      <c r="V37" s="2">
        <f>VLOOKUP(V$22,heatrate!$K$5:$T$36,VLOOKUP('ELC_Gen-sdj'!$B37,'ELC_Gen-sdj'!$AA$4:$AD$19,4,FALSE))</f>
        <v>0.36862074914999599</v>
      </c>
      <c r="W37" s="2">
        <f>VLOOKUP(W$22,heatrate!$K$5:$T$36,VLOOKUP('ELC_Gen-sdj'!$B37,'ELC_Gen-sdj'!$AA$4:$AD$19,4,FALSE))</f>
        <v>0.36862074914999599</v>
      </c>
      <c r="X37" s="2">
        <f>VLOOKUP(X$22,heatrate!$K$5:$T$36,VLOOKUP('ELC_Gen-sdj'!$B37,'ELC_Gen-sdj'!$AA$4:$AD$19,4,FALSE))</f>
        <v>0.36862074914999599</v>
      </c>
      <c r="Y37" s="2">
        <f>VLOOKUP(Y$22,heatrate!$K$5:$T$36,VLOOKUP('ELC_Gen-sdj'!$B37,'ELC_Gen-sdj'!$AA$4:$AD$19,4,FALSE))</f>
        <v>0.36862074914999599</v>
      </c>
      <c r="Z37" s="2">
        <f>VLOOKUP(Z$22,heatrate!$K$5:$T$36,VLOOKUP('ELC_Gen-sdj'!$B37,'ELC_Gen-sdj'!$AA$4:$AD$19,4,FALSE))</f>
        <v>0.36862074914999599</v>
      </c>
      <c r="AA37" s="2">
        <f>VLOOKUP(AA$22,heatrate!$K$5:$T$36,VLOOKUP('ELC_Gen-sdj'!$B37,'ELC_Gen-sdj'!$AA$4:$AD$19,4,FALSE))</f>
        <v>0.36862074914999599</v>
      </c>
      <c r="AB37" s="2">
        <f>VLOOKUP(AB$22,heatrate!$K$5:$T$36,VLOOKUP('ELC_Gen-sdj'!$B37,'ELC_Gen-sdj'!$AA$4:$AD$19,4,FALSE))</f>
        <v>0.36862074914999599</v>
      </c>
      <c r="AC37" s="2">
        <f>VLOOKUP(AC$22,heatrate!$K$5:$T$36,VLOOKUP('ELC_Gen-sdj'!$B37,'ELC_Gen-sdj'!$AA$4:$AD$19,4,FALSE))</f>
        <v>0.36862074914999599</v>
      </c>
      <c r="AD37" s="2">
        <f>VLOOKUP(AD$22,heatrate!$K$5:$T$36,VLOOKUP('ELC_Gen-sdj'!$B37,'ELC_Gen-sdj'!$AA$4:$AD$19,4,FALSE))</f>
        <v>0.36862074914999599</v>
      </c>
      <c r="AE37" s="2">
        <f>VLOOKUP(AE$22,heatrate!$K$5:$T$36,VLOOKUP('ELC_Gen-sdj'!$B37,'ELC_Gen-sdj'!$AA$4:$AD$19,4,FALSE))</f>
        <v>0.36862074914999599</v>
      </c>
      <c r="AF37" s="2">
        <f>VLOOKUP(AF$22,heatrate!$K$5:$T$36,VLOOKUP('ELC_Gen-sdj'!$B37,'ELC_Gen-sdj'!$AA$4:$AD$19,4,FALSE))</f>
        <v>0.36862074914999599</v>
      </c>
      <c r="AG37" s="2">
        <f>VLOOKUP(AG$22,heatrate!$K$5:$T$36,VLOOKUP('ELC_Gen-sdj'!$B37,'ELC_Gen-sdj'!$AA$4:$AD$19,4,FALSE))</f>
        <v>0.36862074914999599</v>
      </c>
      <c r="AH37" s="2">
        <f>VLOOKUP(AH$22,heatrate!$K$5:$T$36,VLOOKUP('ELC_Gen-sdj'!$B37,'ELC_Gen-sdj'!$AA$4:$AD$19,4,FALSE))</f>
        <v>0.36862074914999599</v>
      </c>
    </row>
    <row r="38" spans="2:34">
      <c r="B38" t="str">
        <f t="shared" ref="B38:B42" si="3">B24</f>
        <v>EN_ZGasCCAdv</v>
      </c>
      <c r="C38" s="2">
        <f>VLOOKUP(C$22,heatrate!$K$5:$T$36,VLOOKUP('ELC_Gen-sdj'!$B38,'ELC_Gen-sdj'!$AA$4:$AD$19,4,FALSE))</f>
        <v>0.45346475413707898</v>
      </c>
      <c r="D38" s="2">
        <f>VLOOKUP(D$22,heatrate!$K$5:$T$36,VLOOKUP('ELC_Gen-sdj'!$B38,'ELC_Gen-sdj'!$AA$4:$AD$19,4,FALSE))</f>
        <v>0.45346475413707898</v>
      </c>
      <c r="E38" s="2">
        <f>VLOOKUP(E$22,heatrate!$K$5:$T$36,VLOOKUP('ELC_Gen-sdj'!$B38,'ELC_Gen-sdj'!$AA$4:$AD$19,4,FALSE))</f>
        <v>0.45346475413707898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0.45443098613417399</v>
      </c>
      <c r="H38" s="2">
        <f>VLOOKUP(H$22,heatrate!$K$5:$T$36,VLOOKUP('ELC_Gen-sdj'!$B38,'ELC_Gen-sdj'!$AA$4:$AD$19,4,FALSE))</f>
        <v>0.45491564789781602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2">
        <f>VLOOKUP(C$22,heatrate!$K$5:$T$36,VLOOKUP('ELC_Gen-sdj'!$B39,'ELC_Gen-sdj'!$AA$4:$AD$19,4,FALSE))</f>
        <v>0.54163845633039898</v>
      </c>
      <c r="D39" s="2">
        <f>VLOOKUP(D$22,heatrate!$K$5:$T$36,VLOOKUP('ELC_Gen-sdj'!$B39,'ELC_Gen-sdj'!$AA$4:$AD$19,4,FALSE))</f>
        <v>0.54163845633039898</v>
      </c>
      <c r="E39" s="2">
        <f>VLOOKUP(E$22,heatrate!$K$5:$T$36,VLOOKUP('ELC_Gen-sdj'!$B39,'ELC_Gen-sdj'!$AA$4:$AD$19,4,FALSE))</f>
        <v>0.54163845633039898</v>
      </c>
      <c r="F39" s="2">
        <f>VLOOKUP(F$22,heatrate!$K$5:$T$36,VLOOKUP('ELC_Gen-sdj'!$B39,'ELC_Gen-sdj'!$AA$4:$AD$19,4,FALSE))</f>
        <v>0.54379637846717399</v>
      </c>
      <c r="G39" s="2">
        <f>VLOOKUP(G$22,heatrate!$K$5:$T$36,VLOOKUP('ELC_Gen-sdj'!$B39,'ELC_Gen-sdj'!$AA$4:$AD$19,4,FALSE))</f>
        <v>0.54597156398104296</v>
      </c>
      <c r="H39" s="2">
        <f>VLOOKUP(H$22,heatrate!$K$5:$T$36,VLOOKUP('ELC_Gen-sdj'!$B39,'ELC_Gen-sdj'!$AA$4:$AD$19,4,FALSE))</f>
        <v>0.54816422086450101</v>
      </c>
      <c r="I39" s="2">
        <f>VLOOKUP(I$22,heatrate!$K$5:$T$36,VLOOKUP('ELC_Gen-sdj'!$B39,'ELC_Gen-sdj'!$AA$4:$AD$19,4,FALSE))</f>
        <v>0.55037456046476096</v>
      </c>
      <c r="J39" s="2">
        <f>VLOOKUP(J$22,heatrate!$K$5:$T$36,VLOOKUP('ELC_Gen-sdj'!$B39,'ELC_Gen-sdj'!$AA$4:$AD$19,4,FALSE))</f>
        <v>0.55037456046476096</v>
      </c>
      <c r="K39" s="2">
        <f>VLOOKUP(K$22,heatrate!$K$5:$T$36,VLOOKUP('ELC_Gen-sdj'!$B39,'ELC_Gen-sdj'!$AA$4:$AD$19,4,FALSE))</f>
        <v>0.55037456046476096</v>
      </c>
      <c r="L39" s="2">
        <f>VLOOKUP(L$22,heatrate!$K$5:$T$36,VLOOKUP('ELC_Gen-sdj'!$B39,'ELC_Gen-sdj'!$AA$4:$AD$19,4,FALSE))</f>
        <v>0.55037456046476096</v>
      </c>
      <c r="M39" s="2">
        <f>VLOOKUP(M$22,heatrate!$K$5:$T$36,VLOOKUP('ELC_Gen-sdj'!$B39,'ELC_Gen-sdj'!$AA$4:$AD$19,4,FALSE))</f>
        <v>0.55037456046476096</v>
      </c>
      <c r="N39" s="2">
        <f>VLOOKUP(N$22,heatrate!$K$5:$T$36,VLOOKUP('ELC_Gen-sdj'!$B39,'ELC_Gen-sdj'!$AA$4:$AD$19,4,FALSE))</f>
        <v>0.55037456046476096</v>
      </c>
      <c r="O39" s="2">
        <f>VLOOKUP(O$22,heatrate!$K$5:$T$36,VLOOKUP('ELC_Gen-sdj'!$B39,'ELC_Gen-sdj'!$AA$4:$AD$19,4,FALSE))</f>
        <v>0.55037456046476096</v>
      </c>
      <c r="P39" s="2">
        <f>VLOOKUP(P$22,heatrate!$K$5:$T$36,VLOOKUP('ELC_Gen-sdj'!$B39,'ELC_Gen-sdj'!$AA$4:$AD$19,4,FALSE))</f>
        <v>0.55037456046476096</v>
      </c>
      <c r="Q39" s="2">
        <f>VLOOKUP(Q$22,heatrate!$K$5:$T$36,VLOOKUP('ELC_Gen-sdj'!$B39,'ELC_Gen-sdj'!$AA$4:$AD$19,4,FALSE))</f>
        <v>0.55037456046476096</v>
      </c>
      <c r="R39" s="2">
        <f>VLOOKUP(R$22,heatrate!$K$5:$T$36,VLOOKUP('ELC_Gen-sdj'!$B39,'ELC_Gen-sdj'!$AA$4:$AD$19,4,FALSE))</f>
        <v>0.55037456046476096</v>
      </c>
      <c r="S39" s="2">
        <f>VLOOKUP(S$22,heatrate!$K$5:$T$36,VLOOKUP('ELC_Gen-sdj'!$B39,'ELC_Gen-sdj'!$AA$4:$AD$19,4,FALSE))</f>
        <v>0.55037456046476096</v>
      </c>
      <c r="T39" s="2">
        <f>VLOOKUP(T$22,heatrate!$K$5:$T$36,VLOOKUP('ELC_Gen-sdj'!$B39,'ELC_Gen-sdj'!$AA$4:$AD$19,4,FALSE))</f>
        <v>0.55037456046476096</v>
      </c>
      <c r="U39" s="2">
        <f>VLOOKUP(U$22,heatrate!$K$5:$T$36,VLOOKUP('ELC_Gen-sdj'!$B39,'ELC_Gen-sdj'!$AA$4:$AD$19,4,FALSE))</f>
        <v>0.55037456046476096</v>
      </c>
      <c r="V39" s="2">
        <f>VLOOKUP(V$22,heatrate!$K$5:$T$36,VLOOKUP('ELC_Gen-sdj'!$B39,'ELC_Gen-sdj'!$AA$4:$AD$19,4,FALSE))</f>
        <v>0.55037456046476096</v>
      </c>
      <c r="W39" s="2">
        <f>VLOOKUP(W$22,heatrate!$K$5:$T$36,VLOOKUP('ELC_Gen-sdj'!$B39,'ELC_Gen-sdj'!$AA$4:$AD$19,4,FALSE))</f>
        <v>0.55037456046476096</v>
      </c>
      <c r="X39" s="2">
        <f>VLOOKUP(X$22,heatrate!$K$5:$T$36,VLOOKUP('ELC_Gen-sdj'!$B39,'ELC_Gen-sdj'!$AA$4:$AD$19,4,FALSE))</f>
        <v>0.55037456046476096</v>
      </c>
      <c r="Y39" s="2">
        <f>VLOOKUP(Y$22,heatrate!$K$5:$T$36,VLOOKUP('ELC_Gen-sdj'!$B39,'ELC_Gen-sdj'!$AA$4:$AD$19,4,FALSE))</f>
        <v>0.55037456046476096</v>
      </c>
      <c r="Z39" s="2">
        <f>VLOOKUP(Z$22,heatrate!$K$5:$T$36,VLOOKUP('ELC_Gen-sdj'!$B39,'ELC_Gen-sdj'!$AA$4:$AD$19,4,FALSE))</f>
        <v>0.55037456046476096</v>
      </c>
      <c r="AA39" s="2">
        <f>VLOOKUP(AA$22,heatrate!$K$5:$T$36,VLOOKUP('ELC_Gen-sdj'!$B39,'ELC_Gen-sdj'!$AA$4:$AD$19,4,FALSE))</f>
        <v>0.55037456046476096</v>
      </c>
      <c r="AB39" s="2">
        <f>VLOOKUP(AB$22,heatrate!$K$5:$T$36,VLOOKUP('ELC_Gen-sdj'!$B39,'ELC_Gen-sdj'!$AA$4:$AD$19,4,FALSE))</f>
        <v>0.55037456046476096</v>
      </c>
      <c r="AC39" s="2">
        <f>VLOOKUP(AC$22,heatrate!$K$5:$T$36,VLOOKUP('ELC_Gen-sdj'!$B39,'ELC_Gen-sdj'!$AA$4:$AD$19,4,FALSE))</f>
        <v>0.55037456046476096</v>
      </c>
      <c r="AD39" s="2">
        <f>VLOOKUP(AD$22,heatrate!$K$5:$T$36,VLOOKUP('ELC_Gen-sdj'!$B39,'ELC_Gen-sdj'!$AA$4:$AD$19,4,FALSE))</f>
        <v>0.55037456046476096</v>
      </c>
      <c r="AE39" s="2">
        <f>VLOOKUP(AE$22,heatrate!$K$5:$T$36,VLOOKUP('ELC_Gen-sdj'!$B39,'ELC_Gen-sdj'!$AA$4:$AD$19,4,FALSE))</f>
        <v>0.55037456046476096</v>
      </c>
      <c r="AF39" s="2">
        <f>VLOOKUP(AF$22,heatrate!$K$5:$T$36,VLOOKUP('ELC_Gen-sdj'!$B39,'ELC_Gen-sdj'!$AA$4:$AD$19,4,FALSE))</f>
        <v>0.55037456046476096</v>
      </c>
      <c r="AG39" s="2">
        <f>VLOOKUP(AG$22,heatrate!$K$5:$T$36,VLOOKUP('ELC_Gen-sdj'!$B39,'ELC_Gen-sdj'!$AA$4:$AD$19,4,FALSE))</f>
        <v>0.55037456046476096</v>
      </c>
      <c r="AH39" s="2">
        <f>VLOOKUP(AH$22,heatrate!$K$5:$T$36,VLOOKUP('ELC_Gen-sdj'!$B39,'ELC_Gen-sdj'!$AA$4:$AD$19,4,FALSE))</f>
        <v>0.55037456046476096</v>
      </c>
    </row>
    <row r="40" spans="2:34">
      <c r="B40" t="str">
        <f t="shared" si="3"/>
        <v>EN_GasCC</v>
      </c>
      <c r="C40" s="2">
        <f>VLOOKUP(C$22,heatrate!$K$5:$T$36,VLOOKUP('ELC_Gen-sdj'!$B40,'ELC_Gen-sdj'!$AA$4:$AD$19,4,FALSE))</f>
        <v>0.51701852649719904</v>
      </c>
      <c r="D40" s="2">
        <f>VLOOKUP(D$22,heatrate!$K$5:$T$36,VLOOKUP('ELC_Gen-sdj'!$B40,'ELC_Gen-sdj'!$AA$4:$AD$19,4,FALSE))</f>
        <v>0.51701852649719904</v>
      </c>
      <c r="E40" s="2">
        <f>VLOOKUP(E$22,heatrate!$K$5:$T$36,VLOOKUP('ELC_Gen-sdj'!$B40,'ELC_Gen-sdj'!$AA$4:$AD$19,4,FALSE))</f>
        <v>0.51701852649719904</v>
      </c>
      <c r="F40" s="2">
        <f>VLOOKUP(F$22,heatrate!$K$5:$T$36,VLOOKUP('ELC_Gen-sdj'!$B40,'ELC_Gen-sdj'!$AA$4:$AD$19,4,FALSE))</f>
        <v>0.52196134223809099</v>
      </c>
      <c r="G40" s="2">
        <f>VLOOKUP(G$22,heatrate!$K$5:$T$36,VLOOKUP('ELC_Gen-sdj'!$B40,'ELC_Gen-sdj'!$AA$4:$AD$19,4,FALSE))</f>
        <v>0.52699957913228102</v>
      </c>
      <c r="H40" s="2">
        <f>VLOOKUP(H$22,heatrate!$K$5:$T$36,VLOOKUP('ELC_Gen-sdj'!$B40,'ELC_Gen-sdj'!$AA$4:$AD$19,4,FALSE))</f>
        <v>0.53213602727197096</v>
      </c>
      <c r="I40" s="2">
        <f>VLOOKUP(I$22,heatrate!$K$5:$T$36,VLOOKUP('ELC_Gen-sdj'!$B40,'ELC_Gen-sdj'!$AA$4:$AD$19,4,FALSE))</f>
        <v>0.53737358659551404</v>
      </c>
      <c r="J40" s="2">
        <f>VLOOKUP(J$22,heatrate!$K$5:$T$36,VLOOKUP('ELC_Gen-sdj'!$B40,'ELC_Gen-sdj'!$AA$4:$AD$19,4,FALSE))</f>
        <v>0.53737358659551404</v>
      </c>
      <c r="K40" s="2">
        <f>VLOOKUP(K$22,heatrate!$K$5:$T$36,VLOOKUP('ELC_Gen-sdj'!$B40,'ELC_Gen-sdj'!$AA$4:$AD$19,4,FALSE))</f>
        <v>0.53737358659551404</v>
      </c>
      <c r="L40" s="2">
        <f>VLOOKUP(L$22,heatrate!$K$5:$T$36,VLOOKUP('ELC_Gen-sdj'!$B40,'ELC_Gen-sdj'!$AA$4:$AD$19,4,FALSE))</f>
        <v>0.53737358659551404</v>
      </c>
      <c r="M40" s="2">
        <f>VLOOKUP(M$22,heatrate!$K$5:$T$36,VLOOKUP('ELC_Gen-sdj'!$B40,'ELC_Gen-sdj'!$AA$4:$AD$19,4,FALSE))</f>
        <v>0.53737358659551404</v>
      </c>
      <c r="N40" s="2">
        <f>VLOOKUP(N$22,heatrate!$K$5:$T$36,VLOOKUP('ELC_Gen-sdj'!$B40,'ELC_Gen-sdj'!$AA$4:$AD$19,4,FALSE))</f>
        <v>0.53737358659551404</v>
      </c>
      <c r="O40" s="2">
        <f>VLOOKUP(O$22,heatrate!$K$5:$T$36,VLOOKUP('ELC_Gen-sdj'!$B40,'ELC_Gen-sdj'!$AA$4:$AD$19,4,FALSE))</f>
        <v>0.53737358659551404</v>
      </c>
      <c r="P40" s="2">
        <f>VLOOKUP(P$22,heatrate!$K$5:$T$36,VLOOKUP('ELC_Gen-sdj'!$B40,'ELC_Gen-sdj'!$AA$4:$AD$19,4,FALSE))</f>
        <v>0.53737358659551404</v>
      </c>
      <c r="Q40" s="2">
        <f>VLOOKUP(Q$22,heatrate!$K$5:$T$36,VLOOKUP('ELC_Gen-sdj'!$B40,'ELC_Gen-sdj'!$AA$4:$AD$19,4,FALSE))</f>
        <v>0.53737358659551404</v>
      </c>
      <c r="R40" s="2">
        <f>VLOOKUP(R$22,heatrate!$K$5:$T$36,VLOOKUP('ELC_Gen-sdj'!$B40,'ELC_Gen-sdj'!$AA$4:$AD$19,4,FALSE))</f>
        <v>0.53737358659551404</v>
      </c>
      <c r="S40" s="2">
        <f>VLOOKUP(S$22,heatrate!$K$5:$T$36,VLOOKUP('ELC_Gen-sdj'!$B40,'ELC_Gen-sdj'!$AA$4:$AD$19,4,FALSE))</f>
        <v>0.53737358659551404</v>
      </c>
      <c r="T40" s="2">
        <f>VLOOKUP(T$22,heatrate!$K$5:$T$36,VLOOKUP('ELC_Gen-sdj'!$B40,'ELC_Gen-sdj'!$AA$4:$AD$19,4,FALSE))</f>
        <v>0.53737358659551404</v>
      </c>
      <c r="U40" s="2">
        <f>VLOOKUP(U$22,heatrate!$K$5:$T$36,VLOOKUP('ELC_Gen-sdj'!$B40,'ELC_Gen-sdj'!$AA$4:$AD$19,4,FALSE))</f>
        <v>0.53737358659551404</v>
      </c>
      <c r="V40" s="2">
        <f>VLOOKUP(V$22,heatrate!$K$5:$T$36,VLOOKUP('ELC_Gen-sdj'!$B40,'ELC_Gen-sdj'!$AA$4:$AD$19,4,FALSE))</f>
        <v>0.53737358659551404</v>
      </c>
      <c r="W40" s="2">
        <f>VLOOKUP(W$22,heatrate!$K$5:$T$36,VLOOKUP('ELC_Gen-sdj'!$B40,'ELC_Gen-sdj'!$AA$4:$AD$19,4,FALSE))</f>
        <v>0.53737358659551404</v>
      </c>
      <c r="X40" s="2">
        <f>VLOOKUP(X$22,heatrate!$K$5:$T$36,VLOOKUP('ELC_Gen-sdj'!$B40,'ELC_Gen-sdj'!$AA$4:$AD$19,4,FALSE))</f>
        <v>0.53737358659551404</v>
      </c>
      <c r="Y40" s="2">
        <f>VLOOKUP(Y$22,heatrate!$K$5:$T$36,VLOOKUP('ELC_Gen-sdj'!$B40,'ELC_Gen-sdj'!$AA$4:$AD$19,4,FALSE))</f>
        <v>0.53737358659551404</v>
      </c>
      <c r="Z40" s="2">
        <f>VLOOKUP(Z$22,heatrate!$K$5:$T$36,VLOOKUP('ELC_Gen-sdj'!$B40,'ELC_Gen-sdj'!$AA$4:$AD$19,4,FALSE))</f>
        <v>0.53737358659551404</v>
      </c>
      <c r="AA40" s="2">
        <f>VLOOKUP(AA$22,heatrate!$K$5:$T$36,VLOOKUP('ELC_Gen-sdj'!$B40,'ELC_Gen-sdj'!$AA$4:$AD$19,4,FALSE))</f>
        <v>0.53737358659551404</v>
      </c>
      <c r="AB40" s="2">
        <f>VLOOKUP(AB$22,heatrate!$K$5:$T$36,VLOOKUP('ELC_Gen-sdj'!$B40,'ELC_Gen-sdj'!$AA$4:$AD$19,4,FALSE))</f>
        <v>0.53737358659551404</v>
      </c>
      <c r="AC40" s="2">
        <f>VLOOKUP(AC$22,heatrate!$K$5:$T$36,VLOOKUP('ELC_Gen-sdj'!$B40,'ELC_Gen-sdj'!$AA$4:$AD$19,4,FALSE))</f>
        <v>0.53737358659551404</v>
      </c>
      <c r="AD40" s="2">
        <f>VLOOKUP(AD$22,heatrate!$K$5:$T$36,VLOOKUP('ELC_Gen-sdj'!$B40,'ELC_Gen-sdj'!$AA$4:$AD$19,4,FALSE))</f>
        <v>0.53737358659551404</v>
      </c>
      <c r="AE40" s="2">
        <f>VLOOKUP(AE$22,heatrate!$K$5:$T$36,VLOOKUP('ELC_Gen-sdj'!$B40,'ELC_Gen-sdj'!$AA$4:$AD$19,4,FALSE))</f>
        <v>0.53737358659551404</v>
      </c>
      <c r="AF40" s="2">
        <f>VLOOKUP(AF$22,heatrate!$K$5:$T$36,VLOOKUP('ELC_Gen-sdj'!$B40,'ELC_Gen-sdj'!$AA$4:$AD$19,4,FALSE))</f>
        <v>0.53737358659551404</v>
      </c>
      <c r="AG40" s="2">
        <f>VLOOKUP(AG$22,heatrate!$K$5:$T$36,VLOOKUP('ELC_Gen-sdj'!$B40,'ELC_Gen-sdj'!$AA$4:$AD$19,4,FALSE))</f>
        <v>0.53737358659551404</v>
      </c>
      <c r="AH40" s="2">
        <f>VLOOKUP(AH$22,heatrate!$K$5:$T$36,VLOOKUP('ELC_Gen-sdj'!$B40,'ELC_Gen-sdj'!$AA$4:$AD$19,4,FALSE))</f>
        <v>0.53737358659551404</v>
      </c>
    </row>
    <row r="41" spans="2:34">
      <c r="B41" t="str">
        <f t="shared" si="3"/>
        <v>EN_GasCTAdv</v>
      </c>
      <c r="C41" s="2">
        <f>VLOOKUP(C$22,heatrate!$K$5:$T$36,VLOOKUP('ELC_Gen-sdj'!$B41,'ELC_Gen-sdj'!$AA$4:$AD$19,4,FALSE))</f>
        <v>0.34819615049811398</v>
      </c>
      <c r="D41" s="2">
        <f>VLOOKUP(D$22,heatrate!$K$5:$T$36,VLOOKUP('ELC_Gen-sdj'!$B41,'ELC_Gen-sdj'!$AA$4:$AD$19,4,FALSE))</f>
        <v>0.34819615049811398</v>
      </c>
      <c r="E41" s="2">
        <f>VLOOKUP(E$22,heatrate!$K$5:$T$36,VLOOKUP('ELC_Gen-sdj'!$B41,'ELC_Gen-sdj'!$AA$4:$AD$19,4,FALSE))</f>
        <v>0.35731123297188699</v>
      </c>
      <c r="F41" s="2">
        <f>VLOOKUP(F$22,heatrate!$K$5:$T$36,VLOOKUP('ELC_Gen-sdj'!$B41,'ELC_Gen-sdj'!$AA$4:$AD$19,4,FALSE))</f>
        <v>0.36691637364317398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0.38776389487289997</v>
      </c>
      <c r="I41" s="2">
        <f>VLOOKUP(I$22,heatrate!$K$5:$T$36,VLOOKUP('ELC_Gen-sdj'!$B41,'ELC_Gen-sdj'!$AA$4:$AD$19,4,FALSE))</f>
        <v>0.39910202045397902</v>
      </c>
      <c r="J41" s="2">
        <f>VLOOKUP(J$22,heatrate!$K$5:$T$36,VLOOKUP('ELC_Gen-sdj'!$B41,'ELC_Gen-sdj'!$AA$4:$AD$19,4,FALSE))</f>
        <v>0.39910202045397902</v>
      </c>
      <c r="K41" s="2">
        <f>VLOOKUP(K$22,heatrate!$K$5:$T$36,VLOOKUP('ELC_Gen-sdj'!$B41,'ELC_Gen-sdj'!$AA$4:$AD$19,4,FALSE))</f>
        <v>0.39910202045397902</v>
      </c>
      <c r="L41" s="2">
        <f>VLOOKUP(L$22,heatrate!$K$5:$T$36,VLOOKUP('ELC_Gen-sdj'!$B41,'ELC_Gen-sdj'!$AA$4:$AD$19,4,FALSE))</f>
        <v>0.39910202045397902</v>
      </c>
      <c r="M41" s="2">
        <f>VLOOKUP(M$22,heatrate!$K$5:$T$36,VLOOKUP('ELC_Gen-sdj'!$B41,'ELC_Gen-sdj'!$AA$4:$AD$19,4,FALSE))</f>
        <v>0.39910202045397902</v>
      </c>
      <c r="N41" s="2">
        <f>VLOOKUP(N$22,heatrate!$K$5:$T$36,VLOOKUP('ELC_Gen-sdj'!$B41,'ELC_Gen-sdj'!$AA$4:$AD$19,4,FALSE))</f>
        <v>0.39910202045397902</v>
      </c>
      <c r="O41" s="2">
        <f>VLOOKUP(O$22,heatrate!$K$5:$T$36,VLOOKUP('ELC_Gen-sdj'!$B41,'ELC_Gen-sdj'!$AA$4:$AD$19,4,FALSE))</f>
        <v>0.39910202045397902</v>
      </c>
      <c r="P41" s="2">
        <f>VLOOKUP(P$22,heatrate!$K$5:$T$36,VLOOKUP('ELC_Gen-sdj'!$B41,'ELC_Gen-sdj'!$AA$4:$AD$19,4,FALSE))</f>
        <v>0.39910202045397902</v>
      </c>
      <c r="Q41" s="2">
        <f>VLOOKUP(Q$22,heatrate!$K$5:$T$36,VLOOKUP('ELC_Gen-sdj'!$B41,'ELC_Gen-sdj'!$AA$4:$AD$19,4,FALSE))</f>
        <v>0.39910202045397902</v>
      </c>
      <c r="R41" s="2">
        <f>VLOOKUP(R$22,heatrate!$K$5:$T$36,VLOOKUP('ELC_Gen-sdj'!$B41,'ELC_Gen-sdj'!$AA$4:$AD$19,4,FALSE))</f>
        <v>0.39910202045397902</v>
      </c>
      <c r="S41" s="2">
        <f>VLOOKUP(S$22,heatrate!$K$5:$T$36,VLOOKUP('ELC_Gen-sdj'!$B41,'ELC_Gen-sdj'!$AA$4:$AD$19,4,FALSE))</f>
        <v>0.39910202045397902</v>
      </c>
      <c r="T41" s="2">
        <f>VLOOKUP(T$22,heatrate!$K$5:$T$36,VLOOKUP('ELC_Gen-sdj'!$B41,'ELC_Gen-sdj'!$AA$4:$AD$19,4,FALSE))</f>
        <v>0.39910202045397902</v>
      </c>
      <c r="U41" s="2">
        <f>VLOOKUP(U$22,heatrate!$K$5:$T$36,VLOOKUP('ELC_Gen-sdj'!$B41,'ELC_Gen-sdj'!$AA$4:$AD$19,4,FALSE))</f>
        <v>0.39910202045397902</v>
      </c>
      <c r="V41" s="2">
        <f>VLOOKUP(V$22,heatrate!$K$5:$T$36,VLOOKUP('ELC_Gen-sdj'!$B41,'ELC_Gen-sdj'!$AA$4:$AD$19,4,FALSE))</f>
        <v>0.39910202045397902</v>
      </c>
      <c r="W41" s="2">
        <f>VLOOKUP(W$22,heatrate!$K$5:$T$36,VLOOKUP('ELC_Gen-sdj'!$B41,'ELC_Gen-sdj'!$AA$4:$AD$19,4,FALSE))</f>
        <v>0.39910202045397902</v>
      </c>
      <c r="X41" s="2">
        <f>VLOOKUP(X$22,heatrate!$K$5:$T$36,VLOOKUP('ELC_Gen-sdj'!$B41,'ELC_Gen-sdj'!$AA$4:$AD$19,4,FALSE))</f>
        <v>0.39910202045397902</v>
      </c>
      <c r="Y41" s="2">
        <f>VLOOKUP(Y$22,heatrate!$K$5:$T$36,VLOOKUP('ELC_Gen-sdj'!$B41,'ELC_Gen-sdj'!$AA$4:$AD$19,4,FALSE))</f>
        <v>0.39910202045397902</v>
      </c>
      <c r="Z41" s="2">
        <f>VLOOKUP(Z$22,heatrate!$K$5:$T$36,VLOOKUP('ELC_Gen-sdj'!$B41,'ELC_Gen-sdj'!$AA$4:$AD$19,4,FALSE))</f>
        <v>0.39910202045397902</v>
      </c>
      <c r="AA41" s="2">
        <f>VLOOKUP(AA$22,heatrate!$K$5:$T$36,VLOOKUP('ELC_Gen-sdj'!$B41,'ELC_Gen-sdj'!$AA$4:$AD$19,4,FALSE))</f>
        <v>0.39910202045397902</v>
      </c>
      <c r="AB41" s="2">
        <f>VLOOKUP(AB$22,heatrate!$K$5:$T$36,VLOOKUP('ELC_Gen-sdj'!$B41,'ELC_Gen-sdj'!$AA$4:$AD$19,4,FALSE))</f>
        <v>0.39910202045397902</v>
      </c>
      <c r="AC41" s="2">
        <f>VLOOKUP(AC$22,heatrate!$K$5:$T$36,VLOOKUP('ELC_Gen-sdj'!$B41,'ELC_Gen-sdj'!$AA$4:$AD$19,4,FALSE))</f>
        <v>0.39910202045397902</v>
      </c>
      <c r="AD41" s="2">
        <f>VLOOKUP(AD$22,heatrate!$K$5:$T$36,VLOOKUP('ELC_Gen-sdj'!$B41,'ELC_Gen-sdj'!$AA$4:$AD$19,4,FALSE))</f>
        <v>0.39910202045397902</v>
      </c>
      <c r="AE41" s="2">
        <f>VLOOKUP(AE$22,heatrate!$K$5:$T$36,VLOOKUP('ELC_Gen-sdj'!$B41,'ELC_Gen-sdj'!$AA$4:$AD$19,4,FALSE))</f>
        <v>0.39910202045397902</v>
      </c>
      <c r="AF41" s="2">
        <f>VLOOKUP(AF$22,heatrate!$K$5:$T$36,VLOOKUP('ELC_Gen-sdj'!$B41,'ELC_Gen-sdj'!$AA$4:$AD$19,4,FALSE))</f>
        <v>0.39910202045397902</v>
      </c>
      <c r="AG41" s="2">
        <f>VLOOKUP(AG$22,heatrate!$K$5:$T$36,VLOOKUP('ELC_Gen-sdj'!$B41,'ELC_Gen-sdj'!$AA$4:$AD$19,4,FALSE))</f>
        <v>0.39910202045397902</v>
      </c>
      <c r="AH41" s="2">
        <f>VLOOKUP(AH$22,heatrate!$K$5:$T$36,VLOOKUP('ELC_Gen-sdj'!$B41,'ELC_Gen-sdj'!$AA$4:$AD$19,4,FALSE))</f>
        <v>0.39910202045397902</v>
      </c>
    </row>
    <row r="42" spans="2:34">
      <c r="B42" t="str">
        <f t="shared" si="3"/>
        <v>EN_GasCT</v>
      </c>
      <c r="C42" s="2">
        <f>VLOOKUP(C$22,heatrate!$K$5:$T$36,VLOOKUP('ELC_Gen-sdj'!$B42,'ELC_Gen-sdj'!$AA$4:$AD$19,4,FALSE))</f>
        <v>0.34678071899202401</v>
      </c>
      <c r="D42" s="2">
        <f>VLOOKUP(D$22,heatrate!$K$5:$T$36,VLOOKUP('ELC_Gen-sdj'!$B42,'ELC_Gen-sdj'!$AA$4:$AD$19,4,FALSE))</f>
        <v>0.34819615049811398</v>
      </c>
      <c r="E42" s="2">
        <f>VLOOKUP(E$22,heatrate!$K$5:$T$36,VLOOKUP('ELC_Gen-sdj'!$B42,'ELC_Gen-sdj'!$AA$4:$AD$19,4,FALSE))</f>
        <v>0.34962318390179498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0.35251263170263603</v>
      </c>
      <c r="H42" s="2">
        <f>VLOOKUP(H$22,heatrate!$K$5:$T$36,VLOOKUP('ELC_Gen-sdj'!$B42,'ELC_Gen-sdj'!$AA$4:$AD$19,4,FALSE))</f>
        <v>0.35397533971799999</v>
      </c>
      <c r="I42" s="2">
        <f>VLOOKUP(I$22,heatrate!$K$5:$T$36,VLOOKUP('ELC_Gen-sdj'!$B42,'ELC_Gen-sdj'!$AA$4:$AD$19,4,FALSE))</f>
        <v>0.35545023696682498</v>
      </c>
      <c r="J42" s="2">
        <f>VLOOKUP(J$22,heatrate!$K$5:$T$36,VLOOKUP('ELC_Gen-sdj'!$B42,'ELC_Gen-sdj'!$AA$4:$AD$19,4,FALSE))</f>
        <v>0.35545023696682498</v>
      </c>
      <c r="K42" s="2">
        <f>VLOOKUP(K$22,heatrate!$K$5:$T$36,VLOOKUP('ELC_Gen-sdj'!$B42,'ELC_Gen-sdj'!$AA$4:$AD$19,4,FALSE))</f>
        <v>0.35545023696682498</v>
      </c>
      <c r="L42" s="2">
        <f>VLOOKUP(L$22,heatrate!$K$5:$T$36,VLOOKUP('ELC_Gen-sdj'!$B42,'ELC_Gen-sdj'!$AA$4:$AD$19,4,FALSE))</f>
        <v>0.35545023696682498</v>
      </c>
      <c r="M42" s="2">
        <f>VLOOKUP(M$22,heatrate!$K$5:$T$36,VLOOKUP('ELC_Gen-sdj'!$B42,'ELC_Gen-sdj'!$AA$4:$AD$19,4,FALSE))</f>
        <v>0.35545023696682498</v>
      </c>
      <c r="N42" s="2">
        <f>VLOOKUP(N$22,heatrate!$K$5:$T$36,VLOOKUP('ELC_Gen-sdj'!$B42,'ELC_Gen-sdj'!$AA$4:$AD$19,4,FALSE))</f>
        <v>0.35545023696682498</v>
      </c>
      <c r="O42" s="2">
        <f>VLOOKUP(O$22,heatrate!$K$5:$T$36,VLOOKUP('ELC_Gen-sdj'!$B42,'ELC_Gen-sdj'!$AA$4:$AD$19,4,FALSE))</f>
        <v>0.35545023696682498</v>
      </c>
      <c r="P42" s="2">
        <f>VLOOKUP(P$22,heatrate!$K$5:$T$36,VLOOKUP('ELC_Gen-sdj'!$B42,'ELC_Gen-sdj'!$AA$4:$AD$19,4,FALSE))</f>
        <v>0.35545023696682498</v>
      </c>
      <c r="Q42" s="2">
        <f>VLOOKUP(Q$22,heatrate!$K$5:$T$36,VLOOKUP('ELC_Gen-sdj'!$B42,'ELC_Gen-sdj'!$AA$4:$AD$19,4,FALSE))</f>
        <v>0.35545023696682498</v>
      </c>
      <c r="R42" s="2">
        <f>VLOOKUP(R$22,heatrate!$K$5:$T$36,VLOOKUP('ELC_Gen-sdj'!$B42,'ELC_Gen-sdj'!$AA$4:$AD$19,4,FALSE))</f>
        <v>0.35545023696682498</v>
      </c>
      <c r="S42" s="2">
        <f>VLOOKUP(S$22,heatrate!$K$5:$T$36,VLOOKUP('ELC_Gen-sdj'!$B42,'ELC_Gen-sdj'!$AA$4:$AD$19,4,FALSE))</f>
        <v>0.35545023696682498</v>
      </c>
      <c r="T42" s="2">
        <f>VLOOKUP(T$22,heatrate!$K$5:$T$36,VLOOKUP('ELC_Gen-sdj'!$B42,'ELC_Gen-sdj'!$AA$4:$AD$19,4,FALSE))</f>
        <v>0.35545023696682498</v>
      </c>
      <c r="U42" s="2">
        <f>VLOOKUP(U$22,heatrate!$K$5:$T$36,VLOOKUP('ELC_Gen-sdj'!$B42,'ELC_Gen-sdj'!$AA$4:$AD$19,4,FALSE))</f>
        <v>0.35545023696682498</v>
      </c>
      <c r="V42" s="2">
        <f>VLOOKUP(V$22,heatrate!$K$5:$T$36,VLOOKUP('ELC_Gen-sdj'!$B42,'ELC_Gen-sdj'!$AA$4:$AD$19,4,FALSE))</f>
        <v>0.35545023696682498</v>
      </c>
      <c r="W42" s="2">
        <f>VLOOKUP(W$22,heatrate!$K$5:$T$36,VLOOKUP('ELC_Gen-sdj'!$B42,'ELC_Gen-sdj'!$AA$4:$AD$19,4,FALSE))</f>
        <v>0.35545023696682498</v>
      </c>
      <c r="X42" s="2">
        <f>VLOOKUP(X$22,heatrate!$K$5:$T$36,VLOOKUP('ELC_Gen-sdj'!$B42,'ELC_Gen-sdj'!$AA$4:$AD$19,4,FALSE))</f>
        <v>0.35545023696682498</v>
      </c>
      <c r="Y42" s="2">
        <f>VLOOKUP(Y$22,heatrate!$K$5:$T$36,VLOOKUP('ELC_Gen-sdj'!$B42,'ELC_Gen-sdj'!$AA$4:$AD$19,4,FALSE))</f>
        <v>0.35545023696682498</v>
      </c>
      <c r="Z42" s="2">
        <f>VLOOKUP(Z$22,heatrate!$K$5:$T$36,VLOOKUP('ELC_Gen-sdj'!$B42,'ELC_Gen-sdj'!$AA$4:$AD$19,4,FALSE))</f>
        <v>0.35545023696682498</v>
      </c>
      <c r="AA42" s="2">
        <f>VLOOKUP(AA$22,heatrate!$K$5:$T$36,VLOOKUP('ELC_Gen-sdj'!$B42,'ELC_Gen-sdj'!$AA$4:$AD$19,4,FALSE))</f>
        <v>0.35545023696682498</v>
      </c>
      <c r="AB42" s="2">
        <f>VLOOKUP(AB$22,heatrate!$K$5:$T$36,VLOOKUP('ELC_Gen-sdj'!$B42,'ELC_Gen-sdj'!$AA$4:$AD$19,4,FALSE))</f>
        <v>0.35545023696682498</v>
      </c>
      <c r="AC42" s="2">
        <f>VLOOKUP(AC$22,heatrate!$K$5:$T$36,VLOOKUP('ELC_Gen-sdj'!$B42,'ELC_Gen-sdj'!$AA$4:$AD$19,4,FALSE))</f>
        <v>0.35545023696682498</v>
      </c>
      <c r="AD42" s="2">
        <f>VLOOKUP(AD$22,heatrate!$K$5:$T$36,VLOOKUP('ELC_Gen-sdj'!$B42,'ELC_Gen-sdj'!$AA$4:$AD$19,4,FALSE))</f>
        <v>0.35545023696682498</v>
      </c>
      <c r="AE42" s="2">
        <f>VLOOKUP(AE$22,heatrate!$K$5:$T$36,VLOOKUP('ELC_Gen-sdj'!$B42,'ELC_Gen-sdj'!$AA$4:$AD$19,4,FALSE))</f>
        <v>0.35545023696682498</v>
      </c>
      <c r="AF42" s="2">
        <f>VLOOKUP(AF$22,heatrate!$K$5:$T$36,VLOOKUP('ELC_Gen-sdj'!$B42,'ELC_Gen-sdj'!$AA$4:$AD$19,4,FALSE))</f>
        <v>0.35545023696682498</v>
      </c>
      <c r="AG42" s="2">
        <f>VLOOKUP(AG$22,heatrate!$K$5:$T$36,VLOOKUP('ELC_Gen-sdj'!$B42,'ELC_Gen-sdj'!$AA$4:$AD$19,4,FALSE))</f>
        <v>0.35545023696682498</v>
      </c>
      <c r="AH42" s="2">
        <f>VLOOKUP(AH$22,heatrate!$K$5:$T$36,VLOOKUP('ELC_Gen-sdj'!$B42,'ELC_Gen-sdj'!$AA$4:$AD$19,4,FALSE))</f>
        <v>0.35545023696682498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0.29290319956064498</v>
      </c>
      <c r="D43" s="2">
        <f>VLOOKUP(D$22,heatrate!$K$5:$T$36,VLOOKUP('ELC_Gen-sdj'!$B43,'ELC_Gen-sdj'!$AA$4:$AD$19,4,FALSE))</f>
        <v>0.29290319956064498</v>
      </c>
      <c r="E43" s="2">
        <f>VLOOKUP(E$22,heatrate!$K$5:$T$36,VLOOKUP('ELC_Gen-sdj'!$B43,'ELC_Gen-sdj'!$AA$4:$AD$19,4,FALSE))</f>
        <v>0.29290319956064498</v>
      </c>
      <c r="F43" s="2">
        <f>VLOOKUP(F$22,heatrate!$K$5:$T$36,VLOOKUP('ELC_Gen-sdj'!$B43,'ELC_Gen-sdj'!$AA$4:$AD$19,4,FALSE))</f>
        <v>0.29290319956064498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0.33937696672540701</v>
      </c>
      <c r="I43" s="2">
        <f>VLOOKUP(I$22,heatrate!$K$5:$T$36,VLOOKUP('ELC_Gen-sdj'!$B43,'ELC_Gen-sdj'!$AA$4:$AD$19,4,FALSE))</f>
        <v>0.36862074914999599</v>
      </c>
      <c r="J43" s="2">
        <f>VLOOKUP(J$22,heatrate!$K$5:$T$36,VLOOKUP('ELC_Gen-sdj'!$B43,'ELC_Gen-sdj'!$AA$4:$AD$19,4,FALSE))</f>
        <v>0.36862074914999599</v>
      </c>
      <c r="K43" s="2">
        <f>VLOOKUP(K$22,heatrate!$K$5:$T$36,VLOOKUP('ELC_Gen-sdj'!$B43,'ELC_Gen-sdj'!$AA$4:$AD$19,4,FALSE))</f>
        <v>0.36862074914999599</v>
      </c>
      <c r="L43" s="2">
        <f>VLOOKUP(L$22,heatrate!$K$5:$T$36,VLOOKUP('ELC_Gen-sdj'!$B43,'ELC_Gen-sdj'!$AA$4:$AD$19,4,FALSE))</f>
        <v>0.36862074914999599</v>
      </c>
      <c r="M43" s="2">
        <f>VLOOKUP(M$22,heatrate!$K$5:$T$36,VLOOKUP('ELC_Gen-sdj'!$B43,'ELC_Gen-sdj'!$AA$4:$AD$19,4,FALSE))</f>
        <v>0.36862074914999599</v>
      </c>
      <c r="N43" s="2">
        <f>VLOOKUP(N$22,heatrate!$K$5:$T$36,VLOOKUP('ELC_Gen-sdj'!$B43,'ELC_Gen-sdj'!$AA$4:$AD$19,4,FALSE))</f>
        <v>0.36862074914999599</v>
      </c>
      <c r="O43" s="2">
        <f>VLOOKUP(O$22,heatrate!$K$5:$T$36,VLOOKUP('ELC_Gen-sdj'!$B43,'ELC_Gen-sdj'!$AA$4:$AD$19,4,FALSE))</f>
        <v>0.36862074914999599</v>
      </c>
      <c r="P43" s="2">
        <f>VLOOKUP(P$22,heatrate!$K$5:$T$36,VLOOKUP('ELC_Gen-sdj'!$B43,'ELC_Gen-sdj'!$AA$4:$AD$19,4,FALSE))</f>
        <v>0.36862074914999599</v>
      </c>
      <c r="Q43" s="2">
        <f>VLOOKUP(Q$22,heatrate!$K$5:$T$36,VLOOKUP('ELC_Gen-sdj'!$B43,'ELC_Gen-sdj'!$AA$4:$AD$19,4,FALSE))</f>
        <v>0.36862074914999599</v>
      </c>
      <c r="R43" s="2">
        <f>VLOOKUP(R$22,heatrate!$K$5:$T$36,VLOOKUP('ELC_Gen-sdj'!$B43,'ELC_Gen-sdj'!$AA$4:$AD$19,4,FALSE))</f>
        <v>0.36862074914999599</v>
      </c>
      <c r="S43" s="2">
        <f>VLOOKUP(S$22,heatrate!$K$5:$T$36,VLOOKUP('ELC_Gen-sdj'!$B43,'ELC_Gen-sdj'!$AA$4:$AD$19,4,FALSE))</f>
        <v>0.36862074914999599</v>
      </c>
      <c r="T43" s="2">
        <f>VLOOKUP(T$22,heatrate!$K$5:$T$36,VLOOKUP('ELC_Gen-sdj'!$B43,'ELC_Gen-sdj'!$AA$4:$AD$19,4,FALSE))</f>
        <v>0.36862074914999599</v>
      </c>
      <c r="U43" s="2">
        <f>VLOOKUP(U$22,heatrate!$K$5:$T$36,VLOOKUP('ELC_Gen-sdj'!$B43,'ELC_Gen-sdj'!$AA$4:$AD$19,4,FALSE))</f>
        <v>0.36862074914999599</v>
      </c>
      <c r="V43" s="2">
        <f>VLOOKUP(V$22,heatrate!$K$5:$T$36,VLOOKUP('ELC_Gen-sdj'!$B43,'ELC_Gen-sdj'!$AA$4:$AD$19,4,FALSE))</f>
        <v>0.36862074914999599</v>
      </c>
      <c r="W43" s="2">
        <f>VLOOKUP(W$22,heatrate!$K$5:$T$36,VLOOKUP('ELC_Gen-sdj'!$B43,'ELC_Gen-sdj'!$AA$4:$AD$19,4,FALSE))</f>
        <v>0.36862074914999599</v>
      </c>
      <c r="X43" s="2">
        <f>VLOOKUP(X$22,heatrate!$K$5:$T$36,VLOOKUP('ELC_Gen-sdj'!$B43,'ELC_Gen-sdj'!$AA$4:$AD$19,4,FALSE))</f>
        <v>0.36862074914999599</v>
      </c>
      <c r="Y43" s="2">
        <f>VLOOKUP(Y$22,heatrate!$K$5:$T$36,VLOOKUP('ELC_Gen-sdj'!$B43,'ELC_Gen-sdj'!$AA$4:$AD$19,4,FALSE))</f>
        <v>0.36862074914999599</v>
      </c>
      <c r="Z43" s="2">
        <f>VLOOKUP(Z$22,heatrate!$K$5:$T$36,VLOOKUP('ELC_Gen-sdj'!$B43,'ELC_Gen-sdj'!$AA$4:$AD$19,4,FALSE))</f>
        <v>0.36862074914999599</v>
      </c>
      <c r="AA43" s="2">
        <f>VLOOKUP(AA$22,heatrate!$K$5:$T$36,VLOOKUP('ELC_Gen-sdj'!$B43,'ELC_Gen-sdj'!$AA$4:$AD$19,4,FALSE))</f>
        <v>0.36862074914999599</v>
      </c>
      <c r="AB43" s="2">
        <f>VLOOKUP(AB$22,heatrate!$K$5:$T$36,VLOOKUP('ELC_Gen-sdj'!$B43,'ELC_Gen-sdj'!$AA$4:$AD$19,4,FALSE))</f>
        <v>0.36862074914999599</v>
      </c>
      <c r="AC43" s="2">
        <f>VLOOKUP(AC$22,heatrate!$K$5:$T$36,VLOOKUP('ELC_Gen-sdj'!$B43,'ELC_Gen-sdj'!$AA$4:$AD$19,4,FALSE))</f>
        <v>0.36862074914999599</v>
      </c>
      <c r="AD43" s="2">
        <f>VLOOKUP(AD$22,heatrate!$K$5:$T$36,VLOOKUP('ELC_Gen-sdj'!$B43,'ELC_Gen-sdj'!$AA$4:$AD$19,4,FALSE))</f>
        <v>0.36862074914999599</v>
      </c>
      <c r="AE43" s="2">
        <f>VLOOKUP(AE$22,heatrate!$K$5:$T$36,VLOOKUP('ELC_Gen-sdj'!$B43,'ELC_Gen-sdj'!$AA$4:$AD$19,4,FALSE))</f>
        <v>0.36862074914999599</v>
      </c>
      <c r="AF43" s="2">
        <f>VLOOKUP(AF$22,heatrate!$K$5:$T$36,VLOOKUP('ELC_Gen-sdj'!$B43,'ELC_Gen-sdj'!$AA$4:$AD$19,4,FALSE))</f>
        <v>0.36862074914999599</v>
      </c>
      <c r="AG43" s="2">
        <f>VLOOKUP(AG$22,heatrate!$K$5:$T$36,VLOOKUP('ELC_Gen-sdj'!$B43,'ELC_Gen-sdj'!$AA$4:$AD$19,4,FALSE))</f>
        <v>0.36862074914999599</v>
      </c>
      <c r="AH43" s="2">
        <f>VLOOKUP(AH$22,heatrate!$K$5:$T$36,VLOOKUP('ELC_Gen-sdj'!$B43,'ELC_Gen-sdj'!$AA$4:$AD$19,4,FALSE))</f>
        <v>0.36862074914999599</v>
      </c>
    </row>
    <row r="44" spans="2:34">
      <c r="B44" t="str">
        <f>B31</f>
        <v>EN_OilCCAdv</v>
      </c>
      <c r="C44" s="2">
        <v>0.3</v>
      </c>
      <c r="D44" s="2">
        <v>0.3</v>
      </c>
      <c r="E44" s="2">
        <v>0.3</v>
      </c>
      <c r="F44" s="2">
        <v>0.3</v>
      </c>
      <c r="G44" s="2">
        <v>0.3</v>
      </c>
      <c r="H44" s="2">
        <v>0.3</v>
      </c>
      <c r="I44" s="2">
        <v>0.3</v>
      </c>
      <c r="J44" s="2">
        <v>0.3</v>
      </c>
      <c r="K44" s="2">
        <v>0.3</v>
      </c>
      <c r="L44" s="2">
        <v>0.3</v>
      </c>
      <c r="M44" s="2">
        <v>0.3</v>
      </c>
      <c r="N44" s="2">
        <v>0.3</v>
      </c>
      <c r="O44" s="2">
        <v>0.3</v>
      </c>
      <c r="P44" s="2">
        <v>0.3</v>
      </c>
      <c r="Q44" s="2">
        <v>0.3</v>
      </c>
      <c r="R44" s="2">
        <v>0.3</v>
      </c>
      <c r="S44" s="2">
        <v>0.3</v>
      </c>
      <c r="T44" s="2">
        <v>0.3</v>
      </c>
      <c r="U44" s="2">
        <v>0.3</v>
      </c>
      <c r="V44" s="2">
        <v>0.3</v>
      </c>
      <c r="W44" s="2">
        <v>0.3</v>
      </c>
      <c r="X44" s="2">
        <v>0.3</v>
      </c>
      <c r="Y44" s="2">
        <v>0.3</v>
      </c>
      <c r="Z44" s="2">
        <v>0.3</v>
      </c>
      <c r="AA44" s="2">
        <v>0.3</v>
      </c>
      <c r="AB44" s="2">
        <v>0.3</v>
      </c>
      <c r="AC44" s="2">
        <v>0.3</v>
      </c>
      <c r="AD44" s="2">
        <v>0.3</v>
      </c>
      <c r="AE44" s="2">
        <v>0.3</v>
      </c>
      <c r="AF44" s="2">
        <v>0.3</v>
      </c>
      <c r="AG44" s="2">
        <v>0.3</v>
      </c>
      <c r="AH44" s="2">
        <v>0.3</v>
      </c>
    </row>
  </sheetData>
  <pageMargins left="0.7" right="0.7" top="0.75" bottom="0.75" header="0.3" footer="0.3"/>
  <pageSetup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H44"/>
  <sheetViews>
    <sheetView topLeftCell="A31" workbookViewId="0">
      <selection activeCell="E12" sqref="E12"/>
    </sheetView>
  </sheetViews>
  <sheetFormatPr defaultColWidth="9.08984375" defaultRowHeight="14.5"/>
  <cols>
    <col min="1" max="1" width="6.453125" customWidth="1"/>
    <col min="2" max="2" width="14.453125" customWidth="1"/>
    <col min="3" max="3" width="9.453125" customWidth="1"/>
    <col min="4" max="4" width="11" customWidth="1"/>
    <col min="5" max="5" width="7" customWidth="1"/>
    <col min="6" max="6" width="8" customWidth="1"/>
    <col min="7" max="7" width="8.81640625" customWidth="1"/>
    <col min="8" max="8" width="6.81640625" customWidth="1"/>
    <col min="9" max="9" width="5.453125" customWidth="1"/>
    <col min="10" max="13" width="5" customWidth="1"/>
    <col min="14" max="14" width="5.453125" customWidth="1"/>
    <col min="15" max="15" width="5" customWidth="1"/>
    <col min="16" max="16" width="8.453125" customWidth="1"/>
    <col min="17" max="17" width="15.453125" customWidth="1"/>
    <col min="18" max="18" width="29.453125" customWidth="1"/>
    <col min="19" max="19" width="10.26953125" customWidth="1"/>
    <col min="20" max="20" width="7.81640625" customWidth="1"/>
    <col min="21" max="26" width="5" customWidth="1"/>
    <col min="27" max="27" width="14.453125" customWidth="1"/>
    <col min="28" max="28" width="17.7265625" customWidth="1"/>
    <col min="29" max="29" width="5" customWidth="1"/>
    <col min="30" max="30" width="5.453125" customWidth="1"/>
    <col min="31" max="34" width="5" customWidth="1"/>
  </cols>
  <sheetData>
    <row r="2" spans="2:30">
      <c r="D2" s="17" t="s">
        <v>88</v>
      </c>
      <c r="E2" s="17"/>
      <c r="F2" s="17"/>
      <c r="G2" s="17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17" t="s">
        <v>13</v>
      </c>
      <c r="D3" s="1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0.38772727272727298</v>
      </c>
      <c r="F4" s="2">
        <v>0.390389016018307</v>
      </c>
      <c r="G4" s="2">
        <v>2882.65777101602</v>
      </c>
      <c r="H4" s="2">
        <v>30.636104583740199</v>
      </c>
      <c r="I4" s="2">
        <f>N4/3.6*1.055</f>
        <v>1.2871267484294</v>
      </c>
      <c r="J4" s="2">
        <v>0.85</v>
      </c>
      <c r="K4" s="34">
        <v>40</v>
      </c>
      <c r="L4">
        <v>30</v>
      </c>
      <c r="N4" s="2">
        <v>4.3920912742614702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0.39218390804597703</v>
      </c>
      <c r="F5" s="2">
        <v>0.457986577181209</v>
      </c>
      <c r="G5" s="2">
        <v>3718.04794517343</v>
      </c>
      <c r="H5" s="2">
        <v>50.494167327880902</v>
      </c>
      <c r="I5" s="2">
        <f t="shared" ref="I5:I15" si="0">N5/3.6*1.055</f>
        <v>2.07920465071996</v>
      </c>
      <c r="J5" s="2">
        <v>0.85</v>
      </c>
      <c r="K5" s="34">
        <v>40</v>
      </c>
      <c r="L5">
        <v>30</v>
      </c>
      <c r="N5" s="2">
        <v>7.0949163436889604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65.308937072753906</v>
      </c>
      <c r="I6" s="2">
        <f t="shared" si="0"/>
        <v>1.2819967614279899</v>
      </c>
      <c r="J6" s="2">
        <v>0.85</v>
      </c>
      <c r="K6" s="34">
        <v>40</v>
      </c>
      <c r="L6">
        <v>30</v>
      </c>
      <c r="N6" s="2">
        <v>4.3745861053466797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31.234788894653299</v>
      </c>
      <c r="I7" s="2">
        <f t="shared" si="0"/>
        <v>1.95249267220497</v>
      </c>
      <c r="J7" s="2">
        <v>0.87</v>
      </c>
      <c r="K7" s="34">
        <v>30</v>
      </c>
      <c r="L7">
        <v>30</v>
      </c>
      <c r="N7" s="2">
        <v>6.6625342369079599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0.94136211706532402</v>
      </c>
      <c r="J8" s="2">
        <v>0.87</v>
      </c>
      <c r="K8" s="34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1.0367807696263001</v>
      </c>
      <c r="J9" s="2">
        <v>0.87</v>
      </c>
      <c r="K9" s="34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6.9163618087768599</v>
      </c>
      <c r="I10" s="2">
        <f t="shared" si="0"/>
        <v>2.9861954636044001</v>
      </c>
      <c r="J10" s="2">
        <v>0.06</v>
      </c>
      <c r="K10" s="34">
        <v>30</v>
      </c>
      <c r="L10">
        <v>30</v>
      </c>
      <c r="N10" s="2">
        <v>10.189861297607401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7.2122020721435502</v>
      </c>
      <c r="I11" s="2">
        <f t="shared" si="0"/>
        <v>4.4487695561515004</v>
      </c>
      <c r="J11" s="2">
        <v>0.06</v>
      </c>
      <c r="K11" s="34">
        <v>30</v>
      </c>
      <c r="L11">
        <v>30</v>
      </c>
      <c r="N11" s="2">
        <v>15.180635452270501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0.25274074074074099</v>
      </c>
      <c r="F12" s="2">
        <v>0.27801481481481499</v>
      </c>
      <c r="H12" s="2">
        <v>103.78744506835901</v>
      </c>
      <c r="I12" s="2">
        <f t="shared" si="0"/>
        <v>1.51438736650679</v>
      </c>
      <c r="J12" s="2">
        <v>0.83</v>
      </c>
      <c r="K12" s="34">
        <v>30</v>
      </c>
      <c r="L12">
        <v>30</v>
      </c>
      <c r="N12" s="2">
        <v>5.1675777435302699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103.78744506835901</v>
      </c>
      <c r="I13" s="2">
        <f t="shared" si="0"/>
        <v>1.51438736650679</v>
      </c>
      <c r="J13" s="2">
        <v>0.83</v>
      </c>
      <c r="K13" s="34">
        <v>30</v>
      </c>
      <c r="L13">
        <v>30</v>
      </c>
      <c r="N13" s="2">
        <v>5.1675777435302699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0.94136211706532402</v>
      </c>
      <c r="J14" s="2">
        <v>0.3</v>
      </c>
      <c r="K14" s="34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2" t="s">
        <v>76</v>
      </c>
      <c r="C15" t="s">
        <v>77</v>
      </c>
      <c r="D15" t="s">
        <v>32</v>
      </c>
      <c r="E15">
        <v>0.33</v>
      </c>
      <c r="H15" s="2">
        <f>H13</f>
        <v>103.78744506835901</v>
      </c>
      <c r="I15" s="2">
        <f t="shared" si="0"/>
        <v>1.51438736650679</v>
      </c>
      <c r="J15" s="2">
        <f>J6</f>
        <v>0.85</v>
      </c>
      <c r="K15" s="34">
        <v>50</v>
      </c>
      <c r="L15">
        <v>30</v>
      </c>
      <c r="N15" s="2">
        <f>N13</f>
        <v>5.1675777435302699</v>
      </c>
      <c r="Q15" s="1" t="str">
        <f t="shared" si="1"/>
        <v>EN_NuclearAdv</v>
      </c>
      <c r="R15" s="3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33">
        <v>9999</v>
      </c>
      <c r="H16" s="33">
        <v>500</v>
      </c>
      <c r="I16" s="33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3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:34">
      <c r="AA20" s="32"/>
    </row>
    <row r="21" spans="2:34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4">
        <f>VLOOKUP(C$22,ovrcst!$A$5:$W$36,VLOOKUP('ELC_Gen-sdj'!$B23,'ELC_Gen-sdj'!$AA$4:$AC$19,3,FALSE))</f>
        <v>5715.7879928716902</v>
      </c>
      <c r="D23" s="34">
        <f>VLOOKUP(D$22,ovrcst!$A$5:$W$36,VLOOKUP('ELC_Gen-sdj'!$B23,'ELC_Gen-sdj'!$AA$4:$AC$19,3,FALSE))</f>
        <v>5651.6864103869602</v>
      </c>
      <c r="E23" s="34">
        <f>VLOOKUP(E$22,ovrcst!$A$5:$W$36,VLOOKUP('ELC_Gen-sdj'!$B23,'ELC_Gen-sdj'!$AA$4:$AC$19,3,FALSE))</f>
        <v>5513.4993360488797</v>
      </c>
      <c r="F23" s="34">
        <f>VLOOKUP(F$22,ovrcst!$A$5:$W$36,VLOOKUP('ELC_Gen-sdj'!$B23,'ELC_Gen-sdj'!$AA$4:$AC$19,3,FALSE))</f>
        <v>5427.6274704684301</v>
      </c>
      <c r="G23" s="34">
        <f>VLOOKUP(G$22,ovrcst!$A$5:$W$36,VLOOKUP('ELC_Gen-sdj'!$B23,'ELC_Gen-sdj'!$AA$4:$AC$19,3,FALSE))</f>
        <v>5366.8807077393103</v>
      </c>
      <c r="H23" s="34">
        <f>VLOOKUP(H$22,ovrcst!$A$5:$W$36,VLOOKUP('ELC_Gen-sdj'!$B23,'ELC_Gen-sdj'!$AA$4:$AC$19,3,FALSE))</f>
        <v>5317.9441863543798</v>
      </c>
      <c r="I23" s="34">
        <f>VLOOKUP(I$22,ovrcst!$A$5:$W$36,VLOOKUP('ELC_Gen-sdj'!$B23,'ELC_Gen-sdj'!$AA$4:$AC$19,3,FALSE))</f>
        <v>5278.0965580448101</v>
      </c>
      <c r="J23" s="34">
        <f>VLOOKUP(J$22,ovrcst!$A$5:$W$36,VLOOKUP('ELC_Gen-sdj'!$B23,'ELC_Gen-sdj'!$AA$4:$AC$19,3,FALSE))</f>
        <v>5225.5754959266797</v>
      </c>
      <c r="K23" s="34">
        <f>VLOOKUP(K$22,ovrcst!$A$5:$W$36,VLOOKUP('ELC_Gen-sdj'!$B23,'ELC_Gen-sdj'!$AA$4:$AC$19,3,FALSE))</f>
        <v>5162.7493116089599</v>
      </c>
      <c r="L23" s="34">
        <f>VLOOKUP(L$22,ovrcst!$A$5:$W$36,VLOOKUP('ELC_Gen-sdj'!$B23,'ELC_Gen-sdj'!$AA$4:$AC$19,3,FALSE))</f>
        <v>5092.6073625254603</v>
      </c>
      <c r="M23" s="34">
        <f>VLOOKUP(M$22,ovrcst!$A$5:$W$36,VLOOKUP('ELC_Gen-sdj'!$B23,'ELC_Gen-sdj'!$AA$4:$AC$19,3,FALSE))</f>
        <v>5020.6420651731196</v>
      </c>
      <c r="N23" s="34">
        <f>VLOOKUP(N$22,ovrcst!$A$5:$W$36,VLOOKUP('ELC_Gen-sdj'!$B23,'ELC_Gen-sdj'!$AA$4:$AC$19,3,FALSE))</f>
        <v>4957.2380977596704</v>
      </c>
      <c r="O23" s="34">
        <f>VLOOKUP(O$22,ovrcst!$A$5:$W$36,VLOOKUP('ELC_Gen-sdj'!$B23,'ELC_Gen-sdj'!$AA$4:$AC$19,3,FALSE))</f>
        <v>4894.1573319755598</v>
      </c>
      <c r="P23" s="34">
        <f>VLOOKUP(P$22,ovrcst!$A$5:$W$36,VLOOKUP('ELC_Gen-sdj'!$B23,'ELC_Gen-sdj'!$AA$4:$AC$19,3,FALSE))</f>
        <v>4831.2734694500996</v>
      </c>
      <c r="Q23" s="34">
        <f>VLOOKUP(Q$22,ovrcst!$A$5:$W$36,VLOOKUP('ELC_Gen-sdj'!$B23,'ELC_Gen-sdj'!$AA$4:$AC$19,3,FALSE))</f>
        <v>4771.2183564154802</v>
      </c>
      <c r="R23" s="34">
        <f>VLOOKUP(R$22,ovrcst!$A$5:$W$36,VLOOKUP('ELC_Gen-sdj'!$B23,'ELC_Gen-sdj'!$AA$4:$AC$19,3,FALSE))</f>
        <v>4711.93395213849</v>
      </c>
      <c r="S23" s="34">
        <f>VLOOKUP(S$22,ovrcst!$A$5:$W$36,VLOOKUP('ELC_Gen-sdj'!$B23,'ELC_Gen-sdj'!$AA$4:$AC$19,3,FALSE))</f>
        <v>4649.7412403258704</v>
      </c>
      <c r="T23" s="34">
        <f>VLOOKUP(T$22,ovrcst!$A$5:$W$36,VLOOKUP('ELC_Gen-sdj'!$B23,'ELC_Gen-sdj'!$AA$4:$AC$19,3,FALSE))</f>
        <v>4590.5418625254597</v>
      </c>
      <c r="U23" s="34">
        <f>VLOOKUP(U$22,ovrcst!$A$5:$W$36,VLOOKUP('ELC_Gen-sdj'!$B23,'ELC_Gen-sdj'!$AA$4:$AC$19,3,FALSE))</f>
        <v>4532.3150692464396</v>
      </c>
      <c r="V23" s="34">
        <f>VLOOKUP(V$22,ovrcst!$A$5:$W$36,VLOOKUP('ELC_Gen-sdj'!$B23,'ELC_Gen-sdj'!$AA$4:$AC$19,3,FALSE))</f>
        <v>4476.12543380855</v>
      </c>
      <c r="W23" s="34">
        <f>VLOOKUP(W$22,ovrcst!$A$5:$W$36,VLOOKUP('ELC_Gen-sdj'!$B23,'ELC_Gen-sdj'!$AA$4:$AC$19,3,FALSE))</f>
        <v>4419.4743665987799</v>
      </c>
      <c r="X23" s="34">
        <f>VLOOKUP(X$22,ovrcst!$A$5:$W$36,VLOOKUP('ELC_Gen-sdj'!$B23,'ELC_Gen-sdj'!$AA$4:$AC$19,3,FALSE))</f>
        <v>4364.7306792260697</v>
      </c>
      <c r="Y23" s="34">
        <f>VLOOKUP(Y$22,ovrcst!$A$5:$W$36,VLOOKUP('ELC_Gen-sdj'!$B23,'ELC_Gen-sdj'!$AA$4:$AC$19,3,FALSE))</f>
        <v>4311.2981914460297</v>
      </c>
      <c r="Z23" s="34">
        <f>VLOOKUP(Z$22,ovrcst!$A$5:$W$36,VLOOKUP('ELC_Gen-sdj'!$B23,'ELC_Gen-sdj'!$AA$4:$AC$19,3,FALSE))</f>
        <v>4254.7545264765804</v>
      </c>
      <c r="AA23" s="34">
        <f>VLOOKUP(AA$22,ovrcst!$A$5:$W$36,VLOOKUP('ELC_Gen-sdj'!$B23,'ELC_Gen-sdj'!$AA$4:$AC$19,3,FALSE))</f>
        <v>4204.7201181262699</v>
      </c>
      <c r="AB23" s="34">
        <f>VLOOKUP(AB$22,ovrcst!$A$5:$W$36,VLOOKUP('ELC_Gen-sdj'!$B23,'ELC_Gen-sdj'!$AA$4:$AC$19,3,FALSE))</f>
        <v>4149.4130682281102</v>
      </c>
      <c r="AC23" s="34">
        <f>VLOOKUP(AC$22,ovrcst!$A$5:$W$36,VLOOKUP('ELC_Gen-sdj'!$B23,'ELC_Gen-sdj'!$AA$4:$AC$19,3,FALSE))</f>
        <v>4099.6024134419504</v>
      </c>
      <c r="AD23" s="34">
        <f>VLOOKUP(AD$22,ovrcst!$A$5:$W$36,VLOOKUP('ELC_Gen-sdj'!$B23,'ELC_Gen-sdj'!$AA$4:$AC$19,3,FALSE))</f>
        <v>4045.53744704684</v>
      </c>
      <c r="AE23" s="34">
        <f>VLOOKUP(AE$22,ovrcst!$A$5:$W$36,VLOOKUP('ELC_Gen-sdj'!$B23,'ELC_Gen-sdj'!$AA$4:$AC$19,3,FALSE))</f>
        <v>3995.2867433808601</v>
      </c>
      <c r="AF23" s="34">
        <f>VLOOKUP(AF$22,ovrcst!$A$5:$W$36,VLOOKUP('ELC_Gen-sdj'!$B23,'ELC_Gen-sdj'!$AA$4:$AC$19,3,FALSE))</f>
        <v>3945.0531934826899</v>
      </c>
      <c r="AG23" s="34">
        <f>VLOOKUP(AG$22,ovrcst!$A$5:$W$36,VLOOKUP('ELC_Gen-sdj'!$B23,'ELC_Gen-sdj'!$AA$4:$AC$19,3,FALSE))</f>
        <v>3894.9128747454201</v>
      </c>
      <c r="AH23" s="34">
        <f>VLOOKUP(AH$22,ovrcst!$A$5:$W$36,VLOOKUP('ELC_Gen-sdj'!$B23,'ELC_Gen-sdj'!$AA$4:$AC$19,3,FALSE))</f>
        <v>3845.2213075356399</v>
      </c>
    </row>
    <row r="24" spans="2:34">
      <c r="B24" t="str">
        <f t="shared" si="2"/>
        <v>EN_ZGasCCAdv</v>
      </c>
      <c r="C24" s="34">
        <f>VLOOKUP(C$22,ovrcst!$A$5:$W$36,VLOOKUP('ELC_Gen-sdj'!$B24,'ELC_Gen-sdj'!$AA$4:$AC$19,3,FALSE))</f>
        <v>2204.7527264537098</v>
      </c>
      <c r="D24" s="34">
        <f>VLOOKUP(D$22,ovrcst!$A$5:$W$36,VLOOKUP('ELC_Gen-sdj'!$B24,'ELC_Gen-sdj'!$AA$4:$AC$19,3,FALSE))</f>
        <v>2176.35507794149</v>
      </c>
      <c r="E24" s="34">
        <f>VLOOKUP(E$22,ovrcst!$A$5:$W$36,VLOOKUP('ELC_Gen-sdj'!$B24,'ELC_Gen-sdj'!$AA$4:$AC$19,3,FALSE))</f>
        <v>2119.5276840658298</v>
      </c>
      <c r="F24" s="34">
        <f>VLOOKUP(F$22,ovrcst!$A$5:$W$36,VLOOKUP('ELC_Gen-sdj'!$B24,'ELC_Gen-sdj'!$AA$4:$AC$19,3,FALSE))</f>
        <v>2082.9271460250102</v>
      </c>
      <c r="G24" s="34">
        <f>VLOOKUP(G$22,ovrcst!$A$5:$W$36,VLOOKUP('ELC_Gen-sdj'!$B24,'ELC_Gen-sdj'!$AA$4:$AC$19,3,FALSE))</f>
        <v>2023.7324353741999</v>
      </c>
      <c r="H24" s="34">
        <f>VLOOKUP(H$22,ovrcst!$A$5:$W$36,VLOOKUP('ELC_Gen-sdj'!$B24,'ELC_Gen-sdj'!$AA$4:$AC$19,3,FALSE))</f>
        <v>1991.6680541404801</v>
      </c>
      <c r="I24" s="34">
        <f>VLOOKUP(I$22,ovrcst!$A$5:$W$36,VLOOKUP('ELC_Gen-sdj'!$B24,'ELC_Gen-sdj'!$AA$4:$AC$19,3,FALSE))</f>
        <v>1962.4599814015401</v>
      </c>
      <c r="J24" s="34">
        <f>VLOOKUP(J$22,ovrcst!$A$5:$W$36,VLOOKUP('ELC_Gen-sdj'!$B24,'ELC_Gen-sdj'!$AA$4:$AC$19,3,FALSE))</f>
        <v>1929.6563305345401</v>
      </c>
      <c r="K24" s="34">
        <f>VLOOKUP(K$22,ovrcst!$A$5:$W$36,VLOOKUP('ELC_Gen-sdj'!$B24,'ELC_Gen-sdj'!$AA$4:$AC$19,3,FALSE))</f>
        <v>1894.1682958045201</v>
      </c>
      <c r="L24" s="34">
        <f>VLOOKUP(L$22,ovrcst!$A$5:$W$36,VLOOKUP('ELC_Gen-sdj'!$B24,'ELC_Gen-sdj'!$AA$4:$AC$19,3,FALSE))</f>
        <v>1861.1016226290301</v>
      </c>
      <c r="M24" s="34">
        <f>VLOOKUP(M$22,ovrcst!$A$5:$W$36,VLOOKUP('ELC_Gen-sdj'!$B24,'ELC_Gen-sdj'!$AA$4:$AC$19,3,FALSE))</f>
        <v>1827.5859589325801</v>
      </c>
      <c r="N24" s="34">
        <f>VLOOKUP(N$22,ovrcst!$A$5:$W$36,VLOOKUP('ELC_Gen-sdj'!$B24,'ELC_Gen-sdj'!$AA$4:$AC$19,3,FALSE))</f>
        <v>1799.75824992702</v>
      </c>
      <c r="O24" s="34">
        <f>VLOOKUP(O$22,ovrcst!$A$5:$W$36,VLOOKUP('ELC_Gen-sdj'!$B24,'ELC_Gen-sdj'!$AA$4:$AC$19,3,FALSE))</f>
        <v>1772.72055130334</v>
      </c>
      <c r="P24" s="34">
        <f>VLOOKUP(P$22,ovrcst!$A$5:$W$36,VLOOKUP('ELC_Gen-sdj'!$B24,'ELC_Gen-sdj'!$AA$4:$AC$19,3,FALSE))</f>
        <v>1744.33989467314</v>
      </c>
      <c r="Q24" s="34">
        <f>VLOOKUP(Q$22,ovrcst!$A$5:$W$36,VLOOKUP('ELC_Gen-sdj'!$B24,'ELC_Gen-sdj'!$AA$4:$AC$19,3,FALSE))</f>
        <v>1718.35770627959</v>
      </c>
      <c r="R24" s="34">
        <f>VLOOKUP(R$22,ovrcst!$A$5:$W$36,VLOOKUP('ELC_Gen-sdj'!$B24,'ELC_Gen-sdj'!$AA$4:$AC$19,3,FALSE))</f>
        <v>1691.78351251916</v>
      </c>
      <c r="S24" s="34">
        <f>VLOOKUP(S$22,ovrcst!$A$5:$W$36,VLOOKUP('ELC_Gen-sdj'!$B24,'ELC_Gen-sdj'!$AA$4:$AC$19,3,FALSE))</f>
        <v>1665.4230155032301</v>
      </c>
      <c r="T24" s="34">
        <f>VLOOKUP(T$22,ovrcst!$A$5:$W$36,VLOOKUP('ELC_Gen-sdj'!$B24,'ELC_Gen-sdj'!$AA$4:$AC$19,3,FALSE))</f>
        <v>1639.50490094674</v>
      </c>
      <c r="U24" s="34">
        <f>VLOOKUP(U$22,ovrcst!$A$5:$W$36,VLOOKUP('ELC_Gen-sdj'!$B24,'ELC_Gen-sdj'!$AA$4:$AC$19,3,FALSE))</f>
        <v>1615.45708723299</v>
      </c>
      <c r="V24" s="34">
        <f>VLOOKUP(V$22,ovrcst!$A$5:$W$36,VLOOKUP('ELC_Gen-sdj'!$B24,'ELC_Gen-sdj'!$AA$4:$AC$19,3,FALSE))</f>
        <v>1593.5526257281299</v>
      </c>
      <c r="W24" s="34">
        <f>VLOOKUP(W$22,ovrcst!$A$5:$W$36,VLOOKUP('ELC_Gen-sdj'!$B24,'ELC_Gen-sdj'!$AA$4:$AC$19,3,FALSE))</f>
        <v>1571.5137622837799</v>
      </c>
      <c r="X24" s="34">
        <f>VLOOKUP(X$22,ovrcst!$A$5:$W$36,VLOOKUP('ELC_Gen-sdj'!$B24,'ELC_Gen-sdj'!$AA$4:$AC$19,3,FALSE))</f>
        <v>1550.1819546560901</v>
      </c>
      <c r="Y24" s="34">
        <f>VLOOKUP(Y$22,ovrcst!$A$5:$W$36,VLOOKUP('ELC_Gen-sdj'!$B24,'ELC_Gen-sdj'!$AA$4:$AC$19,3,FALSE))</f>
        <v>1529.3439768621199</v>
      </c>
      <c r="Z24" s="34">
        <f>VLOOKUP(Z$22,ovrcst!$A$5:$W$36,VLOOKUP('ELC_Gen-sdj'!$B24,'ELC_Gen-sdj'!$AA$4:$AC$19,3,FALSE))</f>
        <v>1507.4316090765101</v>
      </c>
      <c r="AA24" s="34">
        <f>VLOOKUP(AA$22,ovrcst!$A$5:$W$36,VLOOKUP('ELC_Gen-sdj'!$B24,'ELC_Gen-sdj'!$AA$4:$AC$19,3,FALSE))</f>
        <v>1487.8542263174099</v>
      </c>
      <c r="AB24" s="34">
        <f>VLOOKUP(AB$22,ovrcst!$A$5:$W$36,VLOOKUP('ELC_Gen-sdj'!$B24,'ELC_Gen-sdj'!$AA$4:$AC$19,3,FALSE))</f>
        <v>1466.4389923962799</v>
      </c>
      <c r="AC24" s="34">
        <f>VLOOKUP(AC$22,ovrcst!$A$5:$W$36,VLOOKUP('ELC_Gen-sdj'!$B24,'ELC_Gen-sdj'!$AA$4:$AC$19,3,FALSE))</f>
        <v>1446.9943585946401</v>
      </c>
      <c r="AD24" s="34">
        <f>VLOOKUP(AD$22,ovrcst!$A$5:$W$36,VLOOKUP('ELC_Gen-sdj'!$B24,'ELC_Gen-sdj'!$AA$4:$AC$19,3,FALSE))</f>
        <v>1426.0769670969601</v>
      </c>
      <c r="AE24" s="34">
        <f>VLOOKUP(AE$22,ovrcst!$A$5:$W$36,VLOOKUP('ELC_Gen-sdj'!$B24,'ELC_Gen-sdj'!$AA$4:$AC$19,3,FALSE))</f>
        <v>1406.5328605095799</v>
      </c>
      <c r="AF24" s="34">
        <f>VLOOKUP(AF$22,ovrcst!$A$5:$W$36,VLOOKUP('ELC_Gen-sdj'!$B24,'ELC_Gen-sdj'!$AA$4:$AC$19,3,FALSE))</f>
        <v>1387.0223829234401</v>
      </c>
      <c r="AG24" s="34">
        <f>VLOOKUP(AG$22,ovrcst!$A$5:$W$36,VLOOKUP('ELC_Gen-sdj'!$B24,'ELC_Gen-sdj'!$AA$4:$AC$19,3,FALSE))</f>
        <v>1367.5726761102501</v>
      </c>
      <c r="AH24" s="34">
        <f>VLOOKUP(AH$22,ovrcst!$A$5:$W$36,VLOOKUP('ELC_Gen-sdj'!$B24,'ELC_Gen-sdj'!$AA$4:$AC$19,3,FALSE))</f>
        <v>1348.30881861084</v>
      </c>
    </row>
    <row r="25" spans="2:34">
      <c r="B25" s="35" t="str">
        <f t="shared" si="2"/>
        <v>EN_GasCCAdv</v>
      </c>
      <c r="C25" s="36">
        <f>VLOOKUP(C$22,ovrcst!$A$5:$W$36,VLOOKUP('ELC_Gen-sdj'!$B25,'ELC_Gen-sdj'!$AA$4:$AC$19,3,FALSE))</f>
        <v>794.43951592145902</v>
      </c>
      <c r="D25" s="36">
        <f>VLOOKUP(D$22,ovrcst!$A$5:$W$36,VLOOKUP('ELC_Gen-sdj'!$B25,'ELC_Gen-sdj'!$AA$4:$AC$19,3,FALSE))</f>
        <v>786.43841465656703</v>
      </c>
      <c r="E25" s="36">
        <f>VLOOKUP(E$22,ovrcst!$A$5:$W$36,VLOOKUP('ELC_Gen-sdj'!$B25,'ELC_Gen-sdj'!$AA$4:$AC$19,3,FALSE))</f>
        <v>768.10346098691002</v>
      </c>
      <c r="F25" s="36">
        <f>VLOOKUP(F$22,ovrcst!$A$5:$W$36,VLOOKUP('ELC_Gen-sdj'!$B25,'ELC_Gen-sdj'!$AA$4:$AC$19,3,FALSE))</f>
        <v>757.02855199294004</v>
      </c>
      <c r="G25" s="36">
        <f>VLOOKUP(G$22,ovrcst!$A$5:$W$36,VLOOKUP('ELC_Gen-sdj'!$B25,'ELC_Gen-sdj'!$AA$4:$AC$19,3,FALSE))</f>
        <v>732.12888568171797</v>
      </c>
      <c r="H25" s="36">
        <f>VLOOKUP(H$22,ovrcst!$A$5:$W$36,VLOOKUP('ELC_Gen-sdj'!$B25,'ELC_Gen-sdj'!$AA$4:$AC$19,3,FALSE))</f>
        <v>720.96291458302699</v>
      </c>
      <c r="I25" s="36">
        <f>VLOOKUP(I$22,ovrcst!$A$5:$W$36,VLOOKUP('ELC_Gen-sdj'!$B25,'ELC_Gen-sdj'!$AA$4:$AC$19,3,FALSE))</f>
        <v>710.71389634505101</v>
      </c>
      <c r="J25" s="36">
        <f>VLOOKUP(J$22,ovrcst!$A$5:$W$36,VLOOKUP('ELC_Gen-sdj'!$B25,'ELC_Gen-sdj'!$AA$4:$AC$19,3,FALSE))</f>
        <v>699.33326132519505</v>
      </c>
      <c r="K25" s="36">
        <f>VLOOKUP(K$22,ovrcst!$A$5:$W$36,VLOOKUP('ELC_Gen-sdj'!$B25,'ELC_Gen-sdj'!$AA$4:$AC$19,3,FALSE))</f>
        <v>687.13795686865706</v>
      </c>
      <c r="L25" s="36">
        <f>VLOOKUP(L$22,ovrcst!$A$5:$W$36,VLOOKUP('ELC_Gen-sdj'!$B25,'ELC_Gen-sdj'!$AA$4:$AC$19,3,FALSE))</f>
        <v>676.65861983379898</v>
      </c>
      <c r="M25" s="36">
        <f>VLOOKUP(M$22,ovrcst!$A$5:$W$36,VLOOKUP('ELC_Gen-sdj'!$B25,'ELC_Gen-sdj'!$AA$4:$AC$19,3,FALSE))</f>
        <v>666.00142576114104</v>
      </c>
      <c r="N25" s="36">
        <f>VLOOKUP(N$22,ovrcst!$A$5:$W$36,VLOOKUP('ELC_Gen-sdj'!$B25,'ELC_Gen-sdj'!$AA$4:$AC$19,3,FALSE))</f>
        <v>657.80877518752698</v>
      </c>
      <c r="O25" s="36">
        <f>VLOOKUP(O$22,ovrcst!$A$5:$W$36,VLOOKUP('ELC_Gen-sdj'!$B25,'ELC_Gen-sdj'!$AA$4:$AC$19,3,FALSE))</f>
        <v>649.975040447124</v>
      </c>
      <c r="P25" s="36">
        <f>VLOOKUP(P$22,ovrcst!$A$5:$W$36,VLOOKUP('ELC_Gen-sdj'!$B25,'ELC_Gen-sdj'!$AA$4:$AC$19,3,FALSE))</f>
        <v>641.36372168701303</v>
      </c>
      <c r="Q25" s="36">
        <f>VLOOKUP(Q$22,ovrcst!$A$5:$W$36,VLOOKUP('ELC_Gen-sdj'!$B25,'ELC_Gen-sdj'!$AA$4:$AC$19,3,FALSE))</f>
        <v>633.82202162082694</v>
      </c>
      <c r="R25" s="36">
        <f>VLOOKUP(R$22,ovrcst!$A$5:$W$36,VLOOKUP('ELC_Gen-sdj'!$B25,'ELC_Gen-sdj'!$AA$4:$AC$19,3,FALSE))</f>
        <v>625.87377279747</v>
      </c>
      <c r="S25" s="34">
        <f>VLOOKUP(S$22,ovrcst!$A$5:$W$36,VLOOKUP('ELC_Gen-sdj'!$B25,'ELC_Gen-sdj'!$AA$4:$AC$19,3,FALSE))</f>
        <v>618.16891454625704</v>
      </c>
      <c r="T25" s="34">
        <f>VLOOKUP(T$22,ovrcst!$A$5:$W$36,VLOOKUP('ELC_Gen-sdj'!$B25,'ELC_Gen-sdj'!$AA$4:$AC$19,3,FALSE))</f>
        <v>610.47914950728</v>
      </c>
      <c r="U25" s="34">
        <f>VLOOKUP(U$22,ovrcst!$A$5:$W$36,VLOOKUP('ELC_Gen-sdj'!$B25,'ELC_Gen-sdj'!$AA$4:$AC$19,3,FALSE))</f>
        <v>603.69158056331798</v>
      </c>
      <c r="V25" s="34">
        <f>VLOOKUP(V$22,ovrcst!$A$5:$W$36,VLOOKUP('ELC_Gen-sdj'!$B25,'ELC_Gen-sdj'!$AA$4:$AC$19,3,FALSE))</f>
        <v>597.89283626268605</v>
      </c>
      <c r="W25" s="34">
        <f>VLOOKUP(W$22,ovrcst!$A$5:$W$36,VLOOKUP('ELC_Gen-sdj'!$B25,'ELC_Gen-sdj'!$AA$4:$AC$19,3,FALSE))</f>
        <v>592.00617370201496</v>
      </c>
      <c r="X25" s="34">
        <f>VLOOKUP(X$22,ovrcst!$A$5:$W$36,VLOOKUP('ELC_Gen-sdj'!$B25,'ELC_Gen-sdj'!$AA$4:$AC$19,3,FALSE))</f>
        <v>586.34887483453394</v>
      </c>
      <c r="Y25" s="34">
        <f>VLOOKUP(Y$22,ovrcst!$A$5:$W$36,VLOOKUP('ELC_Gen-sdj'!$B25,'ELC_Gen-sdj'!$AA$4:$AC$19,3,FALSE))</f>
        <v>580.84255956758295</v>
      </c>
      <c r="Z25" s="34">
        <f>VLOOKUP(Z$22,ovrcst!$A$5:$W$36,VLOOKUP('ELC_Gen-sdj'!$B25,'ELC_Gen-sdj'!$AA$4:$AC$19,3,FALSE))</f>
        <v>574.89064384468304</v>
      </c>
      <c r="AA25" s="34">
        <f>VLOOKUP(AA$22,ovrcst!$A$5:$W$36,VLOOKUP('ELC_Gen-sdj'!$B25,'ELC_Gen-sdj'!$AA$4:$AC$19,3,FALSE))</f>
        <v>569.79289785262495</v>
      </c>
      <c r="AB25" s="34">
        <f>VLOOKUP(AB$22,ovrcst!$A$5:$W$36,VLOOKUP('ELC_Gen-sdj'!$B25,'ELC_Gen-sdj'!$AA$4:$AC$19,3,FALSE))</f>
        <v>563.95538406383298</v>
      </c>
      <c r="AC25" s="34">
        <f>VLOOKUP(AC$22,ovrcst!$A$5:$W$36,VLOOKUP('ELC_Gen-sdj'!$B25,'ELC_Gen-sdj'!$AA$4:$AC$19,3,FALSE))</f>
        <v>558.83923463009296</v>
      </c>
      <c r="AD25" s="34">
        <f>VLOOKUP(AD$22,ovrcst!$A$5:$W$36,VLOOKUP('ELC_Gen-sdj'!$B25,'ELC_Gen-sdj'!$AA$4:$AC$19,3,FALSE))</f>
        <v>553.11769377849703</v>
      </c>
      <c r="AE25" s="34">
        <f>VLOOKUP(AE$22,ovrcst!$A$5:$W$36,VLOOKUP('ELC_Gen-sdj'!$B25,'ELC_Gen-sdj'!$AA$4:$AC$19,3,FALSE))</f>
        <v>547.891688115899</v>
      </c>
      <c r="AF25" s="34">
        <f>VLOOKUP(AF$22,ovrcst!$A$5:$W$36,VLOOKUP('ELC_Gen-sdj'!$B25,'ELC_Gen-sdj'!$AA$4:$AC$19,3,FALSE))</f>
        <v>542.64318282100305</v>
      </c>
      <c r="AG25" s="34">
        <f>VLOOKUP(AG$22,ovrcst!$A$5:$W$36,VLOOKUP('ELC_Gen-sdj'!$B25,'ELC_Gen-sdj'!$AA$4:$AC$19,3,FALSE))</f>
        <v>537.38222165024297</v>
      </c>
      <c r="AH25" s="34">
        <f>VLOOKUP(AH$22,ovrcst!$A$5:$W$36,VLOOKUP('ELC_Gen-sdj'!$B25,'ELC_Gen-sdj'!$AA$4:$AC$19,3,FALSE))</f>
        <v>532.15789913957894</v>
      </c>
    </row>
    <row r="26" spans="2:34">
      <c r="B26" t="str">
        <f t="shared" si="2"/>
        <v>EN_GasCC</v>
      </c>
      <c r="C26" s="34">
        <f>VLOOKUP(C$22,ovrcst!$A$5:$W$36,VLOOKUP('ELC_Gen-sdj'!$B26,'ELC_Gen-sdj'!$AA$4:$AC$19,3,FALSE))</f>
        <v>999.32722103014601</v>
      </c>
      <c r="D26" s="34">
        <f>VLOOKUP(D$22,ovrcst!$A$5:$W$36,VLOOKUP('ELC_Gen-sdj'!$B26,'ELC_Gen-sdj'!$AA$4:$AC$19,3,FALSE))</f>
        <v>990.01963397384702</v>
      </c>
      <c r="E26" s="34">
        <f>VLOOKUP(E$22,ovrcst!$A$5:$W$36,VLOOKUP('ELC_Gen-sdj'!$B26,'ELC_Gen-sdj'!$AA$4:$AC$19,3,FALSE))</f>
        <v>967.68334022919896</v>
      </c>
      <c r="F26" s="34">
        <f>VLOOKUP(F$22,ovrcst!$A$5:$W$36,VLOOKUP('ELC_Gen-sdj'!$B26,'ELC_Gen-sdj'!$AA$4:$AC$19,3,FALSE))</f>
        <v>954.46940256141295</v>
      </c>
      <c r="G26" s="34">
        <f>VLOOKUP(G$22,ovrcst!$A$5:$W$36,VLOOKUP('ELC_Gen-sdj'!$B26,'ELC_Gen-sdj'!$AA$4:$AC$19,3,FALSE))</f>
        <v>945.63998672144896</v>
      </c>
      <c r="H26" s="34">
        <f>VLOOKUP(H$22,ovrcst!$A$5:$W$36,VLOOKUP('ELC_Gen-sdj'!$B26,'ELC_Gen-sdj'!$AA$4:$AC$19,3,FALSE))</f>
        <v>938.87054374705303</v>
      </c>
      <c r="I26" s="34">
        <f>VLOOKUP(I$22,ovrcst!$A$5:$W$36,VLOOKUP('ELC_Gen-sdj'!$B26,'ELC_Gen-sdj'!$AA$4:$AC$19,3,FALSE))</f>
        <v>933.69142090120999</v>
      </c>
      <c r="J26" s="34">
        <f>VLOOKUP(J$22,ovrcst!$A$5:$W$36,VLOOKUP('ELC_Gen-sdj'!$B26,'ELC_Gen-sdj'!$AA$4:$AC$19,3,FALSE))</f>
        <v>926.25481828591205</v>
      </c>
      <c r="K26" s="34">
        <f>VLOOKUP(K$22,ovrcst!$A$5:$W$36,VLOOKUP('ELC_Gen-sdj'!$B26,'ELC_Gen-sdj'!$AA$4:$AC$19,3,FALSE))</f>
        <v>916.96743483406601</v>
      </c>
      <c r="L26" s="34">
        <f>VLOOKUP(L$22,ovrcst!$A$5:$W$36,VLOOKUP('ELC_Gen-sdj'!$B26,'ELC_Gen-sdj'!$AA$4:$AC$19,3,FALSE))</f>
        <v>906.34990041086496</v>
      </c>
      <c r="M26" s="34">
        <f>VLOOKUP(M$22,ovrcst!$A$5:$W$36,VLOOKUP('ELC_Gen-sdj'!$B26,'ELC_Gen-sdj'!$AA$4:$AC$19,3,FALSE))</f>
        <v>895.37335629817096</v>
      </c>
      <c r="N26" s="34">
        <f>VLOOKUP(N$22,ovrcst!$A$5:$W$36,VLOOKUP('ELC_Gen-sdj'!$B26,'ELC_Gen-sdj'!$AA$4:$AC$19,3,FALSE))</f>
        <v>885.89111010613203</v>
      </c>
      <c r="O26" s="34">
        <f>VLOOKUP(O$22,ovrcst!$A$5:$W$36,VLOOKUP('ELC_Gen-sdj'!$B26,'ELC_Gen-sdj'!$AA$4:$AC$19,3,FALSE))</f>
        <v>876.436935541293</v>
      </c>
      <c r="P26" s="34">
        <f>VLOOKUP(P$22,ovrcst!$A$5:$W$36,VLOOKUP('ELC_Gen-sdj'!$B26,'ELC_Gen-sdj'!$AA$4:$AC$19,3,FALSE))</f>
        <v>866.988047379411</v>
      </c>
      <c r="Q26" s="34">
        <f>VLOOKUP(Q$22,ovrcst!$A$5:$W$36,VLOOKUP('ELC_Gen-sdj'!$B26,'ELC_Gen-sdj'!$AA$4:$AC$19,3,FALSE))</f>
        <v>858.017564251831</v>
      </c>
      <c r="R26" s="34">
        <f>VLOOKUP(R$22,ovrcst!$A$5:$W$36,VLOOKUP('ELC_Gen-sdj'!$B26,'ELC_Gen-sdj'!$AA$4:$AC$19,3,FALSE))</f>
        <v>849.15749131602001</v>
      </c>
      <c r="S26" s="34">
        <f>VLOOKUP(S$22,ovrcst!$A$5:$W$36,VLOOKUP('ELC_Gen-sdj'!$B26,'ELC_Gen-sdj'!$AA$4:$AC$19,3,FALSE))</f>
        <v>839.74384038796495</v>
      </c>
      <c r="T26" s="34">
        <f>VLOOKUP(T$22,ovrcst!$A$5:$W$36,VLOOKUP('ELC_Gen-sdj'!$B26,'ELC_Gen-sdj'!$AA$4:$AC$19,3,FALSE))</f>
        <v>830.84095470859404</v>
      </c>
      <c r="U26" s="34">
        <f>VLOOKUP(U$22,ovrcst!$A$5:$W$36,VLOOKUP('ELC_Gen-sdj'!$B26,'ELC_Gen-sdj'!$AA$4:$AC$19,3,FALSE))</f>
        <v>822.08535991609494</v>
      </c>
      <c r="V26" s="34">
        <f>VLOOKUP(V$22,ovrcst!$A$5:$W$36,VLOOKUP('ELC_Gen-sdj'!$B26,'ELC_Gen-sdj'!$AA$4:$AC$19,3,FALSE))</f>
        <v>813.671039287192</v>
      </c>
      <c r="W26" s="34">
        <f>VLOOKUP(W$22,ovrcst!$A$5:$W$36,VLOOKUP('ELC_Gen-sdj'!$B26,'ELC_Gen-sdj'!$AA$4:$AC$19,3,FALSE))</f>
        <v>805.14542804083601</v>
      </c>
      <c r="X26" s="34">
        <f>VLOOKUP(X$22,ovrcst!$A$5:$W$36,VLOOKUP('ELC_Gen-sdj'!$B26,'ELC_Gen-sdj'!$AA$4:$AC$19,3,FALSE))</f>
        <v>796.93953640536199</v>
      </c>
      <c r="Y26" s="34">
        <f>VLOOKUP(Y$22,ovrcst!$A$5:$W$36,VLOOKUP('ELC_Gen-sdj'!$B26,'ELC_Gen-sdj'!$AA$4:$AC$19,3,FALSE))</f>
        <v>788.946595206251</v>
      </c>
      <c r="Z26" s="34">
        <f>VLOOKUP(Z$22,ovrcst!$A$5:$W$36,VLOOKUP('ELC_Gen-sdj'!$B26,'ELC_Gen-sdj'!$AA$4:$AC$19,3,FALSE))</f>
        <v>780.35638188343796</v>
      </c>
      <c r="AA26" s="34">
        <f>VLOOKUP(AA$22,ovrcst!$A$5:$W$36,VLOOKUP('ELC_Gen-sdj'!$B26,'ELC_Gen-sdj'!$AA$4:$AC$19,3,FALSE))</f>
        <v>772.93328682633</v>
      </c>
      <c r="AB26" s="34">
        <f>VLOOKUP(AB$22,ovrcst!$A$5:$W$36,VLOOKUP('ELC_Gen-sdj'!$B26,'ELC_Gen-sdj'!$AA$4:$AC$19,3,FALSE))</f>
        <v>764.51450248732306</v>
      </c>
      <c r="AC26" s="34">
        <f>VLOOKUP(AC$22,ovrcst!$A$5:$W$36,VLOOKUP('ELC_Gen-sdj'!$B26,'ELC_Gen-sdj'!$AA$4:$AC$19,3,FALSE))</f>
        <v>757.081012633868</v>
      </c>
      <c r="AD26" s="34">
        <f>VLOOKUP(AD$22,ovrcst!$A$5:$W$36,VLOOKUP('ELC_Gen-sdj'!$B26,'ELC_Gen-sdj'!$AA$4:$AC$19,3,FALSE))</f>
        <v>748.83530266437003</v>
      </c>
      <c r="AE26" s="34">
        <f>VLOOKUP(AE$22,ovrcst!$A$5:$W$36,VLOOKUP('ELC_Gen-sdj'!$B26,'ELC_Gen-sdj'!$AA$4:$AC$19,3,FALSE))</f>
        <v>741.26808817727795</v>
      </c>
      <c r="AF26" s="34">
        <f>VLOOKUP(AF$22,ovrcst!$A$5:$W$36,VLOOKUP('ELC_Gen-sdj'!$B26,'ELC_Gen-sdj'!$AA$4:$AC$19,3,FALSE))</f>
        <v>733.67790949416406</v>
      </c>
      <c r="AG26" s="34">
        <f>VLOOKUP(AG$22,ovrcst!$A$5:$W$36,VLOOKUP('ELC_Gen-sdj'!$B26,'ELC_Gen-sdj'!$AA$4:$AC$19,3,FALSE))</f>
        <v>726.07845218278203</v>
      </c>
      <c r="AH26" s="34">
        <f>VLOOKUP(AH$22,ovrcst!$A$5:$W$36,VLOOKUP('ELC_Gen-sdj'!$B26,'ELC_Gen-sdj'!$AA$4:$AC$19,3,FALSE))</f>
        <v>718.53584439077395</v>
      </c>
    </row>
    <row r="27" spans="2:34">
      <c r="B27" t="str">
        <f t="shared" si="2"/>
        <v>EN_GasCTAdv</v>
      </c>
      <c r="C27" s="34">
        <f>VLOOKUP(C$22,ovrcst!$A$5:$W$36,VLOOKUP('ELC_Gen-sdj'!$B27,'ELC_Gen-sdj'!$AA$4:$AC$19,3,FALSE))</f>
        <v>691.07681578878396</v>
      </c>
      <c r="D27" s="34">
        <f>VLOOKUP(D$22,ovrcst!$A$5:$W$36,VLOOKUP('ELC_Gen-sdj'!$B27,'ELC_Gen-sdj'!$AA$4:$AC$19,3,FALSE))</f>
        <v>683.76621123055702</v>
      </c>
      <c r="E27" s="34">
        <f>VLOOKUP(E$22,ovrcst!$A$5:$W$36,VLOOKUP('ELC_Gen-sdj'!$B27,'ELC_Gen-sdj'!$AA$4:$AC$19,3,FALSE))</f>
        <v>667.48039872330696</v>
      </c>
      <c r="F27" s="34">
        <f>VLOOKUP(F$22,ovrcst!$A$5:$W$36,VLOOKUP('ELC_Gen-sdj'!$B27,'ELC_Gen-sdj'!$AA$4:$AC$19,3,FALSE))</f>
        <v>657.51436560113495</v>
      </c>
      <c r="G27" s="34">
        <f>VLOOKUP(G$22,ovrcst!$A$5:$W$36,VLOOKUP('ELC_Gen-sdj'!$B27,'ELC_Gen-sdj'!$AA$4:$AC$19,3,FALSE))</f>
        <v>625.44563297699199</v>
      </c>
      <c r="H27" s="34">
        <f>VLOOKUP(H$22,ovrcst!$A$5:$W$36,VLOOKUP('ELC_Gen-sdj'!$B27,'ELC_Gen-sdj'!$AA$4:$AC$19,3,FALSE))</f>
        <v>612.365128735692</v>
      </c>
      <c r="I27" s="34">
        <f>VLOOKUP(I$22,ovrcst!$A$5:$W$36,VLOOKUP('ELC_Gen-sdj'!$B27,'ELC_Gen-sdj'!$AA$4:$AC$19,3,FALSE))</f>
        <v>599.880182823018</v>
      </c>
      <c r="J27" s="34">
        <f>VLOOKUP(J$22,ovrcst!$A$5:$W$36,VLOOKUP('ELC_Gen-sdj'!$B27,'ELC_Gen-sdj'!$AA$4:$AC$19,3,FALSE))</f>
        <v>586.79665335842799</v>
      </c>
      <c r="K27" s="34">
        <f>VLOOKUP(K$22,ovrcst!$A$5:$W$36,VLOOKUP('ELC_Gen-sdj'!$B27,'ELC_Gen-sdj'!$AA$4:$AC$19,3,FALSE))</f>
        <v>573.38688246717504</v>
      </c>
      <c r="L27" s="34">
        <f>VLOOKUP(L$22,ovrcst!$A$5:$W$36,VLOOKUP('ELC_Gen-sdj'!$B27,'ELC_Gen-sdj'!$AA$4:$AC$19,3,FALSE))</f>
        <v>563.08421888622399</v>
      </c>
      <c r="M27" s="34">
        <f>VLOOKUP(M$22,ovrcst!$A$5:$W$36,VLOOKUP('ELC_Gen-sdj'!$B27,'ELC_Gen-sdj'!$AA$4:$AC$19,3,FALSE))</f>
        <v>552.68940292531795</v>
      </c>
      <c r="N27" s="34">
        <f>VLOOKUP(N$22,ovrcst!$A$5:$W$36,VLOOKUP('ELC_Gen-sdj'!$B27,'ELC_Gen-sdj'!$AA$4:$AC$19,3,FALSE))</f>
        <v>545.18176316075005</v>
      </c>
      <c r="O27" s="34">
        <f>VLOOKUP(O$22,ovrcst!$A$5:$W$36,VLOOKUP('ELC_Gen-sdj'!$B27,'ELC_Gen-sdj'!$AA$4:$AC$19,3,FALSE))</f>
        <v>538.18215417600504</v>
      </c>
      <c r="P27" s="34">
        <f>VLOOKUP(P$22,ovrcst!$A$5:$W$36,VLOOKUP('ELC_Gen-sdj'!$B27,'ELC_Gen-sdj'!$AA$4:$AC$19,3,FALSE))</f>
        <v>530.05109484271497</v>
      </c>
      <c r="Q27" s="34">
        <f>VLOOKUP(Q$22,ovrcst!$A$5:$W$36,VLOOKUP('ELC_Gen-sdj'!$B27,'ELC_Gen-sdj'!$AA$4:$AC$19,3,FALSE))</f>
        <v>523.251718409148</v>
      </c>
      <c r="R27" s="34">
        <f>VLOOKUP(R$22,ovrcst!$A$5:$W$36,VLOOKUP('ELC_Gen-sdj'!$B27,'ELC_Gen-sdj'!$AA$4:$AC$19,3,FALSE))</f>
        <v>515.81087957852696</v>
      </c>
      <c r="S27" s="34">
        <f>VLOOKUP(S$22,ovrcst!$A$5:$W$36,VLOOKUP('ELC_Gen-sdj'!$B27,'ELC_Gen-sdj'!$AA$4:$AC$19,3,FALSE))</f>
        <v>508.97975794471898</v>
      </c>
      <c r="T27" s="34">
        <f>VLOOKUP(T$22,ovrcst!$A$5:$W$36,VLOOKUP('ELC_Gen-sdj'!$B27,'ELC_Gen-sdj'!$AA$4:$AC$19,3,FALSE))</f>
        <v>501.934129832032</v>
      </c>
      <c r="U27" s="34">
        <f>VLOOKUP(U$22,ovrcst!$A$5:$W$36,VLOOKUP('ELC_Gen-sdj'!$B27,'ELC_Gen-sdj'!$AA$4:$AC$19,3,FALSE))</f>
        <v>496.130374588873</v>
      </c>
      <c r="V27" s="34">
        <f>VLOOKUP(V$22,ovrcst!$A$5:$W$36,VLOOKUP('ELC_Gen-sdj'!$B27,'ELC_Gen-sdj'!$AA$4:$AC$19,3,FALSE))</f>
        <v>491.60428881995699</v>
      </c>
      <c r="W27" s="34">
        <f>VLOOKUP(W$22,ovrcst!$A$5:$W$36,VLOOKUP('ELC_Gen-sdj'!$B27,'ELC_Gen-sdj'!$AA$4:$AC$19,3,FALSE))</f>
        <v>487.00232364089402</v>
      </c>
      <c r="X27" s="34">
        <f>VLOOKUP(X$22,ovrcst!$A$5:$W$36,VLOOKUP('ELC_Gen-sdj'!$B27,'ELC_Gen-sdj'!$AA$4:$AC$19,3,FALSE))</f>
        <v>482.585346095273</v>
      </c>
      <c r="Y27" s="34">
        <f>VLOOKUP(Y$22,ovrcst!$A$5:$W$36,VLOOKUP('ELC_Gen-sdj'!$B27,'ELC_Gen-sdj'!$AA$4:$AC$19,3,FALSE))</f>
        <v>478.288981788792</v>
      </c>
      <c r="Z27" s="34">
        <f>VLOOKUP(Z$22,ovrcst!$A$5:$W$36,VLOOKUP('ELC_Gen-sdj'!$B27,'ELC_Gen-sdj'!$AA$4:$AC$19,3,FALSE))</f>
        <v>473.62192940771502</v>
      </c>
      <c r="AA27" s="34">
        <f>VLOOKUP(AA$22,ovrcst!$A$5:$W$36,VLOOKUP('ELC_Gen-sdj'!$B27,'ELC_Gen-sdj'!$AA$4:$AC$19,3,FALSE))</f>
        <v>469.65517412339602</v>
      </c>
      <c r="AB27" s="34">
        <f>VLOOKUP(AB$22,ovrcst!$A$5:$W$36,VLOOKUP('ELC_Gen-sdj'!$B27,'ELC_Gen-sdj'!$AA$4:$AC$19,3,FALSE))</f>
        <v>465.07507586444302</v>
      </c>
      <c r="AC27" s="34">
        <f>VLOOKUP(AC$22,ovrcst!$A$5:$W$36,VLOOKUP('ELC_Gen-sdj'!$B27,'ELC_Gen-sdj'!$AA$4:$AC$19,3,FALSE))</f>
        <v>461.08628247390999</v>
      </c>
      <c r="AD27" s="34">
        <f>VLOOKUP(AD$22,ovrcst!$A$5:$W$36,VLOOKUP('ELC_Gen-sdj'!$B27,'ELC_Gen-sdj'!$AA$4:$AC$19,3,FALSE))</f>
        <v>456.59451063224702</v>
      </c>
      <c r="AE27" s="34">
        <f>VLOOKUP(AE$22,ovrcst!$A$5:$W$36,VLOOKUP('ELC_Gen-sdj'!$B27,'ELC_Gen-sdj'!$AA$4:$AC$19,3,FALSE))</f>
        <v>452.508084100085</v>
      </c>
      <c r="AF27" s="34">
        <f>VLOOKUP(AF$22,ovrcst!$A$5:$W$36,VLOOKUP('ELC_Gen-sdj'!$B27,'ELC_Gen-sdj'!$AA$4:$AC$19,3,FALSE))</f>
        <v>448.39967652374298</v>
      </c>
      <c r="AG27" s="34">
        <f>VLOOKUP(AG$22,ovrcst!$A$5:$W$36,VLOOKUP('ELC_Gen-sdj'!$B27,'ELC_Gen-sdj'!$AA$4:$AC$19,3,FALSE))</f>
        <v>444.27762270208399</v>
      </c>
      <c r="AH27" s="34">
        <f>VLOOKUP(AH$22,ovrcst!$A$5:$W$36,VLOOKUP('ELC_Gen-sdj'!$B27,'ELC_Gen-sdj'!$AA$4:$AC$19,3,FALSE))</f>
        <v>440.18226175197299</v>
      </c>
    </row>
    <row r="28" spans="2:34">
      <c r="B28" t="str">
        <f t="shared" si="2"/>
        <v>EN_GasCT</v>
      </c>
      <c r="C28" s="34">
        <f>VLOOKUP(C$22,ovrcst!$A$5:$W$36,VLOOKUP('ELC_Gen-sdj'!$B28,'ELC_Gen-sdj'!$AA$4:$AC$19,3,FALSE))</f>
        <v>1126.00240868118</v>
      </c>
      <c r="D28" s="34">
        <f>VLOOKUP(D$22,ovrcst!$A$5:$W$36,VLOOKUP('ELC_Gen-sdj'!$B28,'ELC_Gen-sdj'!$AA$4:$AC$19,3,FALSE))</f>
        <v>1115.5153164235401</v>
      </c>
      <c r="E28" s="34">
        <f>VLOOKUP(E$22,ovrcst!$A$5:$W$36,VLOOKUP('ELC_Gen-sdj'!$B28,'ELC_Gen-sdj'!$AA$4:$AC$19,3,FALSE))</f>
        <v>1090.3474355472399</v>
      </c>
      <c r="F28" s="34">
        <f>VLOOKUP(F$22,ovrcst!$A$5:$W$36,VLOOKUP('ELC_Gen-sdj'!$B28,'ELC_Gen-sdj'!$AA$4:$AC$19,3,FALSE))</f>
        <v>1075.45842589533</v>
      </c>
      <c r="G28" s="34">
        <f>VLOOKUP(G$22,ovrcst!$A$5:$W$36,VLOOKUP('ELC_Gen-sdj'!$B28,'ELC_Gen-sdj'!$AA$4:$AC$19,3,FALSE))</f>
        <v>1065.5099575376801</v>
      </c>
      <c r="H28" s="34">
        <f>VLOOKUP(H$22,ovrcst!$A$5:$W$36,VLOOKUP('ELC_Gen-sdj'!$B28,'ELC_Gen-sdj'!$AA$4:$AC$19,3,FALSE))</f>
        <v>1057.8823556940199</v>
      </c>
      <c r="I28" s="34">
        <f>VLOOKUP(I$22,ovrcst!$A$5:$W$36,VLOOKUP('ELC_Gen-sdj'!$B28,'ELC_Gen-sdj'!$AA$4:$AC$19,3,FALSE))</f>
        <v>1052.04678877528</v>
      </c>
      <c r="J28" s="34">
        <f>VLOOKUP(J$22,ovrcst!$A$5:$W$36,VLOOKUP('ELC_Gen-sdj'!$B28,'ELC_Gen-sdj'!$AA$4:$AC$19,3,FALSE))</f>
        <v>1043.6674434552101</v>
      </c>
      <c r="K28" s="34">
        <f>VLOOKUP(K$22,ovrcst!$A$5:$W$36,VLOOKUP('ELC_Gen-sdj'!$B28,'ELC_Gen-sdj'!$AA$4:$AC$19,3,FALSE))</f>
        <v>1033.2027351233901</v>
      </c>
      <c r="L28" s="34">
        <f>VLOOKUP(L$22,ovrcst!$A$5:$W$36,VLOOKUP('ELC_Gen-sdj'!$B28,'ELC_Gen-sdj'!$AA$4:$AC$19,3,FALSE))</f>
        <v>1021.23943742682</v>
      </c>
      <c r="M28" s="34">
        <f>VLOOKUP(M$22,ovrcst!$A$5:$W$36,VLOOKUP('ELC_Gen-sdj'!$B28,'ELC_Gen-sdj'!$AA$4:$AC$19,3,FALSE))</f>
        <v>1008.87135522222</v>
      </c>
      <c r="N28" s="34">
        <f>VLOOKUP(N$22,ovrcst!$A$5:$W$36,VLOOKUP('ELC_Gen-sdj'!$B28,'ELC_Gen-sdj'!$AA$4:$AC$19,3,FALSE))</f>
        <v>998.18723246161096</v>
      </c>
      <c r="O28" s="34">
        <f>VLOOKUP(O$22,ovrcst!$A$5:$W$36,VLOOKUP('ELC_Gen-sdj'!$B28,'ELC_Gen-sdj'!$AA$4:$AC$19,3,FALSE))</f>
        <v>987.53447221994099</v>
      </c>
      <c r="P28" s="34">
        <f>VLOOKUP(P$22,ovrcst!$A$5:$W$36,VLOOKUP('ELC_Gen-sdj'!$B28,'ELC_Gen-sdj'!$AA$4:$AC$19,3,FALSE))</f>
        <v>976.88806508978598</v>
      </c>
      <c r="Q28" s="34">
        <f>VLOOKUP(Q$22,ovrcst!$A$5:$W$36,VLOOKUP('ELC_Gen-sdj'!$B28,'ELC_Gen-sdj'!$AA$4:$AC$19,3,FALSE))</f>
        <v>966.78039933298101</v>
      </c>
      <c r="R28" s="34">
        <f>VLOOKUP(R$22,ovrcst!$A$5:$W$36,VLOOKUP('ELC_Gen-sdj'!$B28,'ELC_Gen-sdj'!$AA$4:$AC$19,3,FALSE))</f>
        <v>956.797188471185</v>
      </c>
      <c r="S28" s="34">
        <f>VLOOKUP(S$22,ovrcst!$A$5:$W$36,VLOOKUP('ELC_Gen-sdj'!$B28,'ELC_Gen-sdj'!$AA$4:$AC$19,3,FALSE))</f>
        <v>946.19030395990296</v>
      </c>
      <c r="T28" s="34">
        <f>VLOOKUP(T$22,ovrcst!$A$5:$W$36,VLOOKUP('ELC_Gen-sdj'!$B28,'ELC_Gen-sdj'!$AA$4:$AC$19,3,FALSE))</f>
        <v>936.15888509196395</v>
      </c>
      <c r="U28" s="34">
        <f>VLOOKUP(U$22,ovrcst!$A$5:$W$36,VLOOKUP('ELC_Gen-sdj'!$B28,'ELC_Gen-sdj'!$AA$4:$AC$19,3,FALSE))</f>
        <v>926.29330898547005</v>
      </c>
      <c r="V28" s="34">
        <f>VLOOKUP(V$22,ovrcst!$A$5:$W$36,VLOOKUP('ELC_Gen-sdj'!$B28,'ELC_Gen-sdj'!$AA$4:$AC$19,3,FALSE))</f>
        <v>916.81252304101304</v>
      </c>
      <c r="W28" s="34">
        <f>VLOOKUP(W$22,ovrcst!$A$5:$W$36,VLOOKUP('ELC_Gen-sdj'!$B28,'ELC_Gen-sdj'!$AA$4:$AC$19,3,FALSE))</f>
        <v>907.20611701873702</v>
      </c>
      <c r="X28" s="34">
        <f>VLOOKUP(X$22,ovrcst!$A$5:$W$36,VLOOKUP('ELC_Gen-sdj'!$B28,'ELC_Gen-sdj'!$AA$4:$AC$19,3,FALSE))</f>
        <v>897.96013355669197</v>
      </c>
      <c r="Y28" s="34">
        <f>VLOOKUP(Y$22,ovrcst!$A$5:$W$36,VLOOKUP('ELC_Gen-sdj'!$B28,'ELC_Gen-sdj'!$AA$4:$AC$19,3,FALSE))</f>
        <v>888.95396763847998</v>
      </c>
      <c r="Z28" s="34">
        <f>VLOOKUP(Z$22,ovrcst!$A$5:$W$36,VLOOKUP('ELC_Gen-sdj'!$B28,'ELC_Gen-sdj'!$AA$4:$AC$19,3,FALSE))</f>
        <v>879.274869489975</v>
      </c>
      <c r="AA28" s="34">
        <f>VLOOKUP(AA$22,ovrcst!$A$5:$W$36,VLOOKUP('ELC_Gen-sdj'!$B28,'ELC_Gen-sdj'!$AA$4:$AC$19,3,FALSE))</f>
        <v>870.91085587452699</v>
      </c>
      <c r="AB28" s="34">
        <f>VLOOKUP(AB$22,ovrcst!$A$5:$W$36,VLOOKUP('ELC_Gen-sdj'!$B28,'ELC_Gen-sdj'!$AA$4:$AC$19,3,FALSE))</f>
        <v>861.42476548308298</v>
      </c>
      <c r="AC28" s="34">
        <f>VLOOKUP(AC$22,ovrcst!$A$5:$W$36,VLOOKUP('ELC_Gen-sdj'!$B28,'ELC_Gen-sdj'!$AA$4:$AC$19,3,FALSE))</f>
        <v>853.04909335406501</v>
      </c>
      <c r="AD28" s="34">
        <f>VLOOKUP(AD$22,ovrcst!$A$5:$W$36,VLOOKUP('ELC_Gen-sdj'!$B28,'ELC_Gen-sdj'!$AA$4:$AC$19,3,FALSE))</f>
        <v>843.75828282616101</v>
      </c>
      <c r="AE28" s="34">
        <f>VLOOKUP(AE$22,ovrcst!$A$5:$W$36,VLOOKUP('ELC_Gen-sdj'!$B28,'ELC_Gen-sdj'!$AA$4:$AC$19,3,FALSE))</f>
        <v>835.23163261213006</v>
      </c>
      <c r="AF28" s="34">
        <f>VLOOKUP(AF$22,ovrcst!$A$5:$W$36,VLOOKUP('ELC_Gen-sdj'!$B28,'ELC_Gen-sdj'!$AA$4:$AC$19,3,FALSE))</f>
        <v>826.67939135434403</v>
      </c>
      <c r="AG28" s="34">
        <f>VLOOKUP(AG$22,ovrcst!$A$5:$W$36,VLOOKUP('ELC_Gen-sdj'!$B28,'ELC_Gen-sdj'!$AA$4:$AC$19,3,FALSE))</f>
        <v>818.11654120258299</v>
      </c>
      <c r="AH28" s="34">
        <f>VLOOKUP(AH$22,ovrcst!$A$5:$W$36,VLOOKUP('ELC_Gen-sdj'!$B28,'ELC_Gen-sdj'!$AA$4:$AC$19,3,FALSE))</f>
        <v>809.61792891620803</v>
      </c>
    </row>
    <row r="29" spans="2:34">
      <c r="B29" t="str">
        <f t="shared" si="2"/>
        <v>EN_Biomass</v>
      </c>
      <c r="C29" s="34">
        <f>VLOOKUP(C$22,ovrcst!$A$5:$W$36,VLOOKUP('ELC_Gen-sdj'!$B29,'ELC_Gen-sdj'!$AA$4:$AC$19,3,FALSE))</f>
        <v>3899.5782844311402</v>
      </c>
      <c r="D29" s="34">
        <f>VLOOKUP(D$22,ovrcst!$A$5:$W$36,VLOOKUP('ELC_Gen-sdj'!$B29,'ELC_Gen-sdj'!$AA$4:$AC$19,3,FALSE))</f>
        <v>3858.23884431138</v>
      </c>
      <c r="E29" s="34">
        <f>VLOOKUP(E$22,ovrcst!$A$5:$W$36,VLOOKUP('ELC_Gen-sdj'!$B29,'ELC_Gen-sdj'!$AA$4:$AC$19,3,FALSE))</f>
        <v>3756.43707684631</v>
      </c>
      <c r="F29" s="34">
        <f>VLOOKUP(F$22,ovrcst!$A$5:$W$36,VLOOKUP('ELC_Gen-sdj'!$B29,'ELC_Gen-sdj'!$AA$4:$AC$19,3,FALSE))</f>
        <v>3698.7399710578802</v>
      </c>
      <c r="G29" s="34">
        <f>VLOOKUP(G$22,ovrcst!$A$5:$W$36,VLOOKUP('ELC_Gen-sdj'!$B29,'ELC_Gen-sdj'!$AA$4:$AC$19,3,FALSE))</f>
        <v>3659.7218163672701</v>
      </c>
      <c r="H29" s="34">
        <f>VLOOKUP(H$22,ovrcst!$A$5:$W$36,VLOOKUP('ELC_Gen-sdj'!$B29,'ELC_Gen-sdj'!$AA$4:$AC$19,3,FALSE))</f>
        <v>3628.7298453093799</v>
      </c>
      <c r="I29" s="34">
        <f>VLOOKUP(I$22,ovrcst!$A$5:$W$36,VLOOKUP('ELC_Gen-sdj'!$B29,'ELC_Gen-sdj'!$AA$4:$AC$19,3,FALSE))</f>
        <v>3603.9215518962101</v>
      </c>
      <c r="J29" s="34">
        <f>VLOOKUP(J$22,ovrcst!$A$5:$W$36,VLOOKUP('ELC_Gen-sdj'!$B29,'ELC_Gen-sdj'!$AA$4:$AC$19,3,FALSE))</f>
        <v>3570.4401746507001</v>
      </c>
      <c r="K29" s="34">
        <f>VLOOKUP(K$22,ovrcst!$A$5:$W$36,VLOOKUP('ELC_Gen-sdj'!$B29,'ELC_Gen-sdj'!$AA$4:$AC$19,3,FALSE))</f>
        <v>3529.88627245509</v>
      </c>
      <c r="L29" s="34">
        <f>VLOOKUP(L$22,ovrcst!$A$5:$W$36,VLOOKUP('ELC_Gen-sdj'!$B29,'ELC_Gen-sdj'!$AA$4:$AC$19,3,FALSE))</f>
        <v>3484.2914271457098</v>
      </c>
      <c r="M29" s="34">
        <f>VLOOKUP(M$22,ovrcst!$A$5:$W$36,VLOOKUP('ELC_Gen-sdj'!$B29,'ELC_Gen-sdj'!$AA$4:$AC$19,3,FALSE))</f>
        <v>3437.4040009979999</v>
      </c>
      <c r="N29" s="34">
        <f>VLOOKUP(N$22,ovrcst!$A$5:$W$36,VLOOKUP('ELC_Gen-sdj'!$B29,'ELC_Gen-sdj'!$AA$4:$AC$19,3,FALSE))</f>
        <v>3396.3367215568901</v>
      </c>
      <c r="O29" s="34">
        <f>VLOOKUP(O$22,ovrcst!$A$5:$W$36,VLOOKUP('ELC_Gen-sdj'!$B29,'ELC_Gen-sdj'!$AA$4:$AC$19,3,FALSE))</f>
        <v>3355.45291217565</v>
      </c>
      <c r="P29" s="34">
        <f>VLOOKUP(P$22,ovrcst!$A$5:$W$36,VLOOKUP('ELC_Gen-sdj'!$B29,'ELC_Gen-sdj'!$AA$4:$AC$19,3,FALSE))</f>
        <v>3314.6660778443102</v>
      </c>
      <c r="Q29" s="34">
        <f>VLOOKUP(Q$22,ovrcst!$A$5:$W$36,VLOOKUP('ELC_Gen-sdj'!$B29,'ELC_Gen-sdj'!$AA$4:$AC$19,3,FALSE))</f>
        <v>3275.7814451097802</v>
      </c>
      <c r="R29" s="34">
        <f>VLOOKUP(R$22,ovrcst!$A$5:$W$36,VLOOKUP('ELC_Gen-sdj'!$B29,'ELC_Gen-sdj'!$AA$4:$AC$19,3,FALSE))</f>
        <v>3237.3902095808398</v>
      </c>
      <c r="S29" s="34">
        <f>VLOOKUP(S$22,ovrcst!$A$5:$W$36,VLOOKUP('ELC_Gen-sdj'!$B29,'ELC_Gen-sdj'!$AA$4:$AC$19,3,FALSE))</f>
        <v>3196.9632514970099</v>
      </c>
      <c r="T29" s="34">
        <f>VLOOKUP(T$22,ovrcst!$A$5:$W$36,VLOOKUP('ELC_Gen-sdj'!$B29,'ELC_Gen-sdj'!$AA$4:$AC$19,3,FALSE))</f>
        <v>3158.5559351297402</v>
      </c>
      <c r="U29" s="34">
        <f>VLOOKUP(U$22,ovrcst!$A$5:$W$36,VLOOKUP('ELC_Gen-sdj'!$B29,'ELC_Gen-sdj'!$AA$4:$AC$19,3,FALSE))</f>
        <v>3120.7811427145698</v>
      </c>
      <c r="V29" s="34">
        <f>VLOOKUP(V$22,ovrcst!$A$5:$W$36,VLOOKUP('ELC_Gen-sdj'!$B29,'ELC_Gen-sdj'!$AA$4:$AC$19,3,FALSE))</f>
        <v>3084.3722714570899</v>
      </c>
      <c r="W29" s="34">
        <f>VLOOKUP(W$22,ovrcst!$A$5:$W$36,VLOOKUP('ELC_Gen-sdj'!$B29,'ELC_Gen-sdj'!$AA$4:$AC$19,3,FALSE))</f>
        <v>3047.61058982036</v>
      </c>
      <c r="X29" s="34">
        <f>VLOOKUP(X$22,ovrcst!$A$5:$W$36,VLOOKUP('ELC_Gen-sdj'!$B29,'ELC_Gen-sdj'!$AA$4:$AC$19,3,FALSE))</f>
        <v>3012.1285748503001</v>
      </c>
      <c r="Y29" s="34">
        <f>VLOOKUP(Y$22,ovrcst!$A$5:$W$36,VLOOKUP('ELC_Gen-sdj'!$B29,'ELC_Gen-sdj'!$AA$4:$AC$19,3,FALSE))</f>
        <v>2977.51762075848</v>
      </c>
      <c r="Z29" s="34">
        <f>VLOOKUP(Z$22,ovrcst!$A$5:$W$36,VLOOKUP('ELC_Gen-sdj'!$B29,'ELC_Gen-sdj'!$AA$4:$AC$19,3,FALSE))</f>
        <v>2940.72134031936</v>
      </c>
      <c r="AA29" s="34">
        <f>VLOOKUP(AA$22,ovrcst!$A$5:$W$36,VLOOKUP('ELC_Gen-sdj'!$B29,'ELC_Gen-sdj'!$AA$4:$AC$19,3,FALSE))</f>
        <v>2908.3909820359299</v>
      </c>
      <c r="AB29" s="34">
        <f>VLOOKUP(AB$22,ovrcst!$A$5:$W$36,VLOOKUP('ELC_Gen-sdj'!$B29,'ELC_Gen-sdj'!$AA$4:$AC$19,3,FALSE))</f>
        <v>2872.3790209580802</v>
      </c>
      <c r="AC29" s="34">
        <f>VLOOKUP(AC$22,ovrcst!$A$5:$W$36,VLOOKUP('ELC_Gen-sdj'!$B29,'ELC_Gen-sdj'!$AA$4:$AC$19,3,FALSE))</f>
        <v>2840.1363772455102</v>
      </c>
      <c r="AD29" s="34">
        <f>VLOOKUP(AD$22,ovrcst!$A$5:$W$36,VLOOKUP('ELC_Gen-sdj'!$B29,'ELC_Gen-sdj'!$AA$4:$AC$19,3,FALSE))</f>
        <v>2804.91263572854</v>
      </c>
      <c r="AE29" s="34">
        <f>VLOOKUP(AE$22,ovrcst!$A$5:$W$36,VLOOKUP('ELC_Gen-sdj'!$B29,'ELC_Gen-sdj'!$AA$4:$AC$19,3,FALSE))</f>
        <v>2772.2981766467101</v>
      </c>
      <c r="AF29" s="34">
        <f>VLOOKUP(AF$22,ovrcst!$A$5:$W$36,VLOOKUP('ELC_Gen-sdj'!$B29,'ELC_Gen-sdj'!$AA$4:$AC$19,3,FALSE))</f>
        <v>2739.6620329341299</v>
      </c>
      <c r="AG29" s="34">
        <f>VLOOKUP(AG$22,ovrcst!$A$5:$W$36,VLOOKUP('ELC_Gen-sdj'!$B29,'ELC_Gen-sdj'!$AA$4:$AC$19,3,FALSE))</f>
        <v>2707.05610279441</v>
      </c>
      <c r="AH29" s="3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4">
        <f>VLOOKUP(C$22,ovrcst!$A$5:$W$36,VLOOKUP('ELC_Gen-sdj'!$B30,'ELC_Gen-sdj'!$AA$4:$AC$19,3,FALSE))</f>
        <v>5715.7879928716902</v>
      </c>
      <c r="D30" s="34">
        <f>VLOOKUP(D$22,ovrcst!$A$5:$W$36,VLOOKUP('ELC_Gen-sdj'!$B30,'ELC_Gen-sdj'!$AA$4:$AC$19,3,FALSE))</f>
        <v>5651.6864103869602</v>
      </c>
      <c r="E30" s="34">
        <f>VLOOKUP(E$22,ovrcst!$A$5:$W$36,VLOOKUP('ELC_Gen-sdj'!$B30,'ELC_Gen-sdj'!$AA$4:$AC$19,3,FALSE))</f>
        <v>5513.4993360488797</v>
      </c>
      <c r="F30" s="34">
        <f>VLOOKUP(F$22,ovrcst!$A$5:$W$36,VLOOKUP('ELC_Gen-sdj'!$B30,'ELC_Gen-sdj'!$AA$4:$AC$19,3,FALSE))</f>
        <v>5427.6274704684301</v>
      </c>
      <c r="G30" s="34">
        <f>VLOOKUP(G$22,ovrcst!$A$5:$W$36,VLOOKUP('ELC_Gen-sdj'!$B30,'ELC_Gen-sdj'!$AA$4:$AC$19,3,FALSE))</f>
        <v>5366.8807077393103</v>
      </c>
      <c r="H30" s="34">
        <f>VLOOKUP(H$22,ovrcst!$A$5:$W$36,VLOOKUP('ELC_Gen-sdj'!$B30,'ELC_Gen-sdj'!$AA$4:$AC$19,3,FALSE))</f>
        <v>5317.9441863543798</v>
      </c>
      <c r="I30" s="34">
        <f>VLOOKUP(I$22,ovrcst!$A$5:$W$36,VLOOKUP('ELC_Gen-sdj'!$B30,'ELC_Gen-sdj'!$AA$4:$AC$19,3,FALSE))</f>
        <v>5278.0965580448101</v>
      </c>
      <c r="J30" s="34">
        <f>VLOOKUP(J$22,ovrcst!$A$5:$W$36,VLOOKUP('ELC_Gen-sdj'!$B30,'ELC_Gen-sdj'!$AA$4:$AC$19,3,FALSE))</f>
        <v>5225.5754959266797</v>
      </c>
      <c r="K30" s="34">
        <f>VLOOKUP(K$22,ovrcst!$A$5:$W$36,VLOOKUP('ELC_Gen-sdj'!$B30,'ELC_Gen-sdj'!$AA$4:$AC$19,3,FALSE))</f>
        <v>5162.7493116089599</v>
      </c>
      <c r="L30" s="34">
        <f>VLOOKUP(L$22,ovrcst!$A$5:$W$36,VLOOKUP('ELC_Gen-sdj'!$B30,'ELC_Gen-sdj'!$AA$4:$AC$19,3,FALSE))</f>
        <v>5092.6073625254603</v>
      </c>
      <c r="M30" s="34">
        <f>VLOOKUP(M$22,ovrcst!$A$5:$W$36,VLOOKUP('ELC_Gen-sdj'!$B30,'ELC_Gen-sdj'!$AA$4:$AC$19,3,FALSE))</f>
        <v>5020.6420651731196</v>
      </c>
      <c r="N30" s="34">
        <f>VLOOKUP(N$22,ovrcst!$A$5:$W$36,VLOOKUP('ELC_Gen-sdj'!$B30,'ELC_Gen-sdj'!$AA$4:$AC$19,3,FALSE))</f>
        <v>4957.2380977596704</v>
      </c>
      <c r="O30" s="34">
        <f>VLOOKUP(O$22,ovrcst!$A$5:$W$36,VLOOKUP('ELC_Gen-sdj'!$B30,'ELC_Gen-sdj'!$AA$4:$AC$19,3,FALSE))</f>
        <v>4894.1573319755598</v>
      </c>
      <c r="P30" s="34">
        <f>VLOOKUP(P$22,ovrcst!$A$5:$W$36,VLOOKUP('ELC_Gen-sdj'!$B30,'ELC_Gen-sdj'!$AA$4:$AC$19,3,FALSE))</f>
        <v>4831.2734694500996</v>
      </c>
      <c r="Q30" s="34">
        <f>VLOOKUP(Q$22,ovrcst!$A$5:$W$36,VLOOKUP('ELC_Gen-sdj'!$B30,'ELC_Gen-sdj'!$AA$4:$AC$19,3,FALSE))</f>
        <v>4771.2183564154802</v>
      </c>
      <c r="R30" s="34">
        <f>VLOOKUP(R$22,ovrcst!$A$5:$W$36,VLOOKUP('ELC_Gen-sdj'!$B30,'ELC_Gen-sdj'!$AA$4:$AC$19,3,FALSE))</f>
        <v>4711.93395213849</v>
      </c>
      <c r="S30" s="34">
        <f>VLOOKUP(S$22,ovrcst!$A$5:$W$36,VLOOKUP('ELC_Gen-sdj'!$B30,'ELC_Gen-sdj'!$AA$4:$AC$19,3,FALSE))</f>
        <v>4649.7412403258704</v>
      </c>
      <c r="T30" s="34">
        <f>VLOOKUP(T$22,ovrcst!$A$5:$W$36,VLOOKUP('ELC_Gen-sdj'!$B30,'ELC_Gen-sdj'!$AA$4:$AC$19,3,FALSE))</f>
        <v>4590.5418625254597</v>
      </c>
      <c r="U30" s="34">
        <f>VLOOKUP(U$22,ovrcst!$A$5:$W$36,VLOOKUP('ELC_Gen-sdj'!$B30,'ELC_Gen-sdj'!$AA$4:$AC$19,3,FALSE))</f>
        <v>4532.3150692464396</v>
      </c>
      <c r="V30" s="34">
        <f>VLOOKUP(V$22,ovrcst!$A$5:$W$36,VLOOKUP('ELC_Gen-sdj'!$B30,'ELC_Gen-sdj'!$AA$4:$AC$19,3,FALSE))</f>
        <v>4476.12543380855</v>
      </c>
      <c r="W30" s="34">
        <f>VLOOKUP(W$22,ovrcst!$A$5:$W$36,VLOOKUP('ELC_Gen-sdj'!$B30,'ELC_Gen-sdj'!$AA$4:$AC$19,3,FALSE))</f>
        <v>4419.4743665987799</v>
      </c>
      <c r="X30" s="34">
        <f>VLOOKUP(X$22,ovrcst!$A$5:$W$36,VLOOKUP('ELC_Gen-sdj'!$B30,'ELC_Gen-sdj'!$AA$4:$AC$19,3,FALSE))</f>
        <v>4364.7306792260697</v>
      </c>
      <c r="Y30" s="34">
        <f>VLOOKUP(Y$22,ovrcst!$A$5:$W$36,VLOOKUP('ELC_Gen-sdj'!$B30,'ELC_Gen-sdj'!$AA$4:$AC$19,3,FALSE))</f>
        <v>4311.2981914460297</v>
      </c>
      <c r="Z30" s="34">
        <f>VLOOKUP(Z$22,ovrcst!$A$5:$W$36,VLOOKUP('ELC_Gen-sdj'!$B30,'ELC_Gen-sdj'!$AA$4:$AC$19,3,FALSE))</f>
        <v>4254.7545264765804</v>
      </c>
      <c r="AA30" s="34">
        <f>VLOOKUP(AA$22,ovrcst!$A$5:$W$36,VLOOKUP('ELC_Gen-sdj'!$B30,'ELC_Gen-sdj'!$AA$4:$AC$19,3,FALSE))</f>
        <v>4204.7201181262699</v>
      </c>
      <c r="AB30" s="34">
        <f>VLOOKUP(AB$22,ovrcst!$A$5:$W$36,VLOOKUP('ELC_Gen-sdj'!$B30,'ELC_Gen-sdj'!$AA$4:$AC$19,3,FALSE))</f>
        <v>4149.4130682281102</v>
      </c>
      <c r="AC30" s="34">
        <f>VLOOKUP(AC$22,ovrcst!$A$5:$W$36,VLOOKUP('ELC_Gen-sdj'!$B30,'ELC_Gen-sdj'!$AA$4:$AC$19,3,FALSE))</f>
        <v>4099.6024134419504</v>
      </c>
      <c r="AD30" s="34">
        <f>VLOOKUP(AD$22,ovrcst!$A$5:$W$36,VLOOKUP('ELC_Gen-sdj'!$B30,'ELC_Gen-sdj'!$AA$4:$AC$19,3,FALSE))</f>
        <v>4045.53744704684</v>
      </c>
      <c r="AE30" s="34">
        <f>VLOOKUP(AE$22,ovrcst!$A$5:$W$36,VLOOKUP('ELC_Gen-sdj'!$B30,'ELC_Gen-sdj'!$AA$4:$AC$19,3,FALSE))</f>
        <v>3995.2867433808601</v>
      </c>
      <c r="AF30" s="34">
        <f>VLOOKUP(AF$22,ovrcst!$A$5:$W$36,VLOOKUP('ELC_Gen-sdj'!$B30,'ELC_Gen-sdj'!$AA$4:$AC$19,3,FALSE))</f>
        <v>3945.0531934826899</v>
      </c>
      <c r="AG30" s="34">
        <f>VLOOKUP(AG$22,ovrcst!$A$5:$W$36,VLOOKUP('ELC_Gen-sdj'!$B30,'ELC_Gen-sdj'!$AA$4:$AC$19,3,FALSE))</f>
        <v>3894.9128747454201</v>
      </c>
      <c r="AH30" s="34">
        <f>VLOOKUP(AH$22,ovrcst!$A$5:$W$36,VLOOKUP('ELC_Gen-sdj'!$B30,'ELC_Gen-sdj'!$AA$4:$AC$19,3,FALSE))</f>
        <v>3845.2213075356399</v>
      </c>
    </row>
    <row r="31" spans="2:34">
      <c r="B31" s="3" t="str">
        <f t="shared" si="2"/>
        <v>EN_OilCCAdv</v>
      </c>
      <c r="C31" s="37">
        <f>C25*1.3</f>
        <v>1032.7713706979</v>
      </c>
      <c r="D31" s="37">
        <f t="shared" ref="D31:Z31" si="3">D25*1.3</f>
        <v>1022.36993905354</v>
      </c>
      <c r="E31" s="37">
        <f t="shared" si="3"/>
        <v>998.53449928298301</v>
      </c>
      <c r="F31" s="37">
        <f t="shared" si="3"/>
        <v>984.13711759082196</v>
      </c>
      <c r="G31" s="37">
        <f t="shared" si="3"/>
        <v>951.76755138623298</v>
      </c>
      <c r="H31" s="37">
        <f t="shared" si="3"/>
        <v>937.25178895793499</v>
      </c>
      <c r="I31" s="37">
        <f t="shared" si="3"/>
        <v>923.92806524856599</v>
      </c>
      <c r="J31" s="37">
        <f t="shared" si="3"/>
        <v>909.13323972275305</v>
      </c>
      <c r="K31" s="37">
        <f t="shared" si="3"/>
        <v>893.27934392925397</v>
      </c>
      <c r="L31" s="37">
        <f t="shared" si="3"/>
        <v>879.65620578393896</v>
      </c>
      <c r="M31" s="37">
        <f t="shared" si="3"/>
        <v>865.80185348948396</v>
      </c>
      <c r="N31" s="37">
        <f t="shared" si="3"/>
        <v>855.15140774378597</v>
      </c>
      <c r="O31" s="37">
        <f t="shared" si="3"/>
        <v>844.967552581262</v>
      </c>
      <c r="P31" s="37">
        <f t="shared" si="3"/>
        <v>833.77283819311697</v>
      </c>
      <c r="Q31" s="37">
        <f t="shared" si="3"/>
        <v>823.96862810707501</v>
      </c>
      <c r="R31" s="37">
        <f t="shared" si="3"/>
        <v>813.63590463671096</v>
      </c>
      <c r="S31" s="37">
        <f t="shared" si="3"/>
        <v>803.61958891013398</v>
      </c>
      <c r="T31" s="37">
        <f t="shared" si="3"/>
        <v>793.62289435946502</v>
      </c>
      <c r="U31" s="37">
        <f t="shared" si="3"/>
        <v>784.79905473231395</v>
      </c>
      <c r="V31" s="37">
        <f t="shared" si="3"/>
        <v>777.26068714149096</v>
      </c>
      <c r="W31" s="37">
        <f t="shared" si="3"/>
        <v>769.60802581261999</v>
      </c>
      <c r="X31" s="37">
        <f t="shared" si="3"/>
        <v>762.25353728489495</v>
      </c>
      <c r="Y31" s="37">
        <f t="shared" si="3"/>
        <v>755.09532743785803</v>
      </c>
      <c r="Z31" s="37">
        <f t="shared" si="3"/>
        <v>747.35783699808803</v>
      </c>
      <c r="AA31" s="34">
        <f>VLOOKUP(AA$22,ovrcst!$A$5:$W$36,VLOOKUP('ELC_Gen-sdj'!$B31,'ELC_Gen-sdj'!$AA$4:$AC$19,3,FALSE))</f>
        <v>469.65517412339602</v>
      </c>
      <c r="AB31" s="34">
        <f>VLOOKUP(AB$22,ovrcst!$A$5:$W$36,VLOOKUP('ELC_Gen-sdj'!$B31,'ELC_Gen-sdj'!$AA$4:$AC$19,3,FALSE))</f>
        <v>465.07507586444302</v>
      </c>
      <c r="AC31" s="34">
        <f>VLOOKUP(AC$22,ovrcst!$A$5:$W$36,VLOOKUP('ELC_Gen-sdj'!$B31,'ELC_Gen-sdj'!$AA$4:$AC$19,3,FALSE))</f>
        <v>461.08628247390999</v>
      </c>
      <c r="AD31" s="34">
        <f>VLOOKUP(AD$22,ovrcst!$A$5:$W$36,VLOOKUP('ELC_Gen-sdj'!$B31,'ELC_Gen-sdj'!$AA$4:$AC$19,3,FALSE))</f>
        <v>456.59451063224702</v>
      </c>
      <c r="AE31" s="34">
        <f>VLOOKUP(AE$22,ovrcst!$A$5:$W$36,VLOOKUP('ELC_Gen-sdj'!$B31,'ELC_Gen-sdj'!$AA$4:$AC$19,3,FALSE))</f>
        <v>452.508084100085</v>
      </c>
      <c r="AF31" s="34">
        <f>VLOOKUP(AF$22,ovrcst!$A$5:$W$36,VLOOKUP('ELC_Gen-sdj'!$B31,'ELC_Gen-sdj'!$AA$4:$AC$19,3,FALSE))</f>
        <v>448.39967652374298</v>
      </c>
      <c r="AG31" s="34">
        <f>VLOOKUP(AG$22,ovrcst!$A$5:$W$36,VLOOKUP('ELC_Gen-sdj'!$B31,'ELC_Gen-sdj'!$AA$4:$AC$19,3,FALSE))</f>
        <v>444.27762270208399</v>
      </c>
      <c r="AH31" s="34">
        <f>VLOOKUP(AH$22,ovrcst!$A$5:$W$36,VLOOKUP('ELC_Gen-sdj'!$B31,'ELC_Gen-sdj'!$AA$4:$AC$19,3,FALSE))</f>
        <v>440.18226175197299</v>
      </c>
    </row>
    <row r="32" spans="2:34">
      <c r="B32" t="str">
        <f t="shared" si="2"/>
        <v>EN_NuclearAdv</v>
      </c>
      <c r="C32" s="34">
        <f>VLOOKUP(C$22,ovrcst!$A$5:$W$36,VLOOKUP('ELC_Gen-sdj'!$B32,'ELC_Gen-sdj'!$AA$4:$AC$19,3,FALSE))</f>
        <v>6034.2658544366896</v>
      </c>
      <c r="D32" s="34">
        <f>VLOOKUP(D$22,ovrcst!$A$5:$W$36,VLOOKUP('ELC_Gen-sdj'!$B32,'ELC_Gen-sdj'!$AA$4:$AC$19,3,FALSE))</f>
        <v>5962.7387367896299</v>
      </c>
      <c r="E32" s="34">
        <f>VLOOKUP(E$22,ovrcst!$A$5:$W$36,VLOOKUP('ELC_Gen-sdj'!$B32,'ELC_Gen-sdj'!$AA$4:$AC$19,3,FALSE))</f>
        <v>5813.1538005982102</v>
      </c>
      <c r="F32" s="34">
        <f>VLOOKUP(F$22,ovrcst!$A$5:$W$36,VLOOKUP('ELC_Gen-sdj'!$B32,'ELC_Gen-sdj'!$AA$4:$AC$19,3,FALSE))</f>
        <v>5718.84833798604</v>
      </c>
      <c r="G32" s="34">
        <f>VLOOKUP(G$22,ovrcst!$A$5:$W$36,VLOOKUP('ELC_Gen-sdj'!$B32,'ELC_Gen-sdj'!$AA$4:$AC$19,3,FALSE))</f>
        <v>5651.0838574277204</v>
      </c>
      <c r="H32" s="34">
        <f>VLOOKUP(H$22,ovrcst!$A$5:$W$36,VLOOKUP('ELC_Gen-sdj'!$B32,'ELC_Gen-sdj'!$AA$4:$AC$19,3,FALSE))</f>
        <v>5595.7970817547402</v>
      </c>
      <c r="I32" s="34">
        <f>VLOOKUP(I$22,ovrcst!$A$5:$W$36,VLOOKUP('ELC_Gen-sdj'!$B32,'ELC_Gen-sdj'!$AA$4:$AC$19,3,FALSE))</f>
        <v>5550.1031086739804</v>
      </c>
      <c r="J32" s="34">
        <f>VLOOKUP(J$22,ovrcst!$A$5:$W$36,VLOOKUP('ELC_Gen-sdj'!$B32,'ELC_Gen-sdj'!$AA$4:$AC$19,3,FALSE))</f>
        <v>5491.1155204386896</v>
      </c>
      <c r="K32" s="34">
        <f>VLOOKUP(K$22,ovrcst!$A$5:$W$36,VLOOKUP('ELC_Gen-sdj'!$B32,'ELC_Gen-sdj'!$AA$4:$AC$19,3,FALSE))</f>
        <v>5421.3467996011996</v>
      </c>
      <c r="L32" s="34">
        <f>VLOOKUP(L$22,ovrcst!$A$5:$W$36,VLOOKUP('ELC_Gen-sdj'!$B32,'ELC_Gen-sdj'!$AA$4:$AC$19,3,FALSE))</f>
        <v>5343.9588464606204</v>
      </c>
      <c r="M32" s="34">
        <f>VLOOKUP(M$22,ovrcst!$A$5:$W$36,VLOOKUP('ELC_Gen-sdj'!$B32,'ELC_Gen-sdj'!$AA$4:$AC$19,3,FALSE))</f>
        <v>5264.72730209372</v>
      </c>
      <c r="N32" s="34">
        <f>VLOOKUP(N$22,ovrcst!$A$5:$W$36,VLOOKUP('ELC_Gen-sdj'!$B32,'ELC_Gen-sdj'!$AA$4:$AC$19,3,FALSE))</f>
        <v>5194.5399152542404</v>
      </c>
      <c r="O32" s="34">
        <f>VLOOKUP(O$22,ovrcst!$A$5:$W$36,VLOOKUP('ELC_Gen-sdj'!$B32,'ELC_Gen-sdj'!$AA$4:$AC$19,3,FALSE))</f>
        <v>5124.7502612163498</v>
      </c>
      <c r="P32" s="34">
        <f>VLOOKUP(P$22,ovrcst!$A$5:$W$36,VLOOKUP('ELC_Gen-sdj'!$B32,'ELC_Gen-sdj'!$AA$4:$AC$19,3,FALSE))</f>
        <v>5055.2288444666001</v>
      </c>
      <c r="Q32" s="34">
        <f>VLOOKUP(Q$22,ovrcst!$A$5:$W$36,VLOOKUP('ELC_Gen-sdj'!$B32,'ELC_Gen-sdj'!$AA$4:$AC$19,3,FALSE))</f>
        <v>4988.7247437686901</v>
      </c>
      <c r="R32" s="34">
        <f>VLOOKUP(R$22,ovrcst!$A$5:$W$36,VLOOKUP('ELC_Gen-sdj'!$B32,'ELC_Gen-sdj'!$AA$4:$AC$19,3,FALSE))</f>
        <v>4923.0847497507502</v>
      </c>
      <c r="S32" s="34">
        <f>VLOOKUP(S$22,ovrcst!$A$5:$W$36,VLOOKUP('ELC_Gen-sdj'!$B32,'ELC_Gen-sdj'!$AA$4:$AC$19,3,FALSE))</f>
        <v>4854.4663858424701</v>
      </c>
      <c r="T32" s="34">
        <f>VLOOKUP(T$22,ovrcst!$A$5:$W$36,VLOOKUP('ELC_Gen-sdj'!$B32,'ELC_Gen-sdj'!$AA$4:$AC$19,3,FALSE))</f>
        <v>4789.0337776670003</v>
      </c>
      <c r="U32" s="34">
        <f>VLOOKUP(U$22,ovrcst!$A$5:$W$36,VLOOKUP('ELC_Gen-sdj'!$B32,'ELC_Gen-sdj'!$AA$4:$AC$19,3,FALSE))</f>
        <v>4724.6736350947203</v>
      </c>
      <c r="V32" s="34">
        <f>VLOOKUP(V$22,ovrcst!$A$5:$W$36,VLOOKUP('ELC_Gen-sdj'!$B32,'ELC_Gen-sdj'!$AA$4:$AC$19,3,FALSE))</f>
        <v>4662.4929900299103</v>
      </c>
      <c r="W32" s="34">
        <f>VLOOKUP(W$22,ovrcst!$A$5:$W$36,VLOOKUP('ELC_Gen-sdj'!$B32,'ELC_Gen-sdj'!$AA$4:$AC$19,3,FALSE))</f>
        <v>4599.8883230309102</v>
      </c>
      <c r="X32" s="34">
        <f>VLOOKUP(X$22,ovrcst!$A$5:$W$36,VLOOKUP('ELC_Gen-sdj'!$B32,'ELC_Gen-sdj'!$AA$4:$AC$19,3,FALSE))</f>
        <v>4539.3253828514498</v>
      </c>
      <c r="Y32" s="34">
        <f>VLOOKUP(Y$22,ovrcst!$A$5:$W$36,VLOOKUP('ELC_Gen-sdj'!$B32,'ELC_Gen-sdj'!$AA$4:$AC$19,3,FALSE))</f>
        <v>4480.1800648055796</v>
      </c>
      <c r="Z32" s="34">
        <f>VLOOKUP(Z$22,ovrcst!$A$5:$W$36,VLOOKUP('ELC_Gen-sdj'!$B32,'ELC_Gen-sdj'!$AA$4:$AC$19,3,FALSE))</f>
        <v>4417.85775473579</v>
      </c>
      <c r="AA32" s="34">
        <f>VLOOKUP(AA$22,ovrcst!$A$5:$W$36,VLOOKUP('ELC_Gen-sdj'!$B32,'ELC_Gen-sdj'!$AA$4:$AC$19,3,FALSE))</f>
        <v>4362.34947457627</v>
      </c>
      <c r="AB32" s="34">
        <f>VLOOKUP(AB$22,ovrcst!$A$5:$W$36,VLOOKUP('ELC_Gen-sdj'!$B32,'ELC_Gen-sdj'!$AA$4:$AC$19,3,FALSE))</f>
        <v>4301.4243399800598</v>
      </c>
      <c r="AC32" s="34">
        <f>VLOOKUP(AC$22,ovrcst!$A$5:$W$36,VLOOKUP('ELC_Gen-sdj'!$B32,'ELC_Gen-sdj'!$AA$4:$AC$19,3,FALSE))</f>
        <v>4246.2509930209399</v>
      </c>
      <c r="AD32" s="34">
        <f>VLOOKUP(AD$22,ovrcst!$A$5:$W$36,VLOOKUP('ELC_Gen-sdj'!$B32,'ELC_Gen-sdj'!$AA$4:$AC$19,3,FALSE))</f>
        <v>4186.7269282153502</v>
      </c>
      <c r="AE32" s="34">
        <f>VLOOKUP(AE$22,ovrcst!$A$5:$W$36,VLOOKUP('ELC_Gen-sdj'!$B32,'ELC_Gen-sdj'!$AA$4:$AC$19,3,FALSE))</f>
        <v>4131.2055044865401</v>
      </c>
      <c r="AF32" s="34">
        <f>VLOOKUP(AF$22,ovrcst!$A$5:$W$36,VLOOKUP('ELC_Gen-sdj'!$B32,'ELC_Gen-sdj'!$AA$4:$AC$19,3,FALSE))</f>
        <v>4075.7544257228301</v>
      </c>
      <c r="AG32" s="34">
        <f>VLOOKUP(AG$22,ovrcst!$A$5:$W$36,VLOOKUP('ELC_Gen-sdj'!$B32,'ELC_Gen-sdj'!$AA$4:$AC$19,3,FALSE))</f>
        <v>4020.4532881355899</v>
      </c>
      <c r="AH32" s="34">
        <f>VLOOKUP(AH$22,ovrcst!$A$5:$W$36,VLOOKUP('ELC_Gen-sdj'!$B32,'ELC_Gen-sdj'!$AA$4:$AC$19,3,FALSE))</f>
        <v>3965.6701286141601</v>
      </c>
    </row>
    <row r="35" spans="2:34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0.29290319956064498</v>
      </c>
      <c r="D37" s="2">
        <f>VLOOKUP(D$22,heatrate!$K$5:$T$36,VLOOKUP('ELC_Gen-sdj'!$B37,'ELC_Gen-sdj'!$AA$4:$AD$19,4,FALSE))</f>
        <v>0.29290319956064498</v>
      </c>
      <c r="E37" s="2">
        <f>VLOOKUP(E$22,heatrate!$K$5:$T$36,VLOOKUP('ELC_Gen-sdj'!$B37,'ELC_Gen-sdj'!$AA$4:$AD$19,4,FALSE))</f>
        <v>0.29290319956064498</v>
      </c>
      <c r="F37" s="2">
        <f>VLOOKUP(F$22,heatrate!$K$5:$T$36,VLOOKUP('ELC_Gen-sdj'!$B37,'ELC_Gen-sdj'!$AA$4:$AD$19,4,FALSE))</f>
        <v>0.29290319956064498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0.33937696672540701</v>
      </c>
      <c r="I37" s="2">
        <f>VLOOKUP(I$22,heatrate!$K$5:$T$36,VLOOKUP('ELC_Gen-sdj'!$B37,'ELC_Gen-sdj'!$AA$4:$AD$19,4,FALSE))</f>
        <v>0.36862074914999599</v>
      </c>
      <c r="J37" s="2">
        <f>VLOOKUP(J$22,heatrate!$K$5:$T$36,VLOOKUP('ELC_Gen-sdj'!$B37,'ELC_Gen-sdj'!$AA$4:$AD$19,4,FALSE))</f>
        <v>0.36862074914999599</v>
      </c>
      <c r="K37" s="2">
        <f>VLOOKUP(K$22,heatrate!$K$5:$T$36,VLOOKUP('ELC_Gen-sdj'!$B37,'ELC_Gen-sdj'!$AA$4:$AD$19,4,FALSE))</f>
        <v>0.36862074914999599</v>
      </c>
      <c r="L37" s="2">
        <f>VLOOKUP(L$22,heatrate!$K$5:$T$36,VLOOKUP('ELC_Gen-sdj'!$B37,'ELC_Gen-sdj'!$AA$4:$AD$19,4,FALSE))</f>
        <v>0.36862074914999599</v>
      </c>
      <c r="M37" s="2">
        <f>VLOOKUP(M$22,heatrate!$K$5:$T$36,VLOOKUP('ELC_Gen-sdj'!$B37,'ELC_Gen-sdj'!$AA$4:$AD$19,4,FALSE))</f>
        <v>0.36862074914999599</v>
      </c>
      <c r="N37" s="2">
        <f>VLOOKUP(N$22,heatrate!$K$5:$T$36,VLOOKUP('ELC_Gen-sdj'!$B37,'ELC_Gen-sdj'!$AA$4:$AD$19,4,FALSE))</f>
        <v>0.36862074914999599</v>
      </c>
      <c r="O37" s="2">
        <f>VLOOKUP(O$22,heatrate!$K$5:$T$36,VLOOKUP('ELC_Gen-sdj'!$B37,'ELC_Gen-sdj'!$AA$4:$AD$19,4,FALSE))</f>
        <v>0.36862074914999599</v>
      </c>
      <c r="P37" s="2">
        <f>VLOOKUP(P$22,heatrate!$K$5:$T$36,VLOOKUP('ELC_Gen-sdj'!$B37,'ELC_Gen-sdj'!$AA$4:$AD$19,4,FALSE))</f>
        <v>0.36862074914999599</v>
      </c>
      <c r="Q37" s="2">
        <f>VLOOKUP(Q$22,heatrate!$K$5:$T$36,VLOOKUP('ELC_Gen-sdj'!$B37,'ELC_Gen-sdj'!$AA$4:$AD$19,4,FALSE))</f>
        <v>0.36862074914999599</v>
      </c>
      <c r="R37" s="2">
        <f>VLOOKUP(R$22,heatrate!$K$5:$T$36,VLOOKUP('ELC_Gen-sdj'!$B37,'ELC_Gen-sdj'!$AA$4:$AD$19,4,FALSE))</f>
        <v>0.36862074914999599</v>
      </c>
      <c r="S37" s="2">
        <f>VLOOKUP(S$22,heatrate!$K$5:$T$36,VLOOKUP('ELC_Gen-sdj'!$B37,'ELC_Gen-sdj'!$AA$4:$AD$19,4,FALSE))</f>
        <v>0.36862074914999599</v>
      </c>
      <c r="T37" s="2">
        <f>VLOOKUP(T$22,heatrate!$K$5:$T$36,VLOOKUP('ELC_Gen-sdj'!$B37,'ELC_Gen-sdj'!$AA$4:$AD$19,4,FALSE))</f>
        <v>0.36862074914999599</v>
      </c>
      <c r="U37" s="2">
        <f>VLOOKUP(U$22,heatrate!$K$5:$T$36,VLOOKUP('ELC_Gen-sdj'!$B37,'ELC_Gen-sdj'!$AA$4:$AD$19,4,FALSE))</f>
        <v>0.36862074914999599</v>
      </c>
      <c r="V37" s="2">
        <f>VLOOKUP(V$22,heatrate!$K$5:$T$36,VLOOKUP('ELC_Gen-sdj'!$B37,'ELC_Gen-sdj'!$AA$4:$AD$19,4,FALSE))</f>
        <v>0.36862074914999599</v>
      </c>
      <c r="W37" s="2">
        <f>VLOOKUP(W$22,heatrate!$K$5:$T$36,VLOOKUP('ELC_Gen-sdj'!$B37,'ELC_Gen-sdj'!$AA$4:$AD$19,4,FALSE))</f>
        <v>0.36862074914999599</v>
      </c>
      <c r="X37" s="2">
        <f>VLOOKUP(X$22,heatrate!$K$5:$T$36,VLOOKUP('ELC_Gen-sdj'!$B37,'ELC_Gen-sdj'!$AA$4:$AD$19,4,FALSE))</f>
        <v>0.36862074914999599</v>
      </c>
      <c r="Y37" s="2">
        <f>VLOOKUP(Y$22,heatrate!$K$5:$T$36,VLOOKUP('ELC_Gen-sdj'!$B37,'ELC_Gen-sdj'!$AA$4:$AD$19,4,FALSE))</f>
        <v>0.36862074914999599</v>
      </c>
      <c r="Z37" s="2">
        <f>VLOOKUP(Z$22,heatrate!$K$5:$T$36,VLOOKUP('ELC_Gen-sdj'!$B37,'ELC_Gen-sdj'!$AA$4:$AD$19,4,FALSE))</f>
        <v>0.36862074914999599</v>
      </c>
      <c r="AA37" s="2">
        <f>VLOOKUP(AA$22,heatrate!$K$5:$T$36,VLOOKUP('ELC_Gen-sdj'!$B37,'ELC_Gen-sdj'!$AA$4:$AD$19,4,FALSE))</f>
        <v>0.36862074914999599</v>
      </c>
      <c r="AB37" s="2">
        <f>VLOOKUP(AB$22,heatrate!$K$5:$T$36,VLOOKUP('ELC_Gen-sdj'!$B37,'ELC_Gen-sdj'!$AA$4:$AD$19,4,FALSE))</f>
        <v>0.36862074914999599</v>
      </c>
      <c r="AC37" s="2">
        <f>VLOOKUP(AC$22,heatrate!$K$5:$T$36,VLOOKUP('ELC_Gen-sdj'!$B37,'ELC_Gen-sdj'!$AA$4:$AD$19,4,FALSE))</f>
        <v>0.36862074914999599</v>
      </c>
      <c r="AD37" s="2">
        <f>VLOOKUP(AD$22,heatrate!$K$5:$T$36,VLOOKUP('ELC_Gen-sdj'!$B37,'ELC_Gen-sdj'!$AA$4:$AD$19,4,FALSE))</f>
        <v>0.36862074914999599</v>
      </c>
      <c r="AE37" s="2">
        <f>VLOOKUP(AE$22,heatrate!$K$5:$T$36,VLOOKUP('ELC_Gen-sdj'!$B37,'ELC_Gen-sdj'!$AA$4:$AD$19,4,FALSE))</f>
        <v>0.36862074914999599</v>
      </c>
      <c r="AF37" s="2">
        <f>VLOOKUP(AF$22,heatrate!$K$5:$T$36,VLOOKUP('ELC_Gen-sdj'!$B37,'ELC_Gen-sdj'!$AA$4:$AD$19,4,FALSE))</f>
        <v>0.36862074914999599</v>
      </c>
      <c r="AG37" s="2">
        <f>VLOOKUP(AG$22,heatrate!$K$5:$T$36,VLOOKUP('ELC_Gen-sdj'!$B37,'ELC_Gen-sdj'!$AA$4:$AD$19,4,FALSE))</f>
        <v>0.36862074914999599</v>
      </c>
      <c r="AH37" s="2">
        <f>VLOOKUP(AH$22,heatrate!$K$5:$T$36,VLOOKUP('ELC_Gen-sdj'!$B37,'ELC_Gen-sdj'!$AA$4:$AD$19,4,FALSE))</f>
        <v>0.36862074914999599</v>
      </c>
    </row>
    <row r="38" spans="2:34">
      <c r="B38" t="str">
        <f t="shared" ref="B38:B42" si="4">B24</f>
        <v>EN_ZGasCCAdv</v>
      </c>
      <c r="C38" s="2">
        <f>VLOOKUP(C$22,heatrate!$K$5:$T$36,VLOOKUP('ELC_Gen-sdj'!$B38,'ELC_Gen-sdj'!$AA$4:$AD$19,4,FALSE))</f>
        <v>0.45346475413707898</v>
      </c>
      <c r="D38" s="2">
        <f>VLOOKUP(D$22,heatrate!$K$5:$T$36,VLOOKUP('ELC_Gen-sdj'!$B38,'ELC_Gen-sdj'!$AA$4:$AD$19,4,FALSE))</f>
        <v>0.45346475413707898</v>
      </c>
      <c r="E38" s="2">
        <f>VLOOKUP(E$22,heatrate!$K$5:$T$36,VLOOKUP('ELC_Gen-sdj'!$B38,'ELC_Gen-sdj'!$AA$4:$AD$19,4,FALSE))</f>
        <v>0.45346475413707898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0.45443098613417399</v>
      </c>
      <c r="H38" s="2">
        <f>VLOOKUP(H$22,heatrate!$K$5:$T$36,VLOOKUP('ELC_Gen-sdj'!$B38,'ELC_Gen-sdj'!$AA$4:$AD$19,4,FALSE))</f>
        <v>0.45491564789781602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2">
        <f>VLOOKUP(C$22,heatrate!$K$5:$T$36,VLOOKUP('ELC_Gen-sdj'!$B39,'ELC_Gen-sdj'!$AA$4:$AD$19,4,FALSE))</f>
        <v>0.54163845633039898</v>
      </c>
      <c r="D39" s="2">
        <f>VLOOKUP(D$22,heatrate!$K$5:$T$36,VLOOKUP('ELC_Gen-sdj'!$B39,'ELC_Gen-sdj'!$AA$4:$AD$19,4,FALSE))</f>
        <v>0.54163845633039898</v>
      </c>
      <c r="E39" s="2">
        <f>VLOOKUP(E$22,heatrate!$K$5:$T$36,VLOOKUP('ELC_Gen-sdj'!$B39,'ELC_Gen-sdj'!$AA$4:$AD$19,4,FALSE))</f>
        <v>0.54163845633039898</v>
      </c>
      <c r="F39" s="2">
        <f>VLOOKUP(F$22,heatrate!$K$5:$T$36,VLOOKUP('ELC_Gen-sdj'!$B39,'ELC_Gen-sdj'!$AA$4:$AD$19,4,FALSE))</f>
        <v>0.54379637846717399</v>
      </c>
      <c r="G39" s="2">
        <f>VLOOKUP(G$22,heatrate!$K$5:$T$36,VLOOKUP('ELC_Gen-sdj'!$B39,'ELC_Gen-sdj'!$AA$4:$AD$19,4,FALSE))</f>
        <v>0.54597156398104296</v>
      </c>
      <c r="H39" s="2">
        <f>VLOOKUP(H$22,heatrate!$K$5:$T$36,VLOOKUP('ELC_Gen-sdj'!$B39,'ELC_Gen-sdj'!$AA$4:$AD$19,4,FALSE))</f>
        <v>0.54816422086450101</v>
      </c>
      <c r="I39" s="2">
        <f>VLOOKUP(I$22,heatrate!$K$5:$T$36,VLOOKUP('ELC_Gen-sdj'!$B39,'ELC_Gen-sdj'!$AA$4:$AD$19,4,FALSE))</f>
        <v>0.55037456046476096</v>
      </c>
      <c r="J39" s="2">
        <f>VLOOKUP(J$22,heatrate!$K$5:$T$36,VLOOKUP('ELC_Gen-sdj'!$B39,'ELC_Gen-sdj'!$AA$4:$AD$19,4,FALSE))</f>
        <v>0.55037456046476096</v>
      </c>
      <c r="K39" s="2">
        <f>VLOOKUP(K$22,heatrate!$K$5:$T$36,VLOOKUP('ELC_Gen-sdj'!$B39,'ELC_Gen-sdj'!$AA$4:$AD$19,4,FALSE))</f>
        <v>0.55037456046476096</v>
      </c>
      <c r="L39" s="2">
        <f>VLOOKUP(L$22,heatrate!$K$5:$T$36,VLOOKUP('ELC_Gen-sdj'!$B39,'ELC_Gen-sdj'!$AA$4:$AD$19,4,FALSE))</f>
        <v>0.55037456046476096</v>
      </c>
      <c r="M39" s="2">
        <f>VLOOKUP(M$22,heatrate!$K$5:$T$36,VLOOKUP('ELC_Gen-sdj'!$B39,'ELC_Gen-sdj'!$AA$4:$AD$19,4,FALSE))</f>
        <v>0.55037456046476096</v>
      </c>
      <c r="N39" s="2">
        <f>VLOOKUP(N$22,heatrate!$K$5:$T$36,VLOOKUP('ELC_Gen-sdj'!$B39,'ELC_Gen-sdj'!$AA$4:$AD$19,4,FALSE))</f>
        <v>0.55037456046476096</v>
      </c>
      <c r="O39" s="2">
        <f>VLOOKUP(O$22,heatrate!$K$5:$T$36,VLOOKUP('ELC_Gen-sdj'!$B39,'ELC_Gen-sdj'!$AA$4:$AD$19,4,FALSE))</f>
        <v>0.55037456046476096</v>
      </c>
      <c r="P39" s="2">
        <f>VLOOKUP(P$22,heatrate!$K$5:$T$36,VLOOKUP('ELC_Gen-sdj'!$B39,'ELC_Gen-sdj'!$AA$4:$AD$19,4,FALSE))</f>
        <v>0.55037456046476096</v>
      </c>
      <c r="Q39" s="2">
        <f>VLOOKUP(Q$22,heatrate!$K$5:$T$36,VLOOKUP('ELC_Gen-sdj'!$B39,'ELC_Gen-sdj'!$AA$4:$AD$19,4,FALSE))</f>
        <v>0.55037456046476096</v>
      </c>
      <c r="R39" s="2">
        <f>VLOOKUP(R$22,heatrate!$K$5:$T$36,VLOOKUP('ELC_Gen-sdj'!$B39,'ELC_Gen-sdj'!$AA$4:$AD$19,4,FALSE))</f>
        <v>0.55037456046476096</v>
      </c>
      <c r="S39" s="2">
        <f>VLOOKUP(S$22,heatrate!$K$5:$T$36,VLOOKUP('ELC_Gen-sdj'!$B39,'ELC_Gen-sdj'!$AA$4:$AD$19,4,FALSE))</f>
        <v>0.55037456046476096</v>
      </c>
      <c r="T39" s="2">
        <f>VLOOKUP(T$22,heatrate!$K$5:$T$36,VLOOKUP('ELC_Gen-sdj'!$B39,'ELC_Gen-sdj'!$AA$4:$AD$19,4,FALSE))</f>
        <v>0.55037456046476096</v>
      </c>
      <c r="U39" s="2">
        <f>VLOOKUP(U$22,heatrate!$K$5:$T$36,VLOOKUP('ELC_Gen-sdj'!$B39,'ELC_Gen-sdj'!$AA$4:$AD$19,4,FALSE))</f>
        <v>0.55037456046476096</v>
      </c>
      <c r="V39" s="2">
        <f>VLOOKUP(V$22,heatrate!$K$5:$T$36,VLOOKUP('ELC_Gen-sdj'!$B39,'ELC_Gen-sdj'!$AA$4:$AD$19,4,FALSE))</f>
        <v>0.55037456046476096</v>
      </c>
      <c r="W39" s="2">
        <f>VLOOKUP(W$22,heatrate!$K$5:$T$36,VLOOKUP('ELC_Gen-sdj'!$B39,'ELC_Gen-sdj'!$AA$4:$AD$19,4,FALSE))</f>
        <v>0.55037456046476096</v>
      </c>
      <c r="X39" s="2">
        <f>VLOOKUP(X$22,heatrate!$K$5:$T$36,VLOOKUP('ELC_Gen-sdj'!$B39,'ELC_Gen-sdj'!$AA$4:$AD$19,4,FALSE))</f>
        <v>0.55037456046476096</v>
      </c>
      <c r="Y39" s="2">
        <f>VLOOKUP(Y$22,heatrate!$K$5:$T$36,VLOOKUP('ELC_Gen-sdj'!$B39,'ELC_Gen-sdj'!$AA$4:$AD$19,4,FALSE))</f>
        <v>0.55037456046476096</v>
      </c>
      <c r="Z39" s="2">
        <f>VLOOKUP(Z$22,heatrate!$K$5:$T$36,VLOOKUP('ELC_Gen-sdj'!$B39,'ELC_Gen-sdj'!$AA$4:$AD$19,4,FALSE))</f>
        <v>0.55037456046476096</v>
      </c>
      <c r="AA39" s="2">
        <f>VLOOKUP(AA$22,heatrate!$K$5:$T$36,VLOOKUP('ELC_Gen-sdj'!$B39,'ELC_Gen-sdj'!$AA$4:$AD$19,4,FALSE))</f>
        <v>0.55037456046476096</v>
      </c>
      <c r="AB39" s="2">
        <f>VLOOKUP(AB$22,heatrate!$K$5:$T$36,VLOOKUP('ELC_Gen-sdj'!$B39,'ELC_Gen-sdj'!$AA$4:$AD$19,4,FALSE))</f>
        <v>0.55037456046476096</v>
      </c>
      <c r="AC39" s="2">
        <f>VLOOKUP(AC$22,heatrate!$K$5:$T$36,VLOOKUP('ELC_Gen-sdj'!$B39,'ELC_Gen-sdj'!$AA$4:$AD$19,4,FALSE))</f>
        <v>0.55037456046476096</v>
      </c>
      <c r="AD39" s="2">
        <f>VLOOKUP(AD$22,heatrate!$K$5:$T$36,VLOOKUP('ELC_Gen-sdj'!$B39,'ELC_Gen-sdj'!$AA$4:$AD$19,4,FALSE))</f>
        <v>0.55037456046476096</v>
      </c>
      <c r="AE39" s="2">
        <f>VLOOKUP(AE$22,heatrate!$K$5:$T$36,VLOOKUP('ELC_Gen-sdj'!$B39,'ELC_Gen-sdj'!$AA$4:$AD$19,4,FALSE))</f>
        <v>0.55037456046476096</v>
      </c>
      <c r="AF39" s="2">
        <f>VLOOKUP(AF$22,heatrate!$K$5:$T$36,VLOOKUP('ELC_Gen-sdj'!$B39,'ELC_Gen-sdj'!$AA$4:$AD$19,4,FALSE))</f>
        <v>0.55037456046476096</v>
      </c>
      <c r="AG39" s="2">
        <f>VLOOKUP(AG$22,heatrate!$K$5:$T$36,VLOOKUP('ELC_Gen-sdj'!$B39,'ELC_Gen-sdj'!$AA$4:$AD$19,4,FALSE))</f>
        <v>0.55037456046476096</v>
      </c>
      <c r="AH39" s="2">
        <f>VLOOKUP(AH$22,heatrate!$K$5:$T$36,VLOOKUP('ELC_Gen-sdj'!$B39,'ELC_Gen-sdj'!$AA$4:$AD$19,4,FALSE))</f>
        <v>0.55037456046476096</v>
      </c>
    </row>
    <row r="40" spans="2:34">
      <c r="B40" t="str">
        <f t="shared" si="4"/>
        <v>EN_GasCC</v>
      </c>
      <c r="C40" s="2">
        <f>VLOOKUP(C$22,heatrate!$K$5:$T$36,VLOOKUP('ELC_Gen-sdj'!$B40,'ELC_Gen-sdj'!$AA$4:$AD$19,4,FALSE))</f>
        <v>0.51701852649719904</v>
      </c>
      <c r="D40" s="2">
        <f>VLOOKUP(D$22,heatrate!$K$5:$T$36,VLOOKUP('ELC_Gen-sdj'!$B40,'ELC_Gen-sdj'!$AA$4:$AD$19,4,FALSE))</f>
        <v>0.51701852649719904</v>
      </c>
      <c r="E40" s="2">
        <f>VLOOKUP(E$22,heatrate!$K$5:$T$36,VLOOKUP('ELC_Gen-sdj'!$B40,'ELC_Gen-sdj'!$AA$4:$AD$19,4,FALSE))</f>
        <v>0.51701852649719904</v>
      </c>
      <c r="F40" s="2">
        <f>VLOOKUP(F$22,heatrate!$K$5:$T$36,VLOOKUP('ELC_Gen-sdj'!$B40,'ELC_Gen-sdj'!$AA$4:$AD$19,4,FALSE))</f>
        <v>0.52196134223809099</v>
      </c>
      <c r="G40" s="2">
        <f>VLOOKUP(G$22,heatrate!$K$5:$T$36,VLOOKUP('ELC_Gen-sdj'!$B40,'ELC_Gen-sdj'!$AA$4:$AD$19,4,FALSE))</f>
        <v>0.52699957913228102</v>
      </c>
      <c r="H40" s="2">
        <f>VLOOKUP(H$22,heatrate!$K$5:$T$36,VLOOKUP('ELC_Gen-sdj'!$B40,'ELC_Gen-sdj'!$AA$4:$AD$19,4,FALSE))</f>
        <v>0.53213602727197096</v>
      </c>
      <c r="I40" s="2">
        <f>VLOOKUP(I$22,heatrate!$K$5:$T$36,VLOOKUP('ELC_Gen-sdj'!$B40,'ELC_Gen-sdj'!$AA$4:$AD$19,4,FALSE))</f>
        <v>0.53737358659551404</v>
      </c>
      <c r="J40" s="2">
        <f>VLOOKUP(J$22,heatrate!$K$5:$T$36,VLOOKUP('ELC_Gen-sdj'!$B40,'ELC_Gen-sdj'!$AA$4:$AD$19,4,FALSE))</f>
        <v>0.53737358659551404</v>
      </c>
      <c r="K40" s="2">
        <f>VLOOKUP(K$22,heatrate!$K$5:$T$36,VLOOKUP('ELC_Gen-sdj'!$B40,'ELC_Gen-sdj'!$AA$4:$AD$19,4,FALSE))</f>
        <v>0.53737358659551404</v>
      </c>
      <c r="L40" s="2">
        <f>VLOOKUP(L$22,heatrate!$K$5:$T$36,VLOOKUP('ELC_Gen-sdj'!$B40,'ELC_Gen-sdj'!$AA$4:$AD$19,4,FALSE))</f>
        <v>0.53737358659551404</v>
      </c>
      <c r="M40" s="2">
        <f>VLOOKUP(M$22,heatrate!$K$5:$T$36,VLOOKUP('ELC_Gen-sdj'!$B40,'ELC_Gen-sdj'!$AA$4:$AD$19,4,FALSE))</f>
        <v>0.53737358659551404</v>
      </c>
      <c r="N40" s="2">
        <f>VLOOKUP(N$22,heatrate!$K$5:$T$36,VLOOKUP('ELC_Gen-sdj'!$B40,'ELC_Gen-sdj'!$AA$4:$AD$19,4,FALSE))</f>
        <v>0.53737358659551404</v>
      </c>
      <c r="O40" s="2">
        <f>VLOOKUP(O$22,heatrate!$K$5:$T$36,VLOOKUP('ELC_Gen-sdj'!$B40,'ELC_Gen-sdj'!$AA$4:$AD$19,4,FALSE))</f>
        <v>0.53737358659551404</v>
      </c>
      <c r="P40" s="2">
        <f>VLOOKUP(P$22,heatrate!$K$5:$T$36,VLOOKUP('ELC_Gen-sdj'!$B40,'ELC_Gen-sdj'!$AA$4:$AD$19,4,FALSE))</f>
        <v>0.53737358659551404</v>
      </c>
      <c r="Q40" s="2">
        <f>VLOOKUP(Q$22,heatrate!$K$5:$T$36,VLOOKUP('ELC_Gen-sdj'!$B40,'ELC_Gen-sdj'!$AA$4:$AD$19,4,FALSE))</f>
        <v>0.53737358659551404</v>
      </c>
      <c r="R40" s="2">
        <f>VLOOKUP(R$22,heatrate!$K$5:$T$36,VLOOKUP('ELC_Gen-sdj'!$B40,'ELC_Gen-sdj'!$AA$4:$AD$19,4,FALSE))</f>
        <v>0.53737358659551404</v>
      </c>
      <c r="S40" s="2">
        <f>VLOOKUP(S$22,heatrate!$K$5:$T$36,VLOOKUP('ELC_Gen-sdj'!$B40,'ELC_Gen-sdj'!$AA$4:$AD$19,4,FALSE))</f>
        <v>0.53737358659551404</v>
      </c>
      <c r="T40" s="2">
        <f>VLOOKUP(T$22,heatrate!$K$5:$T$36,VLOOKUP('ELC_Gen-sdj'!$B40,'ELC_Gen-sdj'!$AA$4:$AD$19,4,FALSE))</f>
        <v>0.53737358659551404</v>
      </c>
      <c r="U40" s="2">
        <f>VLOOKUP(U$22,heatrate!$K$5:$T$36,VLOOKUP('ELC_Gen-sdj'!$B40,'ELC_Gen-sdj'!$AA$4:$AD$19,4,FALSE))</f>
        <v>0.53737358659551404</v>
      </c>
      <c r="V40" s="2">
        <f>VLOOKUP(V$22,heatrate!$K$5:$T$36,VLOOKUP('ELC_Gen-sdj'!$B40,'ELC_Gen-sdj'!$AA$4:$AD$19,4,FALSE))</f>
        <v>0.53737358659551404</v>
      </c>
      <c r="W40" s="2">
        <f>VLOOKUP(W$22,heatrate!$K$5:$T$36,VLOOKUP('ELC_Gen-sdj'!$B40,'ELC_Gen-sdj'!$AA$4:$AD$19,4,FALSE))</f>
        <v>0.53737358659551404</v>
      </c>
      <c r="X40" s="2">
        <f>VLOOKUP(X$22,heatrate!$K$5:$T$36,VLOOKUP('ELC_Gen-sdj'!$B40,'ELC_Gen-sdj'!$AA$4:$AD$19,4,FALSE))</f>
        <v>0.53737358659551404</v>
      </c>
      <c r="Y40" s="2">
        <f>VLOOKUP(Y$22,heatrate!$K$5:$T$36,VLOOKUP('ELC_Gen-sdj'!$B40,'ELC_Gen-sdj'!$AA$4:$AD$19,4,FALSE))</f>
        <v>0.53737358659551404</v>
      </c>
      <c r="Z40" s="2">
        <f>VLOOKUP(Z$22,heatrate!$K$5:$T$36,VLOOKUP('ELC_Gen-sdj'!$B40,'ELC_Gen-sdj'!$AA$4:$AD$19,4,FALSE))</f>
        <v>0.53737358659551404</v>
      </c>
      <c r="AA40" s="2">
        <f>VLOOKUP(AA$22,heatrate!$K$5:$T$36,VLOOKUP('ELC_Gen-sdj'!$B40,'ELC_Gen-sdj'!$AA$4:$AD$19,4,FALSE))</f>
        <v>0.53737358659551404</v>
      </c>
      <c r="AB40" s="2">
        <f>VLOOKUP(AB$22,heatrate!$K$5:$T$36,VLOOKUP('ELC_Gen-sdj'!$B40,'ELC_Gen-sdj'!$AA$4:$AD$19,4,FALSE))</f>
        <v>0.53737358659551404</v>
      </c>
      <c r="AC40" s="2">
        <f>VLOOKUP(AC$22,heatrate!$K$5:$T$36,VLOOKUP('ELC_Gen-sdj'!$B40,'ELC_Gen-sdj'!$AA$4:$AD$19,4,FALSE))</f>
        <v>0.53737358659551404</v>
      </c>
      <c r="AD40" s="2">
        <f>VLOOKUP(AD$22,heatrate!$K$5:$T$36,VLOOKUP('ELC_Gen-sdj'!$B40,'ELC_Gen-sdj'!$AA$4:$AD$19,4,FALSE))</f>
        <v>0.53737358659551404</v>
      </c>
      <c r="AE40" s="2">
        <f>VLOOKUP(AE$22,heatrate!$K$5:$T$36,VLOOKUP('ELC_Gen-sdj'!$B40,'ELC_Gen-sdj'!$AA$4:$AD$19,4,FALSE))</f>
        <v>0.53737358659551404</v>
      </c>
      <c r="AF40" s="2">
        <f>VLOOKUP(AF$22,heatrate!$K$5:$T$36,VLOOKUP('ELC_Gen-sdj'!$B40,'ELC_Gen-sdj'!$AA$4:$AD$19,4,FALSE))</f>
        <v>0.53737358659551404</v>
      </c>
      <c r="AG40" s="2">
        <f>VLOOKUP(AG$22,heatrate!$K$5:$T$36,VLOOKUP('ELC_Gen-sdj'!$B40,'ELC_Gen-sdj'!$AA$4:$AD$19,4,FALSE))</f>
        <v>0.53737358659551404</v>
      </c>
      <c r="AH40" s="2">
        <f>VLOOKUP(AH$22,heatrate!$K$5:$T$36,VLOOKUP('ELC_Gen-sdj'!$B40,'ELC_Gen-sdj'!$AA$4:$AD$19,4,FALSE))</f>
        <v>0.53737358659551404</v>
      </c>
    </row>
    <row r="41" spans="2:34">
      <c r="B41" t="str">
        <f t="shared" si="4"/>
        <v>EN_GasCTAdv</v>
      </c>
      <c r="C41" s="2">
        <f>VLOOKUP(C$22,heatrate!$K$5:$T$36,VLOOKUP('ELC_Gen-sdj'!$B41,'ELC_Gen-sdj'!$AA$4:$AD$19,4,FALSE))</f>
        <v>0.34819615049811398</v>
      </c>
      <c r="D41" s="2">
        <f>VLOOKUP(D$22,heatrate!$K$5:$T$36,VLOOKUP('ELC_Gen-sdj'!$B41,'ELC_Gen-sdj'!$AA$4:$AD$19,4,FALSE))</f>
        <v>0.34819615049811398</v>
      </c>
      <c r="E41" s="2">
        <f>VLOOKUP(E$22,heatrate!$K$5:$T$36,VLOOKUP('ELC_Gen-sdj'!$B41,'ELC_Gen-sdj'!$AA$4:$AD$19,4,FALSE))</f>
        <v>0.35731123297188699</v>
      </c>
      <c r="F41" s="2">
        <f>VLOOKUP(F$22,heatrate!$K$5:$T$36,VLOOKUP('ELC_Gen-sdj'!$B41,'ELC_Gen-sdj'!$AA$4:$AD$19,4,FALSE))</f>
        <v>0.36691637364317398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0.38776389487289997</v>
      </c>
      <c r="I41" s="2">
        <f>VLOOKUP(I$22,heatrate!$K$5:$T$36,VLOOKUP('ELC_Gen-sdj'!$B41,'ELC_Gen-sdj'!$AA$4:$AD$19,4,FALSE))</f>
        <v>0.39910202045397902</v>
      </c>
      <c r="J41" s="2">
        <f>VLOOKUP(J$22,heatrate!$K$5:$T$36,VLOOKUP('ELC_Gen-sdj'!$B41,'ELC_Gen-sdj'!$AA$4:$AD$19,4,FALSE))</f>
        <v>0.39910202045397902</v>
      </c>
      <c r="K41" s="2">
        <f>VLOOKUP(K$22,heatrate!$K$5:$T$36,VLOOKUP('ELC_Gen-sdj'!$B41,'ELC_Gen-sdj'!$AA$4:$AD$19,4,FALSE))</f>
        <v>0.39910202045397902</v>
      </c>
      <c r="L41" s="2">
        <f>VLOOKUP(L$22,heatrate!$K$5:$T$36,VLOOKUP('ELC_Gen-sdj'!$B41,'ELC_Gen-sdj'!$AA$4:$AD$19,4,FALSE))</f>
        <v>0.39910202045397902</v>
      </c>
      <c r="M41" s="2">
        <f>VLOOKUP(M$22,heatrate!$K$5:$T$36,VLOOKUP('ELC_Gen-sdj'!$B41,'ELC_Gen-sdj'!$AA$4:$AD$19,4,FALSE))</f>
        <v>0.39910202045397902</v>
      </c>
      <c r="N41" s="2">
        <f>VLOOKUP(N$22,heatrate!$K$5:$T$36,VLOOKUP('ELC_Gen-sdj'!$B41,'ELC_Gen-sdj'!$AA$4:$AD$19,4,FALSE))</f>
        <v>0.39910202045397902</v>
      </c>
      <c r="O41" s="2">
        <f>VLOOKUP(O$22,heatrate!$K$5:$T$36,VLOOKUP('ELC_Gen-sdj'!$B41,'ELC_Gen-sdj'!$AA$4:$AD$19,4,FALSE))</f>
        <v>0.39910202045397902</v>
      </c>
      <c r="P41" s="2">
        <f>VLOOKUP(P$22,heatrate!$K$5:$T$36,VLOOKUP('ELC_Gen-sdj'!$B41,'ELC_Gen-sdj'!$AA$4:$AD$19,4,FALSE))</f>
        <v>0.39910202045397902</v>
      </c>
      <c r="Q41" s="2">
        <f>VLOOKUP(Q$22,heatrate!$K$5:$T$36,VLOOKUP('ELC_Gen-sdj'!$B41,'ELC_Gen-sdj'!$AA$4:$AD$19,4,FALSE))</f>
        <v>0.39910202045397902</v>
      </c>
      <c r="R41" s="2">
        <f>VLOOKUP(R$22,heatrate!$K$5:$T$36,VLOOKUP('ELC_Gen-sdj'!$B41,'ELC_Gen-sdj'!$AA$4:$AD$19,4,FALSE))</f>
        <v>0.39910202045397902</v>
      </c>
      <c r="S41" s="2">
        <f>VLOOKUP(S$22,heatrate!$K$5:$T$36,VLOOKUP('ELC_Gen-sdj'!$B41,'ELC_Gen-sdj'!$AA$4:$AD$19,4,FALSE))</f>
        <v>0.39910202045397902</v>
      </c>
      <c r="T41" s="2">
        <f>VLOOKUP(T$22,heatrate!$K$5:$T$36,VLOOKUP('ELC_Gen-sdj'!$B41,'ELC_Gen-sdj'!$AA$4:$AD$19,4,FALSE))</f>
        <v>0.39910202045397902</v>
      </c>
      <c r="U41" s="2">
        <f>VLOOKUP(U$22,heatrate!$K$5:$T$36,VLOOKUP('ELC_Gen-sdj'!$B41,'ELC_Gen-sdj'!$AA$4:$AD$19,4,FALSE))</f>
        <v>0.39910202045397902</v>
      </c>
      <c r="V41" s="2">
        <f>VLOOKUP(V$22,heatrate!$K$5:$T$36,VLOOKUP('ELC_Gen-sdj'!$B41,'ELC_Gen-sdj'!$AA$4:$AD$19,4,FALSE))</f>
        <v>0.39910202045397902</v>
      </c>
      <c r="W41" s="2">
        <f>VLOOKUP(W$22,heatrate!$K$5:$T$36,VLOOKUP('ELC_Gen-sdj'!$B41,'ELC_Gen-sdj'!$AA$4:$AD$19,4,FALSE))</f>
        <v>0.39910202045397902</v>
      </c>
      <c r="X41" s="2">
        <f>VLOOKUP(X$22,heatrate!$K$5:$T$36,VLOOKUP('ELC_Gen-sdj'!$B41,'ELC_Gen-sdj'!$AA$4:$AD$19,4,FALSE))</f>
        <v>0.39910202045397902</v>
      </c>
      <c r="Y41" s="2">
        <f>VLOOKUP(Y$22,heatrate!$K$5:$T$36,VLOOKUP('ELC_Gen-sdj'!$B41,'ELC_Gen-sdj'!$AA$4:$AD$19,4,FALSE))</f>
        <v>0.39910202045397902</v>
      </c>
      <c r="Z41" s="2">
        <f>VLOOKUP(Z$22,heatrate!$K$5:$T$36,VLOOKUP('ELC_Gen-sdj'!$B41,'ELC_Gen-sdj'!$AA$4:$AD$19,4,FALSE))</f>
        <v>0.39910202045397902</v>
      </c>
      <c r="AA41" s="2">
        <f>VLOOKUP(AA$22,heatrate!$K$5:$T$36,VLOOKUP('ELC_Gen-sdj'!$B41,'ELC_Gen-sdj'!$AA$4:$AD$19,4,FALSE))</f>
        <v>0.39910202045397902</v>
      </c>
      <c r="AB41" s="2">
        <f>VLOOKUP(AB$22,heatrate!$K$5:$T$36,VLOOKUP('ELC_Gen-sdj'!$B41,'ELC_Gen-sdj'!$AA$4:$AD$19,4,FALSE))</f>
        <v>0.39910202045397902</v>
      </c>
      <c r="AC41" s="2">
        <f>VLOOKUP(AC$22,heatrate!$K$5:$T$36,VLOOKUP('ELC_Gen-sdj'!$B41,'ELC_Gen-sdj'!$AA$4:$AD$19,4,FALSE))</f>
        <v>0.39910202045397902</v>
      </c>
      <c r="AD41" s="2">
        <f>VLOOKUP(AD$22,heatrate!$K$5:$T$36,VLOOKUP('ELC_Gen-sdj'!$B41,'ELC_Gen-sdj'!$AA$4:$AD$19,4,FALSE))</f>
        <v>0.39910202045397902</v>
      </c>
      <c r="AE41" s="2">
        <f>VLOOKUP(AE$22,heatrate!$K$5:$T$36,VLOOKUP('ELC_Gen-sdj'!$B41,'ELC_Gen-sdj'!$AA$4:$AD$19,4,FALSE))</f>
        <v>0.39910202045397902</v>
      </c>
      <c r="AF41" s="2">
        <f>VLOOKUP(AF$22,heatrate!$K$5:$T$36,VLOOKUP('ELC_Gen-sdj'!$B41,'ELC_Gen-sdj'!$AA$4:$AD$19,4,FALSE))</f>
        <v>0.39910202045397902</v>
      </c>
      <c r="AG41" s="2">
        <f>VLOOKUP(AG$22,heatrate!$K$5:$T$36,VLOOKUP('ELC_Gen-sdj'!$B41,'ELC_Gen-sdj'!$AA$4:$AD$19,4,FALSE))</f>
        <v>0.39910202045397902</v>
      </c>
      <c r="AH41" s="2">
        <f>VLOOKUP(AH$22,heatrate!$K$5:$T$36,VLOOKUP('ELC_Gen-sdj'!$B41,'ELC_Gen-sdj'!$AA$4:$AD$19,4,FALSE))</f>
        <v>0.39910202045397902</v>
      </c>
    </row>
    <row r="42" spans="2:34">
      <c r="B42" t="str">
        <f t="shared" si="4"/>
        <v>EN_GasCT</v>
      </c>
      <c r="C42" s="2">
        <f>VLOOKUP(C$22,heatrate!$K$5:$T$36,VLOOKUP('ELC_Gen-sdj'!$B42,'ELC_Gen-sdj'!$AA$4:$AD$19,4,FALSE))</f>
        <v>0.34678071899202401</v>
      </c>
      <c r="D42" s="2">
        <f>VLOOKUP(D$22,heatrate!$K$5:$T$36,VLOOKUP('ELC_Gen-sdj'!$B42,'ELC_Gen-sdj'!$AA$4:$AD$19,4,FALSE))</f>
        <v>0.34819615049811398</v>
      </c>
      <c r="E42" s="2">
        <f>VLOOKUP(E$22,heatrate!$K$5:$T$36,VLOOKUP('ELC_Gen-sdj'!$B42,'ELC_Gen-sdj'!$AA$4:$AD$19,4,FALSE))</f>
        <v>0.34962318390179498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0.35251263170263603</v>
      </c>
      <c r="H42" s="2">
        <f>VLOOKUP(H$22,heatrate!$K$5:$T$36,VLOOKUP('ELC_Gen-sdj'!$B42,'ELC_Gen-sdj'!$AA$4:$AD$19,4,FALSE))</f>
        <v>0.35397533971799999</v>
      </c>
      <c r="I42" s="2">
        <f>VLOOKUP(I$22,heatrate!$K$5:$T$36,VLOOKUP('ELC_Gen-sdj'!$B42,'ELC_Gen-sdj'!$AA$4:$AD$19,4,FALSE))</f>
        <v>0.35545023696682498</v>
      </c>
      <c r="J42" s="2">
        <f>VLOOKUP(J$22,heatrate!$K$5:$T$36,VLOOKUP('ELC_Gen-sdj'!$B42,'ELC_Gen-sdj'!$AA$4:$AD$19,4,FALSE))</f>
        <v>0.35545023696682498</v>
      </c>
      <c r="K42" s="2">
        <f>VLOOKUP(K$22,heatrate!$K$5:$T$36,VLOOKUP('ELC_Gen-sdj'!$B42,'ELC_Gen-sdj'!$AA$4:$AD$19,4,FALSE))</f>
        <v>0.35545023696682498</v>
      </c>
      <c r="L42" s="2">
        <f>VLOOKUP(L$22,heatrate!$K$5:$T$36,VLOOKUP('ELC_Gen-sdj'!$B42,'ELC_Gen-sdj'!$AA$4:$AD$19,4,FALSE))</f>
        <v>0.35545023696682498</v>
      </c>
      <c r="M42" s="2">
        <f>VLOOKUP(M$22,heatrate!$K$5:$T$36,VLOOKUP('ELC_Gen-sdj'!$B42,'ELC_Gen-sdj'!$AA$4:$AD$19,4,FALSE))</f>
        <v>0.35545023696682498</v>
      </c>
      <c r="N42" s="2">
        <f>VLOOKUP(N$22,heatrate!$K$5:$T$36,VLOOKUP('ELC_Gen-sdj'!$B42,'ELC_Gen-sdj'!$AA$4:$AD$19,4,FALSE))</f>
        <v>0.35545023696682498</v>
      </c>
      <c r="O42" s="2">
        <f>VLOOKUP(O$22,heatrate!$K$5:$T$36,VLOOKUP('ELC_Gen-sdj'!$B42,'ELC_Gen-sdj'!$AA$4:$AD$19,4,FALSE))</f>
        <v>0.35545023696682498</v>
      </c>
      <c r="P42" s="2">
        <f>VLOOKUP(P$22,heatrate!$K$5:$T$36,VLOOKUP('ELC_Gen-sdj'!$B42,'ELC_Gen-sdj'!$AA$4:$AD$19,4,FALSE))</f>
        <v>0.35545023696682498</v>
      </c>
      <c r="Q42" s="2">
        <f>VLOOKUP(Q$22,heatrate!$K$5:$T$36,VLOOKUP('ELC_Gen-sdj'!$B42,'ELC_Gen-sdj'!$AA$4:$AD$19,4,FALSE))</f>
        <v>0.35545023696682498</v>
      </c>
      <c r="R42" s="2">
        <f>VLOOKUP(R$22,heatrate!$K$5:$T$36,VLOOKUP('ELC_Gen-sdj'!$B42,'ELC_Gen-sdj'!$AA$4:$AD$19,4,FALSE))</f>
        <v>0.35545023696682498</v>
      </c>
      <c r="S42" s="2">
        <f>VLOOKUP(S$22,heatrate!$K$5:$T$36,VLOOKUP('ELC_Gen-sdj'!$B42,'ELC_Gen-sdj'!$AA$4:$AD$19,4,FALSE))</f>
        <v>0.35545023696682498</v>
      </c>
      <c r="T42" s="2">
        <f>VLOOKUP(T$22,heatrate!$K$5:$T$36,VLOOKUP('ELC_Gen-sdj'!$B42,'ELC_Gen-sdj'!$AA$4:$AD$19,4,FALSE))</f>
        <v>0.35545023696682498</v>
      </c>
      <c r="U42" s="2">
        <f>VLOOKUP(U$22,heatrate!$K$5:$T$36,VLOOKUP('ELC_Gen-sdj'!$B42,'ELC_Gen-sdj'!$AA$4:$AD$19,4,FALSE))</f>
        <v>0.35545023696682498</v>
      </c>
      <c r="V42" s="2">
        <f>VLOOKUP(V$22,heatrate!$K$5:$T$36,VLOOKUP('ELC_Gen-sdj'!$B42,'ELC_Gen-sdj'!$AA$4:$AD$19,4,FALSE))</f>
        <v>0.35545023696682498</v>
      </c>
      <c r="W42" s="2">
        <f>VLOOKUP(W$22,heatrate!$K$5:$T$36,VLOOKUP('ELC_Gen-sdj'!$B42,'ELC_Gen-sdj'!$AA$4:$AD$19,4,FALSE))</f>
        <v>0.35545023696682498</v>
      </c>
      <c r="X42" s="2">
        <f>VLOOKUP(X$22,heatrate!$K$5:$T$36,VLOOKUP('ELC_Gen-sdj'!$B42,'ELC_Gen-sdj'!$AA$4:$AD$19,4,FALSE))</f>
        <v>0.35545023696682498</v>
      </c>
      <c r="Y42" s="2">
        <f>VLOOKUP(Y$22,heatrate!$K$5:$T$36,VLOOKUP('ELC_Gen-sdj'!$B42,'ELC_Gen-sdj'!$AA$4:$AD$19,4,FALSE))</f>
        <v>0.35545023696682498</v>
      </c>
      <c r="Z42" s="2">
        <f>VLOOKUP(Z$22,heatrate!$K$5:$T$36,VLOOKUP('ELC_Gen-sdj'!$B42,'ELC_Gen-sdj'!$AA$4:$AD$19,4,FALSE))</f>
        <v>0.35545023696682498</v>
      </c>
      <c r="AA42" s="2">
        <f>VLOOKUP(AA$22,heatrate!$K$5:$T$36,VLOOKUP('ELC_Gen-sdj'!$B42,'ELC_Gen-sdj'!$AA$4:$AD$19,4,FALSE))</f>
        <v>0.35545023696682498</v>
      </c>
      <c r="AB42" s="2">
        <f>VLOOKUP(AB$22,heatrate!$K$5:$T$36,VLOOKUP('ELC_Gen-sdj'!$B42,'ELC_Gen-sdj'!$AA$4:$AD$19,4,FALSE))</f>
        <v>0.35545023696682498</v>
      </c>
      <c r="AC42" s="2">
        <f>VLOOKUP(AC$22,heatrate!$K$5:$T$36,VLOOKUP('ELC_Gen-sdj'!$B42,'ELC_Gen-sdj'!$AA$4:$AD$19,4,FALSE))</f>
        <v>0.35545023696682498</v>
      </c>
      <c r="AD42" s="2">
        <f>VLOOKUP(AD$22,heatrate!$K$5:$T$36,VLOOKUP('ELC_Gen-sdj'!$B42,'ELC_Gen-sdj'!$AA$4:$AD$19,4,FALSE))</f>
        <v>0.35545023696682498</v>
      </c>
      <c r="AE42" s="2">
        <f>VLOOKUP(AE$22,heatrate!$K$5:$T$36,VLOOKUP('ELC_Gen-sdj'!$B42,'ELC_Gen-sdj'!$AA$4:$AD$19,4,FALSE))</f>
        <v>0.35545023696682498</v>
      </c>
      <c r="AF42" s="2">
        <f>VLOOKUP(AF$22,heatrate!$K$5:$T$36,VLOOKUP('ELC_Gen-sdj'!$B42,'ELC_Gen-sdj'!$AA$4:$AD$19,4,FALSE))</f>
        <v>0.35545023696682498</v>
      </c>
      <c r="AG42" s="2">
        <f>VLOOKUP(AG$22,heatrate!$K$5:$T$36,VLOOKUP('ELC_Gen-sdj'!$B42,'ELC_Gen-sdj'!$AA$4:$AD$19,4,FALSE))</f>
        <v>0.35545023696682498</v>
      </c>
      <c r="AH42" s="2">
        <f>VLOOKUP(AH$22,heatrate!$K$5:$T$36,VLOOKUP('ELC_Gen-sdj'!$B42,'ELC_Gen-sdj'!$AA$4:$AD$19,4,FALSE))</f>
        <v>0.35545023696682498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0.29290319956064498</v>
      </c>
      <c r="D43" s="2">
        <f>VLOOKUP(D$22,heatrate!$K$5:$T$36,VLOOKUP('ELC_Gen-sdj'!$B43,'ELC_Gen-sdj'!$AA$4:$AD$19,4,FALSE))</f>
        <v>0.29290319956064498</v>
      </c>
      <c r="E43" s="2">
        <f>VLOOKUP(E$22,heatrate!$K$5:$T$36,VLOOKUP('ELC_Gen-sdj'!$B43,'ELC_Gen-sdj'!$AA$4:$AD$19,4,FALSE))</f>
        <v>0.29290319956064498</v>
      </c>
      <c r="F43" s="2">
        <f>VLOOKUP(F$22,heatrate!$K$5:$T$36,VLOOKUP('ELC_Gen-sdj'!$B43,'ELC_Gen-sdj'!$AA$4:$AD$19,4,FALSE))</f>
        <v>0.29290319956064498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0.33937696672540701</v>
      </c>
      <c r="I43" s="2">
        <f>VLOOKUP(I$22,heatrate!$K$5:$T$36,VLOOKUP('ELC_Gen-sdj'!$B43,'ELC_Gen-sdj'!$AA$4:$AD$19,4,FALSE))</f>
        <v>0.36862074914999599</v>
      </c>
      <c r="J43" s="2">
        <f>VLOOKUP(J$22,heatrate!$K$5:$T$36,VLOOKUP('ELC_Gen-sdj'!$B43,'ELC_Gen-sdj'!$AA$4:$AD$19,4,FALSE))</f>
        <v>0.36862074914999599</v>
      </c>
      <c r="K43" s="2">
        <f>VLOOKUP(K$22,heatrate!$K$5:$T$36,VLOOKUP('ELC_Gen-sdj'!$B43,'ELC_Gen-sdj'!$AA$4:$AD$19,4,FALSE))</f>
        <v>0.36862074914999599</v>
      </c>
      <c r="L43" s="2">
        <f>VLOOKUP(L$22,heatrate!$K$5:$T$36,VLOOKUP('ELC_Gen-sdj'!$B43,'ELC_Gen-sdj'!$AA$4:$AD$19,4,FALSE))</f>
        <v>0.36862074914999599</v>
      </c>
      <c r="M43" s="2">
        <f>VLOOKUP(M$22,heatrate!$K$5:$T$36,VLOOKUP('ELC_Gen-sdj'!$B43,'ELC_Gen-sdj'!$AA$4:$AD$19,4,FALSE))</f>
        <v>0.36862074914999599</v>
      </c>
      <c r="N43" s="2">
        <f>VLOOKUP(N$22,heatrate!$K$5:$T$36,VLOOKUP('ELC_Gen-sdj'!$B43,'ELC_Gen-sdj'!$AA$4:$AD$19,4,FALSE))</f>
        <v>0.36862074914999599</v>
      </c>
      <c r="O43" s="2">
        <f>VLOOKUP(O$22,heatrate!$K$5:$T$36,VLOOKUP('ELC_Gen-sdj'!$B43,'ELC_Gen-sdj'!$AA$4:$AD$19,4,FALSE))</f>
        <v>0.36862074914999599</v>
      </c>
      <c r="P43" s="2">
        <f>VLOOKUP(P$22,heatrate!$K$5:$T$36,VLOOKUP('ELC_Gen-sdj'!$B43,'ELC_Gen-sdj'!$AA$4:$AD$19,4,FALSE))</f>
        <v>0.36862074914999599</v>
      </c>
      <c r="Q43" s="2">
        <f>VLOOKUP(Q$22,heatrate!$K$5:$T$36,VLOOKUP('ELC_Gen-sdj'!$B43,'ELC_Gen-sdj'!$AA$4:$AD$19,4,FALSE))</f>
        <v>0.36862074914999599</v>
      </c>
      <c r="R43" s="2">
        <f>VLOOKUP(R$22,heatrate!$K$5:$T$36,VLOOKUP('ELC_Gen-sdj'!$B43,'ELC_Gen-sdj'!$AA$4:$AD$19,4,FALSE))</f>
        <v>0.36862074914999599</v>
      </c>
      <c r="S43" s="2">
        <f>VLOOKUP(S$22,heatrate!$K$5:$T$36,VLOOKUP('ELC_Gen-sdj'!$B43,'ELC_Gen-sdj'!$AA$4:$AD$19,4,FALSE))</f>
        <v>0.36862074914999599</v>
      </c>
      <c r="T43" s="2">
        <f>VLOOKUP(T$22,heatrate!$K$5:$T$36,VLOOKUP('ELC_Gen-sdj'!$B43,'ELC_Gen-sdj'!$AA$4:$AD$19,4,FALSE))</f>
        <v>0.36862074914999599</v>
      </c>
      <c r="U43" s="2">
        <f>VLOOKUP(U$22,heatrate!$K$5:$T$36,VLOOKUP('ELC_Gen-sdj'!$B43,'ELC_Gen-sdj'!$AA$4:$AD$19,4,FALSE))</f>
        <v>0.36862074914999599</v>
      </c>
      <c r="V43" s="2">
        <f>VLOOKUP(V$22,heatrate!$K$5:$T$36,VLOOKUP('ELC_Gen-sdj'!$B43,'ELC_Gen-sdj'!$AA$4:$AD$19,4,FALSE))</f>
        <v>0.36862074914999599</v>
      </c>
      <c r="W43" s="2">
        <f>VLOOKUP(W$22,heatrate!$K$5:$T$36,VLOOKUP('ELC_Gen-sdj'!$B43,'ELC_Gen-sdj'!$AA$4:$AD$19,4,FALSE))</f>
        <v>0.36862074914999599</v>
      </c>
      <c r="X43" s="2">
        <f>VLOOKUP(X$22,heatrate!$K$5:$T$36,VLOOKUP('ELC_Gen-sdj'!$B43,'ELC_Gen-sdj'!$AA$4:$AD$19,4,FALSE))</f>
        <v>0.36862074914999599</v>
      </c>
      <c r="Y43" s="2">
        <f>VLOOKUP(Y$22,heatrate!$K$5:$T$36,VLOOKUP('ELC_Gen-sdj'!$B43,'ELC_Gen-sdj'!$AA$4:$AD$19,4,FALSE))</f>
        <v>0.36862074914999599</v>
      </c>
      <c r="Z43" s="2">
        <f>VLOOKUP(Z$22,heatrate!$K$5:$T$36,VLOOKUP('ELC_Gen-sdj'!$B43,'ELC_Gen-sdj'!$AA$4:$AD$19,4,FALSE))</f>
        <v>0.36862074914999599</v>
      </c>
      <c r="AA43" s="2">
        <f>VLOOKUP(AA$22,heatrate!$K$5:$T$36,VLOOKUP('ELC_Gen-sdj'!$B43,'ELC_Gen-sdj'!$AA$4:$AD$19,4,FALSE))</f>
        <v>0.36862074914999599</v>
      </c>
      <c r="AB43" s="2">
        <f>VLOOKUP(AB$22,heatrate!$K$5:$T$36,VLOOKUP('ELC_Gen-sdj'!$B43,'ELC_Gen-sdj'!$AA$4:$AD$19,4,FALSE))</f>
        <v>0.36862074914999599</v>
      </c>
      <c r="AC43" s="2">
        <f>VLOOKUP(AC$22,heatrate!$K$5:$T$36,VLOOKUP('ELC_Gen-sdj'!$B43,'ELC_Gen-sdj'!$AA$4:$AD$19,4,FALSE))</f>
        <v>0.36862074914999599</v>
      </c>
      <c r="AD43" s="2">
        <f>VLOOKUP(AD$22,heatrate!$K$5:$T$36,VLOOKUP('ELC_Gen-sdj'!$B43,'ELC_Gen-sdj'!$AA$4:$AD$19,4,FALSE))</f>
        <v>0.36862074914999599</v>
      </c>
      <c r="AE43" s="2">
        <f>VLOOKUP(AE$22,heatrate!$K$5:$T$36,VLOOKUP('ELC_Gen-sdj'!$B43,'ELC_Gen-sdj'!$AA$4:$AD$19,4,FALSE))</f>
        <v>0.36862074914999599</v>
      </c>
      <c r="AF43" s="2">
        <f>VLOOKUP(AF$22,heatrate!$K$5:$T$36,VLOOKUP('ELC_Gen-sdj'!$B43,'ELC_Gen-sdj'!$AA$4:$AD$19,4,FALSE))</f>
        <v>0.36862074914999599</v>
      </c>
      <c r="AG43" s="2">
        <f>VLOOKUP(AG$22,heatrate!$K$5:$T$36,VLOOKUP('ELC_Gen-sdj'!$B43,'ELC_Gen-sdj'!$AA$4:$AD$19,4,FALSE))</f>
        <v>0.36862074914999599</v>
      </c>
      <c r="AH43" s="2">
        <f>VLOOKUP(AH$22,heatrate!$K$5:$T$36,VLOOKUP('ELC_Gen-sdj'!$B43,'ELC_Gen-sdj'!$AA$4:$AD$19,4,FALSE))</f>
        <v>0.36862074914999599</v>
      </c>
    </row>
    <row r="44" spans="2:34">
      <c r="B44" t="str">
        <f>B31</f>
        <v>EN_OilCCAdv</v>
      </c>
      <c r="C44" s="2">
        <f>VLOOKUP(C$22,heatrate!$K$5:$T$36,VLOOKUP('ELC_Gen-sdj'!$B44,'ELC_Gen-sdj'!$AA$4:$AD$19,4,FALSE))</f>
        <v>0.34819615049811398</v>
      </c>
      <c r="D44" s="2">
        <f>VLOOKUP(D$22,heatrate!$K$5:$T$36,VLOOKUP('ELC_Gen-sdj'!$B44,'ELC_Gen-sdj'!$AA$4:$AD$19,4,FALSE))</f>
        <v>0.34819615049811398</v>
      </c>
      <c r="E44" s="2">
        <f>VLOOKUP(E$22,heatrate!$K$5:$T$36,VLOOKUP('ELC_Gen-sdj'!$B44,'ELC_Gen-sdj'!$AA$4:$AD$19,4,FALSE))</f>
        <v>0.35731123297188699</v>
      </c>
      <c r="F44" s="2">
        <f>VLOOKUP(F$22,heatrate!$K$5:$T$36,VLOOKUP('ELC_Gen-sdj'!$B44,'ELC_Gen-sdj'!$AA$4:$AD$19,4,FALSE))</f>
        <v>0.36691637364317398</v>
      </c>
      <c r="G44" s="2">
        <f>VLOOKUP(G$22,heatrate!$K$5:$T$36,VLOOKUP('ELC_Gen-sdj'!$B44,'ELC_Gen-sdj'!$AA$4:$AD$19,4,FALSE))</f>
        <v>0.377052185069781</v>
      </c>
      <c r="H44" s="2">
        <f>VLOOKUP(H$22,heatrate!$K$5:$T$36,VLOOKUP('ELC_Gen-sdj'!$B44,'ELC_Gen-sdj'!$AA$4:$AD$19,4,FALSE))</f>
        <v>0.38776389487289997</v>
      </c>
      <c r="I44" s="2">
        <f>VLOOKUP(I$22,heatrate!$K$5:$T$36,VLOOKUP('ELC_Gen-sdj'!$B44,'ELC_Gen-sdj'!$AA$4:$AD$19,4,FALSE))</f>
        <v>0.39910202045397902</v>
      </c>
      <c r="J44" s="2">
        <f>VLOOKUP(J$22,heatrate!$K$5:$T$36,VLOOKUP('ELC_Gen-sdj'!$B44,'ELC_Gen-sdj'!$AA$4:$AD$19,4,FALSE))</f>
        <v>0.39910202045397902</v>
      </c>
      <c r="K44" s="2">
        <f>VLOOKUP(K$22,heatrate!$K$5:$T$36,VLOOKUP('ELC_Gen-sdj'!$B44,'ELC_Gen-sdj'!$AA$4:$AD$19,4,FALSE))</f>
        <v>0.39910202045397902</v>
      </c>
      <c r="L44" s="2">
        <f>VLOOKUP(L$22,heatrate!$K$5:$T$36,VLOOKUP('ELC_Gen-sdj'!$B44,'ELC_Gen-sdj'!$AA$4:$AD$19,4,FALSE))</f>
        <v>0.39910202045397902</v>
      </c>
      <c r="M44" s="2">
        <f>VLOOKUP(M$22,heatrate!$K$5:$T$36,VLOOKUP('ELC_Gen-sdj'!$B44,'ELC_Gen-sdj'!$AA$4:$AD$19,4,FALSE))</f>
        <v>0.39910202045397902</v>
      </c>
      <c r="N44" s="2">
        <f>VLOOKUP(N$22,heatrate!$K$5:$T$36,VLOOKUP('ELC_Gen-sdj'!$B44,'ELC_Gen-sdj'!$AA$4:$AD$19,4,FALSE))</f>
        <v>0.39910202045397902</v>
      </c>
      <c r="O44" s="2">
        <f>VLOOKUP(O$22,heatrate!$K$5:$T$36,VLOOKUP('ELC_Gen-sdj'!$B44,'ELC_Gen-sdj'!$AA$4:$AD$19,4,FALSE))</f>
        <v>0.39910202045397902</v>
      </c>
      <c r="P44" s="2">
        <f>VLOOKUP(P$22,heatrate!$K$5:$T$36,VLOOKUP('ELC_Gen-sdj'!$B44,'ELC_Gen-sdj'!$AA$4:$AD$19,4,FALSE))</f>
        <v>0.39910202045397902</v>
      </c>
      <c r="Q44" s="2">
        <f>VLOOKUP(Q$22,heatrate!$K$5:$T$36,VLOOKUP('ELC_Gen-sdj'!$B44,'ELC_Gen-sdj'!$AA$4:$AD$19,4,FALSE))</f>
        <v>0.39910202045397902</v>
      </c>
      <c r="R44" s="2">
        <f>VLOOKUP(R$22,heatrate!$K$5:$T$36,VLOOKUP('ELC_Gen-sdj'!$B44,'ELC_Gen-sdj'!$AA$4:$AD$19,4,FALSE))</f>
        <v>0.39910202045397902</v>
      </c>
      <c r="S44" s="2">
        <f>VLOOKUP(S$22,heatrate!$K$5:$T$36,VLOOKUP('ELC_Gen-sdj'!$B44,'ELC_Gen-sdj'!$AA$4:$AD$19,4,FALSE))</f>
        <v>0.39910202045397902</v>
      </c>
      <c r="T44" s="2">
        <f>VLOOKUP(T$22,heatrate!$K$5:$T$36,VLOOKUP('ELC_Gen-sdj'!$B44,'ELC_Gen-sdj'!$AA$4:$AD$19,4,FALSE))</f>
        <v>0.39910202045397902</v>
      </c>
      <c r="U44" s="2">
        <f>VLOOKUP(U$22,heatrate!$K$5:$T$36,VLOOKUP('ELC_Gen-sdj'!$B44,'ELC_Gen-sdj'!$AA$4:$AD$19,4,FALSE))</f>
        <v>0.39910202045397902</v>
      </c>
      <c r="V44" s="2">
        <f>VLOOKUP(V$22,heatrate!$K$5:$T$36,VLOOKUP('ELC_Gen-sdj'!$B44,'ELC_Gen-sdj'!$AA$4:$AD$19,4,FALSE))</f>
        <v>0.39910202045397902</v>
      </c>
      <c r="W44" s="2">
        <f>VLOOKUP(W$22,heatrate!$K$5:$T$36,VLOOKUP('ELC_Gen-sdj'!$B44,'ELC_Gen-sdj'!$AA$4:$AD$19,4,FALSE))</f>
        <v>0.39910202045397902</v>
      </c>
      <c r="X44" s="2">
        <f>VLOOKUP(X$22,heatrate!$K$5:$T$36,VLOOKUP('ELC_Gen-sdj'!$B44,'ELC_Gen-sdj'!$AA$4:$AD$19,4,FALSE))</f>
        <v>0.39910202045397902</v>
      </c>
      <c r="Y44" s="2">
        <f>VLOOKUP(Y$22,heatrate!$K$5:$T$36,VLOOKUP('ELC_Gen-sdj'!$B44,'ELC_Gen-sdj'!$AA$4:$AD$19,4,FALSE))</f>
        <v>0.39910202045397902</v>
      </c>
      <c r="Z44" s="2">
        <f>VLOOKUP(Z$22,heatrate!$K$5:$T$36,VLOOKUP('ELC_Gen-sdj'!$B44,'ELC_Gen-sdj'!$AA$4:$AD$19,4,FALSE))</f>
        <v>0.39910202045397902</v>
      </c>
      <c r="AA44" s="2">
        <f>VLOOKUP(AA$22,heatrate!$K$5:$T$36,VLOOKUP('ELC_Gen-sdj'!$B44,'ELC_Gen-sdj'!$AA$4:$AD$19,4,FALSE))</f>
        <v>0.39910202045397902</v>
      </c>
      <c r="AB44" s="2">
        <f>VLOOKUP(AB$22,heatrate!$K$5:$T$36,VLOOKUP('ELC_Gen-sdj'!$B44,'ELC_Gen-sdj'!$AA$4:$AD$19,4,FALSE))</f>
        <v>0.39910202045397902</v>
      </c>
      <c r="AC44" s="2">
        <f>VLOOKUP(AC$22,heatrate!$K$5:$T$36,VLOOKUP('ELC_Gen-sdj'!$B44,'ELC_Gen-sdj'!$AA$4:$AD$19,4,FALSE))</f>
        <v>0.39910202045397902</v>
      </c>
      <c r="AD44" s="2">
        <f>VLOOKUP(AD$22,heatrate!$K$5:$T$36,VLOOKUP('ELC_Gen-sdj'!$B44,'ELC_Gen-sdj'!$AA$4:$AD$19,4,FALSE))</f>
        <v>0.39910202045397902</v>
      </c>
      <c r="AE44" s="2">
        <f>VLOOKUP(AE$22,heatrate!$K$5:$T$36,VLOOKUP('ELC_Gen-sdj'!$B44,'ELC_Gen-sdj'!$AA$4:$AD$19,4,FALSE))</f>
        <v>0.39910202045397902</v>
      </c>
      <c r="AF44" s="2">
        <f>VLOOKUP(AF$22,heatrate!$K$5:$T$36,VLOOKUP('ELC_Gen-sdj'!$B44,'ELC_Gen-sdj'!$AA$4:$AD$19,4,FALSE))</f>
        <v>0.39910202045397902</v>
      </c>
      <c r="AG44" s="2">
        <f>VLOOKUP(AG$22,heatrate!$K$5:$T$36,VLOOKUP('ELC_Gen-sdj'!$B44,'ELC_Gen-sdj'!$AA$4:$AD$19,4,FALSE))</f>
        <v>0.39910202045397902</v>
      </c>
      <c r="AH44" s="2">
        <f>VLOOKUP(AH$22,heatrate!$K$5:$T$36,VLOOKUP('ELC_Gen-sdj'!$B44,'ELC_Gen-sdj'!$AA$4:$AD$19,4,FALSE))</f>
        <v>0.39910202045397902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36"/>
  <sheetViews>
    <sheetView workbookViewId="0"/>
  </sheetViews>
  <sheetFormatPr defaultColWidth="8.81640625" defaultRowHeight="14.5"/>
  <sheetData>
    <row r="1" spans="1:23">
      <c r="A1" s="22" t="s">
        <v>92</v>
      </c>
    </row>
    <row r="2" spans="1:23">
      <c r="A2" t="s">
        <v>93</v>
      </c>
    </row>
    <row r="4" spans="1:23" ht="43.5">
      <c r="A4" s="23" t="s">
        <v>94</v>
      </c>
      <c r="B4" s="23" t="s">
        <v>53</v>
      </c>
      <c r="C4" s="23" t="s">
        <v>58</v>
      </c>
      <c r="D4" s="23" t="s">
        <v>95</v>
      </c>
      <c r="E4" s="23" t="s">
        <v>75</v>
      </c>
      <c r="F4" s="23" t="s">
        <v>71</v>
      </c>
      <c r="G4" s="23" t="s">
        <v>68</v>
      </c>
      <c r="H4" s="23" t="s">
        <v>64</v>
      </c>
      <c r="I4" s="23" t="s">
        <v>61</v>
      </c>
      <c r="J4" s="23" t="s">
        <v>96</v>
      </c>
      <c r="K4" s="23" t="s">
        <v>85</v>
      </c>
      <c r="L4" s="23" t="s">
        <v>79</v>
      </c>
      <c r="M4" s="23" t="s">
        <v>97</v>
      </c>
      <c r="N4" s="23" t="s">
        <v>98</v>
      </c>
      <c r="O4" s="23" t="s">
        <v>84</v>
      </c>
      <c r="P4" s="23" t="s">
        <v>99</v>
      </c>
      <c r="Q4" s="23" t="s">
        <v>44</v>
      </c>
      <c r="R4" s="23" t="s">
        <v>48</v>
      </c>
      <c r="S4" s="23" t="s">
        <v>100</v>
      </c>
      <c r="T4" s="23" t="s">
        <v>101</v>
      </c>
      <c r="U4" s="23" t="s">
        <v>40</v>
      </c>
      <c r="V4" s="23" t="s">
        <v>102</v>
      </c>
      <c r="W4" s="23" t="s">
        <v>103</v>
      </c>
    </row>
    <row r="5" spans="1:23">
      <c r="A5" s="25">
        <v>2019</v>
      </c>
      <c r="B5" s="31">
        <v>5168.6426178861802</v>
      </c>
      <c r="C5" s="31">
        <v>5715.7879928716902</v>
      </c>
      <c r="D5" s="31">
        <v>1371.3094454726199</v>
      </c>
      <c r="E5" s="31">
        <v>1126.00240868118</v>
      </c>
      <c r="F5" s="31">
        <v>691.07681578878396</v>
      </c>
      <c r="G5" s="31">
        <v>999.32722103014601</v>
      </c>
      <c r="H5" s="31">
        <v>794.43951592145902</v>
      </c>
      <c r="I5" s="31">
        <v>2204.7527264537098</v>
      </c>
      <c r="J5" s="31">
        <v>7197.3475813953501</v>
      </c>
      <c r="K5" s="31">
        <v>6034.2658544366896</v>
      </c>
      <c r="L5" s="31">
        <v>3899.5782844311402</v>
      </c>
      <c r="M5" s="31">
        <v>2786.55029333333</v>
      </c>
      <c r="N5" s="31">
        <v>8894.7868268839102</v>
      </c>
      <c r="O5" s="31">
        <v>2947.7592770000001</v>
      </c>
      <c r="P5" s="31">
        <v>1950.3365679727799</v>
      </c>
      <c r="Q5" s="31">
        <v>1919.9304789039099</v>
      </c>
      <c r="R5" s="31">
        <v>6541.9375379639996</v>
      </c>
      <c r="S5" s="31">
        <v>4291.3345329670301</v>
      </c>
      <c r="T5" s="31">
        <v>2160.2096522704901</v>
      </c>
      <c r="U5" s="31">
        <v>2024.46332663926</v>
      </c>
      <c r="V5" s="31">
        <v>1576.4641665014899</v>
      </c>
      <c r="W5" s="31">
        <v>1893.7525848912101</v>
      </c>
    </row>
    <row r="6" spans="1:23">
      <c r="A6" s="25">
        <v>2020</v>
      </c>
      <c r="B6" s="31">
        <v>5110.6770833333303</v>
      </c>
      <c r="C6" s="31">
        <v>5651.6864103869602</v>
      </c>
      <c r="D6" s="31">
        <v>1358.5377701975301</v>
      </c>
      <c r="E6" s="31">
        <v>1115.5153164235401</v>
      </c>
      <c r="F6" s="31">
        <v>683.76621123055702</v>
      </c>
      <c r="G6" s="31">
        <v>990.01963397384702</v>
      </c>
      <c r="H6" s="31">
        <v>786.43841465656703</v>
      </c>
      <c r="I6" s="31">
        <v>2176.35507794149</v>
      </c>
      <c r="J6" s="31">
        <v>7055.6867735085898</v>
      </c>
      <c r="K6" s="31">
        <v>5962.7387367896299</v>
      </c>
      <c r="L6" s="31">
        <v>3858.23884431138</v>
      </c>
      <c r="M6" s="31">
        <v>2753.5199655555598</v>
      </c>
      <c r="N6" s="31">
        <v>8811.9450896130402</v>
      </c>
      <c r="O6" s="31">
        <v>2920.303711</v>
      </c>
      <c r="P6" s="31">
        <v>1858.29251806464</v>
      </c>
      <c r="Q6" s="31">
        <v>1902.04902252188</v>
      </c>
      <c r="R6" s="31">
        <v>6455.9898762654702</v>
      </c>
      <c r="S6" s="31">
        <v>4240.3061061307098</v>
      </c>
      <c r="T6" s="31">
        <v>2065.76200662678</v>
      </c>
      <c r="U6" s="31">
        <v>1935.9505544947899</v>
      </c>
      <c r="V6" s="31">
        <v>1557.7777294350799</v>
      </c>
      <c r="W6" s="31">
        <v>1871.3051088490899</v>
      </c>
    </row>
    <row r="7" spans="1:23">
      <c r="A7" s="25">
        <v>2021</v>
      </c>
      <c r="B7" s="31">
        <v>4985.71777337398</v>
      </c>
      <c r="C7" s="31">
        <v>5513.4993360488797</v>
      </c>
      <c r="D7" s="31">
        <v>1327.88693133021</v>
      </c>
      <c r="E7" s="31">
        <v>1090.3474355472399</v>
      </c>
      <c r="F7" s="31">
        <v>667.48039872330696</v>
      </c>
      <c r="G7" s="31">
        <v>967.68334022919896</v>
      </c>
      <c r="H7" s="31">
        <v>768.10346098691002</v>
      </c>
      <c r="I7" s="31">
        <v>2119.5276840658298</v>
      </c>
      <c r="J7" s="31">
        <v>6629.8438088978801</v>
      </c>
      <c r="K7" s="31">
        <v>5813.1538005982102</v>
      </c>
      <c r="L7" s="31">
        <v>3756.43707684631</v>
      </c>
      <c r="M7" s="31">
        <v>2684.4433588888901</v>
      </c>
      <c r="N7" s="31">
        <v>8613.1330753564198</v>
      </c>
      <c r="O7" s="31">
        <v>2854.4155270000001</v>
      </c>
      <c r="P7" s="31">
        <v>1795.5102107948201</v>
      </c>
      <c r="Q7" s="31">
        <v>1859.1356729050899</v>
      </c>
      <c r="R7" s="31">
        <v>6285.7541312681296</v>
      </c>
      <c r="S7" s="31">
        <v>4133.77275303644</v>
      </c>
      <c r="T7" s="31">
        <v>1979.5231836919299</v>
      </c>
      <c r="U7" s="31">
        <v>1855.1309970304301</v>
      </c>
      <c r="V7" s="31">
        <v>1518.6982923686801</v>
      </c>
      <c r="W7" s="31">
        <v>1824.3604684034899</v>
      </c>
    </row>
    <row r="8" spans="1:23">
      <c r="A8" s="25">
        <v>2022</v>
      </c>
      <c r="B8" s="31">
        <v>4908.0666646341497</v>
      </c>
      <c r="C8" s="31">
        <v>5427.6274704684301</v>
      </c>
      <c r="D8" s="31">
        <v>1309.75428707366</v>
      </c>
      <c r="E8" s="31">
        <v>1075.45842589533</v>
      </c>
      <c r="F8" s="31">
        <v>657.51436560113495</v>
      </c>
      <c r="G8" s="31">
        <v>954.46940256141295</v>
      </c>
      <c r="H8" s="31">
        <v>757.02855199294004</v>
      </c>
      <c r="I8" s="31">
        <v>2082.9271460250102</v>
      </c>
      <c r="J8" s="31">
        <v>6485.3510687563203</v>
      </c>
      <c r="K8" s="31">
        <v>5718.84833798604</v>
      </c>
      <c r="L8" s="31">
        <v>3698.7399710578802</v>
      </c>
      <c r="M8" s="31">
        <v>2607.0372177777799</v>
      </c>
      <c r="N8" s="31">
        <v>8495.5189501018303</v>
      </c>
      <c r="O8" s="31">
        <v>2815.436279</v>
      </c>
      <c r="P8" s="31">
        <v>1746.7542670825301</v>
      </c>
      <c r="Q8" s="31">
        <v>1833.7487770078601</v>
      </c>
      <c r="R8" s="31">
        <v>6175.5557470712502</v>
      </c>
      <c r="S8" s="31">
        <v>4066.55324320416</v>
      </c>
      <c r="T8" s="31">
        <v>1890.4494331716101</v>
      </c>
      <c r="U8" s="31">
        <v>1771.65465653762</v>
      </c>
      <c r="V8" s="31">
        <v>1494.06077700694</v>
      </c>
      <c r="W8" s="31">
        <v>1757.7585913130799</v>
      </c>
    </row>
    <row r="9" spans="1:23">
      <c r="A9" s="25">
        <v>2023</v>
      </c>
      <c r="B9" s="31">
        <v>4853.1345274390196</v>
      </c>
      <c r="C9" s="31">
        <v>5366.8807077393103</v>
      </c>
      <c r="D9" s="31">
        <v>1297.6384594759099</v>
      </c>
      <c r="E9" s="31">
        <v>1065.5099575376801</v>
      </c>
      <c r="F9" s="31">
        <v>625.44563297699199</v>
      </c>
      <c r="G9" s="31">
        <v>945.63998672144896</v>
      </c>
      <c r="H9" s="31">
        <v>732.12888568171797</v>
      </c>
      <c r="I9" s="31">
        <v>2023.7324353741999</v>
      </c>
      <c r="J9" s="31">
        <v>6369.8668756319503</v>
      </c>
      <c r="K9" s="31">
        <v>5651.0838574277204</v>
      </c>
      <c r="L9" s="31">
        <v>3659.7218163672701</v>
      </c>
      <c r="M9" s="31">
        <v>2561.7673066666698</v>
      </c>
      <c r="N9" s="31">
        <v>8416.9305305499001</v>
      </c>
      <c r="O9" s="31">
        <v>2789.3908689999998</v>
      </c>
      <c r="P9" s="31">
        <v>1672.8367279603401</v>
      </c>
      <c r="Q9" s="31">
        <v>1816.7858302684999</v>
      </c>
      <c r="R9" s="31">
        <v>6094.1664761542597</v>
      </c>
      <c r="S9" s="31">
        <v>4018.2097975708498</v>
      </c>
      <c r="T9" s="31">
        <v>1819.6350646912299</v>
      </c>
      <c r="U9" s="31">
        <v>1705.29021879688</v>
      </c>
      <c r="V9" s="31">
        <v>1476.3570733399399</v>
      </c>
      <c r="W9" s="31">
        <v>1658.63322432825</v>
      </c>
    </row>
    <row r="10" spans="1:23">
      <c r="A10" s="25">
        <v>2024</v>
      </c>
      <c r="B10" s="31">
        <v>4808.8825508130103</v>
      </c>
      <c r="C10" s="31">
        <v>5317.9441863543798</v>
      </c>
      <c r="D10" s="31">
        <v>1288.3490512594101</v>
      </c>
      <c r="E10" s="31">
        <v>1057.8823556940199</v>
      </c>
      <c r="F10" s="31">
        <v>612.365128735692</v>
      </c>
      <c r="G10" s="31">
        <v>938.87054374705303</v>
      </c>
      <c r="H10" s="31">
        <v>720.96291458302699</v>
      </c>
      <c r="I10" s="31">
        <v>1991.6680541404801</v>
      </c>
      <c r="J10" s="31">
        <v>6268.89238624874</v>
      </c>
      <c r="K10" s="31">
        <v>5595.7970817547402</v>
      </c>
      <c r="L10" s="31">
        <v>3628.7298453093799</v>
      </c>
      <c r="M10" s="31">
        <v>2498.3132599999999</v>
      </c>
      <c r="N10" s="31">
        <v>8356.6770224032607</v>
      </c>
      <c r="O10" s="31">
        <v>2769.421143</v>
      </c>
      <c r="P10" s="31">
        <v>1616.8542966877101</v>
      </c>
      <c r="Q10" s="31">
        <v>1803.77994035285</v>
      </c>
      <c r="R10" s="31">
        <v>6026.3287401574798</v>
      </c>
      <c r="S10" s="31">
        <v>3978.7404363472801</v>
      </c>
      <c r="T10" s="31">
        <v>1798.8233095927901</v>
      </c>
      <c r="U10" s="31">
        <v>1685.78605222789</v>
      </c>
      <c r="V10" s="31">
        <v>1461.9132160555</v>
      </c>
      <c r="W10" s="31">
        <v>1568.41242027571</v>
      </c>
    </row>
    <row r="11" spans="1:23">
      <c r="A11" s="25">
        <v>2025</v>
      </c>
      <c r="B11" s="31">
        <v>4772.8494786585397</v>
      </c>
      <c r="C11" s="31">
        <v>5278.0965580448101</v>
      </c>
      <c r="D11" s="31">
        <v>1281.24215061307</v>
      </c>
      <c r="E11" s="31">
        <v>1052.04678877528</v>
      </c>
      <c r="F11" s="31">
        <v>599.880182823018</v>
      </c>
      <c r="G11" s="31">
        <v>933.69142090120999</v>
      </c>
      <c r="H11" s="31">
        <v>710.71389634505101</v>
      </c>
      <c r="I11" s="31">
        <v>1962.4599814015401</v>
      </c>
      <c r="J11" s="31">
        <v>6178.9637178968696</v>
      </c>
      <c r="K11" s="31">
        <v>5550.1031086739804</v>
      </c>
      <c r="L11" s="31">
        <v>3603.9215518962101</v>
      </c>
      <c r="M11" s="31">
        <v>2445.8588322222199</v>
      </c>
      <c r="N11" s="31">
        <v>8310.5786975560095</v>
      </c>
      <c r="O11" s="31">
        <v>2754.1423340000001</v>
      </c>
      <c r="P11" s="31">
        <v>1572.9773784567999</v>
      </c>
      <c r="Q11" s="31">
        <v>1793.8296463122799</v>
      </c>
      <c r="R11" s="31">
        <v>5968.8836043307101</v>
      </c>
      <c r="S11" s="31">
        <v>3946.0933547008499</v>
      </c>
      <c r="T11" s="31">
        <v>1782.1759090208</v>
      </c>
      <c r="U11" s="31">
        <v>1670.1848290140299</v>
      </c>
      <c r="V11" s="31">
        <v>1449.97561050545</v>
      </c>
      <c r="W11" s="31">
        <v>1485.56226374008</v>
      </c>
    </row>
    <row r="12" spans="1:23">
      <c r="A12" s="25">
        <v>2026</v>
      </c>
      <c r="B12" s="31">
        <v>4725.3566839430896</v>
      </c>
      <c r="C12" s="31">
        <v>5225.5754959266797</v>
      </c>
      <c r="D12" s="31">
        <v>1271.0375091225101</v>
      </c>
      <c r="E12" s="31">
        <v>1043.6674434552101</v>
      </c>
      <c r="F12" s="31">
        <v>586.79665335842799</v>
      </c>
      <c r="G12" s="31">
        <v>926.25481828591205</v>
      </c>
      <c r="H12" s="31">
        <v>699.33326132519505</v>
      </c>
      <c r="I12" s="31">
        <v>1929.6563305345401</v>
      </c>
      <c r="J12" s="31">
        <v>6074.5643488372098</v>
      </c>
      <c r="K12" s="31">
        <v>5491.1155204386896</v>
      </c>
      <c r="L12" s="31">
        <v>3570.4401746507001</v>
      </c>
      <c r="M12" s="31">
        <v>2378.4936522222201</v>
      </c>
      <c r="N12" s="31">
        <v>8244.3872515274907</v>
      </c>
      <c r="O12" s="31">
        <v>2732.205078</v>
      </c>
      <c r="P12" s="31">
        <v>1531.6347010525301</v>
      </c>
      <c r="Q12" s="31">
        <v>1779.5424144588301</v>
      </c>
      <c r="R12" s="31">
        <v>5897.2115108267699</v>
      </c>
      <c r="S12" s="31">
        <v>3903.99529577148</v>
      </c>
      <c r="T12" s="31">
        <v>1768.2436562247999</v>
      </c>
      <c r="U12" s="31">
        <v>1657.1283170526699</v>
      </c>
      <c r="V12" s="31">
        <v>1434.5649890981199</v>
      </c>
      <c r="W12" s="31">
        <v>1403.63359871486</v>
      </c>
    </row>
    <row r="13" spans="1:23">
      <c r="A13" s="25">
        <v>2027</v>
      </c>
      <c r="B13" s="31">
        <v>4668.5433739837399</v>
      </c>
      <c r="C13" s="31">
        <v>5162.7493116089599</v>
      </c>
      <c r="D13" s="31">
        <v>1258.2927810235799</v>
      </c>
      <c r="E13" s="31">
        <v>1033.2027351233901</v>
      </c>
      <c r="F13" s="31">
        <v>573.38688246717504</v>
      </c>
      <c r="G13" s="31">
        <v>916.96743483406601</v>
      </c>
      <c r="H13" s="31">
        <v>687.13795686865706</v>
      </c>
      <c r="I13" s="31">
        <v>1894.1682958045201</v>
      </c>
      <c r="J13" s="31">
        <v>5958.7454186046498</v>
      </c>
      <c r="K13" s="31">
        <v>5421.3467996011996</v>
      </c>
      <c r="L13" s="31">
        <v>3529.88627245509</v>
      </c>
      <c r="M13" s="31">
        <v>2256.52140333333</v>
      </c>
      <c r="N13" s="31">
        <v>8161.7215346232197</v>
      </c>
      <c r="O13" s="31">
        <v>2704.8083499999998</v>
      </c>
      <c r="P13" s="31">
        <v>1495.68259564615</v>
      </c>
      <c r="Q13" s="31">
        <v>1761.69909649888</v>
      </c>
      <c r="R13" s="31">
        <v>5814.0691318897598</v>
      </c>
      <c r="S13" s="31">
        <v>3854.2347582096299</v>
      </c>
      <c r="T13" s="31">
        <v>1750.8764143020201</v>
      </c>
      <c r="U13" s="31">
        <v>1640.8524684304</v>
      </c>
      <c r="V13" s="31">
        <v>1416.33767789891</v>
      </c>
      <c r="W13" s="31">
        <v>1384.1294384391899</v>
      </c>
    </row>
    <row r="14" spans="1:23">
      <c r="A14" s="25">
        <v>2028</v>
      </c>
      <c r="B14" s="31">
        <v>4605.1159369918696</v>
      </c>
      <c r="C14" s="31">
        <v>5092.6073625254603</v>
      </c>
      <c r="D14" s="31">
        <v>1243.7232473700999</v>
      </c>
      <c r="E14" s="31">
        <v>1021.23943742682</v>
      </c>
      <c r="F14" s="31">
        <v>563.08421888622399</v>
      </c>
      <c r="G14" s="31">
        <v>906.34990041086496</v>
      </c>
      <c r="H14" s="31">
        <v>676.65861983379898</v>
      </c>
      <c r="I14" s="31">
        <v>1861.1016226290301</v>
      </c>
      <c r="J14" s="31">
        <v>5835.19791911021</v>
      </c>
      <c r="K14" s="31">
        <v>5343.9588464606204</v>
      </c>
      <c r="L14" s="31">
        <v>3484.2914271457098</v>
      </c>
      <c r="M14" s="31">
        <v>2199.79749888889</v>
      </c>
      <c r="N14" s="31">
        <v>8067.2182291242398</v>
      </c>
      <c r="O14" s="31">
        <v>2673.4880370000001</v>
      </c>
      <c r="P14" s="31">
        <v>1457.9030904014401</v>
      </c>
      <c r="Q14" s="31">
        <v>1741.3005466776201</v>
      </c>
      <c r="R14" s="31">
        <v>5722.8907785433103</v>
      </c>
      <c r="S14" s="31">
        <v>3799.0598549257802</v>
      </c>
      <c r="T14" s="31">
        <v>1731.4284489372901</v>
      </c>
      <c r="U14" s="31">
        <v>1622.62652932532</v>
      </c>
      <c r="V14" s="31">
        <v>1396.12010009911</v>
      </c>
      <c r="W14" s="31">
        <v>1362.70803097476</v>
      </c>
    </row>
    <row r="15" spans="1:23">
      <c r="A15" s="25">
        <v>2029</v>
      </c>
      <c r="B15" s="31">
        <v>4540.0400548780499</v>
      </c>
      <c r="C15" s="31">
        <v>5020.6420651731196</v>
      </c>
      <c r="D15" s="31">
        <v>1228.6607818944999</v>
      </c>
      <c r="E15" s="31">
        <v>1008.87135522222</v>
      </c>
      <c r="F15" s="31">
        <v>552.68940292531795</v>
      </c>
      <c r="G15" s="31">
        <v>895.37335629817096</v>
      </c>
      <c r="H15" s="31">
        <v>666.00142576114104</v>
      </c>
      <c r="I15" s="31">
        <v>1827.5859589325801</v>
      </c>
      <c r="J15" s="31">
        <v>5710.3623255814</v>
      </c>
      <c r="K15" s="31">
        <v>5264.72730209372</v>
      </c>
      <c r="L15" s="31">
        <v>3437.4040009979999</v>
      </c>
      <c r="M15" s="31">
        <v>2141.3781733333299</v>
      </c>
      <c r="N15" s="31">
        <v>7969.51822301426</v>
      </c>
      <c r="O15" s="31">
        <v>2641.108643</v>
      </c>
      <c r="P15" s="31">
        <v>1419.92913996469</v>
      </c>
      <c r="Q15" s="31">
        <v>1720.21207048366</v>
      </c>
      <c r="R15" s="31">
        <v>5629.89194389764</v>
      </c>
      <c r="S15" s="31">
        <v>3742.5772132253701</v>
      </c>
      <c r="T15" s="31">
        <v>1711.27888661717</v>
      </c>
      <c r="U15" s="31">
        <v>1603.74320721918</v>
      </c>
      <c r="V15" s="31">
        <v>1375.4206521308199</v>
      </c>
      <c r="W15" s="31">
        <v>1340.8475625712699</v>
      </c>
    </row>
    <row r="16" spans="1:23">
      <c r="A16" s="25">
        <v>2030</v>
      </c>
      <c r="B16" s="31">
        <v>4482.7057134146298</v>
      </c>
      <c r="C16" s="31">
        <v>4957.2380977596704</v>
      </c>
      <c r="D16" s="31">
        <v>1215.64891558104</v>
      </c>
      <c r="E16" s="31">
        <v>998.18723246161096</v>
      </c>
      <c r="F16" s="31">
        <v>545.18176316075005</v>
      </c>
      <c r="G16" s="31">
        <v>885.89111010613203</v>
      </c>
      <c r="H16" s="31">
        <v>657.80877518752698</v>
      </c>
      <c r="I16" s="31">
        <v>1799.75824992702</v>
      </c>
      <c r="J16" s="31">
        <v>5596.0191011122397</v>
      </c>
      <c r="K16" s="31">
        <v>5194.5399152542404</v>
      </c>
      <c r="L16" s="31">
        <v>3396.3367215568901</v>
      </c>
      <c r="M16" s="31">
        <v>2094.6308055555601</v>
      </c>
      <c r="N16" s="31">
        <v>7885.1186588594701</v>
      </c>
      <c r="O16" s="31">
        <v>2613.1372070000002</v>
      </c>
      <c r="P16" s="31">
        <v>1384.6848494272799</v>
      </c>
      <c r="Q16" s="31">
        <v>1701.9945554671201</v>
      </c>
      <c r="R16" s="31">
        <v>5546.71015748031</v>
      </c>
      <c r="S16" s="31">
        <v>3692.5267375168701</v>
      </c>
      <c r="T16" s="31">
        <v>1693.9711972788</v>
      </c>
      <c r="U16" s="31">
        <v>1587.52289994394</v>
      </c>
      <c r="V16" s="31">
        <v>1357.0838523290399</v>
      </c>
      <c r="W16" s="31">
        <v>1321.3199687501799</v>
      </c>
    </row>
    <row r="17" spans="1:23">
      <c r="A17" s="25">
        <v>2031</v>
      </c>
      <c r="B17" s="31">
        <v>4425.6626534552797</v>
      </c>
      <c r="C17" s="31">
        <v>4894.1573319755598</v>
      </c>
      <c r="D17" s="31">
        <v>1202.67544140831</v>
      </c>
      <c r="E17" s="31">
        <v>987.53447221994099</v>
      </c>
      <c r="F17" s="31">
        <v>538.18215417600504</v>
      </c>
      <c r="G17" s="31">
        <v>876.436935541293</v>
      </c>
      <c r="H17" s="31">
        <v>649.975040447124</v>
      </c>
      <c r="I17" s="31">
        <v>1772.72055130334</v>
      </c>
      <c r="J17" s="31">
        <v>5482.7304448938303</v>
      </c>
      <c r="K17" s="31">
        <v>5124.7502612163498</v>
      </c>
      <c r="L17" s="31">
        <v>3355.45291217565</v>
      </c>
      <c r="M17" s="31">
        <v>2048.7344022222201</v>
      </c>
      <c r="N17" s="31">
        <v>7800.9682087576402</v>
      </c>
      <c r="O17" s="31">
        <v>2585.2482909999999</v>
      </c>
      <c r="P17" s="31">
        <v>1349.8124148352799</v>
      </c>
      <c r="Q17" s="31">
        <v>1683.8309653901899</v>
      </c>
      <c r="R17" s="31">
        <v>5464.0858562992098</v>
      </c>
      <c r="S17" s="31">
        <v>3642.7618072424598</v>
      </c>
      <c r="T17" s="31">
        <v>1675.24317346368</v>
      </c>
      <c r="U17" s="31">
        <v>1569.9715878898701</v>
      </c>
      <c r="V17" s="31">
        <v>1338.8514598612501</v>
      </c>
      <c r="W17" s="31">
        <v>1301.9206185783601</v>
      </c>
    </row>
    <row r="18" spans="1:23">
      <c r="A18" s="25">
        <v>2032</v>
      </c>
      <c r="B18" s="31">
        <v>4368.7987286585403</v>
      </c>
      <c r="C18" s="31">
        <v>4831.2734694500996</v>
      </c>
      <c r="D18" s="31">
        <v>1189.7095958679599</v>
      </c>
      <c r="E18" s="31">
        <v>976.88806508978598</v>
      </c>
      <c r="F18" s="31">
        <v>530.05109484271497</v>
      </c>
      <c r="G18" s="31">
        <v>866.988047379411</v>
      </c>
      <c r="H18" s="31">
        <v>641.36372168701303</v>
      </c>
      <c r="I18" s="31">
        <v>1744.33989467314</v>
      </c>
      <c r="J18" s="31">
        <v>5370.3576248736099</v>
      </c>
      <c r="K18" s="31">
        <v>5055.2288444666001</v>
      </c>
      <c r="L18" s="31">
        <v>3314.6660778443102</v>
      </c>
      <c r="M18" s="31">
        <v>2004.63731555556</v>
      </c>
      <c r="N18" s="31">
        <v>7716.8669847250503</v>
      </c>
      <c r="O18" s="31">
        <v>2557.3754880000001</v>
      </c>
      <c r="P18" s="31">
        <v>1315.2784959773801</v>
      </c>
      <c r="Q18" s="31">
        <v>1665.6776051504301</v>
      </c>
      <c r="R18" s="31">
        <v>5381.8791909448801</v>
      </c>
      <c r="S18" s="31">
        <v>3593.1896187584298</v>
      </c>
      <c r="T18" s="31">
        <v>1657.98450926486</v>
      </c>
      <c r="U18" s="31">
        <v>1553.7974985450601</v>
      </c>
      <c r="V18" s="31">
        <v>1320.6886313181401</v>
      </c>
      <c r="W18" s="31">
        <v>1282.6162861994601</v>
      </c>
    </row>
    <row r="19" spans="1:23">
      <c r="A19" s="25">
        <v>2033</v>
      </c>
      <c r="B19" s="31">
        <v>4314.4918302845499</v>
      </c>
      <c r="C19" s="31">
        <v>4771.2183564154802</v>
      </c>
      <c r="D19" s="31">
        <v>1177.3999669372199</v>
      </c>
      <c r="E19" s="31">
        <v>966.78039933298101</v>
      </c>
      <c r="F19" s="31">
        <v>523.251718409148</v>
      </c>
      <c r="G19" s="31">
        <v>858.017564251831</v>
      </c>
      <c r="H19" s="31">
        <v>633.82202162082694</v>
      </c>
      <c r="I19" s="31">
        <v>1718.35770627959</v>
      </c>
      <c r="J19" s="31">
        <v>5261.8061375126399</v>
      </c>
      <c r="K19" s="31">
        <v>4988.7247437686901</v>
      </c>
      <c r="L19" s="31">
        <v>3275.7814451097802</v>
      </c>
      <c r="M19" s="31">
        <v>1963.2904733333301</v>
      </c>
      <c r="N19" s="31">
        <v>7637.0225580448096</v>
      </c>
      <c r="O19" s="31">
        <v>2530.913818</v>
      </c>
      <c r="P19" s="31">
        <v>1281.7910293330499</v>
      </c>
      <c r="Q19" s="31">
        <v>1648.4432604584999</v>
      </c>
      <c r="R19" s="31">
        <v>5303.0169625984299</v>
      </c>
      <c r="S19" s="31">
        <v>3545.76505510571</v>
      </c>
      <c r="T19" s="31">
        <v>1641.62785277083</v>
      </c>
      <c r="U19" s="31">
        <v>1538.4687733711701</v>
      </c>
      <c r="V19" s="31">
        <v>1303.3144816650099</v>
      </c>
      <c r="W19" s="31">
        <v>1264.1042676253001</v>
      </c>
    </row>
    <row r="20" spans="1:23">
      <c r="A20" s="25">
        <v>2034</v>
      </c>
      <c r="B20" s="31">
        <v>4260.8831138211399</v>
      </c>
      <c r="C20" s="31">
        <v>4711.93395213849</v>
      </c>
      <c r="D20" s="31">
        <v>1165.2419338905599</v>
      </c>
      <c r="E20" s="31">
        <v>956.797188471185</v>
      </c>
      <c r="F20" s="31">
        <v>515.81087957852696</v>
      </c>
      <c r="G20" s="31">
        <v>849.15749131602001</v>
      </c>
      <c r="H20" s="31">
        <v>625.87377279747</v>
      </c>
      <c r="I20" s="31">
        <v>1691.78351251916</v>
      </c>
      <c r="J20" s="31">
        <v>5154.7604701718901</v>
      </c>
      <c r="K20" s="31">
        <v>4923.0847497507502</v>
      </c>
      <c r="L20" s="31">
        <v>3237.3902095808398</v>
      </c>
      <c r="M20" s="31">
        <v>1926.5858288888901</v>
      </c>
      <c r="N20" s="31">
        <v>7558.1606619144604</v>
      </c>
      <c r="O20" s="31">
        <v>2504.7773440000001</v>
      </c>
      <c r="P20" s="31">
        <v>1245.68974375077</v>
      </c>
      <c r="Q20" s="31">
        <v>1631.4210834999101</v>
      </c>
      <c r="R20" s="31">
        <v>5225.1985807086603</v>
      </c>
      <c r="S20" s="31">
        <v>3498.9568837156999</v>
      </c>
      <c r="T20" s="31">
        <v>1625.4700054879399</v>
      </c>
      <c r="U20" s="31">
        <v>1523.32622414604</v>
      </c>
      <c r="V20" s="31">
        <v>1286.1659613478701</v>
      </c>
      <c r="W20" s="31">
        <v>1245.83672923635</v>
      </c>
    </row>
    <row r="21" spans="1:23">
      <c r="A21" s="25">
        <v>2035</v>
      </c>
      <c r="B21" s="31">
        <v>4204.6434359756104</v>
      </c>
      <c r="C21" s="31">
        <v>4649.7412403258704</v>
      </c>
      <c r="D21" s="31">
        <v>1152.3240767621101</v>
      </c>
      <c r="E21" s="31">
        <v>946.19030395990296</v>
      </c>
      <c r="F21" s="31">
        <v>508.97975794471898</v>
      </c>
      <c r="G21" s="31">
        <v>839.74384038796495</v>
      </c>
      <c r="H21" s="31">
        <v>618.16891454625704</v>
      </c>
      <c r="I21" s="31">
        <v>1665.4230155032301</v>
      </c>
      <c r="J21" s="31">
        <v>5045.2176086956497</v>
      </c>
      <c r="K21" s="31">
        <v>4854.4663858424701</v>
      </c>
      <c r="L21" s="31">
        <v>3196.9632514970099</v>
      </c>
      <c r="M21" s="31">
        <v>1894.37377888889</v>
      </c>
      <c r="N21" s="31">
        <v>7474.3712016293302</v>
      </c>
      <c r="O21" s="31">
        <v>2477.0083009999998</v>
      </c>
      <c r="P21" s="31">
        <v>1212.2124983677299</v>
      </c>
      <c r="Q21" s="31">
        <v>1613.33528901721</v>
      </c>
      <c r="R21" s="31">
        <v>5144.3500669291298</v>
      </c>
      <c r="S21" s="31">
        <v>3450.03403508772</v>
      </c>
      <c r="T21" s="31">
        <v>1608.2392129827399</v>
      </c>
      <c r="U21" s="31">
        <v>1507.17830147258</v>
      </c>
      <c r="V21" s="31">
        <v>1268.23904658077</v>
      </c>
      <c r="W21" s="31">
        <v>1226.84204800935</v>
      </c>
    </row>
    <row r="22" spans="1:23">
      <c r="A22" s="25">
        <v>2036</v>
      </c>
      <c r="B22" s="31">
        <v>4151.1108892276397</v>
      </c>
      <c r="C22" s="31">
        <v>4590.5418625254597</v>
      </c>
      <c r="D22" s="31">
        <v>1140.1072262341099</v>
      </c>
      <c r="E22" s="31">
        <v>936.15888509196395</v>
      </c>
      <c r="F22" s="31">
        <v>501.934129832032</v>
      </c>
      <c r="G22" s="31">
        <v>830.84095470859404</v>
      </c>
      <c r="H22" s="31">
        <v>610.47914950728</v>
      </c>
      <c r="I22" s="31">
        <v>1639.50490094674</v>
      </c>
      <c r="J22" s="31">
        <v>4939.6441911021202</v>
      </c>
      <c r="K22" s="31">
        <v>4789.0337776670003</v>
      </c>
      <c r="L22" s="31">
        <v>3158.5559351297402</v>
      </c>
      <c r="M22" s="31">
        <v>2902.0754666666699</v>
      </c>
      <c r="N22" s="31">
        <v>7395.1294195519304</v>
      </c>
      <c r="O22" s="31">
        <v>2450.7460940000001</v>
      </c>
      <c r="P22" s="31">
        <v>1179.7993496829699</v>
      </c>
      <c r="Q22" s="31">
        <v>1596.23077055979</v>
      </c>
      <c r="R22" s="31">
        <v>5067.01179527559</v>
      </c>
      <c r="S22" s="31">
        <v>3403.3779700854702</v>
      </c>
      <c r="T22" s="31">
        <v>1591.97389016273</v>
      </c>
      <c r="U22" s="31">
        <v>1491.93489475922</v>
      </c>
      <c r="V22" s="31">
        <v>1251.1446055500501</v>
      </c>
      <c r="W22" s="31">
        <v>1208.6795527608101</v>
      </c>
    </row>
    <row r="23" spans="1:23">
      <c r="A23" s="25">
        <v>2037</v>
      </c>
      <c r="B23" s="31">
        <v>4098.4586392276397</v>
      </c>
      <c r="C23" s="31">
        <v>4532.3150692464396</v>
      </c>
      <c r="D23" s="31">
        <v>1128.09254454404</v>
      </c>
      <c r="E23" s="31">
        <v>926.29330898547005</v>
      </c>
      <c r="F23" s="31">
        <v>496.130374588873</v>
      </c>
      <c r="G23" s="31">
        <v>822.08535991609494</v>
      </c>
      <c r="H23" s="31">
        <v>603.69158056331798</v>
      </c>
      <c r="I23" s="31">
        <v>1615.45708723299</v>
      </c>
      <c r="J23" s="31">
        <v>4835.8170343781603</v>
      </c>
      <c r="K23" s="31">
        <v>4724.6736350947203</v>
      </c>
      <c r="L23" s="31">
        <v>3120.7811427145698</v>
      </c>
      <c r="M23" s="31">
        <v>2855.8672422222198</v>
      </c>
      <c r="N23" s="31">
        <v>7317.1978421588601</v>
      </c>
      <c r="O23" s="31">
        <v>2424.9179690000001</v>
      </c>
      <c r="P23" s="31">
        <v>1146.04795838928</v>
      </c>
      <c r="Q23" s="31">
        <v>1579.4093945039201</v>
      </c>
      <c r="R23" s="31">
        <v>4990.9365196850404</v>
      </c>
      <c r="S23" s="31">
        <v>3357.4871108861898</v>
      </c>
      <c r="T23" s="31">
        <v>1575.97815797475</v>
      </c>
      <c r="U23" s="31">
        <v>1476.94453601958</v>
      </c>
      <c r="V23" s="31">
        <v>1234.3304786917699</v>
      </c>
      <c r="W23" s="31">
        <v>1190.81435008586</v>
      </c>
    </row>
    <row r="24" spans="1:23">
      <c r="A24" s="25">
        <v>2038</v>
      </c>
      <c r="B24" s="31">
        <v>4047.6466229674802</v>
      </c>
      <c r="C24" s="31">
        <v>4476.12543380855</v>
      </c>
      <c r="D24" s="31">
        <v>1116.54630704842</v>
      </c>
      <c r="E24" s="31">
        <v>916.81252304101304</v>
      </c>
      <c r="F24" s="31">
        <v>491.60428881995699</v>
      </c>
      <c r="G24" s="31">
        <v>813.671039287192</v>
      </c>
      <c r="H24" s="31">
        <v>597.89283626268605</v>
      </c>
      <c r="I24" s="31">
        <v>1593.5526257281299</v>
      </c>
      <c r="J24" s="31">
        <v>4734.8247714863501</v>
      </c>
      <c r="K24" s="31">
        <v>4662.4929900299103</v>
      </c>
      <c r="L24" s="31">
        <v>3084.3722714570899</v>
      </c>
      <c r="M24" s="31">
        <v>2809.47374111111</v>
      </c>
      <c r="N24" s="31">
        <v>7242.3038523421601</v>
      </c>
      <c r="O24" s="31">
        <v>2400.0971679999998</v>
      </c>
      <c r="P24" s="31">
        <v>1118.29639265433</v>
      </c>
      <c r="Q24" s="31">
        <v>1563.24384536351</v>
      </c>
      <c r="R24" s="31">
        <v>4917.2891929133903</v>
      </c>
      <c r="S24" s="31">
        <v>3313.1469781826399</v>
      </c>
      <c r="T24" s="31">
        <v>1563.1892310267399</v>
      </c>
      <c r="U24" s="31">
        <v>1464.9592659008499</v>
      </c>
      <c r="V24" s="31">
        <v>1218.08569078295</v>
      </c>
      <c r="W24" s="31">
        <v>1173.5235643897199</v>
      </c>
    </row>
    <row r="25" spans="1:23">
      <c r="A25" s="25">
        <v>2039</v>
      </c>
      <c r="B25" s="31">
        <v>3996.4190223577202</v>
      </c>
      <c r="C25" s="31">
        <v>4419.4743665987799</v>
      </c>
      <c r="D25" s="31">
        <v>1104.84699793962</v>
      </c>
      <c r="E25" s="31">
        <v>907.20611701873702</v>
      </c>
      <c r="F25" s="31">
        <v>487.00232364089402</v>
      </c>
      <c r="G25" s="31">
        <v>805.14542804083601</v>
      </c>
      <c r="H25" s="31">
        <v>592.00617370201496</v>
      </c>
      <c r="I25" s="31">
        <v>1571.5137622837799</v>
      </c>
      <c r="J25" s="31">
        <v>4633.9919777553096</v>
      </c>
      <c r="K25" s="31">
        <v>4599.8883230309102</v>
      </c>
      <c r="L25" s="31">
        <v>3047.61058982036</v>
      </c>
      <c r="M25" s="31">
        <v>2769.2054577777799</v>
      </c>
      <c r="N25" s="31">
        <v>7166.4198737270899</v>
      </c>
      <c r="O25" s="31">
        <v>2374.94751</v>
      </c>
      <c r="P25" s="31">
        <v>1109.5140973462001</v>
      </c>
      <c r="Q25" s="31">
        <v>1546.86410797279</v>
      </c>
      <c r="R25" s="31">
        <v>4843.3198700787398</v>
      </c>
      <c r="S25" s="31">
        <v>3268.5083963112902</v>
      </c>
      <c r="T25" s="31">
        <v>1550.9130180750401</v>
      </c>
      <c r="U25" s="31">
        <v>1453.4545262510201</v>
      </c>
      <c r="V25" s="31">
        <v>1201.7302041625401</v>
      </c>
      <c r="W25" s="31">
        <v>1156.15163517171</v>
      </c>
    </row>
    <row r="26" spans="1:23">
      <c r="A26" s="25">
        <v>2040</v>
      </c>
      <c r="B26" s="31">
        <v>3946.9152926829302</v>
      </c>
      <c r="C26" s="31">
        <v>4364.7306792260697</v>
      </c>
      <c r="D26" s="31">
        <v>1093.58672428461</v>
      </c>
      <c r="E26" s="31">
        <v>897.96013355669197</v>
      </c>
      <c r="F26" s="31">
        <v>482.585346095273</v>
      </c>
      <c r="G26" s="31">
        <v>796.93953640536199</v>
      </c>
      <c r="H26" s="31">
        <v>586.34887483453394</v>
      </c>
      <c r="I26" s="31">
        <v>1550.1819546560901</v>
      </c>
      <c r="J26" s="31">
        <v>4535.7941263902903</v>
      </c>
      <c r="K26" s="31">
        <v>4539.3253828514498</v>
      </c>
      <c r="L26" s="31">
        <v>3012.1285748503001</v>
      </c>
      <c r="M26" s="31">
        <v>2730.2053488888901</v>
      </c>
      <c r="N26" s="31">
        <v>7093.3810539714896</v>
      </c>
      <c r="O26" s="31">
        <v>2350.741211</v>
      </c>
      <c r="P26" s="31">
        <v>1101.1270211512499</v>
      </c>
      <c r="Q26" s="31">
        <v>1531.09889846131</v>
      </c>
      <c r="R26" s="31">
        <v>4771.6223051181096</v>
      </c>
      <c r="S26" s="31">
        <v>3225.32224808817</v>
      </c>
      <c r="T26" s="31">
        <v>1539.1892175573901</v>
      </c>
      <c r="U26" s="31">
        <v>1442.46741033891</v>
      </c>
      <c r="V26" s="31">
        <v>1185.9080049554</v>
      </c>
      <c r="W26" s="31">
        <v>1139.3177482173701</v>
      </c>
    </row>
    <row r="27" spans="1:23">
      <c r="A27" s="25">
        <v>2041</v>
      </c>
      <c r="B27" s="31">
        <v>3898.59777947154</v>
      </c>
      <c r="C27" s="31">
        <v>4311.2981914460297</v>
      </c>
      <c r="D27" s="31">
        <v>1082.6184454040699</v>
      </c>
      <c r="E27" s="31">
        <v>888.95396763847998</v>
      </c>
      <c r="F27" s="31">
        <v>478.288981788792</v>
      </c>
      <c r="G27" s="31">
        <v>788.946595206251</v>
      </c>
      <c r="H27" s="31">
        <v>580.84255956758295</v>
      </c>
      <c r="I27" s="31">
        <v>1529.3439768621199</v>
      </c>
      <c r="J27" s="31">
        <v>4439.5805025278096</v>
      </c>
      <c r="K27" s="31">
        <v>4480.1800648055796</v>
      </c>
      <c r="L27" s="31">
        <v>2977.51762075848</v>
      </c>
      <c r="M27" s="31">
        <v>2692.09662555556</v>
      </c>
      <c r="N27" s="31">
        <v>7022.2376802443996</v>
      </c>
      <c r="O27" s="31">
        <v>2327.163086</v>
      </c>
      <c r="P27" s="31">
        <v>1092.98999803629</v>
      </c>
      <c r="Q27" s="31">
        <v>1515.74261862106</v>
      </c>
      <c r="R27" s="31">
        <v>4701.5352027559102</v>
      </c>
      <c r="S27" s="31">
        <v>3183.1462134502899</v>
      </c>
      <c r="T27" s="31">
        <v>1527.8152110655001</v>
      </c>
      <c r="U27" s="31">
        <v>1431.80813341619</v>
      </c>
      <c r="V27" s="31">
        <v>1170.45612884044</v>
      </c>
      <c r="W27" s="31">
        <v>1124.8231472160701</v>
      </c>
    </row>
    <row r="28" spans="1:23">
      <c r="A28" s="25">
        <v>2042</v>
      </c>
      <c r="B28" s="31">
        <v>3847.4669420731698</v>
      </c>
      <c r="C28" s="31">
        <v>4254.7545264765804</v>
      </c>
      <c r="D28" s="31">
        <v>1070.8306641184099</v>
      </c>
      <c r="E28" s="31">
        <v>879.274869489975</v>
      </c>
      <c r="F28" s="31">
        <v>473.62192940771502</v>
      </c>
      <c r="G28" s="31">
        <v>780.35638188343796</v>
      </c>
      <c r="H28" s="31">
        <v>574.89064384468304</v>
      </c>
      <c r="I28" s="31">
        <v>1507.4316090765101</v>
      </c>
      <c r="J28" s="31">
        <v>4340.8030323559196</v>
      </c>
      <c r="K28" s="31">
        <v>4417.85775473579</v>
      </c>
      <c r="L28" s="31">
        <v>2940.72134031936</v>
      </c>
      <c r="M28" s="31">
        <v>2652.1183266666699</v>
      </c>
      <c r="N28" s="31">
        <v>6945.7774114053</v>
      </c>
      <c r="O28" s="31">
        <v>2301.8227539999998</v>
      </c>
      <c r="P28" s="31">
        <v>1083.97979471752</v>
      </c>
      <c r="Q28" s="31">
        <v>1499.2387368592699</v>
      </c>
      <c r="R28" s="31">
        <v>4628.2391889763803</v>
      </c>
      <c r="S28" s="31">
        <v>3138.7149257759802</v>
      </c>
      <c r="T28" s="31">
        <v>1515.22058273982</v>
      </c>
      <c r="U28" s="31">
        <v>1420.00492945265</v>
      </c>
      <c r="V28" s="31">
        <v>1154.17420019822</v>
      </c>
      <c r="W28" s="31">
        <v>1115.55040848253</v>
      </c>
    </row>
    <row r="29" spans="1:23">
      <c r="A29" s="25">
        <v>2043</v>
      </c>
      <c r="B29" s="31">
        <v>3802.2220274390202</v>
      </c>
      <c r="C29" s="31">
        <v>4204.7201181262699</v>
      </c>
      <c r="D29" s="31">
        <v>1060.6446033070799</v>
      </c>
      <c r="E29" s="31">
        <v>870.91085587452699</v>
      </c>
      <c r="F29" s="31">
        <v>469.65517412339602</v>
      </c>
      <c r="G29" s="31">
        <v>772.93328682633</v>
      </c>
      <c r="H29" s="31">
        <v>569.79289785262495</v>
      </c>
      <c r="I29" s="31">
        <v>1487.8542263174099</v>
      </c>
      <c r="J29" s="31">
        <v>4249.2865864509604</v>
      </c>
      <c r="K29" s="31">
        <v>4362.34947457627</v>
      </c>
      <c r="L29" s="31">
        <v>2908.3909820359299</v>
      </c>
      <c r="M29" s="31">
        <v>2616.2695311111102</v>
      </c>
      <c r="N29" s="31">
        <v>6879.7072902240297</v>
      </c>
      <c r="O29" s="31">
        <v>2279.9260250000002</v>
      </c>
      <c r="P29" s="31">
        <v>1076.5473019917199</v>
      </c>
      <c r="Q29" s="31">
        <v>1484.9775203259601</v>
      </c>
      <c r="R29" s="31">
        <v>4562.2020334645704</v>
      </c>
      <c r="S29" s="31">
        <v>3099.1271884840298</v>
      </c>
      <c r="T29" s="31">
        <v>1504.8308948065301</v>
      </c>
      <c r="U29" s="31">
        <v>1410.2681139316301</v>
      </c>
      <c r="V29" s="31">
        <v>1139.6723914767099</v>
      </c>
      <c r="W29" s="31">
        <v>1107.90135485929</v>
      </c>
    </row>
    <row r="30" spans="1:23">
      <c r="A30" s="25">
        <v>2044</v>
      </c>
      <c r="B30" s="31">
        <v>3752.20967073171</v>
      </c>
      <c r="C30" s="31">
        <v>4149.4130682281102</v>
      </c>
      <c r="D30" s="31">
        <v>1049.09196695335</v>
      </c>
      <c r="E30" s="31">
        <v>861.42476548308298</v>
      </c>
      <c r="F30" s="31">
        <v>465.07507586444302</v>
      </c>
      <c r="G30" s="31">
        <v>764.51450248732306</v>
      </c>
      <c r="H30" s="31">
        <v>563.95538406383298</v>
      </c>
      <c r="I30" s="31">
        <v>1466.4389923962799</v>
      </c>
      <c r="J30" s="31">
        <v>4153.0561769464102</v>
      </c>
      <c r="K30" s="31">
        <v>4301.4243399800598</v>
      </c>
      <c r="L30" s="31">
        <v>2872.3790209580802</v>
      </c>
      <c r="M30" s="31">
        <v>2577.2105577777802</v>
      </c>
      <c r="N30" s="31">
        <v>6804.7720295315703</v>
      </c>
      <c r="O30" s="31">
        <v>2255.0913089999999</v>
      </c>
      <c r="P30" s="31">
        <v>1067.68360341825</v>
      </c>
      <c r="Q30" s="31">
        <v>1468.8028783418099</v>
      </c>
      <c r="R30" s="31">
        <v>4490.6198100393703</v>
      </c>
      <c r="S30" s="31">
        <v>3055.6939349977501</v>
      </c>
      <c r="T30" s="31">
        <v>1492.44119110425</v>
      </c>
      <c r="U30" s="31">
        <v>1398.6570009315201</v>
      </c>
      <c r="V30" s="31">
        <v>1123.75582656095</v>
      </c>
      <c r="W30" s="31">
        <v>1098.7797097739699</v>
      </c>
    </row>
    <row r="31" spans="1:23">
      <c r="A31" s="25">
        <v>2045</v>
      </c>
      <c r="B31" s="31">
        <v>3707.1667184959301</v>
      </c>
      <c r="C31" s="31">
        <v>4099.6024134419504</v>
      </c>
      <c r="D31" s="31">
        <v>1038.89150871124</v>
      </c>
      <c r="E31" s="31">
        <v>853.04909335406501</v>
      </c>
      <c r="F31" s="31">
        <v>461.08628247390999</v>
      </c>
      <c r="G31" s="31">
        <v>757.081012633868</v>
      </c>
      <c r="H31" s="31">
        <v>558.83923463009296</v>
      </c>
      <c r="I31" s="31">
        <v>1446.9943585946401</v>
      </c>
      <c r="J31" s="31">
        <v>4062.9492780586502</v>
      </c>
      <c r="K31" s="31">
        <v>4246.2509930209399</v>
      </c>
      <c r="L31" s="31">
        <v>2840.1363772455102</v>
      </c>
      <c r="M31" s="31">
        <v>2541.6370988888898</v>
      </c>
      <c r="N31" s="31">
        <v>6738.6094226069199</v>
      </c>
      <c r="O31" s="31">
        <v>2233.1635740000002</v>
      </c>
      <c r="P31" s="31">
        <v>1060.1524277738399</v>
      </c>
      <c r="Q31" s="31">
        <v>1454.5218342569799</v>
      </c>
      <c r="R31" s="31">
        <v>4425.1641702755896</v>
      </c>
      <c r="S31" s="31">
        <v>3016.3486358524501</v>
      </c>
      <c r="T31" s="31">
        <v>1481.9138513677201</v>
      </c>
      <c r="U31" s="31">
        <v>1388.7911539896299</v>
      </c>
      <c r="V31" s="31">
        <v>1109.34173042616</v>
      </c>
      <c r="W31" s="31">
        <v>1091.0289939505999</v>
      </c>
    </row>
    <row r="32" spans="1:23">
      <c r="A32" s="25">
        <v>2046</v>
      </c>
      <c r="B32" s="31">
        <v>3658.2773099593501</v>
      </c>
      <c r="C32" s="31">
        <v>4045.53744704684</v>
      </c>
      <c r="D32" s="31">
        <v>1027.5766643280799</v>
      </c>
      <c r="E32" s="31">
        <v>843.75828282616101</v>
      </c>
      <c r="F32" s="31">
        <v>456.59451063224702</v>
      </c>
      <c r="G32" s="31">
        <v>748.83530266437003</v>
      </c>
      <c r="H32" s="31">
        <v>553.11769377849703</v>
      </c>
      <c r="I32" s="31">
        <v>1426.0769670969601</v>
      </c>
      <c r="J32" s="31">
        <v>3969.2471678463098</v>
      </c>
      <c r="K32" s="31">
        <v>4186.7269282153502</v>
      </c>
      <c r="L32" s="31">
        <v>2804.91263572854</v>
      </c>
      <c r="M32" s="31">
        <v>2503.49772111111</v>
      </c>
      <c r="N32" s="31">
        <v>6665.21607739308</v>
      </c>
      <c r="O32" s="31">
        <v>2208.8400879999999</v>
      </c>
      <c r="P32" s="31">
        <v>1051.4399767544601</v>
      </c>
      <c r="Q32" s="31">
        <v>1438.6798409616199</v>
      </c>
      <c r="R32" s="31">
        <v>4355.2952559055102</v>
      </c>
      <c r="S32" s="31">
        <v>2973.9147874493901</v>
      </c>
      <c r="T32" s="31">
        <v>1469.7351877011099</v>
      </c>
      <c r="U32" s="31">
        <v>1377.3777480138101</v>
      </c>
      <c r="V32" s="31">
        <v>1093.7908919722499</v>
      </c>
      <c r="W32" s="31">
        <v>1082.0627575101801</v>
      </c>
    </row>
    <row r="33" spans="1:23">
      <c r="A33" s="25">
        <v>2047</v>
      </c>
      <c r="B33" s="31">
        <v>3612.8366361788599</v>
      </c>
      <c r="C33" s="31">
        <v>3995.2867433808601</v>
      </c>
      <c r="D33" s="31">
        <v>1017.19237197244</v>
      </c>
      <c r="E33" s="31">
        <v>835.23163261213006</v>
      </c>
      <c r="F33" s="31">
        <v>452.508084100085</v>
      </c>
      <c r="G33" s="31">
        <v>741.26808817727795</v>
      </c>
      <c r="H33" s="31">
        <v>547.891688115899</v>
      </c>
      <c r="I33" s="31">
        <v>1406.5328605095799</v>
      </c>
      <c r="J33" s="31">
        <v>3879.9198412537899</v>
      </c>
      <c r="K33" s="31">
        <v>4131.2055044865401</v>
      </c>
      <c r="L33" s="31">
        <v>2772.2981766467101</v>
      </c>
      <c r="M33" s="31">
        <v>2467.7910700000002</v>
      </c>
      <c r="N33" s="31">
        <v>6597.86160692464</v>
      </c>
      <c r="O33" s="31">
        <v>2186.517578</v>
      </c>
      <c r="P33" s="31">
        <v>1043.63538486229</v>
      </c>
      <c r="Q33" s="31">
        <v>1424.1415425431601</v>
      </c>
      <c r="R33" s="31">
        <v>4289.71322145669</v>
      </c>
      <c r="S33" s="31">
        <v>2934.3265013495302</v>
      </c>
      <c r="T33" s="31">
        <v>1458.8256700137999</v>
      </c>
      <c r="U33" s="31">
        <v>1367.1538858163999</v>
      </c>
      <c r="V33" s="31">
        <v>1079.2855758176399</v>
      </c>
      <c r="W33" s="31">
        <v>1074.0309537498799</v>
      </c>
    </row>
    <row r="34" spans="1:23">
      <c r="A34" s="25">
        <v>2048</v>
      </c>
      <c r="B34" s="31">
        <v>3567.4125853658502</v>
      </c>
      <c r="C34" s="31">
        <v>3945.0531934826899</v>
      </c>
      <c r="D34" s="31">
        <v>1006.7770721696</v>
      </c>
      <c r="E34" s="31">
        <v>826.67939135434403</v>
      </c>
      <c r="F34" s="31">
        <v>448.39967652374298</v>
      </c>
      <c r="G34" s="31">
        <v>733.67790949416406</v>
      </c>
      <c r="H34" s="31">
        <v>542.64318282100305</v>
      </c>
      <c r="I34" s="31">
        <v>1387.0223829234401</v>
      </c>
      <c r="J34" s="31">
        <v>3789.20888574317</v>
      </c>
      <c r="K34" s="31">
        <v>4075.7544257228301</v>
      </c>
      <c r="L34" s="31">
        <v>2739.6620329341299</v>
      </c>
      <c r="M34" s="31">
        <v>2432.1652555555602</v>
      </c>
      <c r="N34" s="31">
        <v>6530.3032708757601</v>
      </c>
      <c r="O34" s="31">
        <v>2164.1274410000001</v>
      </c>
      <c r="P34" s="31">
        <v>1035.7560812716899</v>
      </c>
      <c r="Q34" s="31">
        <v>1409.5589549716501</v>
      </c>
      <c r="R34" s="31">
        <v>4224.3243838582703</v>
      </c>
      <c r="S34" s="31">
        <v>2894.7912055780498</v>
      </c>
      <c r="T34" s="31">
        <v>1447.81178623751</v>
      </c>
      <c r="U34" s="31">
        <v>1356.8320735386901</v>
      </c>
      <c r="V34" s="31">
        <v>1064.7991318136801</v>
      </c>
      <c r="W34" s="31">
        <v>1065.92208747276</v>
      </c>
    </row>
    <row r="35" spans="1:23">
      <c r="A35" s="25">
        <v>2049</v>
      </c>
      <c r="B35" s="31">
        <v>3522.0711565040701</v>
      </c>
      <c r="C35" s="31">
        <v>3894.9128747454201</v>
      </c>
      <c r="D35" s="31">
        <v>996.34860471023705</v>
      </c>
      <c r="E35" s="31">
        <v>818.11654120258299</v>
      </c>
      <c r="F35" s="31">
        <v>444.27762270208399</v>
      </c>
      <c r="G35" s="31">
        <v>726.07845218278203</v>
      </c>
      <c r="H35" s="31">
        <v>537.38222165024297</v>
      </c>
      <c r="I35" s="31">
        <v>1367.5726761102501</v>
      </c>
      <c r="J35" s="31">
        <v>3699.53694742164</v>
      </c>
      <c r="K35" s="31">
        <v>4020.4532881355899</v>
      </c>
      <c r="L35" s="31">
        <v>2707.05610279441</v>
      </c>
      <c r="M35" s="31">
        <v>2396.6666666666702</v>
      </c>
      <c r="N35" s="31">
        <v>6462.6614012219998</v>
      </c>
      <c r="O35" s="31">
        <v>2141.709961</v>
      </c>
      <c r="P35" s="31">
        <v>1027.82056174074</v>
      </c>
      <c r="Q35" s="31">
        <v>1394.95866227084</v>
      </c>
      <c r="R35" s="31">
        <v>4159.20948425197</v>
      </c>
      <c r="S35" s="31">
        <v>2855.3643612235701</v>
      </c>
      <c r="T35" s="31">
        <v>1436.7193006057801</v>
      </c>
      <c r="U35" s="31">
        <v>1346.4365707895499</v>
      </c>
      <c r="V35" s="31">
        <v>1050.3515242814699</v>
      </c>
      <c r="W35" s="31">
        <v>1057.7555112191801</v>
      </c>
    </row>
    <row r="36" spans="1:23">
      <c r="A36" s="25">
        <v>2050</v>
      </c>
      <c r="B36" s="31">
        <v>3477.1363790650398</v>
      </c>
      <c r="C36" s="31">
        <v>3845.2213075356399</v>
      </c>
      <c r="D36" s="31">
        <v>985.99858172757104</v>
      </c>
      <c r="E36" s="31">
        <v>809.61792891620803</v>
      </c>
      <c r="F36" s="31">
        <v>440.18226175197299</v>
      </c>
      <c r="G36" s="31">
        <v>718.53584439077395</v>
      </c>
      <c r="H36" s="31">
        <v>532.15789913957894</v>
      </c>
      <c r="I36" s="31">
        <v>1348.30881861084</v>
      </c>
      <c r="J36" s="31">
        <v>3612.66336905966</v>
      </c>
      <c r="K36" s="31">
        <v>3965.6701286141601</v>
      </c>
      <c r="L36" s="31">
        <v>2674.72793712575</v>
      </c>
      <c r="M36" s="31">
        <v>2690.8333333333298</v>
      </c>
      <c r="N36" s="31">
        <v>6395.5272046843202</v>
      </c>
      <c r="O36" s="31">
        <v>2119.460693</v>
      </c>
      <c r="P36" s="31">
        <v>1019.92257997634</v>
      </c>
      <c r="Q36" s="31">
        <v>1380.46783648358</v>
      </c>
      <c r="R36" s="31">
        <v>4094.7515531496101</v>
      </c>
      <c r="S36" s="31">
        <v>2816.3073526765602</v>
      </c>
      <c r="T36" s="31">
        <v>1425.6792501581399</v>
      </c>
      <c r="U36" s="31">
        <v>1336.0903954189801</v>
      </c>
      <c r="V36" s="31">
        <v>1036.03929335976</v>
      </c>
      <c r="W36" s="31">
        <v>1049.62752448317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36"/>
  <sheetViews>
    <sheetView workbookViewId="0"/>
  </sheetViews>
  <sheetFormatPr defaultColWidth="8.81640625" defaultRowHeight="14.5"/>
  <sheetData>
    <row r="1" spans="1:20">
      <c r="A1" s="22" t="s">
        <v>104</v>
      </c>
    </row>
    <row r="2" spans="1:20">
      <c r="A2" s="17" t="s">
        <v>105</v>
      </c>
    </row>
    <row r="3" spans="1:20">
      <c r="L3" s="27">
        <f>3.6/1.055</f>
        <v>3.4123222748815198</v>
      </c>
    </row>
    <row r="4" spans="1:20" ht="43.5">
      <c r="A4" s="23" t="s">
        <v>94</v>
      </c>
      <c r="B4" s="23" t="s">
        <v>53</v>
      </c>
      <c r="C4" s="24" t="s">
        <v>58</v>
      </c>
      <c r="D4" s="24" t="s">
        <v>95</v>
      </c>
      <c r="E4" s="24" t="s">
        <v>75</v>
      </c>
      <c r="F4" s="24" t="s">
        <v>71</v>
      </c>
      <c r="G4" s="24" t="s">
        <v>68</v>
      </c>
      <c r="H4" s="24" t="s">
        <v>64</v>
      </c>
      <c r="I4" s="24" t="s">
        <v>61</v>
      </c>
      <c r="J4" s="24" t="s">
        <v>96</v>
      </c>
      <c r="K4" s="28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25">
        <v>2019</v>
      </c>
      <c r="B5" s="26">
        <v>9750</v>
      </c>
      <c r="C5" s="26">
        <v>11650</v>
      </c>
      <c r="D5" s="26">
        <v>8500</v>
      </c>
      <c r="E5" s="26">
        <v>9840</v>
      </c>
      <c r="F5" s="26">
        <v>9800</v>
      </c>
      <c r="G5" s="26">
        <v>6600</v>
      </c>
      <c r="H5" s="26">
        <v>6300</v>
      </c>
      <c r="I5" s="26">
        <v>7525</v>
      </c>
      <c r="J5" s="26">
        <v>9500</v>
      </c>
      <c r="K5" s="29">
        <f>A5</f>
        <v>2019</v>
      </c>
      <c r="L5" s="30">
        <f>1000/(B5/$L$3)</f>
        <v>0.34998177178272</v>
      </c>
      <c r="M5" s="30">
        <f t="shared" ref="M5:S5" si="1">1000/(C5/$L$3)</f>
        <v>0.29290319956064498</v>
      </c>
      <c r="N5" s="30">
        <f t="shared" si="1"/>
        <v>0.401449679397825</v>
      </c>
      <c r="O5" s="30">
        <f t="shared" si="1"/>
        <v>0.34678071899202401</v>
      </c>
      <c r="P5" s="30">
        <f t="shared" si="1"/>
        <v>0.34819615049811398</v>
      </c>
      <c r="Q5" s="30">
        <f t="shared" si="1"/>
        <v>0.51701852649719904</v>
      </c>
      <c r="R5" s="30">
        <f t="shared" si="1"/>
        <v>0.54163845633039898</v>
      </c>
      <c r="S5" s="30">
        <f t="shared" si="1"/>
        <v>0.45346475413707898</v>
      </c>
      <c r="T5" s="30">
        <f t="shared" ref="T5" si="2">1000/(J5/$L$3)</f>
        <v>0.359191818408581</v>
      </c>
    </row>
    <row r="6" spans="1:20">
      <c r="A6" s="25">
        <v>2020</v>
      </c>
      <c r="B6" s="26">
        <v>9750</v>
      </c>
      <c r="C6" s="26">
        <v>11650</v>
      </c>
      <c r="D6" s="26">
        <v>8500</v>
      </c>
      <c r="E6" s="26">
        <v>9800</v>
      </c>
      <c r="F6" s="26">
        <v>9800</v>
      </c>
      <c r="G6" s="26">
        <v>6600</v>
      </c>
      <c r="H6" s="26">
        <v>6300</v>
      </c>
      <c r="I6" s="26">
        <v>7525</v>
      </c>
      <c r="J6" s="26">
        <v>9500</v>
      </c>
      <c r="K6" s="29">
        <f t="shared" ref="K6:K36" si="3">A6</f>
        <v>2020</v>
      </c>
      <c r="L6" s="30">
        <f t="shared" ref="L6:L36" si="4">1000/(B6/$L$3)</f>
        <v>0.34998177178272</v>
      </c>
      <c r="M6" s="30">
        <f t="shared" ref="M6:M36" si="5">1000/(C6/$L$3)</f>
        <v>0.29290319956064498</v>
      </c>
      <c r="N6" s="30">
        <f t="shared" ref="N6:N36" si="6">1000/(D6/$L$3)</f>
        <v>0.401449679397825</v>
      </c>
      <c r="O6" s="30">
        <f t="shared" ref="O6:O36" si="7">1000/(E6/$L$3)</f>
        <v>0.34819615049811398</v>
      </c>
      <c r="P6" s="30">
        <f t="shared" ref="P6:P36" si="8">1000/(F6/$L$3)</f>
        <v>0.34819615049811398</v>
      </c>
      <c r="Q6" s="30">
        <f t="shared" ref="Q6:Q36" si="9">1000/(G6/$L$3)</f>
        <v>0.51701852649719904</v>
      </c>
      <c r="R6" s="30">
        <f t="shared" ref="R6:R36" si="10">1000/(H6/$L$3)</f>
        <v>0.54163845633039898</v>
      </c>
      <c r="S6" s="30">
        <f t="shared" ref="S6:S36" si="11">1000/(I6/$L$3)</f>
        <v>0.45346475413707898</v>
      </c>
      <c r="T6" s="30">
        <f t="shared" ref="T6:T36" si="12">1000/(J6/$L$3)</f>
        <v>0.359191818408581</v>
      </c>
    </row>
    <row r="7" spans="1:20">
      <c r="A7" s="25">
        <v>2021</v>
      </c>
      <c r="B7" s="26">
        <v>9750</v>
      </c>
      <c r="C7" s="26">
        <v>11650</v>
      </c>
      <c r="D7" s="26">
        <v>8432</v>
      </c>
      <c r="E7" s="26">
        <v>9760</v>
      </c>
      <c r="F7" s="26">
        <v>9550</v>
      </c>
      <c r="G7" s="26">
        <v>6600</v>
      </c>
      <c r="H7" s="26">
        <v>6300</v>
      </c>
      <c r="I7" s="26">
        <v>7525</v>
      </c>
      <c r="J7" s="26">
        <v>9500</v>
      </c>
      <c r="K7" s="29">
        <f t="shared" si="3"/>
        <v>2021</v>
      </c>
      <c r="L7" s="30">
        <f t="shared" si="4"/>
        <v>0.34998177178272</v>
      </c>
      <c r="M7" s="30">
        <f t="shared" si="5"/>
        <v>0.29290319956064498</v>
      </c>
      <c r="N7" s="30">
        <f t="shared" si="6"/>
        <v>0.40468717681232402</v>
      </c>
      <c r="O7" s="30">
        <f t="shared" si="7"/>
        <v>0.34962318390179498</v>
      </c>
      <c r="P7" s="30">
        <f t="shared" si="8"/>
        <v>0.35731123297188699</v>
      </c>
      <c r="Q7" s="30">
        <f t="shared" si="9"/>
        <v>0.51701852649719904</v>
      </c>
      <c r="R7" s="30">
        <f t="shared" si="10"/>
        <v>0.54163845633039898</v>
      </c>
      <c r="S7" s="30">
        <f t="shared" si="11"/>
        <v>0.45346475413707898</v>
      </c>
      <c r="T7" s="30">
        <f t="shared" si="12"/>
        <v>0.359191818408581</v>
      </c>
    </row>
    <row r="8" spans="1:20">
      <c r="A8" s="25">
        <v>2022</v>
      </c>
      <c r="B8" s="26">
        <v>9750</v>
      </c>
      <c r="C8" s="26">
        <v>11650</v>
      </c>
      <c r="D8" s="26">
        <v>8364</v>
      </c>
      <c r="E8" s="26">
        <v>9720</v>
      </c>
      <c r="F8" s="26">
        <v>9300</v>
      </c>
      <c r="G8" s="26">
        <v>6537.5</v>
      </c>
      <c r="H8" s="26">
        <v>6275</v>
      </c>
      <c r="I8" s="26">
        <v>7517</v>
      </c>
      <c r="J8" s="26">
        <v>8865</v>
      </c>
      <c r="K8" s="29">
        <f t="shared" si="3"/>
        <v>2022</v>
      </c>
      <c r="L8" s="30">
        <f t="shared" si="4"/>
        <v>0.34998177178272</v>
      </c>
      <c r="M8" s="30">
        <f t="shared" si="5"/>
        <v>0.29290319956064498</v>
      </c>
      <c r="N8" s="30">
        <f t="shared" si="6"/>
        <v>0.407977316461205</v>
      </c>
      <c r="O8" s="30">
        <f t="shared" si="7"/>
        <v>0.35106196243637</v>
      </c>
      <c r="P8" s="30">
        <f t="shared" si="8"/>
        <v>0.36691637364317398</v>
      </c>
      <c r="Q8" s="30">
        <f t="shared" si="9"/>
        <v>0.52196134223809099</v>
      </c>
      <c r="R8" s="30">
        <f t="shared" si="10"/>
        <v>0.54379637846717399</v>
      </c>
      <c r="S8" s="30">
        <f t="shared" si="11"/>
        <v>0.45394735597732</v>
      </c>
      <c r="T8" s="30">
        <f t="shared" si="12"/>
        <v>0.38492073038708602</v>
      </c>
    </row>
    <row r="9" spans="1:20">
      <c r="A9" s="25">
        <v>2023</v>
      </c>
      <c r="B9" s="26">
        <v>9573.6666669999995</v>
      </c>
      <c r="C9" s="26">
        <v>10852.333333</v>
      </c>
      <c r="D9" s="26">
        <v>8296</v>
      </c>
      <c r="E9" s="26">
        <v>9680</v>
      </c>
      <c r="F9" s="26">
        <v>9050</v>
      </c>
      <c r="G9" s="26">
        <v>6475</v>
      </c>
      <c r="H9" s="26">
        <v>6250</v>
      </c>
      <c r="I9" s="26">
        <v>7509</v>
      </c>
      <c r="J9" s="26">
        <v>8230</v>
      </c>
      <c r="K9" s="29">
        <f t="shared" si="3"/>
        <v>2023</v>
      </c>
      <c r="L9" s="30">
        <f t="shared" si="4"/>
        <v>0.35642793859155802</v>
      </c>
      <c r="M9" s="30">
        <f t="shared" si="5"/>
        <v>0.314432129033971</v>
      </c>
      <c r="N9" s="30">
        <f t="shared" si="6"/>
        <v>0.41132139282564101</v>
      </c>
      <c r="O9" s="30">
        <f t="shared" si="7"/>
        <v>0.35251263170263603</v>
      </c>
      <c r="P9" s="30">
        <f t="shared" si="8"/>
        <v>0.377052185069781</v>
      </c>
      <c r="Q9" s="30">
        <f t="shared" si="9"/>
        <v>0.52699957913228102</v>
      </c>
      <c r="R9" s="30">
        <f t="shared" si="10"/>
        <v>0.54597156398104296</v>
      </c>
      <c r="S9" s="30">
        <f t="shared" si="11"/>
        <v>0.45443098613417399</v>
      </c>
      <c r="T9" s="30">
        <f t="shared" si="12"/>
        <v>0.41461996049593203</v>
      </c>
    </row>
    <row r="10" spans="1:20">
      <c r="A10" s="25">
        <v>2024</v>
      </c>
      <c r="B10" s="26">
        <v>9397.3333330000005</v>
      </c>
      <c r="C10" s="26">
        <v>10054.666667</v>
      </c>
      <c r="D10" s="26">
        <v>8228</v>
      </c>
      <c r="E10" s="26">
        <v>9640</v>
      </c>
      <c r="F10" s="26">
        <v>8800</v>
      </c>
      <c r="G10" s="26">
        <v>6412.5</v>
      </c>
      <c r="H10" s="26">
        <v>6225</v>
      </c>
      <c r="I10" s="26">
        <v>7501</v>
      </c>
      <c r="J10" s="26">
        <v>7595</v>
      </c>
      <c r="K10" s="29">
        <f t="shared" si="3"/>
        <v>2024</v>
      </c>
      <c r="L10" s="30">
        <f t="shared" si="4"/>
        <v>0.36311601961576601</v>
      </c>
      <c r="M10" s="30">
        <f t="shared" si="5"/>
        <v>0.33937696672540701</v>
      </c>
      <c r="N10" s="30">
        <f t="shared" si="6"/>
        <v>0.41472074317957203</v>
      </c>
      <c r="O10" s="30">
        <f t="shared" si="7"/>
        <v>0.35397533971799999</v>
      </c>
      <c r="P10" s="30">
        <f t="shared" si="8"/>
        <v>0.38776389487289997</v>
      </c>
      <c r="Q10" s="30">
        <f t="shared" si="9"/>
        <v>0.53213602727197096</v>
      </c>
      <c r="R10" s="30">
        <f t="shared" si="10"/>
        <v>0.54816422086450101</v>
      </c>
      <c r="S10" s="30">
        <f t="shared" si="11"/>
        <v>0.45491564789781602</v>
      </c>
      <c r="T10" s="30">
        <f t="shared" si="12"/>
        <v>0.449285355481437</v>
      </c>
    </row>
    <row r="11" spans="1:20">
      <c r="A11" s="25">
        <v>2025</v>
      </c>
      <c r="B11" s="26">
        <v>9221</v>
      </c>
      <c r="C11" s="26">
        <v>9257</v>
      </c>
      <c r="D11" s="26">
        <v>8160</v>
      </c>
      <c r="E11" s="26">
        <v>9600</v>
      </c>
      <c r="F11" s="26">
        <v>8550</v>
      </c>
      <c r="G11" s="26">
        <v>6350</v>
      </c>
      <c r="H11" s="26">
        <v>6200</v>
      </c>
      <c r="I11" s="26">
        <v>7493</v>
      </c>
      <c r="J11" s="26">
        <v>6960</v>
      </c>
      <c r="K11" s="29">
        <f t="shared" si="3"/>
        <v>2025</v>
      </c>
      <c r="L11" s="30">
        <f t="shared" si="4"/>
        <v>0.37005989316576499</v>
      </c>
      <c r="M11" s="30">
        <f t="shared" si="5"/>
        <v>0.36862074914999599</v>
      </c>
      <c r="N11" s="30">
        <f t="shared" si="6"/>
        <v>0.41817674937273502</v>
      </c>
      <c r="O11" s="30">
        <f t="shared" si="7"/>
        <v>0.35545023696682498</v>
      </c>
      <c r="P11" s="30">
        <f t="shared" si="8"/>
        <v>0.39910202045397902</v>
      </c>
      <c r="Q11" s="30">
        <f t="shared" si="9"/>
        <v>0.53737358659551404</v>
      </c>
      <c r="R11" s="30">
        <f t="shared" si="10"/>
        <v>0.55037456046476096</v>
      </c>
      <c r="S11" s="30">
        <f t="shared" si="11"/>
        <v>0.45540134457247</v>
      </c>
      <c r="T11" s="30">
        <f t="shared" si="12"/>
        <v>0.49027618891975799</v>
      </c>
    </row>
    <row r="12" spans="1:20">
      <c r="A12" s="25">
        <v>2026</v>
      </c>
      <c r="B12" s="26">
        <v>9221</v>
      </c>
      <c r="C12" s="26">
        <v>9257</v>
      </c>
      <c r="D12" s="26">
        <v>8160</v>
      </c>
      <c r="E12" s="26">
        <v>9600</v>
      </c>
      <c r="F12" s="26">
        <v>8550</v>
      </c>
      <c r="G12" s="26">
        <v>6350</v>
      </c>
      <c r="H12" s="26">
        <v>6200</v>
      </c>
      <c r="I12" s="26">
        <v>7493</v>
      </c>
      <c r="J12" s="26">
        <v>6960</v>
      </c>
      <c r="K12" s="29">
        <f t="shared" si="3"/>
        <v>2026</v>
      </c>
      <c r="L12" s="30">
        <f t="shared" si="4"/>
        <v>0.37005989316576499</v>
      </c>
      <c r="M12" s="30">
        <f t="shared" si="5"/>
        <v>0.36862074914999599</v>
      </c>
      <c r="N12" s="30">
        <f t="shared" si="6"/>
        <v>0.41817674937273502</v>
      </c>
      <c r="O12" s="30">
        <f t="shared" si="7"/>
        <v>0.35545023696682498</v>
      </c>
      <c r="P12" s="30">
        <f t="shared" si="8"/>
        <v>0.39910202045397902</v>
      </c>
      <c r="Q12" s="30">
        <f t="shared" si="9"/>
        <v>0.53737358659551404</v>
      </c>
      <c r="R12" s="30">
        <f t="shared" si="10"/>
        <v>0.55037456046476096</v>
      </c>
      <c r="S12" s="30">
        <f t="shared" si="11"/>
        <v>0.45540134457247</v>
      </c>
      <c r="T12" s="30">
        <f t="shared" si="12"/>
        <v>0.49027618891975799</v>
      </c>
    </row>
    <row r="13" spans="1:20">
      <c r="A13" s="25">
        <v>2027</v>
      </c>
      <c r="B13" s="26">
        <v>9221</v>
      </c>
      <c r="C13" s="26">
        <v>9257</v>
      </c>
      <c r="D13" s="26">
        <v>8160</v>
      </c>
      <c r="E13" s="26">
        <v>9600</v>
      </c>
      <c r="F13" s="26">
        <v>8550</v>
      </c>
      <c r="G13" s="26">
        <v>6350</v>
      </c>
      <c r="H13" s="26">
        <v>6200</v>
      </c>
      <c r="I13" s="26">
        <v>7493</v>
      </c>
      <c r="J13" s="26">
        <v>6960</v>
      </c>
      <c r="K13" s="29">
        <f t="shared" si="3"/>
        <v>2027</v>
      </c>
      <c r="L13" s="30">
        <f t="shared" si="4"/>
        <v>0.37005989316576499</v>
      </c>
      <c r="M13" s="30">
        <f t="shared" si="5"/>
        <v>0.36862074914999599</v>
      </c>
      <c r="N13" s="30">
        <f t="shared" si="6"/>
        <v>0.41817674937273502</v>
      </c>
      <c r="O13" s="30">
        <f t="shared" si="7"/>
        <v>0.35545023696682498</v>
      </c>
      <c r="P13" s="30">
        <f t="shared" si="8"/>
        <v>0.39910202045397902</v>
      </c>
      <c r="Q13" s="30">
        <f t="shared" si="9"/>
        <v>0.53737358659551404</v>
      </c>
      <c r="R13" s="30">
        <f t="shared" si="10"/>
        <v>0.55037456046476096</v>
      </c>
      <c r="S13" s="30">
        <f t="shared" si="11"/>
        <v>0.45540134457247</v>
      </c>
      <c r="T13" s="30">
        <f t="shared" si="12"/>
        <v>0.49027618891975799</v>
      </c>
    </row>
    <row r="14" spans="1:20">
      <c r="A14" s="25">
        <v>2028</v>
      </c>
      <c r="B14" s="26">
        <v>9221</v>
      </c>
      <c r="C14" s="26">
        <v>9257</v>
      </c>
      <c r="D14" s="26">
        <v>8160</v>
      </c>
      <c r="E14" s="26">
        <v>9600</v>
      </c>
      <c r="F14" s="26">
        <v>8550</v>
      </c>
      <c r="G14" s="26">
        <v>6350</v>
      </c>
      <c r="H14" s="26">
        <v>6200</v>
      </c>
      <c r="I14" s="26">
        <v>7493</v>
      </c>
      <c r="J14" s="26">
        <v>6960</v>
      </c>
      <c r="K14" s="29">
        <f t="shared" si="3"/>
        <v>2028</v>
      </c>
      <c r="L14" s="30">
        <f t="shared" si="4"/>
        <v>0.37005989316576499</v>
      </c>
      <c r="M14" s="30">
        <f t="shared" si="5"/>
        <v>0.36862074914999599</v>
      </c>
      <c r="N14" s="30">
        <f t="shared" si="6"/>
        <v>0.41817674937273502</v>
      </c>
      <c r="O14" s="30">
        <f t="shared" si="7"/>
        <v>0.35545023696682498</v>
      </c>
      <c r="P14" s="30">
        <f t="shared" si="8"/>
        <v>0.39910202045397902</v>
      </c>
      <c r="Q14" s="30">
        <f t="shared" si="9"/>
        <v>0.53737358659551404</v>
      </c>
      <c r="R14" s="30">
        <f t="shared" si="10"/>
        <v>0.55037456046476096</v>
      </c>
      <c r="S14" s="30">
        <f t="shared" si="11"/>
        <v>0.45540134457247</v>
      </c>
      <c r="T14" s="30">
        <f t="shared" si="12"/>
        <v>0.49027618891975799</v>
      </c>
    </row>
    <row r="15" spans="1:20">
      <c r="A15" s="25">
        <v>2029</v>
      </c>
      <c r="B15" s="26">
        <v>9221</v>
      </c>
      <c r="C15" s="26">
        <v>9257</v>
      </c>
      <c r="D15" s="26">
        <v>8160</v>
      </c>
      <c r="E15" s="26">
        <v>9600</v>
      </c>
      <c r="F15" s="26">
        <v>8550</v>
      </c>
      <c r="G15" s="26">
        <v>6350</v>
      </c>
      <c r="H15" s="26">
        <v>6200</v>
      </c>
      <c r="I15" s="26">
        <v>7493</v>
      </c>
      <c r="J15" s="26">
        <v>6960</v>
      </c>
      <c r="K15" s="29">
        <f t="shared" si="3"/>
        <v>2029</v>
      </c>
      <c r="L15" s="30">
        <f t="shared" si="4"/>
        <v>0.37005989316576499</v>
      </c>
      <c r="M15" s="30">
        <f t="shared" si="5"/>
        <v>0.36862074914999599</v>
      </c>
      <c r="N15" s="30">
        <f t="shared" si="6"/>
        <v>0.41817674937273502</v>
      </c>
      <c r="O15" s="30">
        <f t="shared" si="7"/>
        <v>0.35545023696682498</v>
      </c>
      <c r="P15" s="30">
        <f t="shared" si="8"/>
        <v>0.39910202045397902</v>
      </c>
      <c r="Q15" s="30">
        <f t="shared" si="9"/>
        <v>0.53737358659551404</v>
      </c>
      <c r="R15" s="30">
        <f t="shared" si="10"/>
        <v>0.55037456046476096</v>
      </c>
      <c r="S15" s="30">
        <f t="shared" si="11"/>
        <v>0.45540134457247</v>
      </c>
      <c r="T15" s="30">
        <f t="shared" si="12"/>
        <v>0.49027618891975799</v>
      </c>
    </row>
    <row r="16" spans="1:20">
      <c r="A16" s="25">
        <v>2030</v>
      </c>
      <c r="B16" s="26">
        <v>9221</v>
      </c>
      <c r="C16" s="26">
        <v>9257</v>
      </c>
      <c r="D16" s="26">
        <v>8160</v>
      </c>
      <c r="E16" s="26">
        <v>9600</v>
      </c>
      <c r="F16" s="26">
        <v>8550</v>
      </c>
      <c r="G16" s="26">
        <v>6350</v>
      </c>
      <c r="H16" s="26">
        <v>6200</v>
      </c>
      <c r="I16" s="26">
        <v>7493</v>
      </c>
      <c r="J16" s="26">
        <v>6960</v>
      </c>
      <c r="K16" s="29">
        <f t="shared" si="3"/>
        <v>2030</v>
      </c>
      <c r="L16" s="30">
        <f t="shared" si="4"/>
        <v>0.37005989316576499</v>
      </c>
      <c r="M16" s="30">
        <f t="shared" si="5"/>
        <v>0.36862074914999599</v>
      </c>
      <c r="N16" s="30">
        <f t="shared" si="6"/>
        <v>0.41817674937273502</v>
      </c>
      <c r="O16" s="30">
        <f t="shared" si="7"/>
        <v>0.35545023696682498</v>
      </c>
      <c r="P16" s="30">
        <f t="shared" si="8"/>
        <v>0.39910202045397902</v>
      </c>
      <c r="Q16" s="30">
        <f t="shared" si="9"/>
        <v>0.53737358659551404</v>
      </c>
      <c r="R16" s="30">
        <f t="shared" si="10"/>
        <v>0.55037456046476096</v>
      </c>
      <c r="S16" s="30">
        <f t="shared" si="11"/>
        <v>0.45540134457247</v>
      </c>
      <c r="T16" s="30">
        <f t="shared" si="12"/>
        <v>0.49027618891975799</v>
      </c>
    </row>
    <row r="17" spans="1:20">
      <c r="A17" s="25">
        <v>2031</v>
      </c>
      <c r="B17" s="26">
        <v>9221</v>
      </c>
      <c r="C17" s="26">
        <v>9257</v>
      </c>
      <c r="D17" s="26">
        <v>8160</v>
      </c>
      <c r="E17" s="26">
        <v>9600</v>
      </c>
      <c r="F17" s="26">
        <v>8550</v>
      </c>
      <c r="G17" s="26">
        <v>6350</v>
      </c>
      <c r="H17" s="26">
        <v>6200</v>
      </c>
      <c r="I17" s="26">
        <v>7493</v>
      </c>
      <c r="J17" s="26">
        <v>6960</v>
      </c>
      <c r="K17" s="29">
        <f t="shared" si="3"/>
        <v>2031</v>
      </c>
      <c r="L17" s="30">
        <f t="shared" si="4"/>
        <v>0.37005989316576499</v>
      </c>
      <c r="M17" s="30">
        <f t="shared" si="5"/>
        <v>0.36862074914999599</v>
      </c>
      <c r="N17" s="30">
        <f t="shared" si="6"/>
        <v>0.41817674937273502</v>
      </c>
      <c r="O17" s="30">
        <f t="shared" si="7"/>
        <v>0.35545023696682498</v>
      </c>
      <c r="P17" s="30">
        <f t="shared" si="8"/>
        <v>0.39910202045397902</v>
      </c>
      <c r="Q17" s="30">
        <f t="shared" si="9"/>
        <v>0.53737358659551404</v>
      </c>
      <c r="R17" s="30">
        <f t="shared" si="10"/>
        <v>0.55037456046476096</v>
      </c>
      <c r="S17" s="30">
        <f t="shared" si="11"/>
        <v>0.45540134457247</v>
      </c>
      <c r="T17" s="30">
        <f t="shared" si="12"/>
        <v>0.49027618891975799</v>
      </c>
    </row>
    <row r="18" spans="1:20">
      <c r="A18" s="25">
        <v>2032</v>
      </c>
      <c r="B18" s="26">
        <v>9221</v>
      </c>
      <c r="C18" s="26">
        <v>9257</v>
      </c>
      <c r="D18" s="26">
        <v>8160</v>
      </c>
      <c r="E18" s="26">
        <v>9600</v>
      </c>
      <c r="F18" s="26">
        <v>8550</v>
      </c>
      <c r="G18" s="26">
        <v>6350</v>
      </c>
      <c r="H18" s="26">
        <v>6200</v>
      </c>
      <c r="I18" s="26">
        <v>7493</v>
      </c>
      <c r="J18" s="26">
        <v>6960</v>
      </c>
      <c r="K18" s="29">
        <f t="shared" si="3"/>
        <v>2032</v>
      </c>
      <c r="L18" s="30">
        <f t="shared" si="4"/>
        <v>0.37005989316576499</v>
      </c>
      <c r="M18" s="30">
        <f t="shared" si="5"/>
        <v>0.36862074914999599</v>
      </c>
      <c r="N18" s="30">
        <f t="shared" si="6"/>
        <v>0.41817674937273502</v>
      </c>
      <c r="O18" s="30">
        <f t="shared" si="7"/>
        <v>0.35545023696682498</v>
      </c>
      <c r="P18" s="30">
        <f t="shared" si="8"/>
        <v>0.39910202045397902</v>
      </c>
      <c r="Q18" s="30">
        <f t="shared" si="9"/>
        <v>0.53737358659551404</v>
      </c>
      <c r="R18" s="30">
        <f t="shared" si="10"/>
        <v>0.55037456046476096</v>
      </c>
      <c r="S18" s="30">
        <f t="shared" si="11"/>
        <v>0.45540134457247</v>
      </c>
      <c r="T18" s="30">
        <f t="shared" si="12"/>
        <v>0.49027618891975799</v>
      </c>
    </row>
    <row r="19" spans="1:20">
      <c r="A19" s="25">
        <v>2033</v>
      </c>
      <c r="B19" s="26">
        <v>9221</v>
      </c>
      <c r="C19" s="26">
        <v>9257</v>
      </c>
      <c r="D19" s="26">
        <v>8160</v>
      </c>
      <c r="E19" s="26">
        <v>9600</v>
      </c>
      <c r="F19" s="26">
        <v>8550</v>
      </c>
      <c r="G19" s="26">
        <v>6350</v>
      </c>
      <c r="H19" s="26">
        <v>6200</v>
      </c>
      <c r="I19" s="26">
        <v>7493</v>
      </c>
      <c r="J19" s="26">
        <v>6960</v>
      </c>
      <c r="K19" s="29">
        <f t="shared" si="3"/>
        <v>2033</v>
      </c>
      <c r="L19" s="30">
        <f t="shared" si="4"/>
        <v>0.37005989316576499</v>
      </c>
      <c r="M19" s="30">
        <f t="shared" si="5"/>
        <v>0.36862074914999599</v>
      </c>
      <c r="N19" s="30">
        <f t="shared" si="6"/>
        <v>0.41817674937273502</v>
      </c>
      <c r="O19" s="30">
        <f t="shared" si="7"/>
        <v>0.35545023696682498</v>
      </c>
      <c r="P19" s="30">
        <f t="shared" si="8"/>
        <v>0.39910202045397902</v>
      </c>
      <c r="Q19" s="30">
        <f t="shared" si="9"/>
        <v>0.53737358659551404</v>
      </c>
      <c r="R19" s="30">
        <f t="shared" si="10"/>
        <v>0.55037456046476096</v>
      </c>
      <c r="S19" s="30">
        <f t="shared" si="11"/>
        <v>0.45540134457247</v>
      </c>
      <c r="T19" s="30">
        <f t="shared" si="12"/>
        <v>0.49027618891975799</v>
      </c>
    </row>
    <row r="20" spans="1:20">
      <c r="A20" s="25">
        <v>2034</v>
      </c>
      <c r="B20" s="26">
        <v>9221</v>
      </c>
      <c r="C20" s="26">
        <v>9257</v>
      </c>
      <c r="D20" s="26">
        <v>8160</v>
      </c>
      <c r="E20" s="26">
        <v>9600</v>
      </c>
      <c r="F20" s="26">
        <v>8550</v>
      </c>
      <c r="G20" s="26">
        <v>6350</v>
      </c>
      <c r="H20" s="26">
        <v>6200</v>
      </c>
      <c r="I20" s="26">
        <v>7493</v>
      </c>
      <c r="J20" s="26">
        <v>6960</v>
      </c>
      <c r="K20" s="29">
        <f t="shared" si="3"/>
        <v>2034</v>
      </c>
      <c r="L20" s="30">
        <f t="shared" si="4"/>
        <v>0.37005989316576499</v>
      </c>
      <c r="M20" s="30">
        <f t="shared" si="5"/>
        <v>0.36862074914999599</v>
      </c>
      <c r="N20" s="30">
        <f t="shared" si="6"/>
        <v>0.41817674937273502</v>
      </c>
      <c r="O20" s="30">
        <f t="shared" si="7"/>
        <v>0.35545023696682498</v>
      </c>
      <c r="P20" s="30">
        <f t="shared" si="8"/>
        <v>0.39910202045397902</v>
      </c>
      <c r="Q20" s="30">
        <f t="shared" si="9"/>
        <v>0.53737358659551404</v>
      </c>
      <c r="R20" s="30">
        <f t="shared" si="10"/>
        <v>0.55037456046476096</v>
      </c>
      <c r="S20" s="30">
        <f t="shared" si="11"/>
        <v>0.45540134457247</v>
      </c>
      <c r="T20" s="30">
        <f t="shared" si="12"/>
        <v>0.49027618891975799</v>
      </c>
    </row>
    <row r="21" spans="1:20">
      <c r="A21" s="25">
        <v>2035</v>
      </c>
      <c r="B21" s="26">
        <v>9221</v>
      </c>
      <c r="C21" s="26">
        <v>9257</v>
      </c>
      <c r="D21" s="26">
        <v>8160</v>
      </c>
      <c r="E21" s="26">
        <v>9600</v>
      </c>
      <c r="F21" s="26">
        <v>8550</v>
      </c>
      <c r="G21" s="26">
        <v>6350</v>
      </c>
      <c r="H21" s="26">
        <v>6200</v>
      </c>
      <c r="I21" s="26">
        <v>7493</v>
      </c>
      <c r="J21" s="26">
        <v>6960</v>
      </c>
      <c r="K21" s="29">
        <f t="shared" si="3"/>
        <v>2035</v>
      </c>
      <c r="L21" s="30">
        <f t="shared" si="4"/>
        <v>0.37005989316576499</v>
      </c>
      <c r="M21" s="30">
        <f t="shared" si="5"/>
        <v>0.36862074914999599</v>
      </c>
      <c r="N21" s="30">
        <f t="shared" si="6"/>
        <v>0.41817674937273502</v>
      </c>
      <c r="O21" s="30">
        <f t="shared" si="7"/>
        <v>0.35545023696682498</v>
      </c>
      <c r="P21" s="30">
        <f t="shared" si="8"/>
        <v>0.39910202045397902</v>
      </c>
      <c r="Q21" s="30">
        <f t="shared" si="9"/>
        <v>0.53737358659551404</v>
      </c>
      <c r="R21" s="30">
        <f t="shared" si="10"/>
        <v>0.55037456046476096</v>
      </c>
      <c r="S21" s="30">
        <f t="shared" si="11"/>
        <v>0.45540134457247</v>
      </c>
      <c r="T21" s="30">
        <f t="shared" si="12"/>
        <v>0.49027618891975799</v>
      </c>
    </row>
    <row r="22" spans="1:20">
      <c r="A22" s="25">
        <v>2036</v>
      </c>
      <c r="B22" s="26">
        <v>9221</v>
      </c>
      <c r="C22" s="26">
        <v>9257</v>
      </c>
      <c r="D22" s="26">
        <v>8160</v>
      </c>
      <c r="E22" s="26">
        <v>9600</v>
      </c>
      <c r="F22" s="26">
        <v>8550</v>
      </c>
      <c r="G22" s="26">
        <v>6350</v>
      </c>
      <c r="H22" s="26">
        <v>6200</v>
      </c>
      <c r="I22" s="26">
        <v>7493</v>
      </c>
      <c r="J22" s="26">
        <v>6960</v>
      </c>
      <c r="K22" s="29">
        <f t="shared" si="3"/>
        <v>2036</v>
      </c>
      <c r="L22" s="30">
        <f t="shared" si="4"/>
        <v>0.37005989316576499</v>
      </c>
      <c r="M22" s="30">
        <f t="shared" si="5"/>
        <v>0.36862074914999599</v>
      </c>
      <c r="N22" s="30">
        <f t="shared" si="6"/>
        <v>0.41817674937273502</v>
      </c>
      <c r="O22" s="30">
        <f t="shared" si="7"/>
        <v>0.35545023696682498</v>
      </c>
      <c r="P22" s="30">
        <f t="shared" si="8"/>
        <v>0.39910202045397902</v>
      </c>
      <c r="Q22" s="30">
        <f t="shared" si="9"/>
        <v>0.53737358659551404</v>
      </c>
      <c r="R22" s="30">
        <f t="shared" si="10"/>
        <v>0.55037456046476096</v>
      </c>
      <c r="S22" s="30">
        <f t="shared" si="11"/>
        <v>0.45540134457247</v>
      </c>
      <c r="T22" s="30">
        <f t="shared" si="12"/>
        <v>0.49027618891975799</v>
      </c>
    </row>
    <row r="23" spans="1:20">
      <c r="A23" s="25">
        <v>2037</v>
      </c>
      <c r="B23" s="26">
        <v>9221</v>
      </c>
      <c r="C23" s="26">
        <v>9257</v>
      </c>
      <c r="D23" s="26">
        <v>8160</v>
      </c>
      <c r="E23" s="26">
        <v>9600</v>
      </c>
      <c r="F23" s="26">
        <v>8550</v>
      </c>
      <c r="G23" s="26">
        <v>6350</v>
      </c>
      <c r="H23" s="26">
        <v>6200</v>
      </c>
      <c r="I23" s="26">
        <v>7493</v>
      </c>
      <c r="J23" s="26">
        <v>6960</v>
      </c>
      <c r="K23" s="29">
        <f t="shared" si="3"/>
        <v>2037</v>
      </c>
      <c r="L23" s="30">
        <f t="shared" si="4"/>
        <v>0.37005989316576499</v>
      </c>
      <c r="M23" s="30">
        <f t="shared" si="5"/>
        <v>0.36862074914999599</v>
      </c>
      <c r="N23" s="30">
        <f t="shared" si="6"/>
        <v>0.41817674937273502</v>
      </c>
      <c r="O23" s="30">
        <f t="shared" si="7"/>
        <v>0.35545023696682498</v>
      </c>
      <c r="P23" s="30">
        <f t="shared" si="8"/>
        <v>0.39910202045397902</v>
      </c>
      <c r="Q23" s="30">
        <f t="shared" si="9"/>
        <v>0.53737358659551404</v>
      </c>
      <c r="R23" s="30">
        <f t="shared" si="10"/>
        <v>0.55037456046476096</v>
      </c>
      <c r="S23" s="30">
        <f t="shared" si="11"/>
        <v>0.45540134457247</v>
      </c>
      <c r="T23" s="30">
        <f t="shared" si="12"/>
        <v>0.49027618891975799</v>
      </c>
    </row>
    <row r="24" spans="1:20">
      <c r="A24" s="25">
        <v>2038</v>
      </c>
      <c r="B24" s="26">
        <v>9221</v>
      </c>
      <c r="C24" s="26">
        <v>9257</v>
      </c>
      <c r="D24" s="26">
        <v>8160</v>
      </c>
      <c r="E24" s="26">
        <v>9600</v>
      </c>
      <c r="F24" s="26">
        <v>8550</v>
      </c>
      <c r="G24" s="26">
        <v>6350</v>
      </c>
      <c r="H24" s="26">
        <v>6200</v>
      </c>
      <c r="I24" s="26">
        <v>7493</v>
      </c>
      <c r="J24" s="26">
        <v>6960</v>
      </c>
      <c r="K24" s="29">
        <f t="shared" si="3"/>
        <v>2038</v>
      </c>
      <c r="L24" s="30">
        <f t="shared" si="4"/>
        <v>0.37005989316576499</v>
      </c>
      <c r="M24" s="30">
        <f t="shared" si="5"/>
        <v>0.36862074914999599</v>
      </c>
      <c r="N24" s="30">
        <f t="shared" si="6"/>
        <v>0.41817674937273502</v>
      </c>
      <c r="O24" s="30">
        <f t="shared" si="7"/>
        <v>0.35545023696682498</v>
      </c>
      <c r="P24" s="30">
        <f t="shared" si="8"/>
        <v>0.39910202045397902</v>
      </c>
      <c r="Q24" s="30">
        <f t="shared" si="9"/>
        <v>0.53737358659551404</v>
      </c>
      <c r="R24" s="30">
        <f t="shared" si="10"/>
        <v>0.55037456046476096</v>
      </c>
      <c r="S24" s="30">
        <f t="shared" si="11"/>
        <v>0.45540134457247</v>
      </c>
      <c r="T24" s="30">
        <f t="shared" si="12"/>
        <v>0.49027618891975799</v>
      </c>
    </row>
    <row r="25" spans="1:20">
      <c r="A25" s="25">
        <v>2039</v>
      </c>
      <c r="B25" s="26">
        <v>9221</v>
      </c>
      <c r="C25" s="26">
        <v>9257</v>
      </c>
      <c r="D25" s="26">
        <v>8160</v>
      </c>
      <c r="E25" s="26">
        <v>9600</v>
      </c>
      <c r="F25" s="26">
        <v>8550</v>
      </c>
      <c r="G25" s="26">
        <v>6350</v>
      </c>
      <c r="H25" s="26">
        <v>6200</v>
      </c>
      <c r="I25" s="26">
        <v>7493</v>
      </c>
      <c r="J25" s="26">
        <v>6960</v>
      </c>
      <c r="K25" s="29">
        <f t="shared" si="3"/>
        <v>2039</v>
      </c>
      <c r="L25" s="30">
        <f t="shared" si="4"/>
        <v>0.37005989316576499</v>
      </c>
      <c r="M25" s="30">
        <f t="shared" si="5"/>
        <v>0.36862074914999599</v>
      </c>
      <c r="N25" s="30">
        <f t="shared" si="6"/>
        <v>0.41817674937273502</v>
      </c>
      <c r="O25" s="30">
        <f t="shared" si="7"/>
        <v>0.35545023696682498</v>
      </c>
      <c r="P25" s="30">
        <f t="shared" si="8"/>
        <v>0.39910202045397902</v>
      </c>
      <c r="Q25" s="30">
        <f t="shared" si="9"/>
        <v>0.53737358659551404</v>
      </c>
      <c r="R25" s="30">
        <f t="shared" si="10"/>
        <v>0.55037456046476096</v>
      </c>
      <c r="S25" s="30">
        <f t="shared" si="11"/>
        <v>0.45540134457247</v>
      </c>
      <c r="T25" s="30">
        <f t="shared" si="12"/>
        <v>0.49027618891975799</v>
      </c>
    </row>
    <row r="26" spans="1:20">
      <c r="A26" s="25">
        <v>2040</v>
      </c>
      <c r="B26" s="26">
        <v>9221</v>
      </c>
      <c r="C26" s="26">
        <v>9257</v>
      </c>
      <c r="D26" s="26">
        <v>8160</v>
      </c>
      <c r="E26" s="26">
        <v>9600</v>
      </c>
      <c r="F26" s="26">
        <v>8550</v>
      </c>
      <c r="G26" s="26">
        <v>6350</v>
      </c>
      <c r="H26" s="26">
        <v>6200</v>
      </c>
      <c r="I26" s="26">
        <v>7493</v>
      </c>
      <c r="J26" s="26">
        <v>6960</v>
      </c>
      <c r="K26" s="29">
        <f t="shared" si="3"/>
        <v>2040</v>
      </c>
      <c r="L26" s="30">
        <f t="shared" si="4"/>
        <v>0.37005989316576499</v>
      </c>
      <c r="M26" s="30">
        <f t="shared" si="5"/>
        <v>0.36862074914999599</v>
      </c>
      <c r="N26" s="30">
        <f t="shared" si="6"/>
        <v>0.41817674937273502</v>
      </c>
      <c r="O26" s="30">
        <f t="shared" si="7"/>
        <v>0.35545023696682498</v>
      </c>
      <c r="P26" s="30">
        <f t="shared" si="8"/>
        <v>0.39910202045397902</v>
      </c>
      <c r="Q26" s="30">
        <f t="shared" si="9"/>
        <v>0.53737358659551404</v>
      </c>
      <c r="R26" s="30">
        <f t="shared" si="10"/>
        <v>0.55037456046476096</v>
      </c>
      <c r="S26" s="30">
        <f t="shared" si="11"/>
        <v>0.45540134457247</v>
      </c>
      <c r="T26" s="30">
        <f t="shared" si="12"/>
        <v>0.49027618891975799</v>
      </c>
    </row>
    <row r="27" spans="1:20">
      <c r="A27" s="25">
        <v>2041</v>
      </c>
      <c r="B27" s="26">
        <v>9221</v>
      </c>
      <c r="C27" s="26">
        <v>9257</v>
      </c>
      <c r="D27" s="26">
        <v>8160</v>
      </c>
      <c r="E27" s="26">
        <v>9600</v>
      </c>
      <c r="F27" s="26">
        <v>8550</v>
      </c>
      <c r="G27" s="26">
        <v>6350</v>
      </c>
      <c r="H27" s="26">
        <v>6200</v>
      </c>
      <c r="I27" s="26">
        <v>7493</v>
      </c>
      <c r="J27" s="26">
        <v>6960</v>
      </c>
      <c r="K27" s="29">
        <f t="shared" si="3"/>
        <v>2041</v>
      </c>
      <c r="L27" s="30">
        <f t="shared" si="4"/>
        <v>0.37005989316576499</v>
      </c>
      <c r="M27" s="30">
        <f t="shared" si="5"/>
        <v>0.36862074914999599</v>
      </c>
      <c r="N27" s="30">
        <f t="shared" si="6"/>
        <v>0.41817674937273502</v>
      </c>
      <c r="O27" s="30">
        <f t="shared" si="7"/>
        <v>0.35545023696682498</v>
      </c>
      <c r="P27" s="30">
        <f t="shared" si="8"/>
        <v>0.39910202045397902</v>
      </c>
      <c r="Q27" s="30">
        <f t="shared" si="9"/>
        <v>0.53737358659551404</v>
      </c>
      <c r="R27" s="30">
        <f t="shared" si="10"/>
        <v>0.55037456046476096</v>
      </c>
      <c r="S27" s="30">
        <f t="shared" si="11"/>
        <v>0.45540134457247</v>
      </c>
      <c r="T27" s="30">
        <f t="shared" si="12"/>
        <v>0.49027618891975799</v>
      </c>
    </row>
    <row r="28" spans="1:20">
      <c r="A28" s="25">
        <v>2042</v>
      </c>
      <c r="B28" s="26">
        <v>9221</v>
      </c>
      <c r="C28" s="26">
        <v>9257</v>
      </c>
      <c r="D28" s="26">
        <v>8160</v>
      </c>
      <c r="E28" s="26">
        <v>9600</v>
      </c>
      <c r="F28" s="26">
        <v>8550</v>
      </c>
      <c r="G28" s="26">
        <v>6350</v>
      </c>
      <c r="H28" s="26">
        <v>6200</v>
      </c>
      <c r="I28" s="26">
        <v>7493</v>
      </c>
      <c r="J28" s="26">
        <v>6960</v>
      </c>
      <c r="K28" s="29">
        <f t="shared" si="3"/>
        <v>2042</v>
      </c>
      <c r="L28" s="30">
        <f t="shared" si="4"/>
        <v>0.37005989316576499</v>
      </c>
      <c r="M28" s="30">
        <f t="shared" si="5"/>
        <v>0.36862074914999599</v>
      </c>
      <c r="N28" s="30">
        <f t="shared" si="6"/>
        <v>0.41817674937273502</v>
      </c>
      <c r="O28" s="30">
        <f t="shared" si="7"/>
        <v>0.35545023696682498</v>
      </c>
      <c r="P28" s="30">
        <f t="shared" si="8"/>
        <v>0.39910202045397902</v>
      </c>
      <c r="Q28" s="30">
        <f t="shared" si="9"/>
        <v>0.53737358659551404</v>
      </c>
      <c r="R28" s="30">
        <f t="shared" si="10"/>
        <v>0.55037456046476096</v>
      </c>
      <c r="S28" s="30">
        <f t="shared" si="11"/>
        <v>0.45540134457247</v>
      </c>
      <c r="T28" s="30">
        <f t="shared" si="12"/>
        <v>0.49027618891975799</v>
      </c>
    </row>
    <row r="29" spans="1:20">
      <c r="A29" s="25">
        <v>2043</v>
      </c>
      <c r="B29" s="26">
        <v>9221</v>
      </c>
      <c r="C29" s="26">
        <v>9257</v>
      </c>
      <c r="D29" s="26">
        <v>8160</v>
      </c>
      <c r="E29" s="26">
        <v>9600</v>
      </c>
      <c r="F29" s="26">
        <v>8550</v>
      </c>
      <c r="G29" s="26">
        <v>6350</v>
      </c>
      <c r="H29" s="26">
        <v>6200</v>
      </c>
      <c r="I29" s="26">
        <v>7493</v>
      </c>
      <c r="J29" s="26">
        <v>6960</v>
      </c>
      <c r="K29" s="29">
        <f t="shared" si="3"/>
        <v>2043</v>
      </c>
      <c r="L29" s="30">
        <f t="shared" si="4"/>
        <v>0.37005989316576499</v>
      </c>
      <c r="M29" s="30">
        <f t="shared" si="5"/>
        <v>0.36862074914999599</v>
      </c>
      <c r="N29" s="30">
        <f t="shared" si="6"/>
        <v>0.41817674937273502</v>
      </c>
      <c r="O29" s="30">
        <f t="shared" si="7"/>
        <v>0.35545023696682498</v>
      </c>
      <c r="P29" s="30">
        <f t="shared" si="8"/>
        <v>0.39910202045397902</v>
      </c>
      <c r="Q29" s="30">
        <f t="shared" si="9"/>
        <v>0.53737358659551404</v>
      </c>
      <c r="R29" s="30">
        <f t="shared" si="10"/>
        <v>0.55037456046476096</v>
      </c>
      <c r="S29" s="30">
        <f t="shared" si="11"/>
        <v>0.45540134457247</v>
      </c>
      <c r="T29" s="30">
        <f t="shared" si="12"/>
        <v>0.49027618891975799</v>
      </c>
    </row>
    <row r="30" spans="1:20">
      <c r="A30" s="25">
        <v>2044</v>
      </c>
      <c r="B30" s="26">
        <v>9221</v>
      </c>
      <c r="C30" s="26">
        <v>9257</v>
      </c>
      <c r="D30" s="26">
        <v>8160</v>
      </c>
      <c r="E30" s="26">
        <v>9600</v>
      </c>
      <c r="F30" s="26">
        <v>8550</v>
      </c>
      <c r="G30" s="26">
        <v>6350</v>
      </c>
      <c r="H30" s="26">
        <v>6200</v>
      </c>
      <c r="I30" s="26">
        <v>7493</v>
      </c>
      <c r="J30" s="26">
        <v>6960</v>
      </c>
      <c r="K30" s="29">
        <f t="shared" si="3"/>
        <v>2044</v>
      </c>
      <c r="L30" s="30">
        <f t="shared" si="4"/>
        <v>0.37005989316576499</v>
      </c>
      <c r="M30" s="30">
        <f t="shared" si="5"/>
        <v>0.36862074914999599</v>
      </c>
      <c r="N30" s="30">
        <f t="shared" si="6"/>
        <v>0.41817674937273502</v>
      </c>
      <c r="O30" s="30">
        <f t="shared" si="7"/>
        <v>0.35545023696682498</v>
      </c>
      <c r="P30" s="30">
        <f t="shared" si="8"/>
        <v>0.39910202045397902</v>
      </c>
      <c r="Q30" s="30">
        <f t="shared" si="9"/>
        <v>0.53737358659551404</v>
      </c>
      <c r="R30" s="30">
        <f t="shared" si="10"/>
        <v>0.55037456046476096</v>
      </c>
      <c r="S30" s="30">
        <f t="shared" si="11"/>
        <v>0.45540134457247</v>
      </c>
      <c r="T30" s="30">
        <f t="shared" si="12"/>
        <v>0.49027618891975799</v>
      </c>
    </row>
    <row r="31" spans="1:20">
      <c r="A31" s="25">
        <v>2045</v>
      </c>
      <c r="B31" s="26">
        <v>9221</v>
      </c>
      <c r="C31" s="26">
        <v>9257</v>
      </c>
      <c r="D31" s="26">
        <v>8160</v>
      </c>
      <c r="E31" s="26">
        <v>9600</v>
      </c>
      <c r="F31" s="26">
        <v>8550</v>
      </c>
      <c r="G31" s="26">
        <v>6350</v>
      </c>
      <c r="H31" s="26">
        <v>6200</v>
      </c>
      <c r="I31" s="26">
        <v>7493</v>
      </c>
      <c r="J31" s="26">
        <v>6960</v>
      </c>
      <c r="K31" s="29">
        <f t="shared" si="3"/>
        <v>2045</v>
      </c>
      <c r="L31" s="30">
        <f t="shared" si="4"/>
        <v>0.37005989316576499</v>
      </c>
      <c r="M31" s="30">
        <f t="shared" si="5"/>
        <v>0.36862074914999599</v>
      </c>
      <c r="N31" s="30">
        <f t="shared" si="6"/>
        <v>0.41817674937273502</v>
      </c>
      <c r="O31" s="30">
        <f t="shared" si="7"/>
        <v>0.35545023696682498</v>
      </c>
      <c r="P31" s="30">
        <f t="shared" si="8"/>
        <v>0.39910202045397902</v>
      </c>
      <c r="Q31" s="30">
        <f t="shared" si="9"/>
        <v>0.53737358659551404</v>
      </c>
      <c r="R31" s="30">
        <f t="shared" si="10"/>
        <v>0.55037456046476096</v>
      </c>
      <c r="S31" s="30">
        <f t="shared" si="11"/>
        <v>0.45540134457247</v>
      </c>
      <c r="T31" s="30">
        <f t="shared" si="12"/>
        <v>0.49027618891975799</v>
      </c>
    </row>
    <row r="32" spans="1:20">
      <c r="A32" s="25">
        <v>2046</v>
      </c>
      <c r="B32" s="26">
        <v>9221</v>
      </c>
      <c r="C32" s="26">
        <v>9257</v>
      </c>
      <c r="D32" s="26">
        <v>8160</v>
      </c>
      <c r="E32" s="26">
        <v>9600</v>
      </c>
      <c r="F32" s="26">
        <v>8550</v>
      </c>
      <c r="G32" s="26">
        <v>6350</v>
      </c>
      <c r="H32" s="26">
        <v>6200</v>
      </c>
      <c r="I32" s="26">
        <v>7493</v>
      </c>
      <c r="J32" s="26">
        <v>6960</v>
      </c>
      <c r="K32" s="29">
        <f t="shared" si="3"/>
        <v>2046</v>
      </c>
      <c r="L32" s="30">
        <f t="shared" si="4"/>
        <v>0.37005989316576499</v>
      </c>
      <c r="M32" s="30">
        <f t="shared" si="5"/>
        <v>0.36862074914999599</v>
      </c>
      <c r="N32" s="30">
        <f t="shared" si="6"/>
        <v>0.41817674937273502</v>
      </c>
      <c r="O32" s="30">
        <f t="shared" si="7"/>
        <v>0.35545023696682498</v>
      </c>
      <c r="P32" s="30">
        <f t="shared" si="8"/>
        <v>0.39910202045397902</v>
      </c>
      <c r="Q32" s="30">
        <f t="shared" si="9"/>
        <v>0.53737358659551404</v>
      </c>
      <c r="R32" s="30">
        <f t="shared" si="10"/>
        <v>0.55037456046476096</v>
      </c>
      <c r="S32" s="30">
        <f t="shared" si="11"/>
        <v>0.45540134457247</v>
      </c>
      <c r="T32" s="30">
        <f t="shared" si="12"/>
        <v>0.49027618891975799</v>
      </c>
    </row>
    <row r="33" spans="1:20">
      <c r="A33" s="25">
        <v>2047</v>
      </c>
      <c r="B33" s="26">
        <v>9221</v>
      </c>
      <c r="C33" s="26">
        <v>9257</v>
      </c>
      <c r="D33" s="26">
        <v>8160</v>
      </c>
      <c r="E33" s="26">
        <v>9600</v>
      </c>
      <c r="F33" s="26">
        <v>8550</v>
      </c>
      <c r="G33" s="26">
        <v>6350</v>
      </c>
      <c r="H33" s="26">
        <v>6200</v>
      </c>
      <c r="I33" s="26">
        <v>7493</v>
      </c>
      <c r="J33" s="26">
        <v>6960</v>
      </c>
      <c r="K33" s="29">
        <f t="shared" si="3"/>
        <v>2047</v>
      </c>
      <c r="L33" s="30">
        <f t="shared" si="4"/>
        <v>0.37005989316576499</v>
      </c>
      <c r="M33" s="30">
        <f t="shared" si="5"/>
        <v>0.36862074914999599</v>
      </c>
      <c r="N33" s="30">
        <f t="shared" si="6"/>
        <v>0.41817674937273502</v>
      </c>
      <c r="O33" s="30">
        <f t="shared" si="7"/>
        <v>0.35545023696682498</v>
      </c>
      <c r="P33" s="30">
        <f t="shared" si="8"/>
        <v>0.39910202045397902</v>
      </c>
      <c r="Q33" s="30">
        <f t="shared" si="9"/>
        <v>0.53737358659551404</v>
      </c>
      <c r="R33" s="30">
        <f t="shared" si="10"/>
        <v>0.55037456046476096</v>
      </c>
      <c r="S33" s="30">
        <f t="shared" si="11"/>
        <v>0.45540134457247</v>
      </c>
      <c r="T33" s="30">
        <f t="shared" si="12"/>
        <v>0.49027618891975799</v>
      </c>
    </row>
    <row r="34" spans="1:20">
      <c r="A34" s="25">
        <v>2048</v>
      </c>
      <c r="B34" s="26">
        <v>9221</v>
      </c>
      <c r="C34" s="26">
        <v>9257</v>
      </c>
      <c r="D34" s="26">
        <v>8160</v>
      </c>
      <c r="E34" s="26">
        <v>9600</v>
      </c>
      <c r="F34" s="26">
        <v>8550</v>
      </c>
      <c r="G34" s="26">
        <v>6350</v>
      </c>
      <c r="H34" s="26">
        <v>6200</v>
      </c>
      <c r="I34" s="26">
        <v>7493</v>
      </c>
      <c r="J34" s="26">
        <v>6960</v>
      </c>
      <c r="K34" s="29">
        <f t="shared" si="3"/>
        <v>2048</v>
      </c>
      <c r="L34" s="30">
        <f t="shared" si="4"/>
        <v>0.37005989316576499</v>
      </c>
      <c r="M34" s="30">
        <f t="shared" si="5"/>
        <v>0.36862074914999599</v>
      </c>
      <c r="N34" s="30">
        <f t="shared" si="6"/>
        <v>0.41817674937273502</v>
      </c>
      <c r="O34" s="30">
        <f t="shared" si="7"/>
        <v>0.35545023696682498</v>
      </c>
      <c r="P34" s="30">
        <f t="shared" si="8"/>
        <v>0.39910202045397902</v>
      </c>
      <c r="Q34" s="30">
        <f t="shared" si="9"/>
        <v>0.53737358659551404</v>
      </c>
      <c r="R34" s="30">
        <f t="shared" si="10"/>
        <v>0.55037456046476096</v>
      </c>
      <c r="S34" s="30">
        <f t="shared" si="11"/>
        <v>0.45540134457247</v>
      </c>
      <c r="T34" s="30">
        <f t="shared" si="12"/>
        <v>0.49027618891975799</v>
      </c>
    </row>
    <row r="35" spans="1:20">
      <c r="A35" s="25">
        <v>2049</v>
      </c>
      <c r="B35" s="26">
        <v>9221</v>
      </c>
      <c r="C35" s="26">
        <v>9257</v>
      </c>
      <c r="D35" s="26">
        <v>8160</v>
      </c>
      <c r="E35" s="26">
        <v>9600</v>
      </c>
      <c r="F35" s="26">
        <v>8550</v>
      </c>
      <c r="G35" s="26">
        <v>6350</v>
      </c>
      <c r="H35" s="26">
        <v>6200</v>
      </c>
      <c r="I35" s="26">
        <v>7493</v>
      </c>
      <c r="J35" s="26">
        <v>6960</v>
      </c>
      <c r="K35" s="29">
        <f t="shared" si="3"/>
        <v>2049</v>
      </c>
      <c r="L35" s="30">
        <f t="shared" si="4"/>
        <v>0.37005989316576499</v>
      </c>
      <c r="M35" s="30">
        <f t="shared" si="5"/>
        <v>0.36862074914999599</v>
      </c>
      <c r="N35" s="30">
        <f t="shared" si="6"/>
        <v>0.41817674937273502</v>
      </c>
      <c r="O35" s="30">
        <f t="shared" si="7"/>
        <v>0.35545023696682498</v>
      </c>
      <c r="P35" s="30">
        <f t="shared" si="8"/>
        <v>0.39910202045397902</v>
      </c>
      <c r="Q35" s="30">
        <f t="shared" si="9"/>
        <v>0.53737358659551404</v>
      </c>
      <c r="R35" s="30">
        <f t="shared" si="10"/>
        <v>0.55037456046476096</v>
      </c>
      <c r="S35" s="30">
        <f t="shared" si="11"/>
        <v>0.45540134457247</v>
      </c>
      <c r="T35" s="30">
        <f t="shared" si="12"/>
        <v>0.49027618891975799</v>
      </c>
    </row>
    <row r="36" spans="1:20">
      <c r="A36" s="25">
        <v>2050</v>
      </c>
      <c r="B36" s="26">
        <v>9221</v>
      </c>
      <c r="C36" s="26">
        <v>9257</v>
      </c>
      <c r="D36" s="26">
        <v>8160</v>
      </c>
      <c r="E36" s="26">
        <v>9600</v>
      </c>
      <c r="F36" s="26">
        <v>8550</v>
      </c>
      <c r="G36" s="26">
        <v>6350</v>
      </c>
      <c r="H36" s="26">
        <v>6200</v>
      </c>
      <c r="I36" s="26">
        <v>7493</v>
      </c>
      <c r="J36" s="26">
        <v>6960</v>
      </c>
      <c r="K36" s="29">
        <f t="shared" si="3"/>
        <v>2050</v>
      </c>
      <c r="L36" s="30">
        <f t="shared" si="4"/>
        <v>0.37005989316576499</v>
      </c>
      <c r="M36" s="30">
        <f t="shared" si="5"/>
        <v>0.36862074914999599</v>
      </c>
      <c r="N36" s="30">
        <f t="shared" si="6"/>
        <v>0.41817674937273502</v>
      </c>
      <c r="O36" s="30">
        <f t="shared" si="7"/>
        <v>0.35545023696682498</v>
      </c>
      <c r="P36" s="30">
        <f t="shared" si="8"/>
        <v>0.39910202045397902</v>
      </c>
      <c r="Q36" s="30">
        <f t="shared" si="9"/>
        <v>0.53737358659551404</v>
      </c>
      <c r="R36" s="30">
        <f t="shared" si="10"/>
        <v>0.55037456046476096</v>
      </c>
      <c r="S36" s="30">
        <f t="shared" si="11"/>
        <v>0.45540134457247</v>
      </c>
      <c r="T36" s="30">
        <f t="shared" si="12"/>
        <v>0.49027618891975799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P16"/>
  <sheetViews>
    <sheetView workbookViewId="0">
      <selection activeCell="G5" sqref="G5"/>
    </sheetView>
  </sheetViews>
  <sheetFormatPr defaultColWidth="8.81640625" defaultRowHeight="14.5"/>
  <cols>
    <col min="1" max="1" width="2.26953125" customWidth="1"/>
    <col min="2" max="2" width="13.453125" customWidth="1"/>
    <col min="3" max="4" width="14.26953125" customWidth="1"/>
    <col min="5" max="5" width="7.81640625" customWidth="1"/>
    <col min="6" max="6" width="4" customWidth="1"/>
    <col min="7" max="7" width="9.54296875" customWidth="1"/>
    <col min="8" max="8" width="10.453125" customWidth="1"/>
    <col min="9" max="9" width="11.26953125" customWidth="1"/>
    <col min="10" max="10" width="13.453125" customWidth="1"/>
    <col min="11" max="11" width="31.453125" customWidth="1"/>
    <col min="12" max="12" width="5" customWidth="1"/>
    <col min="13" max="13" width="4.453125" customWidth="1"/>
    <col min="14" max="14" width="5.08984375" customWidth="1"/>
    <col min="15" max="15" width="10.26953125" customWidth="1"/>
    <col min="16" max="16" width="7.81640625" customWidth="1"/>
  </cols>
  <sheetData>
    <row r="3" spans="1:16">
      <c r="A3" s="16"/>
      <c r="B3" s="16"/>
      <c r="D3" s="17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18"/>
      <c r="B4" s="17" t="s">
        <v>12</v>
      </c>
      <c r="C4" s="17" t="s">
        <v>13</v>
      </c>
      <c r="D4" s="17" t="s">
        <v>14</v>
      </c>
      <c r="E4" t="s">
        <v>17</v>
      </c>
      <c r="F4" t="s">
        <v>107</v>
      </c>
      <c r="G4" s="17" t="s">
        <v>108</v>
      </c>
      <c r="H4" s="16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1:16">
      <c r="B5" s="1" t="str">
        <f>J5</f>
        <v>Sto-CO2_CB1</v>
      </c>
      <c r="C5" t="s">
        <v>109</v>
      </c>
      <c r="E5" s="19">
        <v>1E-3</v>
      </c>
      <c r="F5" s="20"/>
      <c r="G5" s="21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1:16">
      <c r="B6" s="1" t="str">
        <f t="shared" ref="B6:B14" si="0">J6</f>
        <v>Sto-CO2_CB2</v>
      </c>
      <c r="C6" t="s">
        <v>109</v>
      </c>
      <c r="E6" s="19">
        <v>1E-3</v>
      </c>
      <c r="F6" s="20"/>
      <c r="G6" s="21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1:16">
      <c r="B7" s="1" t="str">
        <f t="shared" si="0"/>
        <v>Sto-CO2_DGF</v>
      </c>
      <c r="C7" t="s">
        <v>109</v>
      </c>
      <c r="E7" s="19">
        <v>1E-3</v>
      </c>
      <c r="F7" s="20"/>
      <c r="G7" s="21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1:16">
      <c r="B8" s="1" t="str">
        <f t="shared" si="0"/>
        <v>Sto-CO2_DGO</v>
      </c>
      <c r="C8" t="s">
        <v>109</v>
      </c>
      <c r="E8" s="19">
        <v>1E-3</v>
      </c>
      <c r="F8" s="20"/>
      <c r="G8" s="21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1:16">
      <c r="B9" s="1" t="str">
        <f t="shared" si="0"/>
        <v>Sto-CO2_DOF</v>
      </c>
      <c r="C9" t="s">
        <v>109</v>
      </c>
      <c r="E9" s="19">
        <v>1E-3</v>
      </c>
      <c r="F9" s="20"/>
      <c r="G9" s="21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1:16">
      <c r="B10" s="1" t="str">
        <f t="shared" si="0"/>
        <v>Sto-CO2_DOO</v>
      </c>
      <c r="C10" t="s">
        <v>109</v>
      </c>
      <c r="E10" s="19">
        <v>1E-3</v>
      </c>
      <c r="F10" s="20"/>
      <c r="G10" s="21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1:16">
      <c r="B11" s="1" t="str">
        <f t="shared" si="0"/>
        <v>Sto-CO2_DSA</v>
      </c>
      <c r="C11" t="s">
        <v>109</v>
      </c>
      <c r="E11" s="19">
        <v>1E-3</v>
      </c>
      <c r="F11" s="20"/>
      <c r="G11" s="21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1:16">
      <c r="B12" s="1" t="str">
        <f t="shared" si="0"/>
        <v>Sto-CO2_DSO</v>
      </c>
      <c r="C12" t="s">
        <v>109</v>
      </c>
      <c r="E12" s="19">
        <v>1E-3</v>
      </c>
      <c r="F12" s="20"/>
      <c r="G12" s="21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1:16">
      <c r="B13" s="1" t="str">
        <f t="shared" si="0"/>
        <v>Sto-CO2_EOF</v>
      </c>
      <c r="C13" t="s">
        <v>109</v>
      </c>
      <c r="E13" s="19">
        <v>1E-3</v>
      </c>
      <c r="F13" s="20"/>
      <c r="G13" s="21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1:16">
      <c r="B14" s="1" t="str">
        <f t="shared" si="0"/>
        <v>Sto-CO2_EOR</v>
      </c>
      <c r="C14" t="s">
        <v>109</v>
      </c>
      <c r="E14" s="19">
        <v>1E-3</v>
      </c>
      <c r="F14" s="20"/>
      <c r="G14" s="21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1:16">
      <c r="B15" t="s">
        <v>133</v>
      </c>
      <c r="G15" s="21"/>
      <c r="I15" t="s">
        <v>133</v>
      </c>
    </row>
    <row r="16" spans="1:16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21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F28"/>
  <sheetViews>
    <sheetView tabSelected="1" topLeftCell="W5" zoomScale="90" zoomScaleNormal="66" workbookViewId="0">
      <selection activeCell="Y22" sqref="Y22"/>
    </sheetView>
  </sheetViews>
  <sheetFormatPr defaultColWidth="8.81640625" defaultRowHeight="14.5"/>
  <cols>
    <col min="2" max="2" width="14" customWidth="1"/>
    <col min="3" max="3" width="17.54296875" customWidth="1"/>
    <col min="4" max="4" width="26" customWidth="1"/>
    <col min="5" max="5" width="11.08984375" customWidth="1"/>
    <col min="6" max="6" width="13.26953125" customWidth="1"/>
    <col min="7" max="7" width="12.08984375" customWidth="1"/>
    <col min="8" max="8" width="10.26953125" customWidth="1"/>
    <col min="9" max="9" width="8.08984375" customWidth="1"/>
    <col min="10" max="10" width="19.26953125" customWidth="1"/>
    <col min="11" max="11" width="8.81640625" customWidth="1"/>
    <col min="12" max="12" width="14.26953125" customWidth="1"/>
    <col min="13" max="13" width="4.453125" customWidth="1"/>
    <col min="14" max="14" width="12.81640625" customWidth="1"/>
    <col min="15" max="15" width="6.81640625" customWidth="1"/>
    <col min="18" max="18" width="6.08984375" customWidth="1"/>
    <col min="23" max="23" width="20.1796875" customWidth="1"/>
    <col min="24" max="24" width="18.54296875" bestFit="1" customWidth="1"/>
    <col min="25" max="25" width="19.1796875" customWidth="1"/>
  </cols>
  <sheetData>
    <row r="2" spans="2:32">
      <c r="B2" t="s">
        <v>89</v>
      </c>
      <c r="W2" s="4"/>
      <c r="X2" s="4"/>
      <c r="Y2" s="4" t="s">
        <v>137</v>
      </c>
      <c r="Z2" s="4"/>
      <c r="AA2" s="4"/>
      <c r="AB2" s="4"/>
      <c r="AC2" s="4"/>
      <c r="AD2" s="4"/>
      <c r="AE2" s="4"/>
      <c r="AF2" s="4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4" t="s">
        <v>138</v>
      </c>
      <c r="X3" s="5" t="s">
        <v>139</v>
      </c>
      <c r="Y3" s="4" t="s">
        <v>140</v>
      </c>
      <c r="Z3" s="4" t="s">
        <v>141</v>
      </c>
      <c r="AA3" s="4" t="s">
        <v>142</v>
      </c>
      <c r="AB3" s="4" t="s">
        <v>143</v>
      </c>
      <c r="AC3" s="4" t="s">
        <v>144</v>
      </c>
      <c r="AD3" s="4" t="s">
        <v>145</v>
      </c>
      <c r="AE3" s="4" t="s">
        <v>146</v>
      </c>
      <c r="AF3" s="4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36</v>
      </c>
      <c r="F4" s="1" t="s">
        <v>37</v>
      </c>
      <c r="G4" s="1" t="s">
        <v>52</v>
      </c>
      <c r="H4" s="1"/>
      <c r="W4" s="4">
        <v>2020</v>
      </c>
      <c r="X4" s="4" t="s">
        <v>151</v>
      </c>
      <c r="Y4" s="4" t="s">
        <v>149</v>
      </c>
      <c r="Z4" s="4">
        <v>9.5000000000000001E-2</v>
      </c>
      <c r="AA4" s="4">
        <v>0</v>
      </c>
      <c r="AB4" s="4">
        <v>0</v>
      </c>
      <c r="AC4" s="4">
        <v>0</v>
      </c>
      <c r="AD4" s="4">
        <v>3.528</v>
      </c>
      <c r="AE4" s="4">
        <v>0.94599999999999995</v>
      </c>
      <c r="AF4" s="4">
        <v>1.085</v>
      </c>
    </row>
    <row r="5" spans="2:32">
      <c r="B5" s="1" t="s">
        <v>33</v>
      </c>
      <c r="C5" s="1" t="s">
        <v>152</v>
      </c>
      <c r="D5" s="1" t="s">
        <v>153</v>
      </c>
      <c r="E5" s="1" t="s">
        <v>36</v>
      </c>
      <c r="F5" s="1" t="s">
        <v>37</v>
      </c>
      <c r="G5" s="1" t="s">
        <v>52</v>
      </c>
      <c r="H5" s="1"/>
      <c r="W5" s="4"/>
      <c r="X5" s="6"/>
      <c r="Y5" s="4"/>
      <c r="Z5" s="4"/>
      <c r="AA5" s="4"/>
      <c r="AB5" s="4"/>
      <c r="AC5" s="4"/>
      <c r="AD5" s="4"/>
      <c r="AE5" s="4"/>
      <c r="AF5" s="4"/>
    </row>
    <row r="6" spans="2:32">
      <c r="B6" s="1"/>
      <c r="E6" s="1"/>
      <c r="F6" s="1"/>
      <c r="G6" s="1"/>
      <c r="W6" s="4"/>
      <c r="X6" s="6"/>
      <c r="Y6" s="4"/>
      <c r="Z6" s="4"/>
      <c r="AA6" s="4"/>
      <c r="AB6" s="4"/>
      <c r="AC6" s="4"/>
      <c r="AD6" s="4"/>
      <c r="AE6" s="4"/>
      <c r="AF6" s="4"/>
    </row>
    <row r="7" spans="2:32">
      <c r="W7" s="4"/>
      <c r="X7" s="6"/>
      <c r="Y7" s="4"/>
      <c r="Z7" s="4"/>
      <c r="AA7" s="4"/>
      <c r="AB7" s="4"/>
      <c r="AC7" s="4"/>
      <c r="AD7" s="4"/>
      <c r="AE7" s="4"/>
      <c r="AF7" s="4"/>
    </row>
    <row r="8" spans="2:32">
      <c r="G8" t="s">
        <v>154</v>
      </c>
      <c r="W8" s="4"/>
      <c r="X8" s="6"/>
      <c r="Y8" s="4"/>
      <c r="Z8" s="4"/>
      <c r="AA8" s="4"/>
      <c r="AB8" s="4"/>
      <c r="AC8" s="4"/>
      <c r="AD8" s="4"/>
      <c r="AE8" s="4"/>
      <c r="AF8" s="4"/>
    </row>
    <row r="9" spans="2:32">
      <c r="B9" t="s">
        <v>12</v>
      </c>
      <c r="C9" t="s">
        <v>13</v>
      </c>
      <c r="D9" t="s">
        <v>155</v>
      </c>
      <c r="E9" t="s">
        <v>14</v>
      </c>
      <c r="F9" t="s">
        <v>139</v>
      </c>
      <c r="G9" t="s">
        <v>156</v>
      </c>
      <c r="H9" t="s">
        <v>157</v>
      </c>
      <c r="I9" t="s">
        <v>158</v>
      </c>
      <c r="J9" t="s">
        <v>159</v>
      </c>
      <c r="K9" t="s">
        <v>15</v>
      </c>
      <c r="L9" t="s">
        <v>160</v>
      </c>
      <c r="M9" t="s">
        <v>19</v>
      </c>
      <c r="N9" t="s">
        <v>161</v>
      </c>
      <c r="O9" t="s">
        <v>16</v>
      </c>
      <c r="P9" t="s">
        <v>162</v>
      </c>
      <c r="Q9" t="s">
        <v>163</v>
      </c>
      <c r="R9" t="s">
        <v>164</v>
      </c>
      <c r="W9" s="4"/>
      <c r="X9" s="7" t="s">
        <v>165</v>
      </c>
      <c r="Y9" s="14"/>
      <c r="Z9" s="14"/>
      <c r="AA9" s="4"/>
      <c r="AB9" s="4"/>
      <c r="AC9" s="4"/>
      <c r="AD9" s="4"/>
      <c r="AE9" s="4"/>
      <c r="AF9" s="4"/>
    </row>
    <row r="10" spans="2:32">
      <c r="B10" t="s">
        <v>149</v>
      </c>
      <c r="C10" t="s">
        <v>32</v>
      </c>
      <c r="E10" t="s">
        <v>32</v>
      </c>
      <c r="G10" t="s">
        <v>166</v>
      </c>
      <c r="H10">
        <v>0.92</v>
      </c>
      <c r="I10" s="2">
        <v>29.891943130000001</v>
      </c>
      <c r="J10">
        <v>1</v>
      </c>
      <c r="K10">
        <v>1391</v>
      </c>
      <c r="M10" s="3">
        <v>20</v>
      </c>
      <c r="O10">
        <v>24.8</v>
      </c>
      <c r="R10">
        <v>1</v>
      </c>
      <c r="W10" s="4"/>
      <c r="X10" s="8" t="s">
        <v>140</v>
      </c>
      <c r="Y10" s="15" t="s">
        <v>167</v>
      </c>
      <c r="Z10" s="15" t="s">
        <v>168</v>
      </c>
      <c r="AA10" s="4"/>
      <c r="AB10" s="4"/>
      <c r="AC10" s="4"/>
      <c r="AD10" s="4"/>
      <c r="AE10" s="4"/>
      <c r="AF10" s="4"/>
    </row>
    <row r="11" spans="2:32">
      <c r="D11" s="1"/>
      <c r="F11" t="s">
        <v>169</v>
      </c>
      <c r="G11" t="str">
        <f>F11</f>
        <v>AuxStoOUT</v>
      </c>
      <c r="I11" s="2"/>
      <c r="L11" s="2">
        <f>1/H10</f>
        <v>1.0869565217391299</v>
      </c>
      <c r="W11" s="9"/>
      <c r="X11" s="10" t="s">
        <v>149</v>
      </c>
      <c r="Y11" s="10" t="s">
        <v>170</v>
      </c>
      <c r="Z11" s="10">
        <v>1</v>
      </c>
      <c r="AA11" s="9"/>
      <c r="AB11" s="9"/>
      <c r="AC11" s="9"/>
      <c r="AD11" s="9"/>
      <c r="AE11" s="9"/>
      <c r="AF11" s="9"/>
    </row>
    <row r="12" spans="2:32">
      <c r="D12" s="1"/>
      <c r="F12" s="1" t="str">
        <f>C19</f>
        <v>AuxStoIN</v>
      </c>
      <c r="G12" t="s">
        <v>32</v>
      </c>
      <c r="I12" s="2"/>
      <c r="P12">
        <v>1</v>
      </c>
      <c r="W12" s="11"/>
      <c r="X12" s="11"/>
      <c r="Y12" s="11"/>
      <c r="Z12" s="11"/>
    </row>
    <row r="13" spans="2:32">
      <c r="B13" t="s">
        <v>152</v>
      </c>
      <c r="E13" t="s">
        <v>171</v>
      </c>
      <c r="I13" s="2">
        <v>29.891943130000001</v>
      </c>
      <c r="M13">
        <v>1</v>
      </c>
      <c r="N13">
        <v>0</v>
      </c>
      <c r="Q13">
        <v>3</v>
      </c>
      <c r="W13" s="11"/>
      <c r="X13" s="11"/>
      <c r="Y13" s="11"/>
      <c r="Z13" s="11"/>
    </row>
    <row r="14" spans="2:32">
      <c r="W14" s="11"/>
      <c r="X14" s="11"/>
      <c r="Y14" s="11"/>
      <c r="Z14" s="11"/>
    </row>
    <row r="15" spans="2:32">
      <c r="W15" s="11"/>
      <c r="X15" s="11"/>
      <c r="Y15" s="11"/>
      <c r="Z15" s="11"/>
    </row>
    <row r="16" spans="2:32">
      <c r="W16" s="11"/>
      <c r="X16" s="7" t="s">
        <v>186</v>
      </c>
      <c r="Y16" s="14"/>
      <c r="Z16" s="14"/>
    </row>
    <row r="17" spans="2:27">
      <c r="B17" s="1" t="s">
        <v>172</v>
      </c>
      <c r="C17" s="1"/>
      <c r="D17" s="1"/>
      <c r="E17" s="1"/>
      <c r="F17" s="1"/>
      <c r="G17" s="1"/>
      <c r="H17" s="1"/>
      <c r="I17" s="1"/>
      <c r="X17" s="8" t="s">
        <v>140</v>
      </c>
      <c r="Y17" s="15" t="s">
        <v>185</v>
      </c>
      <c r="Z17" s="15"/>
    </row>
    <row r="18" spans="2:27">
      <c r="B18" s="1" t="s">
        <v>173</v>
      </c>
      <c r="C18" s="1" t="s">
        <v>174</v>
      </c>
      <c r="D18" s="1" t="s">
        <v>175</v>
      </c>
      <c r="E18" s="1" t="s">
        <v>176</v>
      </c>
      <c r="F18" s="1" t="s">
        <v>177</v>
      </c>
      <c r="G18" s="1" t="s">
        <v>178</v>
      </c>
      <c r="H18" s="1" t="s">
        <v>179</v>
      </c>
      <c r="I18" s="1" t="s">
        <v>180</v>
      </c>
      <c r="X18" s="10" t="s">
        <v>149</v>
      </c>
      <c r="Y18" s="10">
        <v>1.3140000000000001</v>
      </c>
      <c r="Z18" s="10"/>
    </row>
    <row r="19" spans="2:27">
      <c r="B19" s="1" t="s">
        <v>181</v>
      </c>
      <c r="C19" s="1" t="s">
        <v>151</v>
      </c>
      <c r="D19" s="1" t="s">
        <v>182</v>
      </c>
      <c r="E19" s="1" t="s">
        <v>183</v>
      </c>
      <c r="F19" s="1"/>
      <c r="G19" s="1" t="s">
        <v>52</v>
      </c>
      <c r="H19" s="1"/>
      <c r="I19" s="1"/>
      <c r="Z19" s="11"/>
    </row>
    <row r="20" spans="2:27">
      <c r="C20" s="1" t="s">
        <v>169</v>
      </c>
      <c r="D20" s="1" t="s">
        <v>184</v>
      </c>
      <c r="E20" s="1" t="s">
        <v>183</v>
      </c>
      <c r="F20" s="1"/>
      <c r="G20" s="1" t="s">
        <v>52</v>
      </c>
      <c r="W20" s="12"/>
      <c r="X20" s="12"/>
      <c r="Y20" s="12"/>
      <c r="Z20" s="11"/>
      <c r="AA20" s="11"/>
    </row>
    <row r="21" spans="2:27">
      <c r="W21" s="12"/>
      <c r="X21" s="12"/>
      <c r="Y21" s="12"/>
      <c r="Z21" s="11"/>
      <c r="AA21" s="11"/>
    </row>
    <row r="22" spans="2:27">
      <c r="W22" s="12"/>
      <c r="X22" s="12"/>
      <c r="Y22" s="12"/>
      <c r="Z22" s="11"/>
      <c r="AA22" s="11"/>
    </row>
    <row r="23" spans="2:27">
      <c r="W23" s="12"/>
      <c r="X23" s="12"/>
      <c r="Y23" s="12"/>
      <c r="Z23" s="11"/>
      <c r="AA23" s="11"/>
    </row>
    <row r="24" spans="2:27">
      <c r="W24" s="12"/>
      <c r="X24" s="12"/>
      <c r="Y24" s="12"/>
      <c r="Z24" s="11"/>
      <c r="AA24" s="11"/>
    </row>
    <row r="25" spans="2:27">
      <c r="W25" s="12"/>
      <c r="X25" s="12"/>
      <c r="Y25" s="12"/>
      <c r="Z25" s="11"/>
      <c r="AA25" s="11"/>
    </row>
    <row r="26" spans="2:27">
      <c r="W26" s="13"/>
      <c r="X26" s="13"/>
      <c r="Y26" s="13"/>
      <c r="Z26" s="11"/>
      <c r="AA26" s="11"/>
    </row>
    <row r="27" spans="2:27">
      <c r="W27" s="11"/>
      <c r="X27" s="11"/>
      <c r="Y27" s="11"/>
      <c r="Z27" s="11"/>
      <c r="AA27" s="11"/>
    </row>
    <row r="28" spans="2:27">
      <c r="W28" s="11"/>
      <c r="X28" s="11"/>
      <c r="Y28" s="11"/>
      <c r="Z28" s="11"/>
      <c r="AA28" s="1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2008-07-01T10:28:00Z</cp:lastPrinted>
  <dcterms:created xsi:type="dcterms:W3CDTF">2008-03-25T10:08:00Z</dcterms:created>
  <dcterms:modified xsi:type="dcterms:W3CDTF">2025-11-22T04:19:19Z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1033-12.2.0.22549</vt:lpwstr>
  </property>
</Properties>
</file>