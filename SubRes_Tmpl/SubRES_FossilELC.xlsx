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G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H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  <comment ref="H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J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P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<sst xmlns="http://schemas.openxmlformats.org/spreadsheetml/2006/main" count="660" uniqueCount="214">
  <si>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</si>
  <si>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</si>
  <si>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</si>
  <si>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</si>
  <si>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</si>
  <si>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</si>
  <si>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</si>
  <si>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</si>
  <si>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</si>
  <si>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</si>
  <si>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</si>
  <si>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</si>
  <si>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</si>
  <si>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</si>
  <si>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</si>
  <si>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</si>
  <si>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</si>
  <si>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</si>
  <si>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</si>
  <si>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</si>
  <si>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</si>
  <si>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</si>
  <si>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</si>
  <si>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</si>
  <si>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</si>
  <si>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</si>
  <si>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</si>
  <si>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</si>
  <si>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</si>
  <si>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</si>
  <si>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</si>
  <si>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</si>
  <si>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</si>
  <si>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</si>
  <si>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</si>
  <si>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</si>
  <si>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</si>
  <si>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</si>
  <si>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</si>
  <si>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</si>
  <si>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</si>
  <si>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</si>
  <si>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</si>
  <si>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</si>
  <si>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</si>
  <si>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</si>
  <si>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</si>
  <si>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</si>
  <si>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</si>
  <si>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</si>
  <si>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</si>
  <si>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</si>
  <si>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</si>
  <si>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</si>
  <si>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</si>
  <si>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</si>
  <si>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</si>
  <si>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</si>
  <si>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</si>
  <si>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</si>
  <si>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</si>
  <si>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</si>
  <si>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</si>
  <si>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</si>
  <si>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</si>
  <si>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</si>
  <si>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</si>
  <si>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</si>
  <si>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</si>
  <si>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</si>
  <si>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</si>
  <si>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</si>
  <si>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</si>
  <si>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</si>
  <si>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</si>
  <si>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</si>
  <si>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</si>
  <si>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</si>
  <si>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tm_expf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</si>
  <si>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</si>
  <si>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</si>
  <si>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</si>
  <si>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</si>
  <si>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</si>
  <si>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</si>
  <si>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</si>
  <si>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</si>
  <si>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</si>
  <si>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</si>
  <si>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</si>
  <si>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</si>
  <si>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</si>
  <si>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</si>
  <si>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</si>
  <si>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</si>
  <si>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</si>
  <si>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</si>
  <si>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</si>
  <si>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</si>
  <si>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</si>
  <si>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</si>
  <si>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</si>
  <si>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</si>
  <si>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</si>
  <si>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</si>
  <si>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</si>
  <si>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</si>
  <si>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</si>
  <si>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</si>
  <si>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</si>
  <si>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</si>
  <si>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</si>
  <si>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</si>
  <si>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</si>
  <si>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</si>
  <si>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</si>
  <si>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STG_MAXCYC</t>
  </si>
  <si>
    <t>PKNO</t>
  </si>
  <si>
    <t>NRG</t>
  </si>
  <si>
    <t>AuxStoOUT</t>
  </si>
  <si>
    <t>MultiR-LFP</t>
  </si>
  <si>
    <t>AuxStoIN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</si>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</sst>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6" fillId="3" borderId="1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1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8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8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183" fontId="0" fillId="0" borderId="0" xfId="0" applyNumberFormat="1"/>
    <xf numFmtId="0" fontId="3" fillId="0" borderId="0" xfId="0" applyFon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6" fillId="3" borderId="1" xfId="16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0" xfId="0" applyFont="1"/>
    <xf numFmtId="0" fontId="8" fillId="0" borderId="2" xfId="67" applyFont="1" applyBorder="1" applyAlignment="1">
      <alignment horizontal="right" wrapText="1"/>
    </xf>
    <xf numFmtId="1" fontId="8" fillId="0" borderId="2" xfId="68" applyNumberFormat="1" applyFont="1" applyBorder="1" applyAlignment="1">
      <alignment horizontal="right" wrapText="1"/>
    </xf>
    <xf numFmtId="0" fontId="9" fillId="4" borderId="0" xfId="23" applyFont="1"/>
    <xf numFmtId="2" fontId="10" fillId="4" borderId="0" xfId="23" applyNumberFormat="1"/>
    <xf numFmtId="1" fontId="8" fillId="0" borderId="2" xfId="66" applyNumberFormat="1" applyFont="1" applyBorder="1" applyAlignment="1">
      <alignment horizontal="right" wrapText="1"/>
    </xf>
    <xf numFmtId="2" fontId="0" fillId="0" borderId="0" xfId="0" applyNumberFormat="1"/>
    <xf numFmtId="1" fontId="0" fillId="0" borderId="0" xfId="0" applyNumberFormat="1"/>
    <xf numFmtId="0" fontId="11" fillId="0" borderId="0" xfId="63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0" fontId="0" fillId="2" borderId="0" xfId="0" applyFill="1"/>
    <xf numFmtId="0" fontId="11" fillId="2" borderId="0" xfId="0" applyFont="1" applyFill="1"/>
    <xf numFmtId="0" fontId="11" fillId="0" borderId="0" xfId="0" applyFont="1" applyFill="1"/>
    <xf numFmtId="0" fontId="0" fillId="0" borderId="0" xfId="0" applyFill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0" fontId="14" fillId="0" borderId="0" xfId="0" applyFont="1" applyFill="1" applyAlignment="1">
      <alignment vertical="center"/>
    </xf>
    <xf numFmtId="0" fontId="11" fillId="0" borderId="0" xfId="0" applyFont="1" applyFill="1" applyBorder="1"/>
    <xf numFmtId="0" fontId="14" fillId="0" borderId="0" xfId="0" applyFont="1" applyFill="1" applyBorder="1" applyAlignment="1">
      <alignment vertical="center"/>
    </xf>
    <xf numFmtId="0" fontId="11" fillId="0" borderId="0" xfId="76" applyAlignment="1">
      <alignment horizontal="center"/>
    </xf>
    <xf numFmtId="183" fontId="0" fillId="6" borderId="0" xfId="0" applyNumberFormat="1" applyFill="1"/>
    <xf numFmtId="2" fontId="0" fillId="6" borderId="0" xfId="0" applyNumberFormat="1" applyFill="1"/>
    <xf numFmtId="0" fontId="0" fillId="0" borderId="0" xfId="0" applyFill="1" applyBorder="1"/>
    <xf numFmtId="0" fontId="15" fillId="0" borderId="0" xfId="0" applyFont="1"/>
    <xf numFmtId="0" fontId="14" fillId="0" borderId="0" xfId="0" applyFont="1" applyFill="1" applyBorder="1"/>
    <xf numFmtId="183" fontId="0" fillId="0" borderId="0" xfId="0" applyNumberFormat="1" applyFill="1"/>
    <xf numFmtId="2" fontId="0" fillId="0" borderId="0" xfId="0" applyNumberFormat="1" applyFill="1"/>
    <xf numFmtId="0" fontId="0" fillId="0" borderId="0" xfId="0" applyBorder="1"/>
    <xf numFmtId="0" fontId="11" fillId="0" borderId="0" xfId="76"/>
    <xf numFmtId="0" fontId="16" fillId="0" borderId="3" xfId="76" applyFont="1" applyFill="1" applyBorder="1"/>
    <xf numFmtId="0" fontId="0" fillId="2" borderId="3" xfId="0" applyFill="1" applyBorder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5" fillId="2" borderId="0" xfId="0" applyFont="1" applyFill="1"/>
    <xf numFmtId="0" fontId="11" fillId="0" borderId="3" xfId="76" applyFill="1" applyBorder="1" applyAlignment="1">
      <alignment horizontal="center" vertical="center"/>
    </xf>
    <xf numFmtId="0" fontId="11" fillId="0" borderId="3" xfId="76" applyFill="1" applyBorder="1" applyAlignment="1">
      <alignment horizontal="center"/>
    </xf>
    <xf numFmtId="0" fontId="11" fillId="0" borderId="0" xfId="76" applyFill="1" applyAlignment="1">
      <alignment horizontal="center"/>
    </xf>
    <xf numFmtId="0" fontId="11" fillId="0" borderId="0" xfId="76" applyFill="1"/>
    <xf numFmtId="0" fontId="0" fillId="0" borderId="3" xfId="76" applyFont="1" applyFill="1" applyBorder="1" applyAlignment="1">
      <alignment horizontal="center" vertical="center"/>
    </xf>
    <xf numFmtId="0" fontId="15" fillId="0" borderId="3" xfId="0" applyFont="1" applyBorder="1"/>
    <xf numFmtId="0" fontId="0" fillId="0" borderId="0" xfId="76" applyFont="1" applyFill="1" applyAlignment="1">
      <alignment horizontal="center"/>
    </xf>
    <xf numFmtId="0" fontId="15" fillId="0" borderId="3" xfId="0" applyFont="1" applyFill="1" applyBorder="1" applyAlignment="1">
      <alignment horizontal="center" vertical="center"/>
    </xf>
    <xf numFmtId="0" fontId="11" fillId="0" borderId="3" xfId="76" applyBorder="1" applyAlignment="1">
      <alignment horizontal="center"/>
    </xf>
    <xf numFmtId="0" fontId="11" fillId="0" borderId="0" xfId="76" applyFill="1" applyAlignment="1">
      <alignment horizontal="right"/>
    </xf>
    <xf numFmtId="0" fontId="0" fillId="7" borderId="0" xfId="0" applyFill="1"/>
    <xf numFmtId="0" fontId="11" fillId="7" borderId="0" xfId="76" applyFill="1"/>
    <xf numFmtId="0" fontId="17" fillId="5" borderId="0" xfId="0" applyFont="1" applyFill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64"/>
  <sheetViews>
    <sheetView tabSelected="1" zoomScale="61" zoomScaleNormal="61" topLeftCell="A31" workbookViewId="0">
      <selection activeCell="E66" sqref="E66"/>
    </sheetView>
  </sheetViews>
  <sheetFormatPr defaultColWidth="9.09090909090909" defaultRowHeight="14.5"/>
  <cols>
    <col min="1" max="1" width="8.45454545454546" customWidth="1"/>
    <col min="2" max="2" width="22.0909090909091" customWidth="1"/>
    <col min="3" max="3" width="14.4545454545455" customWidth="1"/>
    <col min="4" max="4" width="11" customWidth="1"/>
    <col min="5" max="5" width="11.4545454545455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0</v>
      </c>
      <c r="E2" s="2"/>
      <c r="F2" s="2"/>
      <c r="G2" s="2"/>
      <c r="P2" s="3" t="s">
        <v>1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65">
        <v>16050</v>
      </c>
      <c r="H16" s="66">
        <v>500</v>
      </c>
      <c r="I16" s="65">
        <v>16.1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0">
        <f>VLOOKUP(C$22,ovrcst!$A$5:$W$36,VLOOKUP('ELC_Gen-sdj'!$B27,'ELC_Gen-sdj'!$AA$4:$AC$19,3,FALSE))</f>
        <v>691.076815788784</v>
      </c>
      <c r="D27" s="20">
        <f>VLOOKUP(D$22,ovrcst!$A$5:$W$36,VLOOKUP('ELC_Gen-sdj'!$B27,'ELC_Gen-sdj'!$AA$4:$AC$19,3,FALSE))</f>
        <v>683.766211230557</v>
      </c>
      <c r="E27" s="20">
        <f>VLOOKUP(E$22,ovrcst!$A$5:$W$36,VLOOKUP('ELC_Gen-sdj'!$B27,'ELC_Gen-sdj'!$AA$4:$AC$19,3,FALSE))</f>
        <v>667.480398723307</v>
      </c>
      <c r="F27" s="20">
        <f>VLOOKUP(F$22,ovrcst!$A$5:$W$36,VLOOKUP('ELC_Gen-sdj'!$B27,'ELC_Gen-sdj'!$AA$4:$AC$19,3,FALSE))</f>
        <v>657.514365601135</v>
      </c>
      <c r="G27" s="20">
        <f>VLOOKUP(G$22,ovrcst!$A$5:$W$36,VLOOKUP('ELC_Gen-sdj'!$B27,'ELC_Gen-sdj'!$AA$4:$AC$19,3,FALSE))</f>
        <v>625.445632976992</v>
      </c>
      <c r="H27" s="20">
        <f>VLOOKUP(H$22,ovrcst!$A$5:$W$36,VLOOKUP('ELC_Gen-sdj'!$B27,'ELC_Gen-sdj'!$AA$4:$AC$19,3,FALSE))</f>
        <v>612.365128735692</v>
      </c>
      <c r="I27" s="20">
        <f>VLOOKUP(I$22,ovrcst!$A$5:$W$36,VLOOKUP('ELC_Gen-sdj'!$B27,'ELC_Gen-sdj'!$AA$4:$AC$19,3,FALSE))</f>
        <v>599.880182823018</v>
      </c>
      <c r="J27" s="20">
        <f>VLOOKUP(J$22,ovrcst!$A$5:$W$36,VLOOKUP('ELC_Gen-sdj'!$B27,'ELC_Gen-sdj'!$AA$4:$AC$19,3,FALSE))</f>
        <v>586.796653358428</v>
      </c>
      <c r="K27" s="20">
        <f>VLOOKUP(K$22,ovrcst!$A$5:$W$36,VLOOKUP('ELC_Gen-sdj'!$B27,'ELC_Gen-sdj'!$AA$4:$AC$19,3,FALSE))</f>
        <v>573.386882467175</v>
      </c>
      <c r="L27" s="20">
        <f>VLOOKUP(L$22,ovrcst!$A$5:$W$36,VLOOKUP('ELC_Gen-sdj'!$B27,'ELC_Gen-sdj'!$AA$4:$AC$19,3,FALSE))</f>
        <v>563.084218886224</v>
      </c>
      <c r="M27" s="20">
        <f>VLOOKUP(M$22,ovrcst!$A$5:$W$36,VLOOKUP('ELC_Gen-sdj'!$B27,'ELC_Gen-sdj'!$AA$4:$AC$19,3,FALSE))</f>
        <v>552.689402925318</v>
      </c>
      <c r="N27" s="20">
        <f>VLOOKUP(N$22,ovrcst!$A$5:$W$36,VLOOKUP('ELC_Gen-sdj'!$B27,'ELC_Gen-sdj'!$AA$4:$AC$19,3,FALSE))</f>
        <v>545.18176316075</v>
      </c>
      <c r="O27" s="20">
        <f>VLOOKUP(O$22,ovrcst!$A$5:$W$36,VLOOKUP('ELC_Gen-sdj'!$B27,'ELC_Gen-sdj'!$AA$4:$AC$19,3,FALSE))</f>
        <v>538.182154176005</v>
      </c>
      <c r="P27" s="20">
        <f>VLOOKUP(P$22,ovrcst!$A$5:$W$36,VLOOKUP('ELC_Gen-sdj'!$B27,'ELC_Gen-sdj'!$AA$4:$AC$19,3,FALSE))</f>
        <v>530.051094842715</v>
      </c>
      <c r="Q27" s="20">
        <f>VLOOKUP(Q$22,ovrcst!$A$5:$W$36,VLOOKUP('ELC_Gen-sdj'!$B27,'ELC_Gen-sdj'!$AA$4:$AC$19,3,FALSE))</f>
        <v>523.251718409148</v>
      </c>
      <c r="R27" s="20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67">
        <f>C25*1.3</f>
        <v>1032.7713706979</v>
      </c>
      <c r="D31" s="67">
        <f t="shared" ref="D31:Z31" si="3">D25*1.3</f>
        <v>1022.36993905354</v>
      </c>
      <c r="E31" s="67">
        <f t="shared" si="3"/>
        <v>998.534499282983</v>
      </c>
      <c r="F31" s="67">
        <f t="shared" si="3"/>
        <v>984.137117590822</v>
      </c>
      <c r="G31" s="67">
        <f t="shared" si="3"/>
        <v>951.767551386233</v>
      </c>
      <c r="H31" s="67">
        <f t="shared" si="3"/>
        <v>937.251788957935</v>
      </c>
      <c r="I31" s="67">
        <f t="shared" si="3"/>
        <v>923.928065248566</v>
      </c>
      <c r="J31" s="67">
        <f t="shared" si="3"/>
        <v>909.133239722753</v>
      </c>
      <c r="K31" s="67">
        <f t="shared" si="3"/>
        <v>893.279343929254</v>
      </c>
      <c r="L31" s="67">
        <f t="shared" si="3"/>
        <v>879.656205783939</v>
      </c>
      <c r="M31" s="67">
        <f t="shared" si="3"/>
        <v>865.801853489484</v>
      </c>
      <c r="N31" s="67">
        <f t="shared" si="3"/>
        <v>855.151407743786</v>
      </c>
      <c r="O31" s="67">
        <f t="shared" si="3"/>
        <v>844.967552581262</v>
      </c>
      <c r="P31" s="67">
        <f t="shared" si="3"/>
        <v>833.772838193117</v>
      </c>
      <c r="Q31" s="67">
        <f t="shared" si="3"/>
        <v>823.968628107075</v>
      </c>
      <c r="R31" s="67">
        <f t="shared" si="3"/>
        <v>813.635904636711</v>
      </c>
      <c r="S31" s="67">
        <f t="shared" si="3"/>
        <v>803.619588910134</v>
      </c>
      <c r="T31" s="67">
        <f t="shared" si="3"/>
        <v>793.622894359465</v>
      </c>
      <c r="U31" s="67">
        <f t="shared" si="3"/>
        <v>784.799054732314</v>
      </c>
      <c r="V31" s="67">
        <f t="shared" si="3"/>
        <v>777.260687141491</v>
      </c>
      <c r="W31" s="67">
        <f t="shared" si="3"/>
        <v>769.60802581262</v>
      </c>
      <c r="X31" s="67">
        <f t="shared" si="3"/>
        <v>762.253537284895</v>
      </c>
      <c r="Y31" s="67">
        <f t="shared" si="3"/>
        <v>755.095327437858</v>
      </c>
      <c r="Z31" s="67">
        <f t="shared" si="3"/>
        <v>747.357836998088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  <row r="50" spans="3:12">
      <c r="E50" s="2" t="s">
        <v>78</v>
      </c>
      <c r="F50" s="2"/>
      <c r="G50" s="2"/>
      <c r="H50" s="2"/>
    </row>
    <row r="51" spans="3:12">
      <c r="C51" t="s">
        <v>2</v>
      </c>
      <c r="D51" s="2" t="s">
        <v>3</v>
      </c>
      <c r="E51" s="2" t="s">
        <v>4</v>
      </c>
      <c r="F51">
        <v>2020</v>
      </c>
      <c r="G51">
        <v>2050</v>
      </c>
    </row>
    <row r="52" spans="3:12">
      <c r="C52" s="21" t="s">
        <v>66</v>
      </c>
      <c r="D52" t="s">
        <v>67</v>
      </c>
      <c r="E52" t="s">
        <v>22</v>
      </c>
      <c r="F52">
        <v>1.05</v>
      </c>
      <c r="G52" s="19">
        <v>1.05</v>
      </c>
      <c r="H52" s="19"/>
      <c r="I52" s="19"/>
      <c r="J52" s="19"/>
      <c r="K52" s="19"/>
      <c r="L52" s="20"/>
    </row>
    <row r="53" spans="3:12">
      <c r="F53" s="19"/>
      <c r="G53" s="19"/>
      <c r="H53" s="19"/>
      <c r="I53" s="19"/>
      <c r="J53" s="19"/>
      <c r="K53" s="19"/>
      <c r="L53" s="20"/>
    </row>
    <row r="54" spans="3:12">
      <c r="I54" s="19"/>
      <c r="J54" s="19"/>
      <c r="K54" s="19"/>
      <c r="L54" s="20"/>
    </row>
    <row r="55" spans="3:12">
      <c r="I55" s="19"/>
      <c r="J55" s="19"/>
      <c r="K55" s="19"/>
      <c r="L55" s="20"/>
    </row>
    <row r="56" spans="3:12">
      <c r="I56" s="19"/>
      <c r="J56" s="19"/>
      <c r="K56" s="19"/>
      <c r="L56" s="20"/>
    </row>
    <row r="57" spans="3:12">
      <c r="I57" s="19"/>
      <c r="J57" s="19"/>
      <c r="K57" s="19"/>
      <c r="L57" s="20"/>
    </row>
    <row r="58" spans="3:12">
      <c r="I58" s="19"/>
      <c r="J58" s="19"/>
      <c r="K58" s="19"/>
      <c r="L58" s="20"/>
    </row>
    <row r="59" spans="3:12">
      <c r="I59" s="19"/>
      <c r="J59" s="19"/>
      <c r="K59" s="19"/>
      <c r="L59" s="20"/>
    </row>
    <row r="60" spans="3:12">
      <c r="F60" s="19"/>
      <c r="G60" s="19"/>
      <c r="I60" s="19"/>
      <c r="J60" s="19"/>
      <c r="K60" s="19"/>
      <c r="L60" s="20"/>
    </row>
    <row r="61" spans="3:12">
      <c r="I61" s="19"/>
      <c r="J61" s="19"/>
      <c r="K61" s="19"/>
      <c r="L61" s="20"/>
    </row>
    <row r="62" spans="3:12">
      <c r="I62" s="19"/>
      <c r="J62" s="19"/>
      <c r="K62" s="19"/>
      <c r="L62" s="20"/>
    </row>
    <row r="63" spans="3:12">
      <c r="I63" s="19"/>
      <c r="J63" s="19"/>
      <c r="K63" s="19"/>
      <c r="L63" s="20"/>
    </row>
    <row r="64" spans="3:12">
      <c r="H64" s="65"/>
      <c r="I64" s="66"/>
      <c r="J64" s="65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zoomScale="48" zoomScaleNormal="48" topLeftCell="A49" workbookViewId="0">
      <selection activeCell="F38" sqref="F38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29.9090909090909" customWidth="1"/>
    <col min="6" max="9" width="33.7272727272727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  <col min="32" max="32" width="118.727272727273" customWidth="1"/>
    <col min="36" max="36" width="13.5454545454545" customWidth="1"/>
    <col min="48" max="48" width="14.5454545454545" customWidth="1"/>
  </cols>
  <sheetData>
    <row r="1" spans="2:48">
      <c r="X1" s="28"/>
      <c r="Y1" s="29" t="s">
        <v>79</v>
      </c>
      <c r="Z1" s="28"/>
      <c r="AA1" s="28"/>
      <c r="AB1" s="28"/>
      <c r="AC1" s="28"/>
      <c r="AD1" s="28"/>
      <c r="AE1" s="28"/>
      <c r="AF1" s="28"/>
    </row>
    <row r="2" spans="2:48">
      <c r="B2" t="s">
        <v>1</v>
      </c>
      <c r="W2" s="30"/>
      <c r="X2" s="29"/>
      <c r="Y2" s="28"/>
      <c r="Z2" s="29"/>
      <c r="AA2" s="29"/>
      <c r="AB2" s="29"/>
      <c r="AC2" s="29"/>
      <c r="AD2" s="29"/>
      <c r="AE2" s="29"/>
      <c r="AF2" s="29"/>
    </row>
    <row r="3" spans="2:48">
      <c r="B3" s="3" t="s">
        <v>11</v>
      </c>
      <c r="C3" s="3" t="s">
        <v>2</v>
      </c>
      <c r="D3" s="3" t="s">
        <v>12</v>
      </c>
      <c r="E3" s="3" t="s">
        <v>14</v>
      </c>
      <c r="F3" s="3" t="s">
        <v>15</v>
      </c>
      <c r="G3" s="3" t="s">
        <v>13</v>
      </c>
      <c r="H3" s="3" t="s">
        <v>16</v>
      </c>
      <c r="W3" s="31"/>
      <c r="X3" s="32" t="s">
        <v>80</v>
      </c>
      <c r="Y3" s="29" t="s">
        <v>81</v>
      </c>
      <c r="Z3" s="29" t="s">
        <v>82</v>
      </c>
      <c r="AA3" s="29" t="s">
        <v>83</v>
      </c>
      <c r="AB3" s="29" t="s">
        <v>84</v>
      </c>
      <c r="AC3" s="29" t="s">
        <v>85</v>
      </c>
      <c r="AD3" s="29" t="s">
        <v>86</v>
      </c>
      <c r="AE3" s="29" t="s">
        <v>87</v>
      </c>
      <c r="AF3" s="29" t="s">
        <v>88</v>
      </c>
    </row>
    <row r="4" spans="2:48">
      <c r="B4" s="3" t="s">
        <v>89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42</v>
      </c>
      <c r="H4" s="3"/>
      <c r="W4" s="31"/>
      <c r="X4" s="33" t="s">
        <v>94</v>
      </c>
      <c r="Y4" s="29" t="s">
        <v>90</v>
      </c>
      <c r="Z4" s="29">
        <v>0.095</v>
      </c>
      <c r="AA4" s="29">
        <v>0</v>
      </c>
      <c r="AB4" s="29">
        <v>0</v>
      </c>
      <c r="AC4" s="29">
        <v>0</v>
      </c>
      <c r="AD4" s="29">
        <v>3.528</v>
      </c>
      <c r="AE4" s="29">
        <v>0.946</v>
      </c>
      <c r="AF4" s="29">
        <v>1.085</v>
      </c>
    </row>
    <row r="5" spans="2:48">
      <c r="B5" s="3" t="s">
        <v>23</v>
      </c>
      <c r="C5" s="3" t="s">
        <v>95</v>
      </c>
      <c r="D5" s="3" t="s">
        <v>96</v>
      </c>
      <c r="E5" s="3" t="s">
        <v>92</v>
      </c>
      <c r="F5" s="3" t="s">
        <v>27</v>
      </c>
      <c r="G5" s="3" t="s">
        <v>42</v>
      </c>
      <c r="H5" s="3"/>
      <c r="W5" s="30"/>
      <c r="X5" s="34"/>
      <c r="Y5" s="30"/>
      <c r="Z5" s="30"/>
      <c r="AA5" s="30"/>
      <c r="AB5" s="30"/>
      <c r="AC5" s="30"/>
      <c r="AD5" s="30"/>
      <c r="AE5" s="30"/>
      <c r="AF5" s="30"/>
    </row>
    <row r="6" spans="2:48">
      <c r="B6" s="3" t="s">
        <v>89</v>
      </c>
      <c r="C6" s="3" t="s">
        <v>97</v>
      </c>
      <c r="D6" s="3" t="s">
        <v>98</v>
      </c>
      <c r="E6" s="3" t="s">
        <v>92</v>
      </c>
      <c r="F6" s="3" t="s">
        <v>93</v>
      </c>
      <c r="G6" s="3" t="s">
        <v>42</v>
      </c>
      <c r="W6" s="30"/>
      <c r="X6" s="34"/>
      <c r="Y6" s="30"/>
      <c r="Z6" s="30"/>
      <c r="AA6" s="30"/>
      <c r="AB6" s="30"/>
      <c r="AC6" s="30"/>
      <c r="AD6" s="30"/>
      <c r="AE6" s="30"/>
      <c r="AF6" s="30"/>
    </row>
    <row r="7" spans="2:48">
      <c r="B7" s="3"/>
      <c r="C7" s="3" t="s">
        <v>99</v>
      </c>
      <c r="E7" s="3" t="s">
        <v>92</v>
      </c>
      <c r="F7" s="3" t="s">
        <v>93</v>
      </c>
      <c r="G7" s="3" t="s">
        <v>42</v>
      </c>
      <c r="W7" s="30"/>
      <c r="X7" s="34"/>
      <c r="Y7" s="30"/>
      <c r="Z7" s="30"/>
      <c r="AA7" s="30"/>
      <c r="AB7" s="30"/>
      <c r="AC7" s="30"/>
      <c r="AD7" s="30"/>
      <c r="AE7" s="30"/>
      <c r="AF7" s="30"/>
    </row>
    <row r="8" spans="2:48">
      <c r="B8" s="3"/>
      <c r="C8" s="3" t="s">
        <v>100</v>
      </c>
      <c r="E8" s="3" t="s">
        <v>92</v>
      </c>
      <c r="F8" s="3" t="s">
        <v>93</v>
      </c>
      <c r="G8" s="3" t="s">
        <v>42</v>
      </c>
      <c r="W8" s="30"/>
      <c r="X8" s="34"/>
      <c r="Y8" s="30"/>
      <c r="Z8" s="30"/>
      <c r="AA8" s="30"/>
      <c r="AB8" s="30"/>
      <c r="AC8" s="30"/>
      <c r="AD8" s="30"/>
      <c r="AE8" s="30"/>
      <c r="AF8" s="30"/>
    </row>
    <row r="9" spans="2:48">
      <c r="B9" s="3"/>
      <c r="C9" s="3" t="s">
        <v>101</v>
      </c>
      <c r="E9" s="3" t="s">
        <v>92</v>
      </c>
      <c r="F9" s="3" t="s">
        <v>93</v>
      </c>
      <c r="G9" s="3" t="s">
        <v>42</v>
      </c>
      <c r="W9" s="30"/>
      <c r="X9" s="34"/>
      <c r="Y9" s="30"/>
      <c r="Z9" s="30"/>
      <c r="AA9" s="30"/>
      <c r="AB9" s="30"/>
      <c r="AC9" s="30"/>
      <c r="AD9" s="30"/>
      <c r="AE9" s="30"/>
      <c r="AF9" s="30"/>
    </row>
    <row r="10" spans="2:48">
      <c r="B10" s="3"/>
      <c r="C10" s="3" t="s">
        <v>102</v>
      </c>
      <c r="E10" s="3" t="s">
        <v>92</v>
      </c>
      <c r="F10" s="3" t="s">
        <v>93</v>
      </c>
      <c r="G10" s="3" t="s">
        <v>42</v>
      </c>
      <c r="W10" s="30"/>
      <c r="X10" s="34"/>
      <c r="Y10" s="30"/>
      <c r="Z10" s="30"/>
      <c r="AA10" s="30"/>
      <c r="AB10" s="30"/>
      <c r="AC10" s="30"/>
      <c r="AD10" s="30"/>
      <c r="AE10" s="30"/>
      <c r="AF10" s="30"/>
    </row>
    <row r="11" spans="2:48">
      <c r="B11" s="3"/>
      <c r="C11" s="3" t="s">
        <v>103</v>
      </c>
      <c r="E11" s="3" t="s">
        <v>92</v>
      </c>
      <c r="F11" s="3" t="s">
        <v>93</v>
      </c>
      <c r="G11" s="3" t="s">
        <v>42</v>
      </c>
      <c r="W11" s="30"/>
      <c r="X11" s="34"/>
      <c r="Y11" s="30"/>
      <c r="Z11" s="30"/>
      <c r="AA11" s="30"/>
      <c r="AB11" s="30"/>
      <c r="AC11" s="30"/>
      <c r="AD11" s="30"/>
      <c r="AE11" s="30"/>
      <c r="AF11" s="30"/>
    </row>
    <row r="12" spans="2:48">
      <c r="B12" s="3"/>
      <c r="E12" s="3"/>
      <c r="F12" s="3"/>
      <c r="G12" s="3"/>
      <c r="W12" s="30"/>
      <c r="X12" s="34"/>
      <c r="Y12" s="30"/>
      <c r="Z12" s="30"/>
      <c r="AA12" s="30"/>
      <c r="AB12" s="30"/>
      <c r="AC12" s="30"/>
      <c r="AD12" s="30"/>
      <c r="AE12" s="30"/>
      <c r="AF12" s="30"/>
    </row>
    <row r="13" spans="2:48">
      <c r="W13" s="30"/>
      <c r="X13" s="34"/>
      <c r="Y13" s="30"/>
      <c r="Z13" s="30"/>
      <c r="AA13" s="30"/>
      <c r="AB13" s="30"/>
      <c r="AC13" s="30"/>
      <c r="AD13" s="30"/>
      <c r="AE13" s="30"/>
      <c r="AF13" s="30"/>
    </row>
    <row r="14" spans="2:48">
      <c r="G14" t="s">
        <v>104</v>
      </c>
      <c r="W14" s="35"/>
      <c r="X14" s="36"/>
      <c r="Y14" s="35"/>
      <c r="Z14" s="35"/>
      <c r="AA14" s="35"/>
      <c r="AB14" s="35"/>
      <c r="AC14" s="35"/>
      <c r="AD14" s="30"/>
      <c r="AE14" s="30"/>
      <c r="AK14" t="s">
        <v>104</v>
      </c>
    </row>
    <row r="15" spans="2:48">
      <c r="B15" t="s">
        <v>2</v>
      </c>
      <c r="C15" t="s">
        <v>3</v>
      </c>
      <c r="D15" t="s">
        <v>105</v>
      </c>
      <c r="E15" t="s">
        <v>4</v>
      </c>
      <c r="F15" t="s">
        <v>106</v>
      </c>
      <c r="G15" t="s">
        <v>107</v>
      </c>
      <c r="H15" t="s">
        <v>108</v>
      </c>
      <c r="I15" t="s">
        <v>109</v>
      </c>
      <c r="J15" t="s">
        <v>110</v>
      </c>
      <c r="K15" t="s">
        <v>111</v>
      </c>
      <c r="L15" t="s">
        <v>9</v>
      </c>
      <c r="M15" t="s">
        <v>112</v>
      </c>
      <c r="N15" t="s">
        <v>6</v>
      </c>
      <c r="O15" t="s">
        <v>113</v>
      </c>
      <c r="P15" t="s">
        <v>114</v>
      </c>
      <c r="Q15" t="s">
        <v>115</v>
      </c>
      <c r="R15" s="37" t="s">
        <v>116</v>
      </c>
      <c r="V15" s="27" t="s">
        <v>117</v>
      </c>
      <c r="W15" s="35"/>
      <c r="X15" s="35"/>
      <c r="Y15" s="35"/>
      <c r="Z15" s="35"/>
      <c r="AA15" s="35"/>
      <c r="AB15" s="35"/>
      <c r="AC15" s="35"/>
      <c r="AD15" s="30"/>
      <c r="AE15" s="30"/>
      <c r="AF15" t="s">
        <v>2</v>
      </c>
      <c r="AG15" t="s">
        <v>3</v>
      </c>
      <c r="AH15" t="s">
        <v>105</v>
      </c>
      <c r="AI15" t="s">
        <v>4</v>
      </c>
      <c r="AJ15" t="s">
        <v>106</v>
      </c>
      <c r="AK15" t="s">
        <v>107</v>
      </c>
      <c r="AL15" t="s">
        <v>108</v>
      </c>
      <c r="AM15" t="s">
        <v>109</v>
      </c>
      <c r="AN15" t="s">
        <v>110</v>
      </c>
      <c r="AO15" t="s">
        <v>111</v>
      </c>
      <c r="AP15" t="s">
        <v>9</v>
      </c>
      <c r="AQ15" t="s">
        <v>112</v>
      </c>
      <c r="AR15" t="s">
        <v>6</v>
      </c>
      <c r="AS15" t="s">
        <v>113</v>
      </c>
      <c r="AT15" t="s">
        <v>114</v>
      </c>
      <c r="AU15" t="s">
        <v>115</v>
      </c>
      <c r="AV15" s="37" t="s">
        <v>116</v>
      </c>
    </row>
    <row r="16" spans="2:48">
      <c r="B16" t="s">
        <v>90</v>
      </c>
      <c r="C16" t="s">
        <v>22</v>
      </c>
      <c r="E16" t="s">
        <v>22</v>
      </c>
      <c r="G16" t="s">
        <v>118</v>
      </c>
      <c r="H16">
        <v>0.92</v>
      </c>
      <c r="I16" s="19">
        <v>1.314</v>
      </c>
      <c r="J16">
        <v>1</v>
      </c>
      <c r="L16" s="24">
        <v>20</v>
      </c>
      <c r="Q16">
        <v>2020</v>
      </c>
      <c r="R16">
        <v>7000</v>
      </c>
      <c r="V16" s="27">
        <v>1</v>
      </c>
      <c r="W16" s="35"/>
      <c r="X16" s="35"/>
      <c r="Y16" s="35"/>
      <c r="Z16" s="35"/>
      <c r="AA16" s="35"/>
      <c r="AB16" s="35"/>
      <c r="AC16" s="35"/>
      <c r="AD16" s="30"/>
      <c r="AE16" s="30"/>
      <c r="AF16" t="s">
        <v>97</v>
      </c>
      <c r="AG16" t="s">
        <v>22</v>
      </c>
      <c r="AI16" t="s">
        <v>22</v>
      </c>
      <c r="AK16" t="s">
        <v>118</v>
      </c>
      <c r="AL16" s="24">
        <v>0.9</v>
      </c>
      <c r="AM16" s="19">
        <v>1.314</v>
      </c>
      <c r="AN16">
        <v>1</v>
      </c>
      <c r="AP16" s="24">
        <v>10</v>
      </c>
      <c r="AU16">
        <v>2020</v>
      </c>
      <c r="AV16" s="24">
        <v>3000</v>
      </c>
    </row>
    <row r="17" s="27" customFormat="1" ht="16" spans="2:67">
      <c r="D17" s="38"/>
      <c r="F17" s="27" t="s">
        <v>119</v>
      </c>
      <c r="G17" s="27" t="str">
        <f>F17</f>
        <v>AuxStoOUT</v>
      </c>
      <c r="I17" s="39"/>
      <c r="K17" s="39">
        <f>1/H16</f>
        <v>1.08695652173913</v>
      </c>
      <c r="W17" s="40"/>
      <c r="Y17" s="41" t="s">
        <v>120</v>
      </c>
      <c r="Z17" s="42"/>
      <c r="AA17" s="40"/>
      <c r="AB17" s="40"/>
      <c r="AC17" s="40"/>
      <c r="AD17" s="31"/>
      <c r="AE17" s="31"/>
      <c r="AF17" s="31"/>
      <c r="AG17" s="31"/>
      <c r="AH17" s="43"/>
      <c r="AI17" s="31"/>
      <c r="AJ17" s="31" t="s">
        <v>119</v>
      </c>
      <c r="AK17" s="31" t="s">
        <v>119</v>
      </c>
      <c r="AL17" s="31"/>
      <c r="AM17" s="44"/>
      <c r="AN17" s="31"/>
      <c r="AO17" s="44">
        <v>1.08695652173913</v>
      </c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</row>
    <row r="18" spans="2:67">
      <c r="D18" s="3"/>
      <c r="F18" s="3" t="str">
        <f>C25</f>
        <v>AuxStoIN</v>
      </c>
      <c r="G18" t="s">
        <v>22</v>
      </c>
      <c r="I18" s="19"/>
      <c r="O18">
        <v>1</v>
      </c>
      <c r="V18" s="27"/>
      <c r="W18" s="40"/>
      <c r="X18" s="40"/>
      <c r="Y18" s="40"/>
      <c r="Z18" s="40"/>
      <c r="AA18" s="40"/>
      <c r="AB18" s="40"/>
      <c r="AC18" s="40"/>
      <c r="AD18" s="31"/>
      <c r="AE18" s="31"/>
      <c r="AH18" s="3"/>
      <c r="AJ18" s="3" t="s">
        <v>121</v>
      </c>
      <c r="AK18" t="s">
        <v>22</v>
      </c>
      <c r="AM18" s="19"/>
      <c r="AS18">
        <v>1</v>
      </c>
    </row>
    <row r="19" spans="2:67">
      <c r="B19" t="s">
        <v>95</v>
      </c>
      <c r="E19" t="s">
        <v>122</v>
      </c>
      <c r="I19" s="19">
        <v>29.89194313</v>
      </c>
      <c r="L19">
        <v>1</v>
      </c>
      <c r="M19">
        <v>0</v>
      </c>
      <c r="P19">
        <v>3</v>
      </c>
      <c r="V19" s="27"/>
      <c r="W19" s="40"/>
      <c r="X19" s="40"/>
      <c r="Y19" s="40"/>
      <c r="Z19" s="40"/>
      <c r="AA19" s="40"/>
      <c r="AB19" s="40"/>
      <c r="AC19" s="40"/>
      <c r="AD19" s="31"/>
      <c r="AE19" s="31"/>
      <c r="AF19" t="s">
        <v>99</v>
      </c>
      <c r="AG19" t="s">
        <v>22</v>
      </c>
      <c r="AI19" t="s">
        <v>22</v>
      </c>
      <c r="AK19" t="s">
        <v>118</v>
      </c>
      <c r="AL19" s="24">
        <v>0.94</v>
      </c>
      <c r="AM19" s="19">
        <f>AM16</f>
        <v>1.314</v>
      </c>
      <c r="AN19">
        <v>1</v>
      </c>
      <c r="AP19" s="24">
        <v>12</v>
      </c>
      <c r="AU19">
        <v>2020</v>
      </c>
      <c r="AV19" s="24">
        <v>3500</v>
      </c>
    </row>
    <row r="20" spans="2:67">
      <c r="W20" s="40"/>
      <c r="X20" s="40"/>
      <c r="Y20" s="40"/>
      <c r="Z20" s="40"/>
      <c r="AA20" s="45"/>
      <c r="AB20" s="45"/>
      <c r="AC20" s="45"/>
      <c r="AF20" s="31"/>
      <c r="AG20" s="31"/>
      <c r="AH20" s="43"/>
      <c r="AI20" s="31"/>
      <c r="AJ20" s="31" t="s">
        <v>119</v>
      </c>
      <c r="AK20" s="31" t="s">
        <v>119</v>
      </c>
      <c r="AL20" s="31"/>
      <c r="AM20" s="44"/>
      <c r="AN20" s="31"/>
      <c r="AO20" s="44">
        <v>1.08695652173913</v>
      </c>
      <c r="AP20" s="31"/>
      <c r="AQ20" s="31"/>
      <c r="AR20" s="31"/>
      <c r="AS20" s="31"/>
      <c r="AT20" s="31"/>
      <c r="AU20" s="31"/>
      <c r="AV20" s="31"/>
    </row>
    <row r="21" spans="2:67">
      <c r="W21" s="40"/>
      <c r="X21" s="40"/>
      <c r="Y21" s="40"/>
      <c r="Z21" s="40"/>
      <c r="AA21" s="40"/>
      <c r="AB21" s="45"/>
      <c r="AC21" s="45"/>
      <c r="AH21" s="3"/>
      <c r="AJ21" s="3" t="s">
        <v>121</v>
      </c>
      <c r="AK21" t="s">
        <v>22</v>
      </c>
      <c r="AM21" s="19"/>
      <c r="AS21">
        <v>1</v>
      </c>
    </row>
    <row r="22" spans="2:67">
      <c r="W22" s="40"/>
      <c r="X22" s="35"/>
      <c r="Y22" s="35"/>
      <c r="Z22" s="35"/>
      <c r="AA22" s="40"/>
      <c r="AB22" s="45"/>
      <c r="AC22" s="45"/>
      <c r="AF22" s="31" t="s">
        <v>100</v>
      </c>
      <c r="AG22" t="s">
        <v>22</v>
      </c>
      <c r="AI22" t="s">
        <v>22</v>
      </c>
      <c r="AK22" t="s">
        <v>118</v>
      </c>
      <c r="AL22" s="24">
        <v>0.94</v>
      </c>
      <c r="AM22" s="19">
        <f>AM19</f>
        <v>1.314</v>
      </c>
      <c r="AN22">
        <v>1</v>
      </c>
      <c r="AP22" s="24">
        <v>13</v>
      </c>
      <c r="AU22">
        <v>2020</v>
      </c>
      <c r="AV22" s="24">
        <v>4000</v>
      </c>
    </row>
    <row r="23" spans="2:67">
      <c r="B23" s="3" t="s">
        <v>123</v>
      </c>
      <c r="C23" s="3"/>
      <c r="D23" s="3"/>
      <c r="E23" s="3"/>
      <c r="F23" s="3"/>
      <c r="G23" s="3"/>
      <c r="H23" s="3"/>
      <c r="I23" s="3"/>
      <c r="W23" s="45"/>
      <c r="X23" s="46"/>
      <c r="Y23" s="46"/>
      <c r="Z23" s="35"/>
      <c r="AA23" s="40"/>
      <c r="AB23" s="45"/>
      <c r="AC23" s="45"/>
      <c r="AG23" s="31"/>
      <c r="AH23" s="43"/>
      <c r="AI23" s="31"/>
      <c r="AJ23" s="31" t="s">
        <v>119</v>
      </c>
      <c r="AK23" s="31" t="s">
        <v>119</v>
      </c>
      <c r="AL23" s="24"/>
      <c r="AM23" s="44"/>
      <c r="AN23" s="31"/>
      <c r="AO23" s="44">
        <v>1.08695652173913</v>
      </c>
      <c r="AP23" s="31"/>
      <c r="AQ23" s="31"/>
      <c r="AR23" s="31"/>
      <c r="AS23" s="31"/>
      <c r="AT23" s="31"/>
      <c r="AU23" s="31"/>
      <c r="AV23" s="31"/>
    </row>
    <row r="24" spans="2:67">
      <c r="B24" s="3" t="s">
        <v>124</v>
      </c>
      <c r="C24" s="3" t="s">
        <v>125</v>
      </c>
      <c r="D24" s="3" t="s">
        <v>126</v>
      </c>
      <c r="E24" s="3" t="s">
        <v>127</v>
      </c>
      <c r="F24" s="3" t="s">
        <v>128</v>
      </c>
      <c r="G24" s="3" t="s">
        <v>129</v>
      </c>
      <c r="H24" s="3" t="s">
        <v>130</v>
      </c>
      <c r="I24" s="3" t="s">
        <v>131</v>
      </c>
      <c r="W24" s="45"/>
      <c r="X24" s="46"/>
      <c r="Y24" s="47"/>
      <c r="Z24" s="42"/>
      <c r="AA24" s="40"/>
      <c r="AB24" s="45"/>
      <c r="AC24" s="45"/>
      <c r="AH24" s="3"/>
      <c r="AJ24" s="3" t="s">
        <v>121</v>
      </c>
      <c r="AK24" t="s">
        <v>22</v>
      </c>
      <c r="AL24" s="24"/>
      <c r="AM24" s="19"/>
      <c r="AS24">
        <v>1</v>
      </c>
    </row>
    <row r="25" spans="2:67">
      <c r="B25" s="3" t="s">
        <v>132</v>
      </c>
      <c r="C25" s="3" t="s">
        <v>121</v>
      </c>
      <c r="D25" s="3" t="s">
        <v>133</v>
      </c>
      <c r="E25" s="3" t="s">
        <v>92</v>
      </c>
      <c r="F25" s="3"/>
      <c r="G25" s="3" t="s">
        <v>42</v>
      </c>
      <c r="H25" s="3"/>
      <c r="I25" s="3"/>
      <c r="W25" s="45"/>
      <c r="X25" s="42"/>
      <c r="Y25" s="46"/>
      <c r="Z25" s="40"/>
      <c r="AA25" s="40"/>
      <c r="AB25" s="45"/>
      <c r="AC25" s="45"/>
      <c r="AF25" t="s">
        <v>101</v>
      </c>
      <c r="AG25" t="s">
        <v>22</v>
      </c>
      <c r="AI25" t="s">
        <v>22</v>
      </c>
      <c r="AK25" t="s">
        <v>118</v>
      </c>
      <c r="AL25" s="24">
        <v>0.94</v>
      </c>
      <c r="AM25" s="19">
        <f>AM22</f>
        <v>1.314</v>
      </c>
      <c r="AN25">
        <v>1</v>
      </c>
      <c r="AP25" s="24">
        <v>13</v>
      </c>
      <c r="AU25">
        <v>2020</v>
      </c>
      <c r="AV25" s="24">
        <v>4000</v>
      </c>
    </row>
    <row r="26" spans="2:67">
      <c r="C26" s="3" t="s">
        <v>119</v>
      </c>
      <c r="D26" s="3" t="s">
        <v>134</v>
      </c>
      <c r="E26" s="3" t="s">
        <v>92</v>
      </c>
      <c r="F26" s="3"/>
      <c r="G26" s="3" t="s">
        <v>42</v>
      </c>
      <c r="W26" s="35"/>
      <c r="X26" s="46"/>
      <c r="Y26" s="46"/>
      <c r="Z26" s="40"/>
      <c r="AA26" s="40"/>
      <c r="AB26" s="45"/>
      <c r="AC26" s="45"/>
      <c r="AG26" s="31"/>
      <c r="AH26" s="43"/>
      <c r="AI26" s="31"/>
      <c r="AJ26" s="31" t="s">
        <v>119</v>
      </c>
      <c r="AK26" s="31" t="s">
        <v>119</v>
      </c>
      <c r="AL26" s="24"/>
      <c r="AM26" s="44"/>
      <c r="AN26" s="31"/>
      <c r="AO26" s="44">
        <v>1.08695652173913</v>
      </c>
      <c r="AP26" s="31"/>
      <c r="AQ26" s="31"/>
      <c r="AR26" s="31"/>
      <c r="AS26" s="31"/>
      <c r="AT26" s="31"/>
      <c r="AU26" s="31"/>
      <c r="AV26" s="31"/>
    </row>
    <row r="27" spans="2:67">
      <c r="W27" s="35"/>
      <c r="X27" s="35"/>
      <c r="Y27" s="35"/>
      <c r="Z27" s="40"/>
      <c r="AA27" s="40"/>
      <c r="AB27" s="45"/>
      <c r="AC27" s="45"/>
      <c r="AH27" s="3"/>
      <c r="AJ27" s="3" t="s">
        <v>121</v>
      </c>
      <c r="AK27" t="s">
        <v>22</v>
      </c>
      <c r="AL27" s="24"/>
      <c r="AM27" s="19"/>
      <c r="AS27">
        <v>1</v>
      </c>
    </row>
    <row r="28" spans="2:67">
      <c r="W28" s="35"/>
      <c r="X28" s="35"/>
      <c r="Y28" s="35"/>
      <c r="Z28" s="40"/>
      <c r="AA28" s="40"/>
      <c r="AB28" s="45"/>
      <c r="AC28" s="45"/>
      <c r="AF28" t="s">
        <v>102</v>
      </c>
      <c r="AG28" t="s">
        <v>22</v>
      </c>
      <c r="AI28" t="s">
        <v>22</v>
      </c>
      <c r="AK28" t="s">
        <v>118</v>
      </c>
      <c r="AL28" s="24">
        <v>0.94</v>
      </c>
      <c r="AM28" s="19">
        <f>AM25</f>
        <v>1.314</v>
      </c>
      <c r="AN28">
        <v>1</v>
      </c>
      <c r="AP28" s="24">
        <v>13</v>
      </c>
      <c r="AU28">
        <v>2020</v>
      </c>
      <c r="AV28" s="24">
        <v>4000</v>
      </c>
    </row>
    <row r="29" spans="2:67">
      <c r="B29" s="28"/>
      <c r="C29" s="28"/>
      <c r="D29" s="28"/>
      <c r="E29" s="28"/>
      <c r="W29" s="35"/>
      <c r="X29" s="35"/>
      <c r="Y29" s="35"/>
      <c r="Z29" s="40"/>
      <c r="AA29" s="40"/>
      <c r="AB29" s="45"/>
      <c r="AC29" s="45"/>
      <c r="AG29" s="31"/>
      <c r="AH29" s="43"/>
      <c r="AI29" s="31"/>
      <c r="AJ29" s="31" t="s">
        <v>119</v>
      </c>
      <c r="AK29" s="31" t="s">
        <v>119</v>
      </c>
      <c r="AL29" s="24"/>
      <c r="AM29" s="44"/>
      <c r="AN29" s="31"/>
      <c r="AO29" s="44">
        <v>1.08695652173913</v>
      </c>
      <c r="AP29" s="31"/>
      <c r="AQ29" s="31"/>
      <c r="AR29" s="31"/>
      <c r="AS29" s="31"/>
      <c r="AT29" s="31"/>
      <c r="AU29" s="31"/>
      <c r="AV29" s="31"/>
    </row>
    <row r="30" spans="2:67">
      <c r="B30" s="28"/>
      <c r="C30" s="28"/>
      <c r="D30" s="48" t="s">
        <v>79</v>
      </c>
      <c r="E30" s="28"/>
      <c r="W30" s="35"/>
      <c r="X30" s="35"/>
      <c r="Y30" s="35"/>
      <c r="Z30" s="40"/>
      <c r="AA30" s="40"/>
      <c r="AB30" s="45"/>
      <c r="AC30" s="45"/>
      <c r="AH30" s="3"/>
      <c r="AJ30" s="3" t="s">
        <v>121</v>
      </c>
      <c r="AK30" t="s">
        <v>22</v>
      </c>
      <c r="AL30" s="24"/>
      <c r="AM30" s="19"/>
      <c r="AS30">
        <v>1</v>
      </c>
    </row>
    <row r="31" spans="2:67">
      <c r="B31" s="48"/>
      <c r="C31" s="48"/>
      <c r="D31" s="28"/>
      <c r="E31" s="48"/>
      <c r="W31" s="35"/>
      <c r="X31" s="35"/>
      <c r="Y31" s="35"/>
      <c r="Z31" s="31"/>
      <c r="AA31" s="31"/>
      <c r="AF31" t="s">
        <v>103</v>
      </c>
      <c r="AG31" t="s">
        <v>22</v>
      </c>
      <c r="AI31" t="s">
        <v>22</v>
      </c>
      <c r="AK31" t="s">
        <v>118</v>
      </c>
      <c r="AL31" s="24">
        <v>0.94</v>
      </c>
      <c r="AM31" s="19">
        <f>AM28</f>
        <v>1.314</v>
      </c>
      <c r="AN31">
        <v>1</v>
      </c>
      <c r="AP31" s="24">
        <v>13</v>
      </c>
      <c r="AU31">
        <v>2020</v>
      </c>
      <c r="AV31" s="24">
        <v>4000</v>
      </c>
    </row>
    <row r="32" spans="2:67">
      <c r="B32" s="32" t="s">
        <v>80</v>
      </c>
      <c r="C32" s="48" t="s">
        <v>2</v>
      </c>
      <c r="D32" s="48" t="s">
        <v>3</v>
      </c>
      <c r="E32" s="48">
        <v>2019</v>
      </c>
      <c r="W32" s="40"/>
      <c r="X32" s="40"/>
      <c r="Y32" s="40"/>
      <c r="Z32" s="31"/>
      <c r="AA32" s="31"/>
      <c r="AG32" s="31"/>
      <c r="AH32" s="43"/>
      <c r="AI32" s="31"/>
      <c r="AJ32" s="31" t="s">
        <v>119</v>
      </c>
      <c r="AK32" s="31" t="s">
        <v>119</v>
      </c>
      <c r="AL32" s="31"/>
      <c r="AM32" s="44"/>
      <c r="AN32" s="31"/>
      <c r="AO32" s="44">
        <v>1.08695652173913</v>
      </c>
      <c r="AP32" s="31"/>
      <c r="AQ32" s="31"/>
      <c r="AR32" s="31"/>
      <c r="AS32" s="31"/>
      <c r="AT32" s="31"/>
      <c r="AU32" s="31"/>
      <c r="AV32" s="31"/>
    </row>
    <row r="33" spans="2:45">
      <c r="B33" s="33" t="s">
        <v>94</v>
      </c>
      <c r="C33" s="49" t="s">
        <v>90</v>
      </c>
      <c r="D33" s="50" t="s">
        <v>135</v>
      </c>
      <c r="E33" s="51">
        <f>[2]EnergyUseFromEverBatt_Min_!$AW$6</f>
        <v>0.0473</v>
      </c>
      <c r="W33" s="31"/>
      <c r="X33" s="31"/>
      <c r="Y33" s="31"/>
      <c r="Z33" s="31"/>
      <c r="AA33" s="31"/>
      <c r="AH33" s="3"/>
      <c r="AJ33" s="3" t="s">
        <v>121</v>
      </c>
      <c r="AK33" t="s">
        <v>22</v>
      </c>
      <c r="AM33" s="19"/>
      <c r="AS33">
        <v>1</v>
      </c>
    </row>
    <row r="34" ht="16" spans="2:45">
      <c r="B34" s="33" t="s">
        <v>94</v>
      </c>
      <c r="C34" s="52" t="str">
        <f t="shared" ref="C34:C36" si="0">C33</f>
        <v>EN_STG_4hBatt</v>
      </c>
      <c r="D34" s="50" t="s">
        <v>136</v>
      </c>
      <c r="E34" s="51">
        <f>[2]EnergyUseFromEverBatt_Min_!$AW$7</f>
        <v>0.171166666666667</v>
      </c>
      <c r="W34" s="31"/>
      <c r="X34" s="31"/>
      <c r="Y34" s="31"/>
      <c r="Z34" s="31"/>
      <c r="AA34" s="31"/>
    </row>
    <row r="35" ht="16" spans="2:45">
      <c r="B35" s="33" t="s">
        <v>94</v>
      </c>
      <c r="C35" s="52" t="str">
        <f t="shared" si="0"/>
        <v>EN_STG_4hBatt</v>
      </c>
      <c r="D35" s="50" t="s">
        <v>137</v>
      </c>
      <c r="E35" s="51">
        <f>[2]EnergyUseFromEverBatt_Min_!$AW$8</f>
        <v>0.466366666666667</v>
      </c>
    </row>
    <row r="36" ht="16" spans="2:45">
      <c r="B36" s="33" t="s">
        <v>94</v>
      </c>
      <c r="C36" s="52" t="str">
        <f t="shared" si="0"/>
        <v>EN_STG_4hBatt</v>
      </c>
      <c r="D36" s="50" t="s">
        <v>138</v>
      </c>
      <c r="E36" s="51">
        <f>[2]EnergyUseFromEverBatt_Min_!$AW$9</f>
        <v>0.0956666666666667</v>
      </c>
    </row>
    <row r="42" spans="2:45"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</row>
    <row r="43" spans="2:45">
      <c r="B43" s="53" t="s">
        <v>139</v>
      </c>
      <c r="C43" s="53"/>
      <c r="D43" s="54"/>
      <c r="E43" s="54"/>
      <c r="F43" s="54"/>
      <c r="G43" s="54"/>
      <c r="H43" s="54"/>
      <c r="I43" s="54"/>
      <c r="J43" s="55"/>
      <c r="K43" s="55"/>
      <c r="L43" s="55"/>
      <c r="M43" s="55"/>
      <c r="N43" s="55"/>
      <c r="O43" s="55"/>
      <c r="P43" s="55"/>
      <c r="Q43" s="55"/>
      <c r="R43" s="55"/>
      <c r="S43" s="56"/>
    </row>
    <row r="44" ht="16" spans="2:45">
      <c r="B44" s="53" t="s">
        <v>81</v>
      </c>
      <c r="C44" s="57" t="s">
        <v>140</v>
      </c>
      <c r="D44" s="58" t="s">
        <v>141</v>
      </c>
      <c r="E44" s="58" t="s">
        <v>142</v>
      </c>
      <c r="F44" s="58" t="s">
        <v>143</v>
      </c>
      <c r="G44" s="58" t="s">
        <v>144</v>
      </c>
      <c r="H44" s="58" t="s">
        <v>145</v>
      </c>
      <c r="I44" s="58" t="s">
        <v>146</v>
      </c>
      <c r="J44" s="55"/>
      <c r="K44" s="55"/>
      <c r="L44" s="59"/>
      <c r="M44" s="59"/>
      <c r="N44" s="55"/>
      <c r="O44" s="55"/>
      <c r="P44" s="59"/>
      <c r="Q44" s="59"/>
      <c r="R44" s="55"/>
      <c r="S44" s="55"/>
    </row>
    <row r="45" ht="16" spans="2:45">
      <c r="B45" s="60" t="s">
        <v>90</v>
      </c>
      <c r="C45" s="53">
        <v>1</v>
      </c>
      <c r="D45" s="54"/>
      <c r="E45" s="54"/>
      <c r="F45" s="54"/>
      <c r="G45" s="54"/>
      <c r="H45" s="54"/>
      <c r="I45" s="54"/>
      <c r="J45" s="56"/>
      <c r="K45" s="55"/>
      <c r="L45" s="55"/>
      <c r="M45" s="55"/>
      <c r="N45" s="55"/>
      <c r="O45" s="55"/>
      <c r="P45" s="55"/>
      <c r="Q45" s="55"/>
      <c r="R45" s="55"/>
      <c r="S45" s="55"/>
    </row>
    <row r="46" spans="2:45">
      <c r="B46" s="61" t="str">
        <f t="shared" ref="B46:B51" si="1">C6</f>
        <v>EN_STG_4hBatt_LMO</v>
      </c>
      <c r="C46" s="54"/>
      <c r="D46" s="54">
        <v>1</v>
      </c>
      <c r="E46" s="54"/>
      <c r="F46" s="54"/>
      <c r="G46" s="54"/>
      <c r="H46" s="54"/>
      <c r="I46" s="54"/>
      <c r="J46" s="56"/>
      <c r="K46" s="55"/>
      <c r="L46" s="55"/>
      <c r="M46" s="55"/>
      <c r="N46" s="55"/>
      <c r="O46" s="55"/>
      <c r="P46" s="55"/>
      <c r="Q46" s="55"/>
      <c r="R46" s="55"/>
      <c r="S46" s="55"/>
    </row>
    <row r="47" spans="2:45">
      <c r="B47" s="61" t="str">
        <f t="shared" si="1"/>
        <v>EN_STG_4hBatt_NCA</v>
      </c>
      <c r="C47" s="54"/>
      <c r="D47" s="54"/>
      <c r="E47" s="54">
        <v>1</v>
      </c>
      <c r="F47" s="54"/>
      <c r="G47" s="54"/>
      <c r="H47" s="54"/>
      <c r="I47" s="54"/>
      <c r="J47" s="56"/>
      <c r="K47" s="55"/>
      <c r="L47" s="55"/>
      <c r="M47" s="55"/>
      <c r="N47" s="55"/>
      <c r="O47" s="55"/>
      <c r="P47" s="55"/>
      <c r="Q47" s="55"/>
      <c r="R47" s="55"/>
      <c r="S47" s="55"/>
    </row>
    <row r="48" spans="2:45">
      <c r="B48" s="61" t="str">
        <f t="shared" si="1"/>
        <v>EN_STG_4hBatt_NMC111</v>
      </c>
      <c r="C48" s="54"/>
      <c r="D48" s="54"/>
      <c r="E48" s="54"/>
      <c r="F48" s="54">
        <v>1</v>
      </c>
      <c r="G48" s="54"/>
      <c r="H48" s="54"/>
      <c r="I48" s="54"/>
      <c r="J48" s="56"/>
      <c r="K48" s="55"/>
      <c r="L48" s="55"/>
      <c r="M48" s="55"/>
      <c r="N48" s="55"/>
      <c r="O48" s="55"/>
      <c r="P48" s="55"/>
      <c r="Q48" s="55"/>
      <c r="R48" s="55"/>
      <c r="S48" s="55"/>
    </row>
    <row r="49" spans="2:19">
      <c r="B49" s="61" t="str">
        <f t="shared" si="1"/>
        <v>EN_STG_4hBatt_NMC532</v>
      </c>
      <c r="C49" s="54"/>
      <c r="D49" s="54"/>
      <c r="E49" s="54"/>
      <c r="F49" s="54"/>
      <c r="G49" s="54">
        <v>1</v>
      </c>
      <c r="H49" s="54"/>
      <c r="I49" s="54"/>
      <c r="J49" s="56"/>
      <c r="K49" s="55"/>
      <c r="L49" s="55"/>
      <c r="M49" s="55"/>
      <c r="N49" s="55"/>
      <c r="O49" s="55"/>
      <c r="P49" s="55"/>
      <c r="Q49" s="55"/>
      <c r="R49" s="55"/>
      <c r="S49" s="55"/>
    </row>
    <row r="50" spans="2:19">
      <c r="B50" s="61" t="str">
        <f t="shared" si="1"/>
        <v>EN_STG_4hBatt_NMC622</v>
      </c>
      <c r="C50" s="54"/>
      <c r="D50" s="54"/>
      <c r="E50" s="54"/>
      <c r="F50" s="54"/>
      <c r="G50" s="54"/>
      <c r="H50" s="54">
        <v>1</v>
      </c>
      <c r="I50" s="54"/>
      <c r="J50" s="56"/>
      <c r="K50" s="55"/>
      <c r="L50" s="55"/>
      <c r="M50" s="55"/>
      <c r="N50" s="55"/>
      <c r="O50" s="55"/>
      <c r="P50" s="55"/>
      <c r="Q50" s="55"/>
      <c r="R50" s="55"/>
      <c r="S50" s="55"/>
    </row>
    <row r="51" spans="2:19">
      <c r="B51" s="61" t="str">
        <f t="shared" si="1"/>
        <v>EN_STG_4hBatt_NMC811</v>
      </c>
      <c r="C51" s="54"/>
      <c r="D51" s="54"/>
      <c r="E51" s="54"/>
      <c r="F51" s="54"/>
      <c r="G51" s="54"/>
      <c r="H51" s="54"/>
      <c r="I51" s="54">
        <v>1</v>
      </c>
      <c r="J51" s="56"/>
      <c r="K51" s="55"/>
      <c r="L51" s="55"/>
      <c r="M51" s="55"/>
      <c r="N51" s="55"/>
      <c r="O51" s="55"/>
      <c r="P51" s="55"/>
      <c r="Q51" s="55"/>
      <c r="R51" s="55"/>
      <c r="S51" s="55"/>
    </row>
    <row r="52" spans="2:19">
      <c r="B52" s="55"/>
      <c r="C52" s="55"/>
      <c r="D52" s="55"/>
      <c r="E52" s="55"/>
      <c r="F52" s="55"/>
      <c r="G52" s="55"/>
      <c r="H52" s="55"/>
      <c r="I52" s="55"/>
      <c r="J52" s="62"/>
      <c r="K52" s="55"/>
      <c r="L52" s="55"/>
      <c r="M52" s="55"/>
      <c r="N52" s="55"/>
      <c r="O52" s="55"/>
      <c r="P52" s="55"/>
      <c r="Q52" s="55"/>
      <c r="R52" s="55"/>
      <c r="S52" s="55"/>
    </row>
    <row r="53" spans="2:19">
      <c r="B53" s="4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2:19">
      <c r="B54" s="4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8" spans="2:19">
      <c r="B58" s="63" t="s">
        <v>147</v>
      </c>
      <c r="C58" s="63"/>
      <c r="D58" s="63"/>
      <c r="E58" s="63"/>
      <c r="F58" s="63"/>
      <c r="G58" s="63"/>
      <c r="H58" s="63"/>
      <c r="I58" s="63"/>
    </row>
    <row r="59" spans="2:19">
      <c r="B59" s="63" t="s">
        <v>81</v>
      </c>
      <c r="C59" s="64" t="s">
        <v>148</v>
      </c>
      <c r="D59" s="63" t="s">
        <v>149</v>
      </c>
      <c r="E59" s="63" t="s">
        <v>150</v>
      </c>
      <c r="F59" s="63" t="s">
        <v>151</v>
      </c>
      <c r="G59" s="63" t="s">
        <v>152</v>
      </c>
      <c r="H59" s="63" t="s">
        <v>153</v>
      </c>
      <c r="I59" s="63" t="s">
        <v>154</v>
      </c>
    </row>
    <row r="60" spans="2:19">
      <c r="B60" s="63" t="s">
        <v>90</v>
      </c>
      <c r="C60" s="63">
        <v>1</v>
      </c>
      <c r="D60" s="63"/>
      <c r="E60" s="63"/>
      <c r="F60" s="63"/>
      <c r="G60" s="63"/>
      <c r="H60" s="63"/>
      <c r="I60" s="63"/>
    </row>
    <row r="61" spans="2:19">
      <c r="B61" s="63" t="s">
        <v>97</v>
      </c>
      <c r="C61" s="63"/>
      <c r="D61" s="63">
        <v>1</v>
      </c>
      <c r="E61" s="63"/>
      <c r="F61" s="63"/>
      <c r="G61" s="63"/>
      <c r="H61" s="63"/>
      <c r="I61" s="63"/>
    </row>
    <row r="62" spans="2:19">
      <c r="B62" s="63" t="s">
        <v>99</v>
      </c>
      <c r="C62" s="63"/>
      <c r="D62" s="63"/>
      <c r="E62" s="63">
        <v>1</v>
      </c>
      <c r="F62" s="63"/>
      <c r="G62" s="63"/>
      <c r="H62" s="63"/>
      <c r="I62" s="63"/>
    </row>
    <row r="63" spans="2:19">
      <c r="B63" s="63" t="s">
        <v>100</v>
      </c>
      <c r="C63" s="63"/>
      <c r="D63" s="63"/>
      <c r="E63" s="63"/>
      <c r="F63" s="63">
        <v>1</v>
      </c>
      <c r="G63" s="63"/>
      <c r="H63" s="63"/>
      <c r="I63" s="63"/>
    </row>
    <row r="64" spans="2:19">
      <c r="B64" s="63" t="s">
        <v>101</v>
      </c>
      <c r="C64" s="63"/>
      <c r="D64" s="63"/>
      <c r="E64" s="63"/>
      <c r="F64" s="63"/>
      <c r="G64" s="63">
        <v>1</v>
      </c>
      <c r="H64" s="63"/>
      <c r="I64" s="63"/>
    </row>
    <row r="65" spans="2:9">
      <c r="B65" s="63" t="s">
        <v>102</v>
      </c>
      <c r="C65" s="63"/>
      <c r="D65" s="63"/>
      <c r="E65" s="63"/>
      <c r="F65" s="63"/>
      <c r="G65" s="63"/>
      <c r="H65" s="63">
        <v>1</v>
      </c>
      <c r="I65" s="63"/>
    </row>
    <row r="66" spans="2:9">
      <c r="B66" s="63" t="s">
        <v>103</v>
      </c>
      <c r="C66" s="63"/>
      <c r="D66" s="63"/>
      <c r="E66" s="63"/>
      <c r="F66" s="63"/>
      <c r="G66" s="63"/>
      <c r="H66" s="63"/>
      <c r="I66" s="63">
        <v>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3" t="s">
        <v>155</v>
      </c>
    </row>
    <row r="2" spans="1:1">
      <c r="A2" t="s">
        <v>156</v>
      </c>
    </row>
    <row r="4" spans="1:1">
      <c r="A4" s="13" t="s">
        <v>157</v>
      </c>
    </row>
    <row r="5" spans="1:1">
      <c r="A5" t="s">
        <v>158</v>
      </c>
    </row>
    <row r="7" spans="1:1">
      <c r="A7" s="13" t="s">
        <v>159</v>
      </c>
    </row>
    <row r="8" spans="1:1">
      <c r="A8" t="s">
        <v>160</v>
      </c>
    </row>
    <row r="9" spans="1:1">
      <c r="A9" t="s">
        <v>161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H13" sqref="H13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162</v>
      </c>
      <c r="B1" t="s">
        <v>163</v>
      </c>
    </row>
    <row r="2" spans="1:2">
      <c r="A2" s="26">
        <v>43598</v>
      </c>
      <c r="B2" t="s">
        <v>164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topLeftCell="A38" workbookViewId="0">
      <selection activeCell="AP24" sqref="AP24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165</v>
      </c>
      <c r="E2" s="2"/>
      <c r="F2" s="2"/>
      <c r="G2" s="2"/>
      <c r="P2" s="3" t="s">
        <v>166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167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0">
        <f>VLOOKUP(S$22,ovrcst!$A$5:$W$36,VLOOKUP('ELC_Gen-sdj'!$B31,'ELC_Gen-sdj'!$AA$4:$AC$19,3,FALSE))</f>
        <v>508.979757944719</v>
      </c>
      <c r="T31" s="20">
        <f>VLOOKUP(T$22,ovrcst!$A$5:$W$36,VLOOKUP('ELC_Gen-sdj'!$B31,'ELC_Gen-sdj'!$AA$4:$AC$19,3,FALSE))</f>
        <v>501.934129832032</v>
      </c>
      <c r="U31" s="20">
        <f>VLOOKUP(U$22,ovrcst!$A$5:$W$36,VLOOKUP('ELC_Gen-sdj'!$B31,'ELC_Gen-sdj'!$AA$4:$AC$19,3,FALSE))</f>
        <v>496.130374588873</v>
      </c>
      <c r="V31" s="20">
        <f>VLOOKUP(V$22,ovrcst!$A$5:$W$36,VLOOKUP('ELC_Gen-sdj'!$B31,'ELC_Gen-sdj'!$AA$4:$AC$19,3,FALSE))</f>
        <v>491.604288819957</v>
      </c>
      <c r="W31" s="20">
        <f>VLOOKUP(W$22,ovrcst!$A$5:$W$36,VLOOKUP('ELC_Gen-sdj'!$B31,'ELC_Gen-sdj'!$AA$4:$AC$19,3,FALSE))</f>
        <v>487.002323640894</v>
      </c>
      <c r="X31" s="20">
        <f>VLOOKUP(X$22,ovrcst!$A$5:$W$36,VLOOKUP('ELC_Gen-sdj'!$B31,'ELC_Gen-sdj'!$AA$4:$AC$19,3,FALSE))</f>
        <v>482.585346095273</v>
      </c>
      <c r="Y31" s="20">
        <f>VLOOKUP(Y$22,ovrcst!$A$5:$W$36,VLOOKUP('ELC_Gen-sdj'!$B31,'ELC_Gen-sdj'!$AA$4:$AC$19,3,FALSE))</f>
        <v>478.288981788792</v>
      </c>
      <c r="Z31" s="20">
        <f>VLOOKUP(Z$22,ovrcst!$A$5:$W$36,VLOOKUP('ELC_Gen-sdj'!$B31,'ELC_Gen-sdj'!$AA$4:$AC$19,3,FALSE))</f>
        <v>473.621929407715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168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23">
      <c r="A1" s="9" t="s">
        <v>169</v>
      </c>
    </row>
    <row r="2" spans="1:23">
      <c r="A2" t="s">
        <v>170</v>
      </c>
    </row>
    <row r="4" ht="43.5" spans="1:23">
      <c r="A4" s="11" t="s">
        <v>171</v>
      </c>
      <c r="B4" s="11" t="s">
        <v>43</v>
      </c>
      <c r="C4" s="11" t="s">
        <v>48</v>
      </c>
      <c r="D4" s="11" t="s">
        <v>172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173</v>
      </c>
      <c r="K4" s="11" t="s">
        <v>75</v>
      </c>
      <c r="L4" s="11" t="s">
        <v>69</v>
      </c>
      <c r="M4" s="11" t="s">
        <v>174</v>
      </c>
      <c r="N4" s="11" t="s">
        <v>175</v>
      </c>
      <c r="O4" s="11" t="s">
        <v>74</v>
      </c>
      <c r="P4" s="11" t="s">
        <v>176</v>
      </c>
      <c r="Q4" s="11" t="s">
        <v>34</v>
      </c>
      <c r="R4" s="11" t="s">
        <v>38</v>
      </c>
      <c r="S4" s="11" t="s">
        <v>177</v>
      </c>
      <c r="T4" s="11" t="s">
        <v>178</v>
      </c>
      <c r="U4" s="11" t="s">
        <v>30</v>
      </c>
      <c r="V4" s="11" t="s">
        <v>179</v>
      </c>
      <c r="W4" s="11" t="s">
        <v>180</v>
      </c>
    </row>
    <row r="5" spans="1:23">
      <c r="A5" s="14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4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4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4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4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4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4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4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4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4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4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4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4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4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4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4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4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4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4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4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4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4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4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4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4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4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4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4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4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4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4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4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Y10" sqref="Y10"/>
    </sheetView>
  </sheetViews>
  <sheetFormatPr defaultColWidth="8.81818181818182" defaultRowHeight="14.5"/>
  <sheetData>
    <row r="1" spans="1:20">
      <c r="A1" s="9" t="s">
        <v>181</v>
      </c>
    </row>
    <row r="2" spans="1:20">
      <c r="A2" s="2" t="s">
        <v>182</v>
      </c>
    </row>
    <row r="3" spans="1:20">
      <c r="L3" s="10">
        <f>3.6/1.055</f>
        <v>3.41232227488152</v>
      </c>
    </row>
    <row r="4" ht="43.5" spans="1:20">
      <c r="A4" s="11" t="s">
        <v>171</v>
      </c>
      <c r="B4" s="11" t="s">
        <v>43</v>
      </c>
      <c r="C4" s="12" t="s">
        <v>48</v>
      </c>
      <c r="D4" s="12" t="s">
        <v>172</v>
      </c>
      <c r="E4" s="12" t="s">
        <v>65</v>
      </c>
      <c r="F4" s="12" t="s">
        <v>61</v>
      </c>
      <c r="G4" s="12" t="s">
        <v>58</v>
      </c>
      <c r="H4" s="12" t="s">
        <v>54</v>
      </c>
      <c r="I4" s="12" t="s">
        <v>51</v>
      </c>
      <c r="J4" s="12" t="s">
        <v>173</v>
      </c>
      <c r="K4" s="13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4">
        <v>2019</v>
      </c>
      <c r="B5" s="15">
        <v>9750</v>
      </c>
      <c r="C5" s="15">
        <v>11650</v>
      </c>
      <c r="D5" s="15">
        <v>8500</v>
      </c>
      <c r="E5" s="15">
        <v>9840</v>
      </c>
      <c r="F5" s="15">
        <v>9800</v>
      </c>
      <c r="G5" s="15">
        <v>6600</v>
      </c>
      <c r="H5" s="15">
        <v>6300</v>
      </c>
      <c r="I5" s="15">
        <v>7525</v>
      </c>
      <c r="J5" s="15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4">
        <v>2020</v>
      </c>
      <c r="B6" s="15">
        <v>9750</v>
      </c>
      <c r="C6" s="15">
        <v>11650</v>
      </c>
      <c r="D6" s="15">
        <v>8500</v>
      </c>
      <c r="E6" s="15">
        <v>9800</v>
      </c>
      <c r="F6" s="15">
        <v>9800</v>
      </c>
      <c r="G6" s="15">
        <v>6600</v>
      </c>
      <c r="H6" s="15">
        <v>6300</v>
      </c>
      <c r="I6" s="15">
        <v>7525</v>
      </c>
      <c r="J6" s="15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4">
        <v>2021</v>
      </c>
      <c r="B7" s="15">
        <v>9750</v>
      </c>
      <c r="C7" s="15">
        <v>11650</v>
      </c>
      <c r="D7" s="15">
        <v>8432</v>
      </c>
      <c r="E7" s="15">
        <v>9760</v>
      </c>
      <c r="F7" s="15">
        <v>9550</v>
      </c>
      <c r="G7" s="15">
        <v>6600</v>
      </c>
      <c r="H7" s="15">
        <v>6300</v>
      </c>
      <c r="I7" s="15">
        <v>7525</v>
      </c>
      <c r="J7" s="15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4">
        <v>2022</v>
      </c>
      <c r="B8" s="15">
        <v>9750</v>
      </c>
      <c r="C8" s="15">
        <v>11650</v>
      </c>
      <c r="D8" s="15">
        <v>8364</v>
      </c>
      <c r="E8" s="15">
        <v>9720</v>
      </c>
      <c r="F8" s="15">
        <v>9300</v>
      </c>
      <c r="G8" s="15">
        <v>6537.5</v>
      </c>
      <c r="H8" s="15">
        <v>6275</v>
      </c>
      <c r="I8" s="15">
        <v>7517</v>
      </c>
      <c r="J8" s="15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4">
        <v>2023</v>
      </c>
      <c r="B9" s="15">
        <v>9573.666667</v>
      </c>
      <c r="C9" s="15">
        <v>10852.333333</v>
      </c>
      <c r="D9" s="15">
        <v>8296</v>
      </c>
      <c r="E9" s="15">
        <v>9680</v>
      </c>
      <c r="F9" s="15">
        <v>9050</v>
      </c>
      <c r="G9" s="15">
        <v>6475</v>
      </c>
      <c r="H9" s="15">
        <v>6250</v>
      </c>
      <c r="I9" s="15">
        <v>7509</v>
      </c>
      <c r="J9" s="15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4">
        <v>2024</v>
      </c>
      <c r="B10" s="15">
        <v>9397.333333</v>
      </c>
      <c r="C10" s="15">
        <v>10054.666667</v>
      </c>
      <c r="D10" s="15">
        <v>8228</v>
      </c>
      <c r="E10" s="15">
        <v>9640</v>
      </c>
      <c r="F10" s="15">
        <v>8800</v>
      </c>
      <c r="G10" s="15">
        <v>6412.5</v>
      </c>
      <c r="H10" s="15">
        <v>6225</v>
      </c>
      <c r="I10" s="15">
        <v>7501</v>
      </c>
      <c r="J10" s="15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4">
        <v>2025</v>
      </c>
      <c r="B11" s="15">
        <v>9221</v>
      </c>
      <c r="C11" s="15">
        <v>9257</v>
      </c>
      <c r="D11" s="15">
        <v>8160</v>
      </c>
      <c r="E11" s="15">
        <v>9600</v>
      </c>
      <c r="F11" s="15">
        <v>8550</v>
      </c>
      <c r="G11" s="15">
        <v>6350</v>
      </c>
      <c r="H11" s="15">
        <v>6200</v>
      </c>
      <c r="I11" s="15">
        <v>7493</v>
      </c>
      <c r="J11" s="15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4">
        <v>2026</v>
      </c>
      <c r="B12" s="15">
        <v>9221</v>
      </c>
      <c r="C12" s="15">
        <v>9257</v>
      </c>
      <c r="D12" s="15">
        <v>8160</v>
      </c>
      <c r="E12" s="15">
        <v>9600</v>
      </c>
      <c r="F12" s="15">
        <v>8550</v>
      </c>
      <c r="G12" s="15">
        <v>6350</v>
      </c>
      <c r="H12" s="15">
        <v>6200</v>
      </c>
      <c r="I12" s="15">
        <v>7493</v>
      </c>
      <c r="J12" s="15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4">
        <v>2027</v>
      </c>
      <c r="B13" s="15">
        <v>9221</v>
      </c>
      <c r="C13" s="15">
        <v>9257</v>
      </c>
      <c r="D13" s="15">
        <v>8160</v>
      </c>
      <c r="E13" s="15">
        <v>9600</v>
      </c>
      <c r="F13" s="15">
        <v>8550</v>
      </c>
      <c r="G13" s="15">
        <v>6350</v>
      </c>
      <c r="H13" s="15">
        <v>6200</v>
      </c>
      <c r="I13" s="15">
        <v>7493</v>
      </c>
      <c r="J13" s="15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4">
        <v>2028</v>
      </c>
      <c r="B14" s="15">
        <v>9221</v>
      </c>
      <c r="C14" s="15">
        <v>9257</v>
      </c>
      <c r="D14" s="15">
        <v>8160</v>
      </c>
      <c r="E14" s="15">
        <v>9600</v>
      </c>
      <c r="F14" s="15">
        <v>8550</v>
      </c>
      <c r="G14" s="15">
        <v>6350</v>
      </c>
      <c r="H14" s="15">
        <v>6200</v>
      </c>
      <c r="I14" s="15">
        <v>7493</v>
      </c>
      <c r="J14" s="15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4">
        <v>2029</v>
      </c>
      <c r="B15" s="15">
        <v>9221</v>
      </c>
      <c r="C15" s="15">
        <v>9257</v>
      </c>
      <c r="D15" s="15">
        <v>8160</v>
      </c>
      <c r="E15" s="15">
        <v>9600</v>
      </c>
      <c r="F15" s="15">
        <v>8550</v>
      </c>
      <c r="G15" s="15">
        <v>6350</v>
      </c>
      <c r="H15" s="15">
        <v>6200</v>
      </c>
      <c r="I15" s="15">
        <v>7493</v>
      </c>
      <c r="J15" s="15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4">
        <v>2030</v>
      </c>
      <c r="B16" s="15">
        <v>9221</v>
      </c>
      <c r="C16" s="15">
        <v>9257</v>
      </c>
      <c r="D16" s="15">
        <v>8160</v>
      </c>
      <c r="E16" s="15">
        <v>9600</v>
      </c>
      <c r="F16" s="15">
        <v>8550</v>
      </c>
      <c r="G16" s="15">
        <v>6350</v>
      </c>
      <c r="H16" s="15">
        <v>6200</v>
      </c>
      <c r="I16" s="15">
        <v>7493</v>
      </c>
      <c r="J16" s="15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4">
        <v>2031</v>
      </c>
      <c r="B17" s="15">
        <v>9221</v>
      </c>
      <c r="C17" s="15">
        <v>9257</v>
      </c>
      <c r="D17" s="15">
        <v>8160</v>
      </c>
      <c r="E17" s="15">
        <v>9600</v>
      </c>
      <c r="F17" s="15">
        <v>8550</v>
      </c>
      <c r="G17" s="15">
        <v>6350</v>
      </c>
      <c r="H17" s="15">
        <v>6200</v>
      </c>
      <c r="I17" s="15">
        <v>7493</v>
      </c>
      <c r="J17" s="15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4">
        <v>2032</v>
      </c>
      <c r="B18" s="15">
        <v>9221</v>
      </c>
      <c r="C18" s="15">
        <v>9257</v>
      </c>
      <c r="D18" s="15">
        <v>8160</v>
      </c>
      <c r="E18" s="15">
        <v>9600</v>
      </c>
      <c r="F18" s="15">
        <v>8550</v>
      </c>
      <c r="G18" s="15">
        <v>6350</v>
      </c>
      <c r="H18" s="15">
        <v>6200</v>
      </c>
      <c r="I18" s="15">
        <v>7493</v>
      </c>
      <c r="J18" s="15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4">
        <v>2033</v>
      </c>
      <c r="B19" s="15">
        <v>9221</v>
      </c>
      <c r="C19" s="15">
        <v>9257</v>
      </c>
      <c r="D19" s="15">
        <v>8160</v>
      </c>
      <c r="E19" s="15">
        <v>9600</v>
      </c>
      <c r="F19" s="15">
        <v>8550</v>
      </c>
      <c r="G19" s="15">
        <v>6350</v>
      </c>
      <c r="H19" s="15">
        <v>6200</v>
      </c>
      <c r="I19" s="15">
        <v>7493</v>
      </c>
      <c r="J19" s="15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4">
        <v>2034</v>
      </c>
      <c r="B20" s="15">
        <v>9221</v>
      </c>
      <c r="C20" s="15">
        <v>9257</v>
      </c>
      <c r="D20" s="15">
        <v>8160</v>
      </c>
      <c r="E20" s="15">
        <v>9600</v>
      </c>
      <c r="F20" s="15">
        <v>8550</v>
      </c>
      <c r="G20" s="15">
        <v>6350</v>
      </c>
      <c r="H20" s="15">
        <v>6200</v>
      </c>
      <c r="I20" s="15">
        <v>7493</v>
      </c>
      <c r="J20" s="15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4">
        <v>2035</v>
      </c>
      <c r="B21" s="15">
        <v>9221</v>
      </c>
      <c r="C21" s="15">
        <v>9257</v>
      </c>
      <c r="D21" s="15">
        <v>8160</v>
      </c>
      <c r="E21" s="15">
        <v>9600</v>
      </c>
      <c r="F21" s="15">
        <v>8550</v>
      </c>
      <c r="G21" s="15">
        <v>6350</v>
      </c>
      <c r="H21" s="15">
        <v>6200</v>
      </c>
      <c r="I21" s="15">
        <v>7493</v>
      </c>
      <c r="J21" s="15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4">
        <v>2036</v>
      </c>
      <c r="B22" s="15">
        <v>9221</v>
      </c>
      <c r="C22" s="15">
        <v>9257</v>
      </c>
      <c r="D22" s="15">
        <v>8160</v>
      </c>
      <c r="E22" s="15">
        <v>9600</v>
      </c>
      <c r="F22" s="15">
        <v>8550</v>
      </c>
      <c r="G22" s="15">
        <v>6350</v>
      </c>
      <c r="H22" s="15">
        <v>6200</v>
      </c>
      <c r="I22" s="15">
        <v>7493</v>
      </c>
      <c r="J22" s="15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4">
        <v>2037</v>
      </c>
      <c r="B23" s="15">
        <v>9221</v>
      </c>
      <c r="C23" s="15">
        <v>9257</v>
      </c>
      <c r="D23" s="15">
        <v>8160</v>
      </c>
      <c r="E23" s="15">
        <v>9600</v>
      </c>
      <c r="F23" s="15">
        <v>8550</v>
      </c>
      <c r="G23" s="15">
        <v>6350</v>
      </c>
      <c r="H23" s="15">
        <v>6200</v>
      </c>
      <c r="I23" s="15">
        <v>7493</v>
      </c>
      <c r="J23" s="15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4">
        <v>2038</v>
      </c>
      <c r="B24" s="15">
        <v>9221</v>
      </c>
      <c r="C24" s="15">
        <v>9257</v>
      </c>
      <c r="D24" s="15">
        <v>8160</v>
      </c>
      <c r="E24" s="15">
        <v>9600</v>
      </c>
      <c r="F24" s="15">
        <v>8550</v>
      </c>
      <c r="G24" s="15">
        <v>6350</v>
      </c>
      <c r="H24" s="15">
        <v>6200</v>
      </c>
      <c r="I24" s="15">
        <v>7493</v>
      </c>
      <c r="J24" s="15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4">
        <v>2039</v>
      </c>
      <c r="B25" s="15">
        <v>9221</v>
      </c>
      <c r="C25" s="15">
        <v>9257</v>
      </c>
      <c r="D25" s="15">
        <v>8160</v>
      </c>
      <c r="E25" s="15">
        <v>9600</v>
      </c>
      <c r="F25" s="15">
        <v>8550</v>
      </c>
      <c r="G25" s="15">
        <v>6350</v>
      </c>
      <c r="H25" s="15">
        <v>6200</v>
      </c>
      <c r="I25" s="15">
        <v>7493</v>
      </c>
      <c r="J25" s="15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4">
        <v>2040</v>
      </c>
      <c r="B26" s="15">
        <v>9221</v>
      </c>
      <c r="C26" s="15">
        <v>9257</v>
      </c>
      <c r="D26" s="15">
        <v>8160</v>
      </c>
      <c r="E26" s="15">
        <v>9600</v>
      </c>
      <c r="F26" s="15">
        <v>8550</v>
      </c>
      <c r="G26" s="15">
        <v>6350</v>
      </c>
      <c r="H26" s="15">
        <v>6200</v>
      </c>
      <c r="I26" s="15">
        <v>7493</v>
      </c>
      <c r="J26" s="15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4">
        <v>2041</v>
      </c>
      <c r="B27" s="15">
        <v>9221</v>
      </c>
      <c r="C27" s="15">
        <v>9257</v>
      </c>
      <c r="D27" s="15">
        <v>8160</v>
      </c>
      <c r="E27" s="15">
        <v>9600</v>
      </c>
      <c r="F27" s="15">
        <v>8550</v>
      </c>
      <c r="G27" s="15">
        <v>6350</v>
      </c>
      <c r="H27" s="15">
        <v>6200</v>
      </c>
      <c r="I27" s="15">
        <v>7493</v>
      </c>
      <c r="J27" s="15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4">
        <v>2042</v>
      </c>
      <c r="B28" s="15">
        <v>9221</v>
      </c>
      <c r="C28" s="15">
        <v>9257</v>
      </c>
      <c r="D28" s="15">
        <v>8160</v>
      </c>
      <c r="E28" s="15">
        <v>9600</v>
      </c>
      <c r="F28" s="15">
        <v>8550</v>
      </c>
      <c r="G28" s="15">
        <v>6350</v>
      </c>
      <c r="H28" s="15">
        <v>6200</v>
      </c>
      <c r="I28" s="15">
        <v>7493</v>
      </c>
      <c r="J28" s="15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4">
        <v>2043</v>
      </c>
      <c r="B29" s="15">
        <v>9221</v>
      </c>
      <c r="C29" s="15">
        <v>9257</v>
      </c>
      <c r="D29" s="15">
        <v>8160</v>
      </c>
      <c r="E29" s="15">
        <v>9600</v>
      </c>
      <c r="F29" s="15">
        <v>8550</v>
      </c>
      <c r="G29" s="15">
        <v>6350</v>
      </c>
      <c r="H29" s="15">
        <v>6200</v>
      </c>
      <c r="I29" s="15">
        <v>7493</v>
      </c>
      <c r="J29" s="15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4">
        <v>2044</v>
      </c>
      <c r="B30" s="15">
        <v>9221</v>
      </c>
      <c r="C30" s="15">
        <v>9257</v>
      </c>
      <c r="D30" s="15">
        <v>8160</v>
      </c>
      <c r="E30" s="15">
        <v>9600</v>
      </c>
      <c r="F30" s="15">
        <v>8550</v>
      </c>
      <c r="G30" s="15">
        <v>6350</v>
      </c>
      <c r="H30" s="15">
        <v>6200</v>
      </c>
      <c r="I30" s="15">
        <v>7493</v>
      </c>
      <c r="J30" s="15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4">
        <v>2045</v>
      </c>
      <c r="B31" s="15">
        <v>9221</v>
      </c>
      <c r="C31" s="15">
        <v>9257</v>
      </c>
      <c r="D31" s="15">
        <v>8160</v>
      </c>
      <c r="E31" s="15">
        <v>9600</v>
      </c>
      <c r="F31" s="15">
        <v>8550</v>
      </c>
      <c r="G31" s="15">
        <v>6350</v>
      </c>
      <c r="H31" s="15">
        <v>6200</v>
      </c>
      <c r="I31" s="15">
        <v>7493</v>
      </c>
      <c r="J31" s="15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4">
        <v>2046</v>
      </c>
      <c r="B32" s="15">
        <v>9221</v>
      </c>
      <c r="C32" s="15">
        <v>9257</v>
      </c>
      <c r="D32" s="15">
        <v>8160</v>
      </c>
      <c r="E32" s="15">
        <v>9600</v>
      </c>
      <c r="F32" s="15">
        <v>8550</v>
      </c>
      <c r="G32" s="15">
        <v>6350</v>
      </c>
      <c r="H32" s="15">
        <v>6200</v>
      </c>
      <c r="I32" s="15">
        <v>7493</v>
      </c>
      <c r="J32" s="15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4">
        <v>2047</v>
      </c>
      <c r="B33" s="15">
        <v>9221</v>
      </c>
      <c r="C33" s="15">
        <v>9257</v>
      </c>
      <c r="D33" s="15">
        <v>8160</v>
      </c>
      <c r="E33" s="15">
        <v>9600</v>
      </c>
      <c r="F33" s="15">
        <v>8550</v>
      </c>
      <c r="G33" s="15">
        <v>6350</v>
      </c>
      <c r="H33" s="15">
        <v>6200</v>
      </c>
      <c r="I33" s="15">
        <v>7493</v>
      </c>
      <c r="J33" s="15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4">
        <v>2048</v>
      </c>
      <c r="B34" s="15">
        <v>9221</v>
      </c>
      <c r="C34" s="15">
        <v>9257</v>
      </c>
      <c r="D34" s="15">
        <v>8160</v>
      </c>
      <c r="E34" s="15">
        <v>9600</v>
      </c>
      <c r="F34" s="15">
        <v>8550</v>
      </c>
      <c r="G34" s="15">
        <v>6350</v>
      </c>
      <c r="H34" s="15">
        <v>6200</v>
      </c>
      <c r="I34" s="15">
        <v>7493</v>
      </c>
      <c r="J34" s="15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4">
        <v>2049</v>
      </c>
      <c r="B35" s="15">
        <v>9221</v>
      </c>
      <c r="C35" s="15">
        <v>9257</v>
      </c>
      <c r="D35" s="15">
        <v>8160</v>
      </c>
      <c r="E35" s="15">
        <v>9600</v>
      </c>
      <c r="F35" s="15">
        <v>8550</v>
      </c>
      <c r="G35" s="15">
        <v>6350</v>
      </c>
      <c r="H35" s="15">
        <v>6200</v>
      </c>
      <c r="I35" s="15">
        <v>7493</v>
      </c>
      <c r="J35" s="15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4">
        <v>2050</v>
      </c>
      <c r="B36" s="15">
        <v>9221</v>
      </c>
      <c r="C36" s="15">
        <v>9257</v>
      </c>
      <c r="D36" s="15">
        <v>8160</v>
      </c>
      <c r="E36" s="15">
        <v>9600</v>
      </c>
      <c r="F36" s="15">
        <v>8550</v>
      </c>
      <c r="G36" s="15">
        <v>6350</v>
      </c>
      <c r="H36" s="15">
        <v>6200</v>
      </c>
      <c r="I36" s="15">
        <v>7493</v>
      </c>
      <c r="J36" s="15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zoomScale="72" zoomScaleNormal="72" workbookViewId="0">
      <selection activeCell="K19" sqref="K19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6">
      <c r="A3" s="1"/>
      <c r="B3" s="1"/>
      <c r="D3" s="2" t="s">
        <v>183</v>
      </c>
      <c r="I3" s="3" t="s">
        <v>1</v>
      </c>
      <c r="J3" s="3"/>
      <c r="K3" s="3"/>
      <c r="L3" s="3"/>
      <c r="M3" s="3"/>
      <c r="N3" s="3"/>
      <c r="O3" s="3"/>
    </row>
    <row r="4" spans="1:16">
      <c r="A4" s="4"/>
      <c r="B4" s="2" t="s">
        <v>2</v>
      </c>
      <c r="C4" s="2" t="s">
        <v>3</v>
      </c>
      <c r="D4" s="2" t="s">
        <v>4</v>
      </c>
      <c r="E4" t="s">
        <v>7</v>
      </c>
      <c r="F4" t="s">
        <v>184</v>
      </c>
      <c r="G4" s="2" t="s">
        <v>185</v>
      </c>
      <c r="H4" s="1"/>
      <c r="I4" s="3" t="s">
        <v>11</v>
      </c>
      <c r="J4" s="3" t="s">
        <v>2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spans="1:16">
      <c r="B5" s="3" t="str">
        <f>J5</f>
        <v>Sto-CO2_CB1</v>
      </c>
      <c r="C5" t="s">
        <v>186</v>
      </c>
      <c r="E5" s="5">
        <v>0.001</v>
      </c>
      <c r="F5" s="6"/>
      <c r="G5" s="7"/>
      <c r="I5" s="3" t="s">
        <v>187</v>
      </c>
      <c r="J5" s="3" t="s">
        <v>188</v>
      </c>
      <c r="K5" t="s">
        <v>189</v>
      </c>
      <c r="L5" s="3"/>
      <c r="M5" s="3" t="s">
        <v>190</v>
      </c>
      <c r="N5" s="3" t="s">
        <v>191</v>
      </c>
      <c r="O5" s="3"/>
      <c r="P5" s="3"/>
    </row>
    <row r="6" spans="1:16">
      <c r="B6" s="3" t="str">
        <f t="shared" ref="B6:B14" si="0">J6</f>
        <v>Sto-CO2_CB2</v>
      </c>
      <c r="C6" t="s">
        <v>186</v>
      </c>
      <c r="E6" s="5">
        <v>0.001</v>
      </c>
      <c r="F6" s="6"/>
      <c r="G6" s="7"/>
      <c r="I6" s="3"/>
      <c r="J6" s="3" t="s">
        <v>192</v>
      </c>
      <c r="K6" t="s">
        <v>193</v>
      </c>
      <c r="L6" s="3"/>
      <c r="M6" s="3" t="s">
        <v>190</v>
      </c>
      <c r="N6" s="3" t="s">
        <v>191</v>
      </c>
      <c r="O6" s="3"/>
      <c r="P6" s="3"/>
    </row>
    <row r="7" spans="1:16">
      <c r="B7" s="3" t="str">
        <f t="shared" si="0"/>
        <v>Sto-CO2_DGF</v>
      </c>
      <c r="C7" t="s">
        <v>186</v>
      </c>
      <c r="E7" s="5">
        <v>0.001</v>
      </c>
      <c r="F7" s="6"/>
      <c r="G7" s="7"/>
      <c r="I7" s="3"/>
      <c r="J7" s="3" t="s">
        <v>194</v>
      </c>
      <c r="K7" t="s">
        <v>195</v>
      </c>
      <c r="L7" s="3"/>
      <c r="M7" s="3" t="s">
        <v>190</v>
      </c>
      <c r="N7" s="3" t="s">
        <v>191</v>
      </c>
      <c r="O7" s="3"/>
      <c r="P7" s="3"/>
    </row>
    <row r="8" spans="1:16">
      <c r="B8" s="3" t="str">
        <f t="shared" si="0"/>
        <v>Sto-CO2_DGO</v>
      </c>
      <c r="C8" t="s">
        <v>186</v>
      </c>
      <c r="E8" s="5">
        <v>0.001</v>
      </c>
      <c r="F8" s="6"/>
      <c r="G8" s="7"/>
      <c r="I8" s="3"/>
      <c r="J8" s="3" t="s">
        <v>196</v>
      </c>
      <c r="K8" t="s">
        <v>197</v>
      </c>
      <c r="L8" s="3"/>
      <c r="M8" s="3" t="s">
        <v>190</v>
      </c>
      <c r="N8" s="3" t="s">
        <v>191</v>
      </c>
      <c r="O8" s="3"/>
      <c r="P8" s="3"/>
    </row>
    <row r="9" spans="1:16">
      <c r="B9" s="3" t="str">
        <f t="shared" si="0"/>
        <v>Sto-CO2_DOF</v>
      </c>
      <c r="C9" t="s">
        <v>186</v>
      </c>
      <c r="E9" s="5">
        <v>0.001</v>
      </c>
      <c r="F9" s="6"/>
      <c r="G9" s="7"/>
      <c r="I9" s="3"/>
      <c r="J9" s="3" t="s">
        <v>198</v>
      </c>
      <c r="K9" t="s">
        <v>199</v>
      </c>
      <c r="L9" s="3"/>
      <c r="M9" s="3" t="s">
        <v>190</v>
      </c>
      <c r="N9" s="3" t="s">
        <v>191</v>
      </c>
      <c r="O9" s="3"/>
      <c r="P9" s="3"/>
    </row>
    <row r="10" spans="1:16">
      <c r="B10" s="3" t="str">
        <f t="shared" si="0"/>
        <v>Sto-CO2_DOO</v>
      </c>
      <c r="C10" t="s">
        <v>186</v>
      </c>
      <c r="E10" s="5">
        <v>0.001</v>
      </c>
      <c r="F10" s="6"/>
      <c r="G10" s="7"/>
      <c r="I10" s="3"/>
      <c r="J10" s="3" t="s">
        <v>200</v>
      </c>
      <c r="K10" t="s">
        <v>201</v>
      </c>
      <c r="L10" s="3"/>
      <c r="M10" s="3" t="s">
        <v>190</v>
      </c>
      <c r="N10" s="3" t="s">
        <v>191</v>
      </c>
      <c r="O10" s="3"/>
      <c r="P10" s="3"/>
    </row>
    <row r="11" spans="1:16">
      <c r="B11" s="3" t="str">
        <f t="shared" si="0"/>
        <v>Sto-CO2_DSA</v>
      </c>
      <c r="C11" t="s">
        <v>186</v>
      </c>
      <c r="E11" s="5">
        <v>0.001</v>
      </c>
      <c r="F11" s="6"/>
      <c r="G11" s="7"/>
      <c r="I11" s="3"/>
      <c r="J11" s="3" t="s">
        <v>202</v>
      </c>
      <c r="K11" t="s">
        <v>203</v>
      </c>
      <c r="L11" s="3"/>
      <c r="M11" s="3" t="s">
        <v>190</v>
      </c>
      <c r="N11" s="3" t="s">
        <v>191</v>
      </c>
      <c r="O11" s="3"/>
      <c r="P11" s="3"/>
    </row>
    <row r="12" spans="1:16">
      <c r="B12" s="3" t="str">
        <f t="shared" si="0"/>
        <v>Sto-CO2_DSO</v>
      </c>
      <c r="C12" t="s">
        <v>186</v>
      </c>
      <c r="E12" s="5">
        <v>0.001</v>
      </c>
      <c r="F12" s="6"/>
      <c r="G12" s="7"/>
      <c r="I12" s="3"/>
      <c r="J12" s="3" t="s">
        <v>204</v>
      </c>
      <c r="K12" t="s">
        <v>205</v>
      </c>
      <c r="L12" s="3"/>
      <c r="M12" s="3" t="s">
        <v>190</v>
      </c>
      <c r="N12" s="3" t="s">
        <v>191</v>
      </c>
      <c r="O12" s="3"/>
      <c r="P12" s="3"/>
    </row>
    <row r="13" spans="1:16">
      <c r="B13" s="3" t="str">
        <f t="shared" si="0"/>
        <v>Sto-CO2_EOF</v>
      </c>
      <c r="C13" t="s">
        <v>186</v>
      </c>
      <c r="E13" s="5">
        <v>0.001</v>
      </c>
      <c r="F13" s="6"/>
      <c r="G13" s="7"/>
      <c r="I13" s="3"/>
      <c r="J13" s="3" t="s">
        <v>206</v>
      </c>
      <c r="K13" t="s">
        <v>207</v>
      </c>
      <c r="L13" s="3"/>
      <c r="M13" s="3" t="s">
        <v>190</v>
      </c>
      <c r="N13" s="3" t="s">
        <v>191</v>
      </c>
      <c r="O13" s="3"/>
      <c r="P13" s="3"/>
    </row>
    <row r="14" spans="1:16">
      <c r="B14" s="3" t="str">
        <f t="shared" si="0"/>
        <v>Sto-CO2_EOR</v>
      </c>
      <c r="C14" t="s">
        <v>186</v>
      </c>
      <c r="E14" s="5">
        <v>0.001</v>
      </c>
      <c r="F14" s="6"/>
      <c r="G14" s="7"/>
      <c r="I14" s="3"/>
      <c r="J14" s="3" t="s">
        <v>208</v>
      </c>
      <c r="K14" t="s">
        <v>209</v>
      </c>
      <c r="L14" s="3"/>
      <c r="M14" s="3" t="s">
        <v>190</v>
      </c>
      <c r="N14" s="3" t="s">
        <v>191</v>
      </c>
      <c r="O14" s="3"/>
      <c r="P14" s="3"/>
    </row>
    <row r="15" spans="1:16">
      <c r="B15" t="s">
        <v>210</v>
      </c>
      <c r="G15" s="7"/>
      <c r="I15" t="s">
        <v>210</v>
      </c>
    </row>
    <row r="16" spans="1:16">
      <c r="B16" s="3" t="str">
        <f>J16</f>
        <v>Pipeline-CO2</v>
      </c>
      <c r="C16" t="s">
        <v>211</v>
      </c>
      <c r="D16" t="str">
        <f>C8</f>
        <v>CO2ForStorage</v>
      </c>
      <c r="F16">
        <v>1</v>
      </c>
      <c r="G16" s="7"/>
      <c r="I16" t="s">
        <v>187</v>
      </c>
      <c r="J16" s="3" t="s">
        <v>212</v>
      </c>
      <c r="K16" s="3" t="s">
        <v>213</v>
      </c>
      <c r="M16" s="3" t="s">
        <v>190</v>
      </c>
      <c r="N16" s="3" t="s">
        <v>191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2008-03-25T10:08:00Z</dcterms:created>
  <cp:lastPrinted>2008-07-01T10:28:00Z</cp:lastPrinted>
  <dcterms:modified xsi:type="dcterms:W3CDTF">2026-06-17T03:27:07Z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