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7060" firstSheet="2" activeTab="7"/>
  </bookViews>
  <sheets>
    <sheet name="ELC_Gen-tjh" sheetId="26" r:id="rId1"/>
    <sheet name="ELC_Storage" sheetId="19" r:id="rId2"/>
    <sheet name="Readme" sheetId="27" r:id="rId3"/>
    <sheet name="notes" sheetId="25" r:id="rId4"/>
    <sheet name="ELC_Gen-sdj" sheetId="21" r:id="rId5"/>
    <sheet name="ovrcst" sheetId="24" r:id="rId6"/>
    <sheet name="heatrate" sheetId="23" r:id="rId7"/>
    <sheet name="ELC_CO2 Transport and Storage" sheetId="20" r:id="rId8"/>
  </sheets>
  <externalReferences>
    <externalReference r:id="rId9"/>
    <externalReference r:id="rId10"/>
  </externalReferences>
  <definedNames>
    <definedName name="GROWTH">'[1]TechRep-Doc'!#REF!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Amit Kanudia</author>
  </authors>
  <commentList>
    <comment ref="M10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25 is too </t>
        </r>
      </text>
    </comment>
    <comment ref="Y1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new grid storage generally not goes to repurpose within SOH&lt;60%</t>
        </r>
      </text>
    </comment>
    <comment ref="Q13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01-01-2020
This will take care of regions that don't appear in the Restart file for nuclear
</t>
        </r>
      </text>
    </comment>
    <comment ref="C27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LFP stationary storage, we assume consumes same energy with EV battery for manufacturing (virgin)</t>
        </r>
      </text>
    </comment>
  </commentList>
</comments>
</file>

<file path=xl/comments2.xml><?xml version="1.0" encoding="utf-8"?>
<comments xmlns="http://schemas.openxmlformats.org/spreadsheetml/2006/main">
  <authors>
    <author>xli9</author>
  </authors>
  <commentList>
    <comment ref="E2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VAROM has been defined in Base_KS_setup, so we removed it</t>
        </r>
      </text>
    </comment>
  </commentList>
</comments>
</file>

<file path=xl/sharedStrings.xml><?xml version="1.0" encoding="utf-8"?>
<sst xmlns="http://schemas.openxmlformats.org/spreadsheetml/2006/main" count="540" uniqueCount="191">
  <si>
    <t>~FI_T: EFF~USD11~2010</t>
  </si>
  <si>
    <t>~FI_Process</t>
  </si>
  <si>
    <t>TechName</t>
  </si>
  <si>
    <t>Comm-IN</t>
  </si>
  <si>
    <t>Comm-OUT</t>
  </si>
  <si>
    <t>INVCOST</t>
  </si>
  <si>
    <t>FIXOM</t>
  </si>
  <si>
    <t>VAROM</t>
  </si>
  <si>
    <t>AFA</t>
  </si>
  <si>
    <t>LIFE</t>
  </si>
  <si>
    <t>ELIFE</t>
  </si>
  <si>
    <t>Sets</t>
  </si>
  <si>
    <t>TechDesc</t>
  </si>
  <si>
    <t>Tslvl</t>
  </si>
  <si>
    <t>Tact</t>
  </si>
  <si>
    <t>Tcap</t>
  </si>
  <si>
    <t>PrimaryCG</t>
  </si>
  <si>
    <t>Vintage</t>
  </si>
  <si>
    <t>Icost</t>
  </si>
  <si>
    <t>Eff</t>
  </si>
  <si>
    <t>EN_COAPUL</t>
  </si>
  <si>
    <t>ELCCOA</t>
  </si>
  <si>
    <t>ELC</t>
  </si>
  <si>
    <t>ELE</t>
  </si>
  <si>
    <t>New: Pulverized coal</t>
  </si>
  <si>
    <t>SEASON</t>
  </si>
  <si>
    <t>TBTU</t>
  </si>
  <si>
    <t>GW</t>
  </si>
  <si>
    <t>YES</t>
  </si>
  <si>
    <t>E_SPV*</t>
  </si>
  <si>
    <t>Solar PV - fixed tilt</t>
  </si>
  <si>
    <t>EN_COAIGCC</t>
  </si>
  <si>
    <t>New: Coal IGCC</t>
  </si>
  <si>
    <t>E_WON*</t>
  </si>
  <si>
    <t>Wind</t>
  </si>
  <si>
    <t>EN_ZCOAIGCC</t>
  </si>
  <si>
    <t>New: Coal IGCC - CCS</t>
  </si>
  <si>
    <t>E_WOF*</t>
  </si>
  <si>
    <t>Offshore Wind</t>
  </si>
  <si>
    <t>EN_ZGasCCAdv</t>
  </si>
  <si>
    <t>ELCNGA</t>
  </si>
  <si>
    <t>New: Gas CC Adv - CCS</t>
  </si>
  <si>
    <t>DAYNITE</t>
  </si>
  <si>
    <t>Coal with 30% CCS</t>
  </si>
  <si>
    <t>EN_GasCCAdv</t>
  </si>
  <si>
    <t>New: Gas CC Adv</t>
  </si>
  <si>
    <t>EN_GasCC</t>
  </si>
  <si>
    <t>New: Gas CC</t>
  </si>
  <si>
    <t>Coal with 90% CCS</t>
  </si>
  <si>
    <t>EN_GasCTAdv</t>
  </si>
  <si>
    <t>New: Gas CT Adv</t>
  </si>
  <si>
    <t>Adv CC w/seq</t>
  </si>
  <si>
    <t>EN_GasCT</t>
  </si>
  <si>
    <t>New: Gas CT</t>
  </si>
  <si>
    <t>Adv CC</t>
  </si>
  <si>
    <t>EN_Biomass</t>
  </si>
  <si>
    <t>ELCBSL</t>
  </si>
  <si>
    <t>New: Biomass</t>
  </si>
  <si>
    <t>Comb. Cyc</t>
  </si>
  <si>
    <t>EN_ZBiomass</t>
  </si>
  <si>
    <t>New: Biomass - CCS</t>
  </si>
  <si>
    <t>Adv. CT</t>
  </si>
  <si>
    <t>EN_OilCCAdv</t>
  </si>
  <si>
    <t>ELCOIL</t>
  </si>
  <si>
    <t>New: Oil CC Adv</t>
  </si>
  <si>
    <t>Comb. Turb</t>
  </si>
  <si>
    <t>EN_NuclearAdv</t>
  </si>
  <si>
    <t>ELCNUC</t>
  </si>
  <si>
    <t>Advanced Nuclear</t>
  </si>
  <si>
    <t>Biomass</t>
  </si>
  <si>
    <t>EN_GeoThermal</t>
  </si>
  <si>
    <t>ELCGEO</t>
  </si>
  <si>
    <t>New: geothermal (placeholder)</t>
  </si>
  <si>
    <t>EN_Hydro*</t>
  </si>
  <si>
    <t>Hydro</t>
  </si>
  <si>
    <t>Nuclear</t>
  </si>
  <si>
    <t>~FI_T: INVCOST~USD18</t>
  </si>
  <si>
    <t>~FI_T: EFF</t>
  </si>
  <si>
    <t>~FI_T: NCAP_ICOM</t>
  </si>
  <si>
    <t>START</t>
  </si>
  <si>
    <t>Comm-OUT-A</t>
  </si>
  <si>
    <t>process</t>
  </si>
  <si>
    <t>m_lithium</t>
  </si>
  <si>
    <t>m_nickel</t>
  </si>
  <si>
    <t>m_cobalt</t>
  </si>
  <si>
    <t>m_manganese</t>
  </si>
  <si>
    <t>m_aluminum</t>
  </si>
  <si>
    <t>m_copper</t>
  </si>
  <si>
    <t>m_graphite</t>
  </si>
  <si>
    <t>STGTSS</t>
  </si>
  <si>
    <t>EN_STG_4hBatt</t>
  </si>
  <si>
    <t>4h battery storage -  50MW/200MWh--LFP by default</t>
  </si>
  <si>
    <t>PJ</t>
  </si>
  <si>
    <t>GWh</t>
  </si>
  <si>
    <t>AuxStoIN</t>
  </si>
  <si>
    <t>E_Nuc_Accounting</t>
  </si>
  <si>
    <t>Dummy tech to control exog and endog nuclear</t>
  </si>
  <si>
    <t>~FI_T: USD15</t>
  </si>
  <si>
    <t>Comm-IN-A</t>
  </si>
  <si>
    <t>CommGrp</t>
  </si>
  <si>
    <t>S_EFF</t>
  </si>
  <si>
    <t>Cap2Act</t>
  </si>
  <si>
    <t>NCAP_AFC~DAYNITE</t>
  </si>
  <si>
    <t>FLO_FUNC~ELC</t>
  </si>
  <si>
    <t>CAP_BND~UP</t>
  </si>
  <si>
    <t>FLO_FUNC~AuxStoIN</t>
  </si>
  <si>
    <t>CAP_BND~UP~0</t>
  </si>
  <si>
    <t>PKNO</t>
  </si>
  <si>
    <t>~FI_T: NCAP_OCOM</t>
  </si>
  <si>
    <t>NRG</t>
  </si>
  <si>
    <t>commodity</t>
  </si>
  <si>
    <t>NCAP_OCOM</t>
  </si>
  <si>
    <t>AuxStoOUT</t>
  </si>
  <si>
    <t>recy-LFP</t>
  </si>
  <si>
    <t>DumGrid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</si>
  <si>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</si>
  <si>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</si>
  <si>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</si>
  <si>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</si>
  <si>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</si>
  <si>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</si>
  <si>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</si>
  <si>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</si>
  <si>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</si>
  <si>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ENV</t>
  </si>
  <si>
    <t>Aux commodity for storage charging</t>
  </si>
  <si>
    <t>Aux commodity for storage discharging</t>
  </si>
  <si>
    <t>limtype</t>
  </si>
  <si>
    <t>FX</t>
  </si>
  <si>
    <t>COAHCO</t>
  </si>
  <si>
    <t>GASNGA</t>
  </si>
  <si>
    <t>OILDST</t>
  </si>
  <si>
    <t>Workbook purpose:</t>
  </si>
  <si>
    <t>Creates the available new fossil power plants, CCS storage placeholder infrastructure and battery storage</t>
  </si>
  <si>
    <t>Data source:</t>
  </si>
  <si>
    <t>Battery storage from Chris, July 2019; base characteristics for new power plants originally from AEO, some modifications have taken place, and some capital cost are overwritten in Scen_BaseINVCost2050</t>
  </si>
  <si>
    <t>User-modifiable?</t>
  </si>
  <si>
    <t xml:space="preserve">Yes, but browse in VEDA-FE first to see where else values specified here are being modified. </t>
  </si>
  <si>
    <t>Capital costs get regional multipliers in the Trans file and many get time multipliers elsewhere</t>
  </si>
  <si>
    <t>Date</t>
  </si>
  <si>
    <t>Comment</t>
  </si>
  <si>
    <t>Updated the EFF for new OIlAdvCC technolgies to 30% across years</t>
  </si>
  <si>
    <t>**FI_T: EFF**USD11**2010</t>
  </si>
  <si>
    <t>**FI_Process</t>
  </si>
  <si>
    <t>**FI_T: INVCOST**USD18</t>
  </si>
  <si>
    <t>**FI_T: EFF</t>
  </si>
  <si>
    <t>Overnight cost by technology and online year - AEO2019 Reference case</t>
  </si>
  <si>
    <t>2018 $/KW</t>
  </si>
  <si>
    <t>Online Year</t>
  </si>
  <si>
    <t>Internal Combustion</t>
  </si>
  <si>
    <t>Fuel Cell</t>
  </si>
  <si>
    <t>Geothermal</t>
  </si>
  <si>
    <t>Landfill Gas</t>
  </si>
  <si>
    <t>Battery Storage</t>
  </si>
  <si>
    <t>Solar Thermal</t>
  </si>
  <si>
    <t>Solar PV - tracking</t>
  </si>
  <si>
    <t>Dist. Gen Base</t>
  </si>
  <si>
    <t>Dist Gen Peak</t>
  </si>
  <si>
    <t>Heatrate assumptions by year - AEO2019</t>
  </si>
  <si>
    <t>(BTU/kWh)</t>
  </si>
  <si>
    <t>~FI_T: 2020</t>
  </si>
  <si>
    <t>EFF</t>
  </si>
  <si>
    <t>ACT_CUM</t>
  </si>
  <si>
    <t>CO2ForStorage</t>
  </si>
  <si>
    <t>PRE</t>
  </si>
  <si>
    <t>Sto-CO2_CB1</t>
  </si>
  <si>
    <t>Enhanced Coalbed Meth recov &lt;1000 m</t>
  </si>
  <si>
    <t>kt</t>
  </si>
  <si>
    <t>kt-Yr</t>
  </si>
  <si>
    <t>Sto-CO2_CB2</t>
  </si>
  <si>
    <t>Enhanced Coalbed Meth recov &gt;1000 m</t>
  </si>
  <si>
    <t>Sto-CO2_DGF</t>
  </si>
  <si>
    <t>Depleted gas fields (offshore)</t>
  </si>
  <si>
    <t>Sto-CO2_DGO</t>
  </si>
  <si>
    <t>Depleted gas fields (onshore)</t>
  </si>
  <si>
    <t>Sto-CO2_DOF</t>
  </si>
  <si>
    <t>Depleted oil fields (offshore)</t>
  </si>
  <si>
    <t>Sto-CO2_DOO</t>
  </si>
  <si>
    <t>Depleted oil fields (onshore)</t>
  </si>
  <si>
    <t>Sto-CO2_DSA</t>
  </si>
  <si>
    <t>Deep saline aquifers (onshore)</t>
  </si>
  <si>
    <t>Sto-CO2_DSO</t>
  </si>
  <si>
    <t>Deep saline aquifers (offshore)</t>
  </si>
  <si>
    <t>Sto-CO2_EOF</t>
  </si>
  <si>
    <t>Enhanced Oil Recovery (offshore)</t>
  </si>
  <si>
    <t>Sto-CO2_EOR</t>
  </si>
  <si>
    <t>Enhanced Oil Recovery (onshore)</t>
  </si>
  <si>
    <t>*</t>
  </si>
  <si>
    <t>CO2Captured,CO2_DAC</t>
  </si>
  <si>
    <t>Pipeline-CO2</t>
  </si>
  <si>
    <t>CO2 pipeline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</si>
</sst>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(* #,##0.00_);_(* \(#,##0.00\);_(* &quot;-&quot;??_);_(@_)"/>
    <numFmt numFmtId="179" formatCode="_ * #,##0.00_ ;_ * \-#,##0.00_ ;_ * &quot;-&quot;??_ ;_ @_ "/>
    <numFmt numFmtId="180" formatCode="m\o\n\th\ d\,\ yyyy"/>
    <numFmt numFmtId="181" formatCode="#.00"/>
    <numFmt numFmtId="182" formatCode="#."/>
    <numFmt numFmtId="183" formatCode="\Te\x\t"/>
    <numFmt numFmtId="184" formatCode="0.000"/>
    <numFmt numFmtId="185" formatCode="#,##0.000"/>
  </numFmts>
  <fonts count="4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indexed="8"/>
      <name val="Calibri"/>
      <charset val="134"/>
    </font>
    <font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9C0006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0"/>
      <name val="Arial"/>
      <charset val="134"/>
    </font>
    <font>
      <sz val="11"/>
      <color rgb="FF3333FF"/>
      <name val="Calibri"/>
      <charset val="134"/>
      <scheme val="minor"/>
    </font>
    <font>
      <b/>
      <sz val="11"/>
      <color indexed="8"/>
      <name val="Calibri"/>
      <charset val="134"/>
    </font>
    <font>
      <sz val="10.2"/>
      <color rgb="FF212529"/>
      <name val="Segoe UI"/>
      <charset val="134"/>
    </font>
    <font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Calibri"/>
      <charset val="134"/>
      <scheme val="minor"/>
    </font>
    <font>
      <sz val="1"/>
      <color indexed="8"/>
      <name val="Courier"/>
      <charset val="134"/>
    </font>
    <font>
      <b/>
      <sz val="9"/>
      <color theme="1"/>
      <name val="Calibri"/>
      <charset val="134"/>
      <scheme val="minor"/>
    </font>
    <font>
      <b/>
      <sz val="1"/>
      <color indexed="8"/>
      <name val="Courier"/>
      <charset val="134"/>
    </font>
    <font>
      <sz val="10"/>
      <name val="STKFLOW - 14 of 38"/>
      <charset val="134"/>
    </font>
    <font>
      <sz val="12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2"/>
      <color theme="4"/>
      <name val="Calibri"/>
      <charset val="134"/>
      <scheme val="minor"/>
    </font>
    <font>
      <sz val="9"/>
      <name val="Times New Roman"/>
      <charset val="0"/>
    </font>
    <font>
      <b/>
      <sz val="9"/>
      <name val="Times New Roman"/>
      <charset val="134"/>
    </font>
    <font>
      <sz val="9"/>
      <name val="Times New Roman"/>
      <charset val="134"/>
    </font>
    <font>
      <b/>
      <sz val="9"/>
      <name val="Tahoma"/>
      <charset val="1"/>
    </font>
    <font>
      <sz val="9"/>
      <name val="Tahoma"/>
      <charset val="1"/>
    </font>
    <font>
      <b/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"/>
      </bottom>
      <diagonal/>
    </border>
    <border>
      <left/>
      <right/>
      <top style="thin">
        <color theme="4"/>
      </top>
      <bottom style="thin">
        <color theme="0" tint="-0.249946592608417"/>
      </bottom>
      <diagonal/>
    </border>
  </borders>
  <cellStyleXfs count="76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/>
    <xf numFmtId="0" fontId="26" fillId="9" borderId="10" applyNumberFormat="0" applyAlignment="0" applyProtection="0">
      <alignment vertical="center"/>
    </xf>
    <xf numFmtId="0" fontId="27" fillId="9" borderId="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32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14" applyNumberFormat="0" applyFont="0" applyProtection="0">
      <alignment wrapText="1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36" fillId="0" borderId="0">
      <protection locked="0"/>
    </xf>
    <xf numFmtId="181" fontId="36" fillId="0" borderId="0">
      <protection locked="0"/>
    </xf>
    <xf numFmtId="0" fontId="35" fillId="0" borderId="0" applyNumberFormat="0" applyFill="0" applyBorder="0" applyAlignment="0" applyProtection="0"/>
    <xf numFmtId="0" fontId="35" fillId="0" borderId="0" applyNumberFormat="0" applyProtection="0">
      <alignment vertical="top" wrapText="1"/>
    </xf>
    <xf numFmtId="0" fontId="35" fillId="0" borderId="15" applyNumberFormat="0" applyProtection="0">
      <alignment vertical="top" wrapText="1"/>
    </xf>
    <xf numFmtId="0" fontId="37" fillId="0" borderId="16" applyNumberFormat="0" applyProtection="0">
      <alignment wrapText="1"/>
    </xf>
    <xf numFmtId="0" fontId="37" fillId="0" borderId="17" applyNumberFormat="0" applyProtection="0">
      <alignment horizontal="left" wrapText="1"/>
    </xf>
    <xf numFmtId="182" fontId="38" fillId="0" borderId="0">
      <protection locked="0"/>
    </xf>
    <xf numFmtId="182" fontId="38" fillId="0" borderId="0">
      <protection locked="0"/>
    </xf>
    <xf numFmtId="0" fontId="6" fillId="0" borderId="0"/>
    <xf numFmtId="0" fontId="11" fillId="0" borderId="0"/>
    <xf numFmtId="0" fontId="11" fillId="0" borderId="0"/>
    <xf numFmtId="0" fontId="3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37" fillId="0" borderId="18" applyNumberFormat="0" applyProtection="0">
      <alignment wrapText="1"/>
    </xf>
    <xf numFmtId="9" fontId="6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35" fillId="0" borderId="19" applyNumberFormat="0" applyFont="0" applyFill="0" applyProtection="0">
      <alignment wrapText="1"/>
    </xf>
    <xf numFmtId="0" fontId="37" fillId="0" borderId="20" applyNumberFormat="0" applyFill="0" applyProtection="0">
      <alignment wrapText="1"/>
    </xf>
    <xf numFmtId="0" fontId="11" fillId="0" borderId="0"/>
    <xf numFmtId="0" fontId="42" fillId="0" borderId="0" applyNumberFormat="0" applyProtection="0">
      <alignment horizontal="left"/>
    </xf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83" fontId="0" fillId="0" borderId="0" xfId="0" applyNumberFormat="1"/>
    <xf numFmtId="184" fontId="0" fillId="0" borderId="0" xfId="3" applyNumberFormat="1" applyFont="1"/>
    <xf numFmtId="9" fontId="0" fillId="0" borderId="0" xfId="3" applyFont="1"/>
    <xf numFmtId="1" fontId="0" fillId="0" borderId="0" xfId="3" applyNumberFormat="1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0" borderId="1" xfId="67" applyFont="1" applyBorder="1" applyAlignment="1">
      <alignment horizontal="right" wrapText="1"/>
    </xf>
    <xf numFmtId="1" fontId="6" fillId="0" borderId="1" xfId="68" applyNumberFormat="1" applyFont="1" applyBorder="1" applyAlignment="1">
      <alignment horizontal="right" wrapText="1"/>
    </xf>
    <xf numFmtId="0" fontId="7" fillId="3" borderId="2" xfId="16"/>
    <xf numFmtId="0" fontId="8" fillId="0" borderId="0" xfId="0" applyFont="1"/>
    <xf numFmtId="0" fontId="9" fillId="4" borderId="0" xfId="23" applyFont="1"/>
    <xf numFmtId="2" fontId="10" fillId="4" borderId="0" xfId="23" applyNumberFormat="1"/>
    <xf numFmtId="1" fontId="6" fillId="0" borderId="1" xfId="66" applyNumberFormat="1" applyFont="1" applyBorder="1" applyAlignment="1">
      <alignment horizontal="right" wrapText="1"/>
    </xf>
    <xf numFmtId="2" fontId="0" fillId="0" borderId="0" xfId="0" applyNumberFormat="1"/>
    <xf numFmtId="0" fontId="11" fillId="0" borderId="0" xfId="63"/>
    <xf numFmtId="1" fontId="0" fillId="0" borderId="0" xfId="0" applyNumberFormat="1"/>
    <xf numFmtId="0" fontId="12" fillId="0" borderId="0" xfId="0" applyFont="1"/>
    <xf numFmtId="1" fontId="12" fillId="0" borderId="0" xfId="0" applyNumberFormat="1" applyFont="1"/>
    <xf numFmtId="0" fontId="0" fillId="5" borderId="0" xfId="0" applyFill="1"/>
    <xf numFmtId="1" fontId="0" fillId="5" borderId="0" xfId="0" applyNumberFormat="1" applyFill="1"/>
    <xf numFmtId="58" fontId="0" fillId="0" borderId="0" xfId="0" applyNumberFormat="1"/>
    <xf numFmtId="0" fontId="0" fillId="6" borderId="3" xfId="0" applyFill="1" applyBorder="1"/>
    <xf numFmtId="0" fontId="11" fillId="6" borderId="0" xfId="0" applyFont="1" applyFill="1" applyAlignment="1"/>
    <xf numFmtId="0" fontId="13" fillId="6" borderId="3" xfId="0" applyNumberFormat="1" applyFont="1" applyFill="1" applyBorder="1" applyAlignment="1" applyProtection="1"/>
    <xf numFmtId="183" fontId="0" fillId="6" borderId="0" xfId="0" applyNumberFormat="1" applyFill="1"/>
    <xf numFmtId="2" fontId="13" fillId="6" borderId="3" xfId="0" applyNumberFormat="1" applyFont="1" applyFill="1" applyBorder="1" applyAlignment="1" applyProtection="1"/>
    <xf numFmtId="185" fontId="0" fillId="6" borderId="3" xfId="0" applyNumberFormat="1" applyFill="1" applyBorder="1"/>
    <xf numFmtId="0" fontId="14" fillId="6" borderId="0" xfId="0" applyFont="1" applyFill="1"/>
    <xf numFmtId="0" fontId="11" fillId="7" borderId="0" xfId="0" applyFont="1" applyFill="1"/>
    <xf numFmtId="0" fontId="15" fillId="7" borderId="0" xfId="0" applyFont="1" applyFill="1" applyAlignment="1">
      <alignment horizontal="left"/>
    </xf>
    <xf numFmtId="0" fontId="15" fillId="7" borderId="0" xfId="0" applyFont="1" applyFill="1" applyAlignment="1">
      <alignment vertical="center"/>
    </xf>
    <xf numFmtId="0" fontId="11" fillId="7" borderId="3" xfId="0" applyFont="1" applyFill="1" applyBorder="1"/>
    <xf numFmtId="0" fontId="11" fillId="7" borderId="4" xfId="0" applyFont="1" applyFill="1" applyBorder="1"/>
    <xf numFmtId="0" fontId="0" fillId="7" borderId="0" xfId="0" applyFill="1"/>
    <xf numFmtId="0" fontId="15" fillId="7" borderId="0" xfId="0" applyFont="1" applyFill="1"/>
    <xf numFmtId="0" fontId="0" fillId="0" borderId="0" xfId="0" applyFill="1"/>
    <xf numFmtId="0" fontId="11" fillId="0" borderId="3" xfId="0" applyFont="1" applyFill="1" applyBorder="1"/>
    <xf numFmtId="0" fontId="11" fillId="0" borderId="4" xfId="0" applyFont="1" applyFill="1" applyBorder="1"/>
    <xf numFmtId="0" fontId="15" fillId="0" borderId="0" xfId="0" applyFont="1" applyFill="1"/>
    <xf numFmtId="0" fontId="11" fillId="0" borderId="0" xfId="0" applyFont="1" applyFill="1" applyBorder="1"/>
    <xf numFmtId="0" fontId="0" fillId="0" borderId="0" xfId="0" applyFill="1" applyBorder="1"/>
    <xf numFmtId="0" fontId="11" fillId="7" borderId="5" xfId="0" applyFont="1" applyFill="1" applyBorder="1"/>
    <xf numFmtId="0" fontId="11" fillId="7" borderId="6" xfId="0" applyFont="1" applyFill="1" applyBorder="1"/>
    <xf numFmtId="0" fontId="11" fillId="0" borderId="5" xfId="0" applyFont="1" applyFill="1" applyBorder="1"/>
    <xf numFmtId="0" fontId="11" fillId="0" borderId="6" xfId="0" applyFont="1" applyFill="1" applyBorder="1"/>
    <xf numFmtId="0" fontId="16" fillId="0" borderId="0" xfId="0" applyFont="1"/>
    <xf numFmtId="1" fontId="17" fillId="5" borderId="0" xfId="0" applyNumberFormat="1" applyFont="1" applyFill="1"/>
  </cellXfs>
  <cellStyles count="7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ody: normal cell" xfId="49"/>
    <cellStyle name="Comma 2" xfId="50"/>
    <cellStyle name="Comma 2 2" xfId="51"/>
    <cellStyle name="Date" xfId="52"/>
    <cellStyle name="Fixed" xfId="53"/>
    <cellStyle name="Font: Calibri, 9pt regular" xfId="54"/>
    <cellStyle name="Footnotes: all except top row" xfId="55"/>
    <cellStyle name="Footnotes: top row" xfId="56"/>
    <cellStyle name="Header: bottom row" xfId="57"/>
    <cellStyle name="Header: top rows" xfId="58"/>
    <cellStyle name="Heading1" xfId="59"/>
    <cellStyle name="Heading2" xfId="60"/>
    <cellStyle name="Normal 2" xfId="61"/>
    <cellStyle name="Normal 2 2" xfId="62"/>
    <cellStyle name="Normal 2 3" xfId="63"/>
    <cellStyle name="Normal 3" xfId="64"/>
    <cellStyle name="Normal 4" xfId="65"/>
    <cellStyle name="Normal_ovrcst" xfId="66"/>
    <cellStyle name="Normal_Sheet1" xfId="67"/>
    <cellStyle name="Normal_Sheet2" xfId="68"/>
    <cellStyle name="Parent row" xfId="69"/>
    <cellStyle name="Percent 2" xfId="70"/>
    <cellStyle name="Percent 3" xfId="71"/>
    <cellStyle name="Section Break" xfId="72"/>
    <cellStyle name="Section Break: parent row" xfId="73"/>
    <cellStyle name="Standard_WEO 2008 - RE Technology Cost (status 27-03-2008)-ext" xfId="74"/>
    <cellStyle name="Table title" xfId="75"/>
  </cellStyles>
  <tableStyles count="0" defaultTableStyle="TableStyleMedium9" defaultPivotStyle="PivotStyleLight16"/>
  <colors>
    <mruColors>
      <color rgb="00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bRES_Trans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iscuss_log"/>
      <sheetName val="Cover"/>
      <sheetName val="Small_cars"/>
      <sheetName val="Large_cars"/>
      <sheetName val="Medium_cars"/>
      <sheetName val="LCVs"/>
      <sheetName val="Hdt"/>
      <sheetName val="2-3wheelers"/>
      <sheetName val="Bus_coach"/>
      <sheetName val="R_strategies_n_GridBattery"/>
      <sheetName val="Critical_materials"/>
      <sheetName val="R_strategies_RecycledEV_batt"/>
      <sheetName val="EnergyUseFromEverBatt_Min_"/>
      <sheetName val="Recyc_energy_use_Anna__SAME"/>
      <sheetName val="Recyc_energy_use_Anna_15per_mor"/>
      <sheetName val="Recyc_energy_use_Anna_15less"/>
      <sheetName val="LIB mass distribution"/>
      <sheetName val="HGVs&lt;16t"/>
      <sheetName val="HGVs&gt;16t"/>
      <sheetName val="Aviation"/>
      <sheetName val="Rail"/>
      <sheetName val="Inland_navigation"/>
      <sheetName val="Maritime"/>
      <sheetName val="Infrastructure"/>
      <sheetName val="AGR_Fu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AW6">
            <v>0.0473</v>
          </cell>
        </row>
        <row r="7">
          <cell r="AW7">
            <v>0.171166666666667</v>
          </cell>
        </row>
        <row r="8">
          <cell r="AW8">
            <v>0.466366666666667</v>
          </cell>
        </row>
        <row r="9">
          <cell r="AW9">
            <v>0.0956666666666667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2:AH44"/>
  <sheetViews>
    <sheetView zoomScale="54" zoomScaleNormal="54" workbookViewId="0">
      <selection activeCell="O48" sqref="O48"/>
    </sheetView>
  </sheetViews>
  <sheetFormatPr defaultColWidth="9.09090909090909" defaultRowHeight="14.5"/>
  <cols>
    <col min="1" max="1" width="6.45454545454545" customWidth="1"/>
    <col min="2" max="2" width="22.0909090909091" customWidth="1"/>
    <col min="3" max="3" width="9.45454545454546" customWidth="1"/>
    <col min="4" max="4" width="11" customWidth="1"/>
    <col min="5" max="5" width="7" customWidth="1"/>
    <col min="6" max="6" width="8" customWidth="1"/>
    <col min="7" max="7" width="8.81818181818182" customWidth="1"/>
    <col min="8" max="8" width="6.81818181818182" customWidth="1"/>
    <col min="9" max="9" width="5.45454545454545" customWidth="1"/>
    <col min="10" max="13" width="5" customWidth="1"/>
    <col min="14" max="14" width="5.45454545454545" customWidth="1"/>
    <col min="15" max="15" width="5" customWidth="1"/>
    <col min="16" max="16" width="8.45454545454546" customWidth="1"/>
    <col min="17" max="17" width="15.4545454545455" customWidth="1"/>
    <col min="18" max="18" width="29.4545454545455" customWidth="1"/>
    <col min="19" max="19" width="10.2727272727273" customWidth="1"/>
    <col min="20" max="20" width="7.81818181818182" customWidth="1"/>
    <col min="21" max="26" width="5" customWidth="1"/>
    <col min="27" max="27" width="14.4545454545455" customWidth="1"/>
    <col min="28" max="28" width="17.7272727272727" customWidth="1"/>
    <col min="29" max="29" width="5" customWidth="1"/>
    <col min="30" max="30" width="5.45454545454545" customWidth="1"/>
    <col min="31" max="34" width="5" customWidth="1"/>
  </cols>
  <sheetData>
    <row r="2" spans="4:22">
      <c r="D2" s="2" t="s">
        <v>0</v>
      </c>
      <c r="E2" s="2"/>
      <c r="F2" s="2"/>
      <c r="G2" s="2"/>
      <c r="P2" s="4" t="s">
        <v>1</v>
      </c>
      <c r="Q2" s="4"/>
      <c r="R2" s="4"/>
      <c r="S2" s="4"/>
      <c r="T2" s="4"/>
      <c r="U2" s="4"/>
      <c r="V2" s="4"/>
    </row>
    <row r="3" spans="2:30">
      <c r="B3" t="s">
        <v>2</v>
      </c>
      <c r="C3" s="2" t="s">
        <v>3</v>
      </c>
      <c r="D3" s="2" t="s">
        <v>4</v>
      </c>
      <c r="E3">
        <v>2010</v>
      </c>
      <c r="F3">
        <v>2050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P3" s="4" t="s">
        <v>11</v>
      </c>
      <c r="Q3" s="4" t="s">
        <v>2</v>
      </c>
      <c r="R3" s="4" t="s">
        <v>12</v>
      </c>
      <c r="S3" s="4" t="s">
        <v>13</v>
      </c>
      <c r="T3" s="4" t="s">
        <v>14</v>
      </c>
      <c r="U3" s="4" t="s">
        <v>15</v>
      </c>
      <c r="V3" s="4" t="s">
        <v>16</v>
      </c>
      <c r="W3" s="4" t="s">
        <v>17</v>
      </c>
      <c r="AC3" t="s">
        <v>18</v>
      </c>
      <c r="AD3" t="s">
        <v>19</v>
      </c>
    </row>
    <row r="4" spans="2:30">
      <c r="B4" t="s">
        <v>20</v>
      </c>
      <c r="C4" t="s">
        <v>21</v>
      </c>
      <c r="D4" t="s">
        <v>22</v>
      </c>
      <c r="E4" s="19">
        <v>0.387727272727273</v>
      </c>
      <c r="F4" s="19">
        <v>0.390389016018307</v>
      </c>
      <c r="G4" s="19">
        <v>2882.65777101602</v>
      </c>
      <c r="H4" s="19">
        <v>30.6361045837402</v>
      </c>
      <c r="I4" s="19">
        <f>N4/3.6*1.055</f>
        <v>1.2871267484294</v>
      </c>
      <c r="J4" s="19">
        <v>0.85</v>
      </c>
      <c r="K4" s="21">
        <v>40</v>
      </c>
      <c r="L4">
        <v>30</v>
      </c>
      <c r="N4" s="19">
        <v>4.39209127426147</v>
      </c>
      <c r="P4" s="4" t="s">
        <v>23</v>
      </c>
      <c r="Q4" s="4" t="str">
        <f>B4</f>
        <v>EN_COAPUL</v>
      </c>
      <c r="R4" s="4" t="s">
        <v>24</v>
      </c>
      <c r="S4" s="4" t="s">
        <v>25</v>
      </c>
      <c r="T4" s="4" t="s">
        <v>26</v>
      </c>
      <c r="U4" s="4" t="s">
        <v>27</v>
      </c>
      <c r="V4" s="4"/>
      <c r="W4" s="4" t="s">
        <v>28</v>
      </c>
      <c r="Z4">
        <v>1</v>
      </c>
      <c r="AA4" t="s">
        <v>29</v>
      </c>
      <c r="AB4" t="s">
        <v>30</v>
      </c>
      <c r="AC4">
        <f>MATCH(AB4,ovrcst!$A$4:$W$4,0)</f>
        <v>21</v>
      </c>
      <c r="AD4">
        <f>IFERROR(MATCH(AB4,heatrate!$K$4:$T$4,0),1)</f>
        <v>1</v>
      </c>
    </row>
    <row r="5" spans="2:30">
      <c r="B5" t="s">
        <v>31</v>
      </c>
      <c r="C5" t="s">
        <v>21</v>
      </c>
      <c r="D5" t="s">
        <v>22</v>
      </c>
      <c r="E5" s="19">
        <v>0.392183908045977</v>
      </c>
      <c r="F5" s="19">
        <v>0.457986577181209</v>
      </c>
      <c r="G5" s="19">
        <v>3718.04794517343</v>
      </c>
      <c r="H5" s="19">
        <v>50.4941673278809</v>
      </c>
      <c r="I5" s="19">
        <f t="shared" ref="I5:I15" si="0">N5/3.6*1.055</f>
        <v>2.07920465071996</v>
      </c>
      <c r="J5" s="19">
        <v>0.85</v>
      </c>
      <c r="K5" s="21">
        <v>40</v>
      </c>
      <c r="L5">
        <v>30</v>
      </c>
      <c r="N5" s="19">
        <v>7.09491634368896</v>
      </c>
      <c r="P5" s="4"/>
      <c r="Q5" s="4" t="str">
        <f t="shared" ref="Q5:Q16" si="1">B5</f>
        <v>EN_COAIGCC</v>
      </c>
      <c r="R5" s="4" t="s">
        <v>32</v>
      </c>
      <c r="S5" s="4" t="s">
        <v>25</v>
      </c>
      <c r="T5" s="4" t="s">
        <v>26</v>
      </c>
      <c r="U5" s="4" t="s">
        <v>27</v>
      </c>
      <c r="V5" s="4"/>
      <c r="W5" s="4" t="s">
        <v>28</v>
      </c>
      <c r="Z5">
        <v>2</v>
      </c>
      <c r="AA5" t="s">
        <v>33</v>
      </c>
      <c r="AB5" t="s">
        <v>34</v>
      </c>
      <c r="AC5">
        <f>MATCH(AB5,ovrcst!$A$4:$W$4,0)</f>
        <v>17</v>
      </c>
      <c r="AD5">
        <f>IFERROR(MATCH(AB5,heatrate!$K$4:$T$4,0),1)</f>
        <v>1</v>
      </c>
    </row>
    <row r="6" spans="2:30">
      <c r="B6" t="s">
        <v>35</v>
      </c>
      <c r="C6" t="s">
        <v>21</v>
      </c>
      <c r="D6" t="s">
        <v>22</v>
      </c>
      <c r="H6" s="19">
        <v>65.3089370727539</v>
      </c>
      <c r="I6" s="19">
        <f t="shared" si="0"/>
        <v>1.28199676142799</v>
      </c>
      <c r="J6" s="19">
        <v>0.85</v>
      </c>
      <c r="K6" s="21">
        <v>40</v>
      </c>
      <c r="L6">
        <v>30</v>
      </c>
      <c r="N6" s="19">
        <v>4.37458610534668</v>
      </c>
      <c r="P6" s="4"/>
      <c r="Q6" s="4" t="str">
        <f t="shared" si="1"/>
        <v>EN_ZCOAIGCC</v>
      </c>
      <c r="R6" s="4" t="s">
        <v>36</v>
      </c>
      <c r="S6" s="4" t="s">
        <v>25</v>
      </c>
      <c r="T6" s="4" t="s">
        <v>26</v>
      </c>
      <c r="U6" s="4" t="s">
        <v>27</v>
      </c>
      <c r="V6" s="4"/>
      <c r="W6" s="4" t="s">
        <v>28</v>
      </c>
      <c r="Z6">
        <v>3</v>
      </c>
      <c r="AA6" t="s">
        <v>37</v>
      </c>
      <c r="AB6" t="s">
        <v>38</v>
      </c>
      <c r="AC6">
        <f>MATCH(AB6,ovrcst!$A$4:$W$4,0)</f>
        <v>18</v>
      </c>
      <c r="AD6">
        <f>IFERROR(MATCH(AB6,heatrate!$K$4:$T$4,0),1)</f>
        <v>1</v>
      </c>
    </row>
    <row r="7" spans="2:30">
      <c r="B7" t="s">
        <v>39</v>
      </c>
      <c r="C7" t="s">
        <v>40</v>
      </c>
      <c r="D7" t="s">
        <v>22</v>
      </c>
      <c r="H7" s="19">
        <v>31.2347888946533</v>
      </c>
      <c r="I7" s="19">
        <f t="shared" si="0"/>
        <v>1.95249267220497</v>
      </c>
      <c r="J7" s="19">
        <v>0.87</v>
      </c>
      <c r="K7" s="21">
        <v>30</v>
      </c>
      <c r="L7">
        <v>30</v>
      </c>
      <c r="N7" s="19">
        <v>6.66253423690796</v>
      </c>
      <c r="P7" s="4"/>
      <c r="Q7" s="4" t="str">
        <f t="shared" si="1"/>
        <v>EN_ZGasCCAdv</v>
      </c>
      <c r="R7" s="4" t="s">
        <v>41</v>
      </c>
      <c r="S7" s="4" t="s">
        <v>42</v>
      </c>
      <c r="T7" s="4" t="s">
        <v>26</v>
      </c>
      <c r="U7" s="4" t="s">
        <v>27</v>
      </c>
      <c r="V7" s="4"/>
      <c r="W7" s="4" t="s">
        <v>28</v>
      </c>
      <c r="Z7">
        <v>4</v>
      </c>
      <c r="AA7" t="s">
        <v>20</v>
      </c>
      <c r="AB7" t="s">
        <v>43</v>
      </c>
      <c r="AC7">
        <f>MATCH(AB7,ovrcst!$A$4:$W$4,0)</f>
        <v>2</v>
      </c>
      <c r="AD7">
        <f>IFERROR(MATCH(AB7,heatrate!$K$4:$T$4,0),1)</f>
        <v>2</v>
      </c>
    </row>
    <row r="8" spans="2:30">
      <c r="B8" t="s">
        <v>44</v>
      </c>
      <c r="C8" t="s">
        <v>40</v>
      </c>
      <c r="D8" t="s">
        <v>22</v>
      </c>
      <c r="H8" s="19">
        <v>15.101861000061</v>
      </c>
      <c r="I8" s="19">
        <f t="shared" si="0"/>
        <v>0.941362117065324</v>
      </c>
      <c r="J8" s="19">
        <v>0.87</v>
      </c>
      <c r="K8" s="21">
        <v>30</v>
      </c>
      <c r="L8">
        <v>30</v>
      </c>
      <c r="N8" s="19">
        <v>3.21223092079163</v>
      </c>
      <c r="P8" s="4"/>
      <c r="Q8" s="4" t="str">
        <f t="shared" si="1"/>
        <v>EN_GasCCAdv</v>
      </c>
      <c r="R8" s="4" t="s">
        <v>45</v>
      </c>
      <c r="S8" s="4" t="s">
        <v>42</v>
      </c>
      <c r="T8" s="4" t="s">
        <v>26</v>
      </c>
      <c r="U8" s="4" t="s">
        <v>27</v>
      </c>
      <c r="V8" s="4"/>
      <c r="W8" s="4" t="s">
        <v>28</v>
      </c>
      <c r="Z8">
        <v>5</v>
      </c>
      <c r="AA8" t="s">
        <v>31</v>
      </c>
      <c r="AB8" t="s">
        <v>43</v>
      </c>
      <c r="AC8">
        <f>MATCH(AB8,ovrcst!$A$4:$W$4,0)</f>
        <v>2</v>
      </c>
      <c r="AD8">
        <f>IFERROR(MATCH(AB8,heatrate!$K$4:$T$4,0),1)</f>
        <v>2</v>
      </c>
    </row>
    <row r="9" spans="2:30">
      <c r="B9" t="s">
        <v>46</v>
      </c>
      <c r="C9" t="s">
        <v>40</v>
      </c>
      <c r="D9" t="s">
        <v>22</v>
      </c>
      <c r="H9" s="19">
        <v>12.9399518966675</v>
      </c>
      <c r="I9" s="19">
        <f t="shared" si="0"/>
        <v>1.0367807696263</v>
      </c>
      <c r="J9" s="19">
        <v>0.87</v>
      </c>
      <c r="K9" s="21">
        <v>30</v>
      </c>
      <c r="L9">
        <v>30</v>
      </c>
      <c r="N9" s="19">
        <v>3.53783011436462</v>
      </c>
      <c r="P9" s="4"/>
      <c r="Q9" s="4" t="str">
        <f t="shared" si="1"/>
        <v>EN_GasCC</v>
      </c>
      <c r="R9" s="4" t="s">
        <v>47</v>
      </c>
      <c r="S9" s="4" t="s">
        <v>42</v>
      </c>
      <c r="T9" s="4" t="s">
        <v>26</v>
      </c>
      <c r="U9" s="4" t="s">
        <v>27</v>
      </c>
      <c r="V9" s="4"/>
      <c r="W9" s="4" t="s">
        <v>28</v>
      </c>
      <c r="Z9">
        <v>6</v>
      </c>
      <c r="AA9" t="s">
        <v>35</v>
      </c>
      <c r="AB9" t="s">
        <v>48</v>
      </c>
      <c r="AC9">
        <f>MATCH(AB9,ovrcst!$A$4:$W$4,0)</f>
        <v>3</v>
      </c>
      <c r="AD9">
        <f>IFERROR(MATCH(AB9,heatrate!$K$4:$T$4,0),1)</f>
        <v>3</v>
      </c>
    </row>
    <row r="10" spans="2:30">
      <c r="B10" t="s">
        <v>49</v>
      </c>
      <c r="C10" t="s">
        <v>40</v>
      </c>
      <c r="D10" t="s">
        <v>22</v>
      </c>
      <c r="H10" s="19">
        <v>6.91636180877686</v>
      </c>
      <c r="I10" s="19">
        <f t="shared" si="0"/>
        <v>2.9861954636044</v>
      </c>
      <c r="J10" s="19">
        <v>0.06</v>
      </c>
      <c r="K10" s="21">
        <v>30</v>
      </c>
      <c r="L10">
        <v>30</v>
      </c>
      <c r="N10" s="19">
        <v>10.1898612976074</v>
      </c>
      <c r="P10" s="4"/>
      <c r="Q10" s="4" t="str">
        <f t="shared" si="1"/>
        <v>EN_GasCTAdv</v>
      </c>
      <c r="R10" s="4" t="s">
        <v>50</v>
      </c>
      <c r="S10" s="4" t="s">
        <v>42</v>
      </c>
      <c r="T10" s="4" t="s">
        <v>26</v>
      </c>
      <c r="U10" s="4" t="s">
        <v>27</v>
      </c>
      <c r="V10" s="4"/>
      <c r="W10" s="4" t="s">
        <v>28</v>
      </c>
      <c r="Z10">
        <v>7</v>
      </c>
      <c r="AA10" t="s">
        <v>39</v>
      </c>
      <c r="AB10" t="s">
        <v>51</v>
      </c>
      <c r="AC10">
        <f>MATCH(AB10,ovrcst!$A$4:$W$4,0)</f>
        <v>9</v>
      </c>
      <c r="AD10">
        <f>IFERROR(MATCH(AB10,heatrate!$K$4:$T$4,0),1)</f>
        <v>9</v>
      </c>
    </row>
    <row r="11" spans="2:30">
      <c r="B11" t="s">
        <v>52</v>
      </c>
      <c r="C11" t="s">
        <v>40</v>
      </c>
      <c r="D11" t="s">
        <v>22</v>
      </c>
      <c r="H11" s="19">
        <v>7.21220207214355</v>
      </c>
      <c r="I11" s="19">
        <f t="shared" si="0"/>
        <v>4.4487695561515</v>
      </c>
      <c r="J11" s="19">
        <v>0.06</v>
      </c>
      <c r="K11" s="21">
        <v>30</v>
      </c>
      <c r="L11">
        <v>30</v>
      </c>
      <c r="N11" s="19">
        <v>15.1806354522705</v>
      </c>
      <c r="P11" s="4"/>
      <c r="Q11" s="4" t="str">
        <f t="shared" si="1"/>
        <v>EN_GasCT</v>
      </c>
      <c r="R11" s="4" t="s">
        <v>53</v>
      </c>
      <c r="S11" s="4" t="s">
        <v>42</v>
      </c>
      <c r="T11" s="4" t="s">
        <v>26</v>
      </c>
      <c r="U11" s="4" t="s">
        <v>27</v>
      </c>
      <c r="V11" s="4"/>
      <c r="W11" s="4" t="s">
        <v>28</v>
      </c>
      <c r="Z11">
        <v>8</v>
      </c>
      <c r="AA11" t="s">
        <v>44</v>
      </c>
      <c r="AB11" t="s">
        <v>54</v>
      </c>
      <c r="AC11">
        <f>MATCH(AB11,ovrcst!$A$4:$W$4,0)</f>
        <v>8</v>
      </c>
      <c r="AD11">
        <f>IFERROR(MATCH(AB11,heatrate!$K$4:$T$4,0),1)</f>
        <v>8</v>
      </c>
    </row>
    <row r="12" spans="2:30">
      <c r="B12" t="s">
        <v>55</v>
      </c>
      <c r="C12" t="s">
        <v>56</v>
      </c>
      <c r="D12" t="s">
        <v>22</v>
      </c>
      <c r="E12" s="19">
        <v>0.252740740740741</v>
      </c>
      <c r="F12" s="19">
        <v>0.278014814814815</v>
      </c>
      <c r="H12" s="19">
        <v>103.787445068359</v>
      </c>
      <c r="I12" s="19">
        <f t="shared" si="0"/>
        <v>1.51438736650679</v>
      </c>
      <c r="J12" s="19">
        <v>0.83</v>
      </c>
      <c r="K12" s="21">
        <v>30</v>
      </c>
      <c r="L12">
        <v>30</v>
      </c>
      <c r="N12" s="19">
        <v>5.16757774353027</v>
      </c>
      <c r="P12" s="4"/>
      <c r="Q12" s="4" t="str">
        <f t="shared" si="1"/>
        <v>EN_Biomass</v>
      </c>
      <c r="R12" s="4" t="s">
        <v>57</v>
      </c>
      <c r="S12" s="4" t="s">
        <v>25</v>
      </c>
      <c r="T12" s="4" t="s">
        <v>26</v>
      </c>
      <c r="U12" s="4" t="s">
        <v>27</v>
      </c>
      <c r="V12" s="4"/>
      <c r="W12" s="4" t="s">
        <v>28</v>
      </c>
      <c r="Z12">
        <v>9</v>
      </c>
      <c r="AA12" t="s">
        <v>46</v>
      </c>
      <c r="AB12" t="s">
        <v>58</v>
      </c>
      <c r="AC12">
        <f>MATCH(AB12,ovrcst!$A$4:$W$4,0)</f>
        <v>7</v>
      </c>
      <c r="AD12">
        <f>IFERROR(MATCH(AB12,heatrate!$K$4:$T$4,0),1)</f>
        <v>7</v>
      </c>
    </row>
    <row r="13" spans="2:30">
      <c r="B13" t="s">
        <v>59</v>
      </c>
      <c r="C13" t="s">
        <v>56</v>
      </c>
      <c r="D13" t="s">
        <v>22</v>
      </c>
      <c r="H13" s="19">
        <v>103.787445068359</v>
      </c>
      <c r="I13" s="19">
        <f t="shared" si="0"/>
        <v>1.51438736650679</v>
      </c>
      <c r="J13" s="19">
        <v>0.83</v>
      </c>
      <c r="K13" s="21">
        <v>30</v>
      </c>
      <c r="L13">
        <v>30</v>
      </c>
      <c r="N13" s="19">
        <v>5.16757774353027</v>
      </c>
      <c r="P13" s="4"/>
      <c r="Q13" s="4" t="str">
        <f t="shared" si="1"/>
        <v>EN_ZBiomass</v>
      </c>
      <c r="R13" s="4" t="s">
        <v>60</v>
      </c>
      <c r="S13" s="4" t="s">
        <v>25</v>
      </c>
      <c r="T13" s="4" t="s">
        <v>26</v>
      </c>
      <c r="U13" s="4" t="s">
        <v>27</v>
      </c>
      <c r="V13" s="4"/>
      <c r="W13" s="4" t="s">
        <v>28</v>
      </c>
      <c r="Z13">
        <v>10</v>
      </c>
      <c r="AA13" t="s">
        <v>49</v>
      </c>
      <c r="AB13" t="s">
        <v>61</v>
      </c>
      <c r="AC13">
        <f>MATCH(AB13,ovrcst!$A$4:$W$4,0)</f>
        <v>6</v>
      </c>
      <c r="AD13">
        <f>IFERROR(MATCH(AB13,heatrate!$K$4:$T$4,0),1)</f>
        <v>6</v>
      </c>
    </row>
    <row r="14" spans="2:30">
      <c r="B14" t="s">
        <v>62</v>
      </c>
      <c r="C14" t="s">
        <v>63</v>
      </c>
      <c r="D14" t="s">
        <v>22</v>
      </c>
      <c r="H14" s="19">
        <v>15.101861000061</v>
      </c>
      <c r="I14" s="19">
        <f t="shared" si="0"/>
        <v>0.941362117065324</v>
      </c>
      <c r="J14" s="19">
        <v>0.3</v>
      </c>
      <c r="K14" s="21">
        <v>30</v>
      </c>
      <c r="L14">
        <v>30</v>
      </c>
      <c r="N14" s="19">
        <v>3.21223092079163</v>
      </c>
      <c r="P14" s="4"/>
      <c r="Q14" s="4" t="str">
        <f t="shared" si="1"/>
        <v>EN_OilCCAdv</v>
      </c>
      <c r="R14" s="4" t="s">
        <v>64</v>
      </c>
      <c r="S14" s="4" t="s">
        <v>42</v>
      </c>
      <c r="T14" s="4" t="s">
        <v>26</v>
      </c>
      <c r="U14" s="4" t="s">
        <v>27</v>
      </c>
      <c r="V14" s="4"/>
      <c r="W14" s="4" t="s">
        <v>28</v>
      </c>
      <c r="Z14">
        <v>11</v>
      </c>
      <c r="AA14" t="s">
        <v>52</v>
      </c>
      <c r="AB14" t="s">
        <v>65</v>
      </c>
      <c r="AC14">
        <f>MATCH(AB14,ovrcst!$A$4:$W$4,0)</f>
        <v>5</v>
      </c>
      <c r="AD14">
        <f>IFERROR(MATCH(AB14,heatrate!$K$4:$T$4,0),1)</f>
        <v>5</v>
      </c>
    </row>
    <row r="15" spans="2:30">
      <c r="B15" s="20" t="s">
        <v>66</v>
      </c>
      <c r="C15" t="s">
        <v>67</v>
      </c>
      <c r="D15" t="s">
        <v>22</v>
      </c>
      <c r="E15">
        <v>0.33</v>
      </c>
      <c r="H15" s="19">
        <f>H13</f>
        <v>103.787445068359</v>
      </c>
      <c r="I15" s="19">
        <f t="shared" si="0"/>
        <v>1.51438736650679</v>
      </c>
      <c r="J15" s="19">
        <f>J6</f>
        <v>0.85</v>
      </c>
      <c r="K15" s="21">
        <v>50</v>
      </c>
      <c r="L15">
        <v>30</v>
      </c>
      <c r="N15" s="19">
        <f>N13</f>
        <v>5.16757774353027</v>
      </c>
      <c r="Q15" s="4" t="str">
        <f t="shared" si="1"/>
        <v>EN_NuclearAdv</v>
      </c>
      <c r="R15" s="20" t="s">
        <v>68</v>
      </c>
      <c r="S15" s="4" t="s">
        <v>25</v>
      </c>
      <c r="T15" s="4" t="s">
        <v>26</v>
      </c>
      <c r="U15" s="4" t="s">
        <v>27</v>
      </c>
      <c r="V15" s="4"/>
      <c r="W15" s="4" t="s">
        <v>28</v>
      </c>
      <c r="Z15">
        <v>12</v>
      </c>
      <c r="AA15" t="s">
        <v>55</v>
      </c>
      <c r="AB15" t="s">
        <v>69</v>
      </c>
      <c r="AC15">
        <f>MATCH(AB15,ovrcst!$A$4:$W$4,0)</f>
        <v>12</v>
      </c>
      <c r="AD15">
        <f>IFERROR(MATCH(AB15,heatrate!$K$4:$T$4,0),1)</f>
        <v>1</v>
      </c>
    </row>
    <row r="16" spans="2:30">
      <c r="B16" t="s">
        <v>70</v>
      </c>
      <c r="C16" t="s">
        <v>71</v>
      </c>
      <c r="D16" t="s">
        <v>22</v>
      </c>
      <c r="E16">
        <v>0.33</v>
      </c>
      <c r="G16" s="51">
        <v>9999</v>
      </c>
      <c r="H16" s="51">
        <v>500</v>
      </c>
      <c r="I16" s="51">
        <v>10</v>
      </c>
      <c r="J16">
        <v>0.85</v>
      </c>
      <c r="K16">
        <v>50</v>
      </c>
      <c r="L16">
        <v>30</v>
      </c>
      <c r="Q16" s="4" t="str">
        <f t="shared" si="1"/>
        <v>EN_GeoThermal</v>
      </c>
      <c r="R16" s="4" t="s">
        <v>72</v>
      </c>
      <c r="S16" s="4" t="s">
        <v>25</v>
      </c>
      <c r="T16" s="4" t="s">
        <v>26</v>
      </c>
      <c r="U16" s="4" t="s">
        <v>27</v>
      </c>
      <c r="V16" s="4"/>
      <c r="Z16">
        <v>13</v>
      </c>
      <c r="AA16" t="s">
        <v>59</v>
      </c>
      <c r="AB16" t="s">
        <v>48</v>
      </c>
      <c r="AC16">
        <f>MATCH(AB16,ovrcst!$A$4:$W$4,0)</f>
        <v>3</v>
      </c>
      <c r="AD16">
        <f>IFERROR(MATCH(AB16,heatrate!$K$4:$T$4,0),1)</f>
        <v>3</v>
      </c>
    </row>
    <row r="17" spans="26:30">
      <c r="Z17">
        <v>14</v>
      </c>
      <c r="AA17" t="s">
        <v>62</v>
      </c>
      <c r="AB17" t="s">
        <v>61</v>
      </c>
      <c r="AC17">
        <f>MATCH(AB17,ovrcst!$A$4:$W$4,0)</f>
        <v>6</v>
      </c>
      <c r="AD17">
        <f>IFERROR(MATCH(AB17,heatrate!$K$4:$T$4,0),1)</f>
        <v>6</v>
      </c>
    </row>
    <row r="18" spans="26:30">
      <c r="Z18">
        <v>15</v>
      </c>
      <c r="AA18" t="s">
        <v>73</v>
      </c>
      <c r="AB18" t="s">
        <v>74</v>
      </c>
      <c r="AC18">
        <f>MATCH(AB18,ovrcst!$A$4:$W$4,0)</f>
        <v>15</v>
      </c>
      <c r="AD18">
        <f>IFERROR(MATCH(AB18,heatrate!$K$4:$T$4,0),1)</f>
        <v>1</v>
      </c>
    </row>
    <row r="19" spans="26:30">
      <c r="Z19">
        <v>16</v>
      </c>
      <c r="AA19" s="20" t="s">
        <v>66</v>
      </c>
      <c r="AB19" t="s">
        <v>75</v>
      </c>
      <c r="AC19">
        <f>MATCH(AB19,ovrcst!$A$4:$W$4,0)</f>
        <v>11</v>
      </c>
      <c r="AD19">
        <f>IFERROR(MATCH(AB19,heatrate!$K$4:$T$4,0),1)</f>
        <v>1</v>
      </c>
    </row>
    <row r="20" spans="27:27">
      <c r="AA20" s="20"/>
    </row>
    <row r="21" spans="2:2">
      <c r="B21" t="s">
        <v>76</v>
      </c>
    </row>
    <row r="22" spans="2:34">
      <c r="B22" t="s">
        <v>2</v>
      </c>
      <c r="C22">
        <v>2019</v>
      </c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</row>
    <row r="23" spans="2:34">
      <c r="B23" t="str">
        <f t="shared" ref="B23:B32" si="2">B6</f>
        <v>EN_ZCOAIGCC</v>
      </c>
      <c r="C23" s="21">
        <f>VLOOKUP(C$22,ovrcst!$A$5:$W$36,VLOOKUP('ELC_Gen-sdj'!$B23,'ELC_Gen-sdj'!$AA$4:$AC$19,3,FALSE))</f>
        <v>5715.78799287169</v>
      </c>
      <c r="D23" s="21">
        <f>VLOOKUP(D$22,ovrcst!$A$5:$W$36,VLOOKUP('ELC_Gen-sdj'!$B23,'ELC_Gen-sdj'!$AA$4:$AC$19,3,FALSE))</f>
        <v>5651.68641038696</v>
      </c>
      <c r="E23" s="21">
        <f>VLOOKUP(E$22,ovrcst!$A$5:$W$36,VLOOKUP('ELC_Gen-sdj'!$B23,'ELC_Gen-sdj'!$AA$4:$AC$19,3,FALSE))</f>
        <v>5513.49933604888</v>
      </c>
      <c r="F23" s="21">
        <f>VLOOKUP(F$22,ovrcst!$A$5:$W$36,VLOOKUP('ELC_Gen-sdj'!$B23,'ELC_Gen-sdj'!$AA$4:$AC$19,3,FALSE))</f>
        <v>5427.62747046843</v>
      </c>
      <c r="G23" s="21">
        <f>VLOOKUP(G$22,ovrcst!$A$5:$W$36,VLOOKUP('ELC_Gen-sdj'!$B23,'ELC_Gen-sdj'!$AA$4:$AC$19,3,FALSE))</f>
        <v>5366.88070773931</v>
      </c>
      <c r="H23" s="21">
        <f>VLOOKUP(H$22,ovrcst!$A$5:$W$36,VLOOKUP('ELC_Gen-sdj'!$B23,'ELC_Gen-sdj'!$AA$4:$AC$19,3,FALSE))</f>
        <v>5317.94418635438</v>
      </c>
      <c r="I23" s="21">
        <f>VLOOKUP(I$22,ovrcst!$A$5:$W$36,VLOOKUP('ELC_Gen-sdj'!$B23,'ELC_Gen-sdj'!$AA$4:$AC$19,3,FALSE))</f>
        <v>5278.09655804481</v>
      </c>
      <c r="J23" s="21">
        <f>VLOOKUP(J$22,ovrcst!$A$5:$W$36,VLOOKUP('ELC_Gen-sdj'!$B23,'ELC_Gen-sdj'!$AA$4:$AC$19,3,FALSE))</f>
        <v>5225.57549592668</v>
      </c>
      <c r="K23" s="21">
        <f>VLOOKUP(K$22,ovrcst!$A$5:$W$36,VLOOKUP('ELC_Gen-sdj'!$B23,'ELC_Gen-sdj'!$AA$4:$AC$19,3,FALSE))</f>
        <v>5162.74931160896</v>
      </c>
      <c r="L23" s="21">
        <f>VLOOKUP(L$22,ovrcst!$A$5:$W$36,VLOOKUP('ELC_Gen-sdj'!$B23,'ELC_Gen-sdj'!$AA$4:$AC$19,3,FALSE))</f>
        <v>5092.60736252546</v>
      </c>
      <c r="M23" s="21">
        <f>VLOOKUP(M$22,ovrcst!$A$5:$W$36,VLOOKUP('ELC_Gen-sdj'!$B23,'ELC_Gen-sdj'!$AA$4:$AC$19,3,FALSE))</f>
        <v>5020.64206517312</v>
      </c>
      <c r="N23" s="21">
        <f>VLOOKUP(N$22,ovrcst!$A$5:$W$36,VLOOKUP('ELC_Gen-sdj'!$B23,'ELC_Gen-sdj'!$AA$4:$AC$19,3,FALSE))</f>
        <v>4957.23809775967</v>
      </c>
      <c r="O23" s="21">
        <f>VLOOKUP(O$22,ovrcst!$A$5:$W$36,VLOOKUP('ELC_Gen-sdj'!$B23,'ELC_Gen-sdj'!$AA$4:$AC$19,3,FALSE))</f>
        <v>4894.15733197556</v>
      </c>
      <c r="P23" s="21">
        <f>VLOOKUP(P$22,ovrcst!$A$5:$W$36,VLOOKUP('ELC_Gen-sdj'!$B23,'ELC_Gen-sdj'!$AA$4:$AC$19,3,FALSE))</f>
        <v>4831.2734694501</v>
      </c>
      <c r="Q23" s="21">
        <f>VLOOKUP(Q$22,ovrcst!$A$5:$W$36,VLOOKUP('ELC_Gen-sdj'!$B23,'ELC_Gen-sdj'!$AA$4:$AC$19,3,FALSE))</f>
        <v>4771.21835641548</v>
      </c>
      <c r="R23" s="21">
        <f>VLOOKUP(R$22,ovrcst!$A$5:$W$36,VLOOKUP('ELC_Gen-sdj'!$B23,'ELC_Gen-sdj'!$AA$4:$AC$19,3,FALSE))</f>
        <v>4711.93395213849</v>
      </c>
      <c r="S23" s="21">
        <f>VLOOKUP(S$22,ovrcst!$A$5:$W$36,VLOOKUP('ELC_Gen-sdj'!$B23,'ELC_Gen-sdj'!$AA$4:$AC$19,3,FALSE))</f>
        <v>4649.74124032587</v>
      </c>
      <c r="T23" s="21">
        <f>VLOOKUP(T$22,ovrcst!$A$5:$W$36,VLOOKUP('ELC_Gen-sdj'!$B23,'ELC_Gen-sdj'!$AA$4:$AC$19,3,FALSE))</f>
        <v>4590.54186252546</v>
      </c>
      <c r="U23" s="21">
        <f>VLOOKUP(U$22,ovrcst!$A$5:$W$36,VLOOKUP('ELC_Gen-sdj'!$B23,'ELC_Gen-sdj'!$AA$4:$AC$19,3,FALSE))</f>
        <v>4532.31506924644</v>
      </c>
      <c r="V23" s="21">
        <f>VLOOKUP(V$22,ovrcst!$A$5:$W$36,VLOOKUP('ELC_Gen-sdj'!$B23,'ELC_Gen-sdj'!$AA$4:$AC$19,3,FALSE))</f>
        <v>4476.12543380855</v>
      </c>
      <c r="W23" s="21">
        <f>VLOOKUP(W$22,ovrcst!$A$5:$W$36,VLOOKUP('ELC_Gen-sdj'!$B23,'ELC_Gen-sdj'!$AA$4:$AC$19,3,FALSE))</f>
        <v>4419.47436659878</v>
      </c>
      <c r="X23" s="21">
        <f>VLOOKUP(X$22,ovrcst!$A$5:$W$36,VLOOKUP('ELC_Gen-sdj'!$B23,'ELC_Gen-sdj'!$AA$4:$AC$19,3,FALSE))</f>
        <v>4364.73067922607</v>
      </c>
      <c r="Y23" s="21">
        <f>VLOOKUP(Y$22,ovrcst!$A$5:$W$36,VLOOKUP('ELC_Gen-sdj'!$B23,'ELC_Gen-sdj'!$AA$4:$AC$19,3,FALSE))</f>
        <v>4311.29819144603</v>
      </c>
      <c r="Z23" s="21">
        <f>VLOOKUP(Z$22,ovrcst!$A$5:$W$36,VLOOKUP('ELC_Gen-sdj'!$B23,'ELC_Gen-sdj'!$AA$4:$AC$19,3,FALSE))</f>
        <v>4254.75452647658</v>
      </c>
      <c r="AA23" s="21">
        <f>VLOOKUP(AA$22,ovrcst!$A$5:$W$36,VLOOKUP('ELC_Gen-sdj'!$B23,'ELC_Gen-sdj'!$AA$4:$AC$19,3,FALSE))</f>
        <v>4204.72011812627</v>
      </c>
      <c r="AB23" s="21">
        <f>VLOOKUP(AB$22,ovrcst!$A$5:$W$36,VLOOKUP('ELC_Gen-sdj'!$B23,'ELC_Gen-sdj'!$AA$4:$AC$19,3,FALSE))</f>
        <v>4149.41306822811</v>
      </c>
      <c r="AC23" s="21">
        <f>VLOOKUP(AC$22,ovrcst!$A$5:$W$36,VLOOKUP('ELC_Gen-sdj'!$B23,'ELC_Gen-sdj'!$AA$4:$AC$19,3,FALSE))</f>
        <v>4099.60241344195</v>
      </c>
      <c r="AD23" s="21">
        <f>VLOOKUP(AD$22,ovrcst!$A$5:$W$36,VLOOKUP('ELC_Gen-sdj'!$B23,'ELC_Gen-sdj'!$AA$4:$AC$19,3,FALSE))</f>
        <v>4045.53744704684</v>
      </c>
      <c r="AE23" s="21">
        <f>VLOOKUP(AE$22,ovrcst!$A$5:$W$36,VLOOKUP('ELC_Gen-sdj'!$B23,'ELC_Gen-sdj'!$AA$4:$AC$19,3,FALSE))</f>
        <v>3995.28674338086</v>
      </c>
      <c r="AF23" s="21">
        <f>VLOOKUP(AF$22,ovrcst!$A$5:$W$36,VLOOKUP('ELC_Gen-sdj'!$B23,'ELC_Gen-sdj'!$AA$4:$AC$19,3,FALSE))</f>
        <v>3945.05319348269</v>
      </c>
      <c r="AG23" s="21">
        <f>VLOOKUP(AG$22,ovrcst!$A$5:$W$36,VLOOKUP('ELC_Gen-sdj'!$B23,'ELC_Gen-sdj'!$AA$4:$AC$19,3,FALSE))</f>
        <v>3894.91287474542</v>
      </c>
      <c r="AH23" s="21">
        <f>VLOOKUP(AH$22,ovrcst!$A$5:$W$36,VLOOKUP('ELC_Gen-sdj'!$B23,'ELC_Gen-sdj'!$AA$4:$AC$19,3,FALSE))</f>
        <v>3845.22130753564</v>
      </c>
    </row>
    <row r="24" spans="2:34">
      <c r="B24" t="str">
        <f t="shared" si="2"/>
        <v>EN_ZGasCCAdv</v>
      </c>
      <c r="C24" s="21">
        <f>VLOOKUP(C$22,ovrcst!$A$5:$W$36,VLOOKUP('ELC_Gen-sdj'!$B24,'ELC_Gen-sdj'!$AA$4:$AC$19,3,FALSE))</f>
        <v>2204.75272645371</v>
      </c>
      <c r="D24" s="21">
        <f>VLOOKUP(D$22,ovrcst!$A$5:$W$36,VLOOKUP('ELC_Gen-sdj'!$B24,'ELC_Gen-sdj'!$AA$4:$AC$19,3,FALSE))</f>
        <v>2176.35507794149</v>
      </c>
      <c r="E24" s="21">
        <f>VLOOKUP(E$22,ovrcst!$A$5:$W$36,VLOOKUP('ELC_Gen-sdj'!$B24,'ELC_Gen-sdj'!$AA$4:$AC$19,3,FALSE))</f>
        <v>2119.52768406583</v>
      </c>
      <c r="F24" s="21">
        <f>VLOOKUP(F$22,ovrcst!$A$5:$W$36,VLOOKUP('ELC_Gen-sdj'!$B24,'ELC_Gen-sdj'!$AA$4:$AC$19,3,FALSE))</f>
        <v>2082.92714602501</v>
      </c>
      <c r="G24" s="21">
        <f>VLOOKUP(G$22,ovrcst!$A$5:$W$36,VLOOKUP('ELC_Gen-sdj'!$B24,'ELC_Gen-sdj'!$AA$4:$AC$19,3,FALSE))</f>
        <v>2023.7324353742</v>
      </c>
      <c r="H24" s="21">
        <f>VLOOKUP(H$22,ovrcst!$A$5:$W$36,VLOOKUP('ELC_Gen-sdj'!$B24,'ELC_Gen-sdj'!$AA$4:$AC$19,3,FALSE))</f>
        <v>1991.66805414048</v>
      </c>
      <c r="I24" s="21">
        <f>VLOOKUP(I$22,ovrcst!$A$5:$W$36,VLOOKUP('ELC_Gen-sdj'!$B24,'ELC_Gen-sdj'!$AA$4:$AC$19,3,FALSE))</f>
        <v>1962.45998140154</v>
      </c>
      <c r="J24" s="21">
        <f>VLOOKUP(J$22,ovrcst!$A$5:$W$36,VLOOKUP('ELC_Gen-sdj'!$B24,'ELC_Gen-sdj'!$AA$4:$AC$19,3,FALSE))</f>
        <v>1929.65633053454</v>
      </c>
      <c r="K24" s="21">
        <f>VLOOKUP(K$22,ovrcst!$A$5:$W$36,VLOOKUP('ELC_Gen-sdj'!$B24,'ELC_Gen-sdj'!$AA$4:$AC$19,3,FALSE))</f>
        <v>1894.16829580452</v>
      </c>
      <c r="L24" s="21">
        <f>VLOOKUP(L$22,ovrcst!$A$5:$W$36,VLOOKUP('ELC_Gen-sdj'!$B24,'ELC_Gen-sdj'!$AA$4:$AC$19,3,FALSE))</f>
        <v>1861.10162262903</v>
      </c>
      <c r="M24" s="21">
        <f>VLOOKUP(M$22,ovrcst!$A$5:$W$36,VLOOKUP('ELC_Gen-sdj'!$B24,'ELC_Gen-sdj'!$AA$4:$AC$19,3,FALSE))</f>
        <v>1827.58595893258</v>
      </c>
      <c r="N24" s="21">
        <f>VLOOKUP(N$22,ovrcst!$A$5:$W$36,VLOOKUP('ELC_Gen-sdj'!$B24,'ELC_Gen-sdj'!$AA$4:$AC$19,3,FALSE))</f>
        <v>1799.75824992702</v>
      </c>
      <c r="O24" s="21">
        <f>VLOOKUP(O$22,ovrcst!$A$5:$W$36,VLOOKUP('ELC_Gen-sdj'!$B24,'ELC_Gen-sdj'!$AA$4:$AC$19,3,FALSE))</f>
        <v>1772.72055130334</v>
      </c>
      <c r="P24" s="21">
        <f>VLOOKUP(P$22,ovrcst!$A$5:$W$36,VLOOKUP('ELC_Gen-sdj'!$B24,'ELC_Gen-sdj'!$AA$4:$AC$19,3,FALSE))</f>
        <v>1744.33989467314</v>
      </c>
      <c r="Q24" s="21">
        <f>VLOOKUP(Q$22,ovrcst!$A$5:$W$36,VLOOKUP('ELC_Gen-sdj'!$B24,'ELC_Gen-sdj'!$AA$4:$AC$19,3,FALSE))</f>
        <v>1718.35770627959</v>
      </c>
      <c r="R24" s="21">
        <f>VLOOKUP(R$22,ovrcst!$A$5:$W$36,VLOOKUP('ELC_Gen-sdj'!$B24,'ELC_Gen-sdj'!$AA$4:$AC$19,3,FALSE))</f>
        <v>1691.78351251916</v>
      </c>
      <c r="S24" s="21">
        <f>VLOOKUP(S$22,ovrcst!$A$5:$W$36,VLOOKUP('ELC_Gen-sdj'!$B24,'ELC_Gen-sdj'!$AA$4:$AC$19,3,FALSE))</f>
        <v>1665.42301550323</v>
      </c>
      <c r="T24" s="21">
        <f>VLOOKUP(T$22,ovrcst!$A$5:$W$36,VLOOKUP('ELC_Gen-sdj'!$B24,'ELC_Gen-sdj'!$AA$4:$AC$19,3,FALSE))</f>
        <v>1639.50490094674</v>
      </c>
      <c r="U24" s="21">
        <f>VLOOKUP(U$22,ovrcst!$A$5:$W$36,VLOOKUP('ELC_Gen-sdj'!$B24,'ELC_Gen-sdj'!$AA$4:$AC$19,3,FALSE))</f>
        <v>1615.45708723299</v>
      </c>
      <c r="V24" s="21">
        <f>VLOOKUP(V$22,ovrcst!$A$5:$W$36,VLOOKUP('ELC_Gen-sdj'!$B24,'ELC_Gen-sdj'!$AA$4:$AC$19,3,FALSE))</f>
        <v>1593.55262572813</v>
      </c>
      <c r="W24" s="21">
        <f>VLOOKUP(W$22,ovrcst!$A$5:$W$36,VLOOKUP('ELC_Gen-sdj'!$B24,'ELC_Gen-sdj'!$AA$4:$AC$19,3,FALSE))</f>
        <v>1571.51376228378</v>
      </c>
      <c r="X24" s="21">
        <f>VLOOKUP(X$22,ovrcst!$A$5:$W$36,VLOOKUP('ELC_Gen-sdj'!$B24,'ELC_Gen-sdj'!$AA$4:$AC$19,3,FALSE))</f>
        <v>1550.18195465609</v>
      </c>
      <c r="Y24" s="21">
        <f>VLOOKUP(Y$22,ovrcst!$A$5:$W$36,VLOOKUP('ELC_Gen-sdj'!$B24,'ELC_Gen-sdj'!$AA$4:$AC$19,3,FALSE))</f>
        <v>1529.34397686212</v>
      </c>
      <c r="Z24" s="21">
        <f>VLOOKUP(Z$22,ovrcst!$A$5:$W$36,VLOOKUP('ELC_Gen-sdj'!$B24,'ELC_Gen-sdj'!$AA$4:$AC$19,3,FALSE))</f>
        <v>1507.43160907651</v>
      </c>
      <c r="AA24" s="21">
        <f>VLOOKUP(AA$22,ovrcst!$A$5:$W$36,VLOOKUP('ELC_Gen-sdj'!$B24,'ELC_Gen-sdj'!$AA$4:$AC$19,3,FALSE))</f>
        <v>1487.85422631741</v>
      </c>
      <c r="AB24" s="21">
        <f>VLOOKUP(AB$22,ovrcst!$A$5:$W$36,VLOOKUP('ELC_Gen-sdj'!$B24,'ELC_Gen-sdj'!$AA$4:$AC$19,3,FALSE))</f>
        <v>1466.43899239628</v>
      </c>
      <c r="AC24" s="21">
        <f>VLOOKUP(AC$22,ovrcst!$A$5:$W$36,VLOOKUP('ELC_Gen-sdj'!$B24,'ELC_Gen-sdj'!$AA$4:$AC$19,3,FALSE))</f>
        <v>1446.99435859464</v>
      </c>
      <c r="AD24" s="21">
        <f>VLOOKUP(AD$22,ovrcst!$A$5:$W$36,VLOOKUP('ELC_Gen-sdj'!$B24,'ELC_Gen-sdj'!$AA$4:$AC$19,3,FALSE))</f>
        <v>1426.07696709696</v>
      </c>
      <c r="AE24" s="21">
        <f>VLOOKUP(AE$22,ovrcst!$A$5:$W$36,VLOOKUP('ELC_Gen-sdj'!$B24,'ELC_Gen-sdj'!$AA$4:$AC$19,3,FALSE))</f>
        <v>1406.53286050958</v>
      </c>
      <c r="AF24" s="21">
        <f>VLOOKUP(AF$22,ovrcst!$A$5:$W$36,VLOOKUP('ELC_Gen-sdj'!$B24,'ELC_Gen-sdj'!$AA$4:$AC$19,3,FALSE))</f>
        <v>1387.02238292344</v>
      </c>
      <c r="AG24" s="21">
        <f>VLOOKUP(AG$22,ovrcst!$A$5:$W$36,VLOOKUP('ELC_Gen-sdj'!$B24,'ELC_Gen-sdj'!$AA$4:$AC$19,3,FALSE))</f>
        <v>1367.57267611025</v>
      </c>
      <c r="AH24" s="21">
        <f>VLOOKUP(AH$22,ovrcst!$A$5:$W$36,VLOOKUP('ELC_Gen-sdj'!$B24,'ELC_Gen-sdj'!$AA$4:$AC$19,3,FALSE))</f>
        <v>1348.30881861084</v>
      </c>
    </row>
    <row r="25" spans="2:34">
      <c r="B25" s="22" t="str">
        <f t="shared" si="2"/>
        <v>EN_GasCCAdv</v>
      </c>
      <c r="C25" s="23">
        <f>VLOOKUP(C$22,ovrcst!$A$5:$W$36,VLOOKUP('ELC_Gen-sdj'!$B25,'ELC_Gen-sdj'!$AA$4:$AC$19,3,FALSE))</f>
        <v>794.439515921459</v>
      </c>
      <c r="D25" s="23">
        <f>VLOOKUP(D$22,ovrcst!$A$5:$W$36,VLOOKUP('ELC_Gen-sdj'!$B25,'ELC_Gen-sdj'!$AA$4:$AC$19,3,FALSE))</f>
        <v>786.438414656567</v>
      </c>
      <c r="E25" s="23">
        <f>VLOOKUP(E$22,ovrcst!$A$5:$W$36,VLOOKUP('ELC_Gen-sdj'!$B25,'ELC_Gen-sdj'!$AA$4:$AC$19,3,FALSE))</f>
        <v>768.10346098691</v>
      </c>
      <c r="F25" s="23">
        <f>VLOOKUP(F$22,ovrcst!$A$5:$W$36,VLOOKUP('ELC_Gen-sdj'!$B25,'ELC_Gen-sdj'!$AA$4:$AC$19,3,FALSE))</f>
        <v>757.02855199294</v>
      </c>
      <c r="G25" s="23">
        <f>VLOOKUP(G$22,ovrcst!$A$5:$W$36,VLOOKUP('ELC_Gen-sdj'!$B25,'ELC_Gen-sdj'!$AA$4:$AC$19,3,FALSE))</f>
        <v>732.128885681718</v>
      </c>
      <c r="H25" s="23">
        <f>VLOOKUP(H$22,ovrcst!$A$5:$W$36,VLOOKUP('ELC_Gen-sdj'!$B25,'ELC_Gen-sdj'!$AA$4:$AC$19,3,FALSE))</f>
        <v>720.962914583027</v>
      </c>
      <c r="I25" s="23">
        <f>VLOOKUP(I$22,ovrcst!$A$5:$W$36,VLOOKUP('ELC_Gen-sdj'!$B25,'ELC_Gen-sdj'!$AA$4:$AC$19,3,FALSE))</f>
        <v>710.713896345051</v>
      </c>
      <c r="J25" s="23">
        <f>VLOOKUP(J$22,ovrcst!$A$5:$W$36,VLOOKUP('ELC_Gen-sdj'!$B25,'ELC_Gen-sdj'!$AA$4:$AC$19,3,FALSE))</f>
        <v>699.333261325195</v>
      </c>
      <c r="K25" s="23">
        <f>VLOOKUP(K$22,ovrcst!$A$5:$W$36,VLOOKUP('ELC_Gen-sdj'!$B25,'ELC_Gen-sdj'!$AA$4:$AC$19,3,FALSE))</f>
        <v>687.137956868657</v>
      </c>
      <c r="L25" s="23">
        <f>VLOOKUP(L$22,ovrcst!$A$5:$W$36,VLOOKUP('ELC_Gen-sdj'!$B25,'ELC_Gen-sdj'!$AA$4:$AC$19,3,FALSE))</f>
        <v>676.658619833799</v>
      </c>
      <c r="M25" s="23">
        <f>VLOOKUP(M$22,ovrcst!$A$5:$W$36,VLOOKUP('ELC_Gen-sdj'!$B25,'ELC_Gen-sdj'!$AA$4:$AC$19,3,FALSE))</f>
        <v>666.001425761141</v>
      </c>
      <c r="N25" s="23">
        <f>VLOOKUP(N$22,ovrcst!$A$5:$W$36,VLOOKUP('ELC_Gen-sdj'!$B25,'ELC_Gen-sdj'!$AA$4:$AC$19,3,FALSE))</f>
        <v>657.808775187527</v>
      </c>
      <c r="O25" s="23">
        <f>VLOOKUP(O$22,ovrcst!$A$5:$W$36,VLOOKUP('ELC_Gen-sdj'!$B25,'ELC_Gen-sdj'!$AA$4:$AC$19,3,FALSE))</f>
        <v>649.975040447124</v>
      </c>
      <c r="P25" s="23">
        <f>VLOOKUP(P$22,ovrcst!$A$5:$W$36,VLOOKUP('ELC_Gen-sdj'!$B25,'ELC_Gen-sdj'!$AA$4:$AC$19,3,FALSE))</f>
        <v>641.363721687013</v>
      </c>
      <c r="Q25" s="23">
        <f>VLOOKUP(Q$22,ovrcst!$A$5:$W$36,VLOOKUP('ELC_Gen-sdj'!$B25,'ELC_Gen-sdj'!$AA$4:$AC$19,3,FALSE))</f>
        <v>633.822021620827</v>
      </c>
      <c r="R25" s="23">
        <f>VLOOKUP(R$22,ovrcst!$A$5:$W$36,VLOOKUP('ELC_Gen-sdj'!$B25,'ELC_Gen-sdj'!$AA$4:$AC$19,3,FALSE))</f>
        <v>625.87377279747</v>
      </c>
      <c r="S25" s="21">
        <f>VLOOKUP(S$22,ovrcst!$A$5:$W$36,VLOOKUP('ELC_Gen-sdj'!$B25,'ELC_Gen-sdj'!$AA$4:$AC$19,3,FALSE))</f>
        <v>618.168914546257</v>
      </c>
      <c r="T25" s="21">
        <f>VLOOKUP(T$22,ovrcst!$A$5:$W$36,VLOOKUP('ELC_Gen-sdj'!$B25,'ELC_Gen-sdj'!$AA$4:$AC$19,3,FALSE))</f>
        <v>610.47914950728</v>
      </c>
      <c r="U25" s="21">
        <f>VLOOKUP(U$22,ovrcst!$A$5:$W$36,VLOOKUP('ELC_Gen-sdj'!$B25,'ELC_Gen-sdj'!$AA$4:$AC$19,3,FALSE))</f>
        <v>603.691580563318</v>
      </c>
      <c r="V25" s="21">
        <f>VLOOKUP(V$22,ovrcst!$A$5:$W$36,VLOOKUP('ELC_Gen-sdj'!$B25,'ELC_Gen-sdj'!$AA$4:$AC$19,3,FALSE))</f>
        <v>597.892836262686</v>
      </c>
      <c r="W25" s="21">
        <f>VLOOKUP(W$22,ovrcst!$A$5:$W$36,VLOOKUP('ELC_Gen-sdj'!$B25,'ELC_Gen-sdj'!$AA$4:$AC$19,3,FALSE))</f>
        <v>592.006173702015</v>
      </c>
      <c r="X25" s="21">
        <f>VLOOKUP(X$22,ovrcst!$A$5:$W$36,VLOOKUP('ELC_Gen-sdj'!$B25,'ELC_Gen-sdj'!$AA$4:$AC$19,3,FALSE))</f>
        <v>586.348874834534</v>
      </c>
      <c r="Y25" s="21">
        <f>VLOOKUP(Y$22,ovrcst!$A$5:$W$36,VLOOKUP('ELC_Gen-sdj'!$B25,'ELC_Gen-sdj'!$AA$4:$AC$19,3,FALSE))</f>
        <v>580.842559567583</v>
      </c>
      <c r="Z25" s="21">
        <f>VLOOKUP(Z$22,ovrcst!$A$5:$W$36,VLOOKUP('ELC_Gen-sdj'!$B25,'ELC_Gen-sdj'!$AA$4:$AC$19,3,FALSE))</f>
        <v>574.890643844683</v>
      </c>
      <c r="AA25" s="21">
        <f>VLOOKUP(AA$22,ovrcst!$A$5:$W$36,VLOOKUP('ELC_Gen-sdj'!$B25,'ELC_Gen-sdj'!$AA$4:$AC$19,3,FALSE))</f>
        <v>569.792897852625</v>
      </c>
      <c r="AB25" s="21">
        <f>VLOOKUP(AB$22,ovrcst!$A$5:$W$36,VLOOKUP('ELC_Gen-sdj'!$B25,'ELC_Gen-sdj'!$AA$4:$AC$19,3,FALSE))</f>
        <v>563.955384063833</v>
      </c>
      <c r="AC25" s="21">
        <f>VLOOKUP(AC$22,ovrcst!$A$5:$W$36,VLOOKUP('ELC_Gen-sdj'!$B25,'ELC_Gen-sdj'!$AA$4:$AC$19,3,FALSE))</f>
        <v>558.839234630093</v>
      </c>
      <c r="AD25" s="21">
        <f>VLOOKUP(AD$22,ovrcst!$A$5:$W$36,VLOOKUP('ELC_Gen-sdj'!$B25,'ELC_Gen-sdj'!$AA$4:$AC$19,3,FALSE))</f>
        <v>553.117693778497</v>
      </c>
      <c r="AE25" s="21">
        <f>VLOOKUP(AE$22,ovrcst!$A$5:$W$36,VLOOKUP('ELC_Gen-sdj'!$B25,'ELC_Gen-sdj'!$AA$4:$AC$19,3,FALSE))</f>
        <v>547.891688115899</v>
      </c>
      <c r="AF25" s="21">
        <f>VLOOKUP(AF$22,ovrcst!$A$5:$W$36,VLOOKUP('ELC_Gen-sdj'!$B25,'ELC_Gen-sdj'!$AA$4:$AC$19,3,FALSE))</f>
        <v>542.643182821003</v>
      </c>
      <c r="AG25" s="21">
        <f>VLOOKUP(AG$22,ovrcst!$A$5:$W$36,VLOOKUP('ELC_Gen-sdj'!$B25,'ELC_Gen-sdj'!$AA$4:$AC$19,3,FALSE))</f>
        <v>537.382221650243</v>
      </c>
      <c r="AH25" s="21">
        <f>VLOOKUP(AH$22,ovrcst!$A$5:$W$36,VLOOKUP('ELC_Gen-sdj'!$B25,'ELC_Gen-sdj'!$AA$4:$AC$19,3,FALSE))</f>
        <v>532.157899139579</v>
      </c>
    </row>
    <row r="26" spans="2:34">
      <c r="B26" t="str">
        <f t="shared" si="2"/>
        <v>EN_GasCC</v>
      </c>
      <c r="C26" s="21">
        <f>VLOOKUP(C$22,ovrcst!$A$5:$W$36,VLOOKUP('ELC_Gen-sdj'!$B26,'ELC_Gen-sdj'!$AA$4:$AC$19,3,FALSE))</f>
        <v>999.327221030146</v>
      </c>
      <c r="D26" s="21">
        <f>VLOOKUP(D$22,ovrcst!$A$5:$W$36,VLOOKUP('ELC_Gen-sdj'!$B26,'ELC_Gen-sdj'!$AA$4:$AC$19,3,FALSE))</f>
        <v>990.019633973847</v>
      </c>
      <c r="E26" s="21">
        <f>VLOOKUP(E$22,ovrcst!$A$5:$W$36,VLOOKUP('ELC_Gen-sdj'!$B26,'ELC_Gen-sdj'!$AA$4:$AC$19,3,FALSE))</f>
        <v>967.683340229199</v>
      </c>
      <c r="F26" s="21">
        <f>VLOOKUP(F$22,ovrcst!$A$5:$W$36,VLOOKUP('ELC_Gen-sdj'!$B26,'ELC_Gen-sdj'!$AA$4:$AC$19,3,FALSE))</f>
        <v>954.469402561413</v>
      </c>
      <c r="G26" s="21">
        <f>VLOOKUP(G$22,ovrcst!$A$5:$W$36,VLOOKUP('ELC_Gen-sdj'!$B26,'ELC_Gen-sdj'!$AA$4:$AC$19,3,FALSE))</f>
        <v>945.639986721449</v>
      </c>
      <c r="H26" s="21">
        <f>VLOOKUP(H$22,ovrcst!$A$5:$W$36,VLOOKUP('ELC_Gen-sdj'!$B26,'ELC_Gen-sdj'!$AA$4:$AC$19,3,FALSE))</f>
        <v>938.870543747053</v>
      </c>
      <c r="I26" s="21">
        <f>VLOOKUP(I$22,ovrcst!$A$5:$W$36,VLOOKUP('ELC_Gen-sdj'!$B26,'ELC_Gen-sdj'!$AA$4:$AC$19,3,FALSE))</f>
        <v>933.69142090121</v>
      </c>
      <c r="J26" s="21">
        <f>VLOOKUP(J$22,ovrcst!$A$5:$W$36,VLOOKUP('ELC_Gen-sdj'!$B26,'ELC_Gen-sdj'!$AA$4:$AC$19,3,FALSE))</f>
        <v>926.254818285912</v>
      </c>
      <c r="K26" s="21">
        <f>VLOOKUP(K$22,ovrcst!$A$5:$W$36,VLOOKUP('ELC_Gen-sdj'!$B26,'ELC_Gen-sdj'!$AA$4:$AC$19,3,FALSE))</f>
        <v>916.967434834066</v>
      </c>
      <c r="L26" s="21">
        <f>VLOOKUP(L$22,ovrcst!$A$5:$W$36,VLOOKUP('ELC_Gen-sdj'!$B26,'ELC_Gen-sdj'!$AA$4:$AC$19,3,FALSE))</f>
        <v>906.349900410865</v>
      </c>
      <c r="M26" s="21">
        <f>VLOOKUP(M$22,ovrcst!$A$5:$W$36,VLOOKUP('ELC_Gen-sdj'!$B26,'ELC_Gen-sdj'!$AA$4:$AC$19,3,FALSE))</f>
        <v>895.373356298171</v>
      </c>
      <c r="N26" s="21">
        <f>VLOOKUP(N$22,ovrcst!$A$5:$W$36,VLOOKUP('ELC_Gen-sdj'!$B26,'ELC_Gen-sdj'!$AA$4:$AC$19,3,FALSE))</f>
        <v>885.891110106132</v>
      </c>
      <c r="O26" s="21">
        <f>VLOOKUP(O$22,ovrcst!$A$5:$W$36,VLOOKUP('ELC_Gen-sdj'!$B26,'ELC_Gen-sdj'!$AA$4:$AC$19,3,FALSE))</f>
        <v>876.436935541293</v>
      </c>
      <c r="P26" s="21">
        <f>VLOOKUP(P$22,ovrcst!$A$5:$W$36,VLOOKUP('ELC_Gen-sdj'!$B26,'ELC_Gen-sdj'!$AA$4:$AC$19,3,FALSE))</f>
        <v>866.988047379411</v>
      </c>
      <c r="Q26" s="21">
        <f>VLOOKUP(Q$22,ovrcst!$A$5:$W$36,VLOOKUP('ELC_Gen-sdj'!$B26,'ELC_Gen-sdj'!$AA$4:$AC$19,3,FALSE))</f>
        <v>858.017564251831</v>
      </c>
      <c r="R26" s="21">
        <f>VLOOKUP(R$22,ovrcst!$A$5:$W$36,VLOOKUP('ELC_Gen-sdj'!$B26,'ELC_Gen-sdj'!$AA$4:$AC$19,3,FALSE))</f>
        <v>849.15749131602</v>
      </c>
      <c r="S26" s="21">
        <f>VLOOKUP(S$22,ovrcst!$A$5:$W$36,VLOOKUP('ELC_Gen-sdj'!$B26,'ELC_Gen-sdj'!$AA$4:$AC$19,3,FALSE))</f>
        <v>839.743840387965</v>
      </c>
      <c r="T26" s="21">
        <f>VLOOKUP(T$22,ovrcst!$A$5:$W$36,VLOOKUP('ELC_Gen-sdj'!$B26,'ELC_Gen-sdj'!$AA$4:$AC$19,3,FALSE))</f>
        <v>830.840954708594</v>
      </c>
      <c r="U26" s="21">
        <f>VLOOKUP(U$22,ovrcst!$A$5:$W$36,VLOOKUP('ELC_Gen-sdj'!$B26,'ELC_Gen-sdj'!$AA$4:$AC$19,3,FALSE))</f>
        <v>822.085359916095</v>
      </c>
      <c r="V26" s="21">
        <f>VLOOKUP(V$22,ovrcst!$A$5:$W$36,VLOOKUP('ELC_Gen-sdj'!$B26,'ELC_Gen-sdj'!$AA$4:$AC$19,3,FALSE))</f>
        <v>813.671039287192</v>
      </c>
      <c r="W26" s="21">
        <f>VLOOKUP(W$22,ovrcst!$A$5:$W$36,VLOOKUP('ELC_Gen-sdj'!$B26,'ELC_Gen-sdj'!$AA$4:$AC$19,3,FALSE))</f>
        <v>805.145428040836</v>
      </c>
      <c r="X26" s="21">
        <f>VLOOKUP(X$22,ovrcst!$A$5:$W$36,VLOOKUP('ELC_Gen-sdj'!$B26,'ELC_Gen-sdj'!$AA$4:$AC$19,3,FALSE))</f>
        <v>796.939536405362</v>
      </c>
      <c r="Y26" s="21">
        <f>VLOOKUP(Y$22,ovrcst!$A$5:$W$36,VLOOKUP('ELC_Gen-sdj'!$B26,'ELC_Gen-sdj'!$AA$4:$AC$19,3,FALSE))</f>
        <v>788.946595206251</v>
      </c>
      <c r="Z26" s="21">
        <f>VLOOKUP(Z$22,ovrcst!$A$5:$W$36,VLOOKUP('ELC_Gen-sdj'!$B26,'ELC_Gen-sdj'!$AA$4:$AC$19,3,FALSE))</f>
        <v>780.356381883438</v>
      </c>
      <c r="AA26" s="21">
        <f>VLOOKUP(AA$22,ovrcst!$A$5:$W$36,VLOOKUP('ELC_Gen-sdj'!$B26,'ELC_Gen-sdj'!$AA$4:$AC$19,3,FALSE))</f>
        <v>772.93328682633</v>
      </c>
      <c r="AB26" s="21">
        <f>VLOOKUP(AB$22,ovrcst!$A$5:$W$36,VLOOKUP('ELC_Gen-sdj'!$B26,'ELC_Gen-sdj'!$AA$4:$AC$19,3,FALSE))</f>
        <v>764.514502487323</v>
      </c>
      <c r="AC26" s="21">
        <f>VLOOKUP(AC$22,ovrcst!$A$5:$W$36,VLOOKUP('ELC_Gen-sdj'!$B26,'ELC_Gen-sdj'!$AA$4:$AC$19,3,FALSE))</f>
        <v>757.081012633868</v>
      </c>
      <c r="AD26" s="21">
        <f>VLOOKUP(AD$22,ovrcst!$A$5:$W$36,VLOOKUP('ELC_Gen-sdj'!$B26,'ELC_Gen-sdj'!$AA$4:$AC$19,3,FALSE))</f>
        <v>748.83530266437</v>
      </c>
      <c r="AE26" s="21">
        <f>VLOOKUP(AE$22,ovrcst!$A$5:$W$36,VLOOKUP('ELC_Gen-sdj'!$B26,'ELC_Gen-sdj'!$AA$4:$AC$19,3,FALSE))</f>
        <v>741.268088177278</v>
      </c>
      <c r="AF26" s="21">
        <f>VLOOKUP(AF$22,ovrcst!$A$5:$W$36,VLOOKUP('ELC_Gen-sdj'!$B26,'ELC_Gen-sdj'!$AA$4:$AC$19,3,FALSE))</f>
        <v>733.677909494164</v>
      </c>
      <c r="AG26" s="21">
        <f>VLOOKUP(AG$22,ovrcst!$A$5:$W$36,VLOOKUP('ELC_Gen-sdj'!$B26,'ELC_Gen-sdj'!$AA$4:$AC$19,3,FALSE))</f>
        <v>726.078452182782</v>
      </c>
      <c r="AH26" s="21">
        <f>VLOOKUP(AH$22,ovrcst!$A$5:$W$36,VLOOKUP('ELC_Gen-sdj'!$B26,'ELC_Gen-sdj'!$AA$4:$AC$19,3,FALSE))</f>
        <v>718.535844390774</v>
      </c>
    </row>
    <row r="27" spans="2:34">
      <c r="B27" t="str">
        <f t="shared" si="2"/>
        <v>EN_GasCTAdv</v>
      </c>
      <c r="C27" s="21">
        <f>VLOOKUP(C$22,ovrcst!$A$5:$W$36,VLOOKUP('ELC_Gen-sdj'!$B27,'ELC_Gen-sdj'!$AA$4:$AC$19,3,FALSE))</f>
        <v>691.076815788784</v>
      </c>
      <c r="D27" s="21">
        <f>VLOOKUP(D$22,ovrcst!$A$5:$W$36,VLOOKUP('ELC_Gen-sdj'!$B27,'ELC_Gen-sdj'!$AA$4:$AC$19,3,FALSE))</f>
        <v>683.766211230557</v>
      </c>
      <c r="E27" s="21">
        <f>VLOOKUP(E$22,ovrcst!$A$5:$W$36,VLOOKUP('ELC_Gen-sdj'!$B27,'ELC_Gen-sdj'!$AA$4:$AC$19,3,FALSE))</f>
        <v>667.480398723307</v>
      </c>
      <c r="F27" s="21">
        <f>VLOOKUP(F$22,ovrcst!$A$5:$W$36,VLOOKUP('ELC_Gen-sdj'!$B27,'ELC_Gen-sdj'!$AA$4:$AC$19,3,FALSE))</f>
        <v>657.514365601135</v>
      </c>
      <c r="G27" s="21">
        <f>VLOOKUP(G$22,ovrcst!$A$5:$W$36,VLOOKUP('ELC_Gen-sdj'!$B27,'ELC_Gen-sdj'!$AA$4:$AC$19,3,FALSE))</f>
        <v>625.445632976992</v>
      </c>
      <c r="H27" s="21">
        <f>VLOOKUP(H$22,ovrcst!$A$5:$W$36,VLOOKUP('ELC_Gen-sdj'!$B27,'ELC_Gen-sdj'!$AA$4:$AC$19,3,FALSE))</f>
        <v>612.365128735692</v>
      </c>
      <c r="I27" s="21">
        <f>VLOOKUP(I$22,ovrcst!$A$5:$W$36,VLOOKUP('ELC_Gen-sdj'!$B27,'ELC_Gen-sdj'!$AA$4:$AC$19,3,FALSE))</f>
        <v>599.880182823018</v>
      </c>
      <c r="J27" s="21">
        <f>VLOOKUP(J$22,ovrcst!$A$5:$W$36,VLOOKUP('ELC_Gen-sdj'!$B27,'ELC_Gen-sdj'!$AA$4:$AC$19,3,FALSE))</f>
        <v>586.796653358428</v>
      </c>
      <c r="K27" s="21">
        <f>VLOOKUP(K$22,ovrcst!$A$5:$W$36,VLOOKUP('ELC_Gen-sdj'!$B27,'ELC_Gen-sdj'!$AA$4:$AC$19,3,FALSE))</f>
        <v>573.386882467175</v>
      </c>
      <c r="L27" s="21">
        <f>VLOOKUP(L$22,ovrcst!$A$5:$W$36,VLOOKUP('ELC_Gen-sdj'!$B27,'ELC_Gen-sdj'!$AA$4:$AC$19,3,FALSE))</f>
        <v>563.084218886224</v>
      </c>
      <c r="M27" s="21">
        <f>VLOOKUP(M$22,ovrcst!$A$5:$W$36,VLOOKUP('ELC_Gen-sdj'!$B27,'ELC_Gen-sdj'!$AA$4:$AC$19,3,FALSE))</f>
        <v>552.689402925318</v>
      </c>
      <c r="N27" s="21">
        <f>VLOOKUP(N$22,ovrcst!$A$5:$W$36,VLOOKUP('ELC_Gen-sdj'!$B27,'ELC_Gen-sdj'!$AA$4:$AC$19,3,FALSE))</f>
        <v>545.18176316075</v>
      </c>
      <c r="O27" s="21">
        <f>VLOOKUP(O$22,ovrcst!$A$5:$W$36,VLOOKUP('ELC_Gen-sdj'!$B27,'ELC_Gen-sdj'!$AA$4:$AC$19,3,FALSE))</f>
        <v>538.182154176005</v>
      </c>
      <c r="P27" s="21">
        <f>VLOOKUP(P$22,ovrcst!$A$5:$W$36,VLOOKUP('ELC_Gen-sdj'!$B27,'ELC_Gen-sdj'!$AA$4:$AC$19,3,FALSE))</f>
        <v>530.051094842715</v>
      </c>
      <c r="Q27" s="21">
        <f>VLOOKUP(Q$22,ovrcst!$A$5:$W$36,VLOOKUP('ELC_Gen-sdj'!$B27,'ELC_Gen-sdj'!$AA$4:$AC$19,3,FALSE))</f>
        <v>523.251718409148</v>
      </c>
      <c r="R27" s="21">
        <f>VLOOKUP(R$22,ovrcst!$A$5:$W$36,VLOOKUP('ELC_Gen-sdj'!$B27,'ELC_Gen-sdj'!$AA$4:$AC$19,3,FALSE))</f>
        <v>515.810879578527</v>
      </c>
      <c r="S27" s="21">
        <f>VLOOKUP(S$22,ovrcst!$A$5:$W$36,VLOOKUP('ELC_Gen-sdj'!$B27,'ELC_Gen-sdj'!$AA$4:$AC$19,3,FALSE))</f>
        <v>508.979757944719</v>
      </c>
      <c r="T27" s="21">
        <f>VLOOKUP(T$22,ovrcst!$A$5:$W$36,VLOOKUP('ELC_Gen-sdj'!$B27,'ELC_Gen-sdj'!$AA$4:$AC$19,3,FALSE))</f>
        <v>501.934129832032</v>
      </c>
      <c r="U27" s="21">
        <f>VLOOKUP(U$22,ovrcst!$A$5:$W$36,VLOOKUP('ELC_Gen-sdj'!$B27,'ELC_Gen-sdj'!$AA$4:$AC$19,3,FALSE))</f>
        <v>496.130374588873</v>
      </c>
      <c r="V27" s="21">
        <f>VLOOKUP(V$22,ovrcst!$A$5:$W$36,VLOOKUP('ELC_Gen-sdj'!$B27,'ELC_Gen-sdj'!$AA$4:$AC$19,3,FALSE))</f>
        <v>491.604288819957</v>
      </c>
      <c r="W27" s="21">
        <f>VLOOKUP(W$22,ovrcst!$A$5:$W$36,VLOOKUP('ELC_Gen-sdj'!$B27,'ELC_Gen-sdj'!$AA$4:$AC$19,3,FALSE))</f>
        <v>487.002323640894</v>
      </c>
      <c r="X27" s="21">
        <f>VLOOKUP(X$22,ovrcst!$A$5:$W$36,VLOOKUP('ELC_Gen-sdj'!$B27,'ELC_Gen-sdj'!$AA$4:$AC$19,3,FALSE))</f>
        <v>482.585346095273</v>
      </c>
      <c r="Y27" s="21">
        <f>VLOOKUP(Y$22,ovrcst!$A$5:$W$36,VLOOKUP('ELC_Gen-sdj'!$B27,'ELC_Gen-sdj'!$AA$4:$AC$19,3,FALSE))</f>
        <v>478.288981788792</v>
      </c>
      <c r="Z27" s="21">
        <f>VLOOKUP(Z$22,ovrcst!$A$5:$W$36,VLOOKUP('ELC_Gen-sdj'!$B27,'ELC_Gen-sdj'!$AA$4:$AC$19,3,FALSE))</f>
        <v>473.621929407715</v>
      </c>
      <c r="AA27" s="21">
        <f>VLOOKUP(AA$22,ovrcst!$A$5:$W$36,VLOOKUP('ELC_Gen-sdj'!$B27,'ELC_Gen-sdj'!$AA$4:$AC$19,3,FALSE))</f>
        <v>469.655174123396</v>
      </c>
      <c r="AB27" s="21">
        <f>VLOOKUP(AB$22,ovrcst!$A$5:$W$36,VLOOKUP('ELC_Gen-sdj'!$B27,'ELC_Gen-sdj'!$AA$4:$AC$19,3,FALSE))</f>
        <v>465.075075864443</v>
      </c>
      <c r="AC27" s="21">
        <f>VLOOKUP(AC$22,ovrcst!$A$5:$W$36,VLOOKUP('ELC_Gen-sdj'!$B27,'ELC_Gen-sdj'!$AA$4:$AC$19,3,FALSE))</f>
        <v>461.08628247391</v>
      </c>
      <c r="AD27" s="21">
        <f>VLOOKUP(AD$22,ovrcst!$A$5:$W$36,VLOOKUP('ELC_Gen-sdj'!$B27,'ELC_Gen-sdj'!$AA$4:$AC$19,3,FALSE))</f>
        <v>456.594510632247</v>
      </c>
      <c r="AE27" s="21">
        <f>VLOOKUP(AE$22,ovrcst!$A$5:$W$36,VLOOKUP('ELC_Gen-sdj'!$B27,'ELC_Gen-sdj'!$AA$4:$AC$19,3,FALSE))</f>
        <v>452.508084100085</v>
      </c>
      <c r="AF27" s="21">
        <f>VLOOKUP(AF$22,ovrcst!$A$5:$W$36,VLOOKUP('ELC_Gen-sdj'!$B27,'ELC_Gen-sdj'!$AA$4:$AC$19,3,FALSE))</f>
        <v>448.399676523743</v>
      </c>
      <c r="AG27" s="21">
        <f>VLOOKUP(AG$22,ovrcst!$A$5:$W$36,VLOOKUP('ELC_Gen-sdj'!$B27,'ELC_Gen-sdj'!$AA$4:$AC$19,3,FALSE))</f>
        <v>444.277622702084</v>
      </c>
      <c r="AH27" s="21">
        <f>VLOOKUP(AH$22,ovrcst!$A$5:$W$36,VLOOKUP('ELC_Gen-sdj'!$B27,'ELC_Gen-sdj'!$AA$4:$AC$19,3,FALSE))</f>
        <v>440.182261751973</v>
      </c>
    </row>
    <row r="28" spans="2:34">
      <c r="B28" t="str">
        <f t="shared" si="2"/>
        <v>EN_GasCT</v>
      </c>
      <c r="C28" s="21">
        <f>VLOOKUP(C$22,ovrcst!$A$5:$W$36,VLOOKUP('ELC_Gen-sdj'!$B28,'ELC_Gen-sdj'!$AA$4:$AC$19,3,FALSE))</f>
        <v>1126.00240868118</v>
      </c>
      <c r="D28" s="21">
        <f>VLOOKUP(D$22,ovrcst!$A$5:$W$36,VLOOKUP('ELC_Gen-sdj'!$B28,'ELC_Gen-sdj'!$AA$4:$AC$19,3,FALSE))</f>
        <v>1115.51531642354</v>
      </c>
      <c r="E28" s="21">
        <f>VLOOKUP(E$22,ovrcst!$A$5:$W$36,VLOOKUP('ELC_Gen-sdj'!$B28,'ELC_Gen-sdj'!$AA$4:$AC$19,3,FALSE))</f>
        <v>1090.34743554724</v>
      </c>
      <c r="F28" s="21">
        <f>VLOOKUP(F$22,ovrcst!$A$5:$W$36,VLOOKUP('ELC_Gen-sdj'!$B28,'ELC_Gen-sdj'!$AA$4:$AC$19,3,FALSE))</f>
        <v>1075.45842589533</v>
      </c>
      <c r="G28" s="21">
        <f>VLOOKUP(G$22,ovrcst!$A$5:$W$36,VLOOKUP('ELC_Gen-sdj'!$B28,'ELC_Gen-sdj'!$AA$4:$AC$19,3,FALSE))</f>
        <v>1065.50995753768</v>
      </c>
      <c r="H28" s="21">
        <f>VLOOKUP(H$22,ovrcst!$A$5:$W$36,VLOOKUP('ELC_Gen-sdj'!$B28,'ELC_Gen-sdj'!$AA$4:$AC$19,3,FALSE))</f>
        <v>1057.88235569402</v>
      </c>
      <c r="I28" s="21">
        <f>VLOOKUP(I$22,ovrcst!$A$5:$W$36,VLOOKUP('ELC_Gen-sdj'!$B28,'ELC_Gen-sdj'!$AA$4:$AC$19,3,FALSE))</f>
        <v>1052.04678877528</v>
      </c>
      <c r="J28" s="21">
        <f>VLOOKUP(J$22,ovrcst!$A$5:$W$36,VLOOKUP('ELC_Gen-sdj'!$B28,'ELC_Gen-sdj'!$AA$4:$AC$19,3,FALSE))</f>
        <v>1043.66744345521</v>
      </c>
      <c r="K28" s="21">
        <f>VLOOKUP(K$22,ovrcst!$A$5:$W$36,VLOOKUP('ELC_Gen-sdj'!$B28,'ELC_Gen-sdj'!$AA$4:$AC$19,3,FALSE))</f>
        <v>1033.20273512339</v>
      </c>
      <c r="L28" s="21">
        <f>VLOOKUP(L$22,ovrcst!$A$5:$W$36,VLOOKUP('ELC_Gen-sdj'!$B28,'ELC_Gen-sdj'!$AA$4:$AC$19,3,FALSE))</f>
        <v>1021.23943742682</v>
      </c>
      <c r="M28" s="21">
        <f>VLOOKUP(M$22,ovrcst!$A$5:$W$36,VLOOKUP('ELC_Gen-sdj'!$B28,'ELC_Gen-sdj'!$AA$4:$AC$19,3,FALSE))</f>
        <v>1008.87135522222</v>
      </c>
      <c r="N28" s="21">
        <f>VLOOKUP(N$22,ovrcst!$A$5:$W$36,VLOOKUP('ELC_Gen-sdj'!$B28,'ELC_Gen-sdj'!$AA$4:$AC$19,3,FALSE))</f>
        <v>998.187232461611</v>
      </c>
      <c r="O28" s="21">
        <f>VLOOKUP(O$22,ovrcst!$A$5:$W$36,VLOOKUP('ELC_Gen-sdj'!$B28,'ELC_Gen-sdj'!$AA$4:$AC$19,3,FALSE))</f>
        <v>987.534472219941</v>
      </c>
      <c r="P28" s="21">
        <f>VLOOKUP(P$22,ovrcst!$A$5:$W$36,VLOOKUP('ELC_Gen-sdj'!$B28,'ELC_Gen-sdj'!$AA$4:$AC$19,3,FALSE))</f>
        <v>976.888065089786</v>
      </c>
      <c r="Q28" s="21">
        <f>VLOOKUP(Q$22,ovrcst!$A$5:$W$36,VLOOKUP('ELC_Gen-sdj'!$B28,'ELC_Gen-sdj'!$AA$4:$AC$19,3,FALSE))</f>
        <v>966.780399332981</v>
      </c>
      <c r="R28" s="21">
        <f>VLOOKUP(R$22,ovrcst!$A$5:$W$36,VLOOKUP('ELC_Gen-sdj'!$B28,'ELC_Gen-sdj'!$AA$4:$AC$19,3,FALSE))</f>
        <v>956.797188471185</v>
      </c>
      <c r="S28" s="21">
        <f>VLOOKUP(S$22,ovrcst!$A$5:$W$36,VLOOKUP('ELC_Gen-sdj'!$B28,'ELC_Gen-sdj'!$AA$4:$AC$19,3,FALSE))</f>
        <v>946.190303959903</v>
      </c>
      <c r="T28" s="21">
        <f>VLOOKUP(T$22,ovrcst!$A$5:$W$36,VLOOKUP('ELC_Gen-sdj'!$B28,'ELC_Gen-sdj'!$AA$4:$AC$19,3,FALSE))</f>
        <v>936.158885091964</v>
      </c>
      <c r="U28" s="21">
        <f>VLOOKUP(U$22,ovrcst!$A$5:$W$36,VLOOKUP('ELC_Gen-sdj'!$B28,'ELC_Gen-sdj'!$AA$4:$AC$19,3,FALSE))</f>
        <v>926.29330898547</v>
      </c>
      <c r="V28" s="21">
        <f>VLOOKUP(V$22,ovrcst!$A$5:$W$36,VLOOKUP('ELC_Gen-sdj'!$B28,'ELC_Gen-sdj'!$AA$4:$AC$19,3,FALSE))</f>
        <v>916.812523041013</v>
      </c>
      <c r="W28" s="21">
        <f>VLOOKUP(W$22,ovrcst!$A$5:$W$36,VLOOKUP('ELC_Gen-sdj'!$B28,'ELC_Gen-sdj'!$AA$4:$AC$19,3,FALSE))</f>
        <v>907.206117018737</v>
      </c>
      <c r="X28" s="21">
        <f>VLOOKUP(X$22,ovrcst!$A$5:$W$36,VLOOKUP('ELC_Gen-sdj'!$B28,'ELC_Gen-sdj'!$AA$4:$AC$19,3,FALSE))</f>
        <v>897.960133556692</v>
      </c>
      <c r="Y28" s="21">
        <f>VLOOKUP(Y$22,ovrcst!$A$5:$W$36,VLOOKUP('ELC_Gen-sdj'!$B28,'ELC_Gen-sdj'!$AA$4:$AC$19,3,FALSE))</f>
        <v>888.95396763848</v>
      </c>
      <c r="Z28" s="21">
        <f>VLOOKUP(Z$22,ovrcst!$A$5:$W$36,VLOOKUP('ELC_Gen-sdj'!$B28,'ELC_Gen-sdj'!$AA$4:$AC$19,3,FALSE))</f>
        <v>879.274869489975</v>
      </c>
      <c r="AA28" s="21">
        <f>VLOOKUP(AA$22,ovrcst!$A$5:$W$36,VLOOKUP('ELC_Gen-sdj'!$B28,'ELC_Gen-sdj'!$AA$4:$AC$19,3,FALSE))</f>
        <v>870.910855874527</v>
      </c>
      <c r="AB28" s="21">
        <f>VLOOKUP(AB$22,ovrcst!$A$5:$W$36,VLOOKUP('ELC_Gen-sdj'!$B28,'ELC_Gen-sdj'!$AA$4:$AC$19,3,FALSE))</f>
        <v>861.424765483083</v>
      </c>
      <c r="AC28" s="21">
        <f>VLOOKUP(AC$22,ovrcst!$A$5:$W$36,VLOOKUP('ELC_Gen-sdj'!$B28,'ELC_Gen-sdj'!$AA$4:$AC$19,3,FALSE))</f>
        <v>853.049093354065</v>
      </c>
      <c r="AD28" s="21">
        <f>VLOOKUP(AD$22,ovrcst!$A$5:$W$36,VLOOKUP('ELC_Gen-sdj'!$B28,'ELC_Gen-sdj'!$AA$4:$AC$19,3,FALSE))</f>
        <v>843.758282826161</v>
      </c>
      <c r="AE28" s="21">
        <f>VLOOKUP(AE$22,ovrcst!$A$5:$W$36,VLOOKUP('ELC_Gen-sdj'!$B28,'ELC_Gen-sdj'!$AA$4:$AC$19,3,FALSE))</f>
        <v>835.23163261213</v>
      </c>
      <c r="AF28" s="21">
        <f>VLOOKUP(AF$22,ovrcst!$A$5:$W$36,VLOOKUP('ELC_Gen-sdj'!$B28,'ELC_Gen-sdj'!$AA$4:$AC$19,3,FALSE))</f>
        <v>826.679391354344</v>
      </c>
      <c r="AG28" s="21">
        <f>VLOOKUP(AG$22,ovrcst!$A$5:$W$36,VLOOKUP('ELC_Gen-sdj'!$B28,'ELC_Gen-sdj'!$AA$4:$AC$19,3,FALSE))</f>
        <v>818.116541202583</v>
      </c>
      <c r="AH28" s="21">
        <f>VLOOKUP(AH$22,ovrcst!$A$5:$W$36,VLOOKUP('ELC_Gen-sdj'!$B28,'ELC_Gen-sdj'!$AA$4:$AC$19,3,FALSE))</f>
        <v>809.617928916208</v>
      </c>
    </row>
    <row r="29" spans="2:34">
      <c r="B29" t="str">
        <f t="shared" si="2"/>
        <v>EN_Biomass</v>
      </c>
      <c r="C29" s="21">
        <f>VLOOKUP(C$22,ovrcst!$A$5:$W$36,VLOOKUP('ELC_Gen-sdj'!$B29,'ELC_Gen-sdj'!$AA$4:$AC$19,3,FALSE))</f>
        <v>3899.57828443114</v>
      </c>
      <c r="D29" s="21">
        <f>VLOOKUP(D$22,ovrcst!$A$5:$W$36,VLOOKUP('ELC_Gen-sdj'!$B29,'ELC_Gen-sdj'!$AA$4:$AC$19,3,FALSE))</f>
        <v>3858.23884431138</v>
      </c>
      <c r="E29" s="21">
        <f>VLOOKUP(E$22,ovrcst!$A$5:$W$36,VLOOKUP('ELC_Gen-sdj'!$B29,'ELC_Gen-sdj'!$AA$4:$AC$19,3,FALSE))</f>
        <v>3756.43707684631</v>
      </c>
      <c r="F29" s="21">
        <f>VLOOKUP(F$22,ovrcst!$A$5:$W$36,VLOOKUP('ELC_Gen-sdj'!$B29,'ELC_Gen-sdj'!$AA$4:$AC$19,3,FALSE))</f>
        <v>3698.73997105788</v>
      </c>
      <c r="G29" s="21">
        <f>VLOOKUP(G$22,ovrcst!$A$5:$W$36,VLOOKUP('ELC_Gen-sdj'!$B29,'ELC_Gen-sdj'!$AA$4:$AC$19,3,FALSE))</f>
        <v>3659.72181636727</v>
      </c>
      <c r="H29" s="21">
        <f>VLOOKUP(H$22,ovrcst!$A$5:$W$36,VLOOKUP('ELC_Gen-sdj'!$B29,'ELC_Gen-sdj'!$AA$4:$AC$19,3,FALSE))</f>
        <v>3628.72984530938</v>
      </c>
      <c r="I29" s="21">
        <f>VLOOKUP(I$22,ovrcst!$A$5:$W$36,VLOOKUP('ELC_Gen-sdj'!$B29,'ELC_Gen-sdj'!$AA$4:$AC$19,3,FALSE))</f>
        <v>3603.92155189621</v>
      </c>
      <c r="J29" s="21">
        <f>VLOOKUP(J$22,ovrcst!$A$5:$W$36,VLOOKUP('ELC_Gen-sdj'!$B29,'ELC_Gen-sdj'!$AA$4:$AC$19,3,FALSE))</f>
        <v>3570.4401746507</v>
      </c>
      <c r="K29" s="21">
        <f>VLOOKUP(K$22,ovrcst!$A$5:$W$36,VLOOKUP('ELC_Gen-sdj'!$B29,'ELC_Gen-sdj'!$AA$4:$AC$19,3,FALSE))</f>
        <v>3529.88627245509</v>
      </c>
      <c r="L29" s="21">
        <f>VLOOKUP(L$22,ovrcst!$A$5:$W$36,VLOOKUP('ELC_Gen-sdj'!$B29,'ELC_Gen-sdj'!$AA$4:$AC$19,3,FALSE))</f>
        <v>3484.29142714571</v>
      </c>
      <c r="M29" s="21">
        <f>VLOOKUP(M$22,ovrcst!$A$5:$W$36,VLOOKUP('ELC_Gen-sdj'!$B29,'ELC_Gen-sdj'!$AA$4:$AC$19,3,FALSE))</f>
        <v>3437.404000998</v>
      </c>
      <c r="N29" s="21">
        <f>VLOOKUP(N$22,ovrcst!$A$5:$W$36,VLOOKUP('ELC_Gen-sdj'!$B29,'ELC_Gen-sdj'!$AA$4:$AC$19,3,FALSE))</f>
        <v>3396.33672155689</v>
      </c>
      <c r="O29" s="21">
        <f>VLOOKUP(O$22,ovrcst!$A$5:$W$36,VLOOKUP('ELC_Gen-sdj'!$B29,'ELC_Gen-sdj'!$AA$4:$AC$19,3,FALSE))</f>
        <v>3355.45291217565</v>
      </c>
      <c r="P29" s="21">
        <f>VLOOKUP(P$22,ovrcst!$A$5:$W$36,VLOOKUP('ELC_Gen-sdj'!$B29,'ELC_Gen-sdj'!$AA$4:$AC$19,3,FALSE))</f>
        <v>3314.66607784431</v>
      </c>
      <c r="Q29" s="21">
        <f>VLOOKUP(Q$22,ovrcst!$A$5:$W$36,VLOOKUP('ELC_Gen-sdj'!$B29,'ELC_Gen-sdj'!$AA$4:$AC$19,3,FALSE))</f>
        <v>3275.78144510978</v>
      </c>
      <c r="R29" s="21">
        <f>VLOOKUP(R$22,ovrcst!$A$5:$W$36,VLOOKUP('ELC_Gen-sdj'!$B29,'ELC_Gen-sdj'!$AA$4:$AC$19,3,FALSE))</f>
        <v>3237.39020958084</v>
      </c>
      <c r="S29" s="21">
        <f>VLOOKUP(S$22,ovrcst!$A$5:$W$36,VLOOKUP('ELC_Gen-sdj'!$B29,'ELC_Gen-sdj'!$AA$4:$AC$19,3,FALSE))</f>
        <v>3196.96325149701</v>
      </c>
      <c r="T29" s="21">
        <f>VLOOKUP(T$22,ovrcst!$A$5:$W$36,VLOOKUP('ELC_Gen-sdj'!$B29,'ELC_Gen-sdj'!$AA$4:$AC$19,3,FALSE))</f>
        <v>3158.55593512974</v>
      </c>
      <c r="U29" s="21">
        <f>VLOOKUP(U$22,ovrcst!$A$5:$W$36,VLOOKUP('ELC_Gen-sdj'!$B29,'ELC_Gen-sdj'!$AA$4:$AC$19,3,FALSE))</f>
        <v>3120.78114271457</v>
      </c>
      <c r="V29" s="21">
        <f>VLOOKUP(V$22,ovrcst!$A$5:$W$36,VLOOKUP('ELC_Gen-sdj'!$B29,'ELC_Gen-sdj'!$AA$4:$AC$19,3,FALSE))</f>
        <v>3084.37227145709</v>
      </c>
      <c r="W29" s="21">
        <f>VLOOKUP(W$22,ovrcst!$A$5:$W$36,VLOOKUP('ELC_Gen-sdj'!$B29,'ELC_Gen-sdj'!$AA$4:$AC$19,3,FALSE))</f>
        <v>3047.61058982036</v>
      </c>
      <c r="X29" s="21">
        <f>VLOOKUP(X$22,ovrcst!$A$5:$W$36,VLOOKUP('ELC_Gen-sdj'!$B29,'ELC_Gen-sdj'!$AA$4:$AC$19,3,FALSE))</f>
        <v>3012.1285748503</v>
      </c>
      <c r="Y29" s="21">
        <f>VLOOKUP(Y$22,ovrcst!$A$5:$W$36,VLOOKUP('ELC_Gen-sdj'!$B29,'ELC_Gen-sdj'!$AA$4:$AC$19,3,FALSE))</f>
        <v>2977.51762075848</v>
      </c>
      <c r="Z29" s="21">
        <f>VLOOKUP(Z$22,ovrcst!$A$5:$W$36,VLOOKUP('ELC_Gen-sdj'!$B29,'ELC_Gen-sdj'!$AA$4:$AC$19,3,FALSE))</f>
        <v>2940.72134031936</v>
      </c>
      <c r="AA29" s="21">
        <f>VLOOKUP(AA$22,ovrcst!$A$5:$W$36,VLOOKUP('ELC_Gen-sdj'!$B29,'ELC_Gen-sdj'!$AA$4:$AC$19,3,FALSE))</f>
        <v>2908.39098203593</v>
      </c>
      <c r="AB29" s="21">
        <f>VLOOKUP(AB$22,ovrcst!$A$5:$W$36,VLOOKUP('ELC_Gen-sdj'!$B29,'ELC_Gen-sdj'!$AA$4:$AC$19,3,FALSE))</f>
        <v>2872.37902095808</v>
      </c>
      <c r="AC29" s="21">
        <f>VLOOKUP(AC$22,ovrcst!$A$5:$W$36,VLOOKUP('ELC_Gen-sdj'!$B29,'ELC_Gen-sdj'!$AA$4:$AC$19,3,FALSE))</f>
        <v>2840.13637724551</v>
      </c>
      <c r="AD29" s="21">
        <f>VLOOKUP(AD$22,ovrcst!$A$5:$W$36,VLOOKUP('ELC_Gen-sdj'!$B29,'ELC_Gen-sdj'!$AA$4:$AC$19,3,FALSE))</f>
        <v>2804.91263572854</v>
      </c>
      <c r="AE29" s="21">
        <f>VLOOKUP(AE$22,ovrcst!$A$5:$W$36,VLOOKUP('ELC_Gen-sdj'!$B29,'ELC_Gen-sdj'!$AA$4:$AC$19,3,FALSE))</f>
        <v>2772.29817664671</v>
      </c>
      <c r="AF29" s="21">
        <f>VLOOKUP(AF$22,ovrcst!$A$5:$W$36,VLOOKUP('ELC_Gen-sdj'!$B29,'ELC_Gen-sdj'!$AA$4:$AC$19,3,FALSE))</f>
        <v>2739.66203293413</v>
      </c>
      <c r="AG29" s="21">
        <f>VLOOKUP(AG$22,ovrcst!$A$5:$W$36,VLOOKUP('ELC_Gen-sdj'!$B29,'ELC_Gen-sdj'!$AA$4:$AC$19,3,FALSE))</f>
        <v>2707.05610279441</v>
      </c>
      <c r="AH29" s="21">
        <f>VLOOKUP(AH$22,ovrcst!$A$5:$W$36,VLOOKUP('ELC_Gen-sdj'!$B29,'ELC_Gen-sdj'!$AA$4:$AC$19,3,FALSE))</f>
        <v>2674.72793712575</v>
      </c>
    </row>
    <row r="30" spans="2:34">
      <c r="B30" t="str">
        <f t="shared" si="2"/>
        <v>EN_ZBiomass</v>
      </c>
      <c r="C30" s="21">
        <f>VLOOKUP(C$22,ovrcst!$A$5:$W$36,VLOOKUP('ELC_Gen-sdj'!$B30,'ELC_Gen-sdj'!$AA$4:$AC$19,3,FALSE))</f>
        <v>5715.78799287169</v>
      </c>
      <c r="D30" s="21">
        <f>VLOOKUP(D$22,ovrcst!$A$5:$W$36,VLOOKUP('ELC_Gen-sdj'!$B30,'ELC_Gen-sdj'!$AA$4:$AC$19,3,FALSE))</f>
        <v>5651.68641038696</v>
      </c>
      <c r="E30" s="21">
        <f>VLOOKUP(E$22,ovrcst!$A$5:$W$36,VLOOKUP('ELC_Gen-sdj'!$B30,'ELC_Gen-sdj'!$AA$4:$AC$19,3,FALSE))</f>
        <v>5513.49933604888</v>
      </c>
      <c r="F30" s="21">
        <f>VLOOKUP(F$22,ovrcst!$A$5:$W$36,VLOOKUP('ELC_Gen-sdj'!$B30,'ELC_Gen-sdj'!$AA$4:$AC$19,3,FALSE))</f>
        <v>5427.62747046843</v>
      </c>
      <c r="G30" s="21">
        <f>VLOOKUP(G$22,ovrcst!$A$5:$W$36,VLOOKUP('ELC_Gen-sdj'!$B30,'ELC_Gen-sdj'!$AA$4:$AC$19,3,FALSE))</f>
        <v>5366.88070773931</v>
      </c>
      <c r="H30" s="21">
        <f>VLOOKUP(H$22,ovrcst!$A$5:$W$36,VLOOKUP('ELC_Gen-sdj'!$B30,'ELC_Gen-sdj'!$AA$4:$AC$19,3,FALSE))</f>
        <v>5317.94418635438</v>
      </c>
      <c r="I30" s="21">
        <f>VLOOKUP(I$22,ovrcst!$A$5:$W$36,VLOOKUP('ELC_Gen-sdj'!$B30,'ELC_Gen-sdj'!$AA$4:$AC$19,3,FALSE))</f>
        <v>5278.09655804481</v>
      </c>
      <c r="J30" s="21">
        <f>VLOOKUP(J$22,ovrcst!$A$5:$W$36,VLOOKUP('ELC_Gen-sdj'!$B30,'ELC_Gen-sdj'!$AA$4:$AC$19,3,FALSE))</f>
        <v>5225.57549592668</v>
      </c>
      <c r="K30" s="21">
        <f>VLOOKUP(K$22,ovrcst!$A$5:$W$36,VLOOKUP('ELC_Gen-sdj'!$B30,'ELC_Gen-sdj'!$AA$4:$AC$19,3,FALSE))</f>
        <v>5162.74931160896</v>
      </c>
      <c r="L30" s="21">
        <f>VLOOKUP(L$22,ovrcst!$A$5:$W$36,VLOOKUP('ELC_Gen-sdj'!$B30,'ELC_Gen-sdj'!$AA$4:$AC$19,3,FALSE))</f>
        <v>5092.60736252546</v>
      </c>
      <c r="M30" s="21">
        <f>VLOOKUP(M$22,ovrcst!$A$5:$W$36,VLOOKUP('ELC_Gen-sdj'!$B30,'ELC_Gen-sdj'!$AA$4:$AC$19,3,FALSE))</f>
        <v>5020.64206517312</v>
      </c>
      <c r="N30" s="21">
        <f>VLOOKUP(N$22,ovrcst!$A$5:$W$36,VLOOKUP('ELC_Gen-sdj'!$B30,'ELC_Gen-sdj'!$AA$4:$AC$19,3,FALSE))</f>
        <v>4957.23809775967</v>
      </c>
      <c r="O30" s="21">
        <f>VLOOKUP(O$22,ovrcst!$A$5:$W$36,VLOOKUP('ELC_Gen-sdj'!$B30,'ELC_Gen-sdj'!$AA$4:$AC$19,3,FALSE))</f>
        <v>4894.15733197556</v>
      </c>
      <c r="P30" s="21">
        <f>VLOOKUP(P$22,ovrcst!$A$5:$W$36,VLOOKUP('ELC_Gen-sdj'!$B30,'ELC_Gen-sdj'!$AA$4:$AC$19,3,FALSE))</f>
        <v>4831.2734694501</v>
      </c>
      <c r="Q30" s="21">
        <f>VLOOKUP(Q$22,ovrcst!$A$5:$W$36,VLOOKUP('ELC_Gen-sdj'!$B30,'ELC_Gen-sdj'!$AA$4:$AC$19,3,FALSE))</f>
        <v>4771.21835641548</v>
      </c>
      <c r="R30" s="21">
        <f>VLOOKUP(R$22,ovrcst!$A$5:$W$36,VLOOKUP('ELC_Gen-sdj'!$B30,'ELC_Gen-sdj'!$AA$4:$AC$19,3,FALSE))</f>
        <v>4711.93395213849</v>
      </c>
      <c r="S30" s="21">
        <f>VLOOKUP(S$22,ovrcst!$A$5:$W$36,VLOOKUP('ELC_Gen-sdj'!$B30,'ELC_Gen-sdj'!$AA$4:$AC$19,3,FALSE))</f>
        <v>4649.74124032587</v>
      </c>
      <c r="T30" s="21">
        <f>VLOOKUP(T$22,ovrcst!$A$5:$W$36,VLOOKUP('ELC_Gen-sdj'!$B30,'ELC_Gen-sdj'!$AA$4:$AC$19,3,FALSE))</f>
        <v>4590.54186252546</v>
      </c>
      <c r="U30" s="21">
        <f>VLOOKUP(U$22,ovrcst!$A$5:$W$36,VLOOKUP('ELC_Gen-sdj'!$B30,'ELC_Gen-sdj'!$AA$4:$AC$19,3,FALSE))</f>
        <v>4532.31506924644</v>
      </c>
      <c r="V30" s="21">
        <f>VLOOKUP(V$22,ovrcst!$A$5:$W$36,VLOOKUP('ELC_Gen-sdj'!$B30,'ELC_Gen-sdj'!$AA$4:$AC$19,3,FALSE))</f>
        <v>4476.12543380855</v>
      </c>
      <c r="W30" s="21">
        <f>VLOOKUP(W$22,ovrcst!$A$5:$W$36,VLOOKUP('ELC_Gen-sdj'!$B30,'ELC_Gen-sdj'!$AA$4:$AC$19,3,FALSE))</f>
        <v>4419.47436659878</v>
      </c>
      <c r="X30" s="21">
        <f>VLOOKUP(X$22,ovrcst!$A$5:$W$36,VLOOKUP('ELC_Gen-sdj'!$B30,'ELC_Gen-sdj'!$AA$4:$AC$19,3,FALSE))</f>
        <v>4364.73067922607</v>
      </c>
      <c r="Y30" s="21">
        <f>VLOOKUP(Y$22,ovrcst!$A$5:$W$36,VLOOKUP('ELC_Gen-sdj'!$B30,'ELC_Gen-sdj'!$AA$4:$AC$19,3,FALSE))</f>
        <v>4311.29819144603</v>
      </c>
      <c r="Z30" s="21">
        <f>VLOOKUP(Z$22,ovrcst!$A$5:$W$36,VLOOKUP('ELC_Gen-sdj'!$B30,'ELC_Gen-sdj'!$AA$4:$AC$19,3,FALSE))</f>
        <v>4254.75452647658</v>
      </c>
      <c r="AA30" s="21">
        <f>VLOOKUP(AA$22,ovrcst!$A$5:$W$36,VLOOKUP('ELC_Gen-sdj'!$B30,'ELC_Gen-sdj'!$AA$4:$AC$19,3,FALSE))</f>
        <v>4204.72011812627</v>
      </c>
      <c r="AB30" s="21">
        <f>VLOOKUP(AB$22,ovrcst!$A$5:$W$36,VLOOKUP('ELC_Gen-sdj'!$B30,'ELC_Gen-sdj'!$AA$4:$AC$19,3,FALSE))</f>
        <v>4149.41306822811</v>
      </c>
      <c r="AC30" s="21">
        <f>VLOOKUP(AC$22,ovrcst!$A$5:$W$36,VLOOKUP('ELC_Gen-sdj'!$B30,'ELC_Gen-sdj'!$AA$4:$AC$19,3,FALSE))</f>
        <v>4099.60241344195</v>
      </c>
      <c r="AD30" s="21">
        <f>VLOOKUP(AD$22,ovrcst!$A$5:$W$36,VLOOKUP('ELC_Gen-sdj'!$B30,'ELC_Gen-sdj'!$AA$4:$AC$19,3,FALSE))</f>
        <v>4045.53744704684</v>
      </c>
      <c r="AE30" s="21">
        <f>VLOOKUP(AE$22,ovrcst!$A$5:$W$36,VLOOKUP('ELC_Gen-sdj'!$B30,'ELC_Gen-sdj'!$AA$4:$AC$19,3,FALSE))</f>
        <v>3995.28674338086</v>
      </c>
      <c r="AF30" s="21">
        <f>VLOOKUP(AF$22,ovrcst!$A$5:$W$36,VLOOKUP('ELC_Gen-sdj'!$B30,'ELC_Gen-sdj'!$AA$4:$AC$19,3,FALSE))</f>
        <v>3945.05319348269</v>
      </c>
      <c r="AG30" s="21">
        <f>VLOOKUP(AG$22,ovrcst!$A$5:$W$36,VLOOKUP('ELC_Gen-sdj'!$B30,'ELC_Gen-sdj'!$AA$4:$AC$19,3,FALSE))</f>
        <v>3894.91287474542</v>
      </c>
      <c r="AH30" s="21">
        <f>VLOOKUP(AH$22,ovrcst!$A$5:$W$36,VLOOKUP('ELC_Gen-sdj'!$B30,'ELC_Gen-sdj'!$AA$4:$AC$19,3,FALSE))</f>
        <v>3845.22130753564</v>
      </c>
    </row>
    <row r="31" spans="2:34">
      <c r="B31" s="24" t="str">
        <f t="shared" si="2"/>
        <v>EN_OilCCAdv</v>
      </c>
      <c r="C31" s="52">
        <f>C25*1.3</f>
        <v>1032.7713706979</v>
      </c>
      <c r="D31" s="52">
        <f t="shared" ref="D31:Z31" si="3">D25*1.3</f>
        <v>1022.36993905354</v>
      </c>
      <c r="E31" s="52">
        <f t="shared" si="3"/>
        <v>998.534499282983</v>
      </c>
      <c r="F31" s="52">
        <f t="shared" si="3"/>
        <v>984.137117590822</v>
      </c>
      <c r="G31" s="52">
        <f t="shared" si="3"/>
        <v>951.767551386233</v>
      </c>
      <c r="H31" s="52">
        <f t="shared" si="3"/>
        <v>937.251788957935</v>
      </c>
      <c r="I31" s="52">
        <f t="shared" si="3"/>
        <v>923.928065248566</v>
      </c>
      <c r="J31" s="52">
        <f t="shared" si="3"/>
        <v>909.133239722753</v>
      </c>
      <c r="K31" s="52">
        <f t="shared" si="3"/>
        <v>893.279343929254</v>
      </c>
      <c r="L31" s="52">
        <f t="shared" si="3"/>
        <v>879.656205783939</v>
      </c>
      <c r="M31" s="52">
        <f t="shared" si="3"/>
        <v>865.801853489484</v>
      </c>
      <c r="N31" s="52">
        <f t="shared" si="3"/>
        <v>855.151407743786</v>
      </c>
      <c r="O31" s="52">
        <f t="shared" si="3"/>
        <v>844.967552581262</v>
      </c>
      <c r="P31" s="52">
        <f t="shared" si="3"/>
        <v>833.772838193117</v>
      </c>
      <c r="Q31" s="52">
        <f t="shared" si="3"/>
        <v>823.968628107075</v>
      </c>
      <c r="R31" s="52">
        <f t="shared" si="3"/>
        <v>813.635904636711</v>
      </c>
      <c r="S31" s="52">
        <f t="shared" si="3"/>
        <v>803.619588910134</v>
      </c>
      <c r="T31" s="52">
        <f t="shared" si="3"/>
        <v>793.622894359465</v>
      </c>
      <c r="U31" s="52">
        <f t="shared" si="3"/>
        <v>784.799054732314</v>
      </c>
      <c r="V31" s="52">
        <f t="shared" si="3"/>
        <v>777.260687141491</v>
      </c>
      <c r="W31" s="52">
        <f t="shared" si="3"/>
        <v>769.60802581262</v>
      </c>
      <c r="X31" s="52">
        <f t="shared" si="3"/>
        <v>762.253537284895</v>
      </c>
      <c r="Y31" s="52">
        <f t="shared" si="3"/>
        <v>755.095327437858</v>
      </c>
      <c r="Z31" s="52">
        <f t="shared" si="3"/>
        <v>747.357836998088</v>
      </c>
      <c r="AA31" s="21">
        <f>VLOOKUP(AA$22,ovrcst!$A$5:$W$36,VLOOKUP('ELC_Gen-sdj'!$B31,'ELC_Gen-sdj'!$AA$4:$AC$19,3,FALSE))</f>
        <v>469.655174123396</v>
      </c>
      <c r="AB31" s="21">
        <f>VLOOKUP(AB$22,ovrcst!$A$5:$W$36,VLOOKUP('ELC_Gen-sdj'!$B31,'ELC_Gen-sdj'!$AA$4:$AC$19,3,FALSE))</f>
        <v>465.075075864443</v>
      </c>
      <c r="AC31" s="21">
        <f>VLOOKUP(AC$22,ovrcst!$A$5:$W$36,VLOOKUP('ELC_Gen-sdj'!$B31,'ELC_Gen-sdj'!$AA$4:$AC$19,3,FALSE))</f>
        <v>461.08628247391</v>
      </c>
      <c r="AD31" s="21">
        <f>VLOOKUP(AD$22,ovrcst!$A$5:$W$36,VLOOKUP('ELC_Gen-sdj'!$B31,'ELC_Gen-sdj'!$AA$4:$AC$19,3,FALSE))</f>
        <v>456.594510632247</v>
      </c>
      <c r="AE31" s="21">
        <f>VLOOKUP(AE$22,ovrcst!$A$5:$W$36,VLOOKUP('ELC_Gen-sdj'!$B31,'ELC_Gen-sdj'!$AA$4:$AC$19,3,FALSE))</f>
        <v>452.508084100085</v>
      </c>
      <c r="AF31" s="21">
        <f>VLOOKUP(AF$22,ovrcst!$A$5:$W$36,VLOOKUP('ELC_Gen-sdj'!$B31,'ELC_Gen-sdj'!$AA$4:$AC$19,3,FALSE))</f>
        <v>448.399676523743</v>
      </c>
      <c r="AG31" s="21">
        <f>VLOOKUP(AG$22,ovrcst!$A$5:$W$36,VLOOKUP('ELC_Gen-sdj'!$B31,'ELC_Gen-sdj'!$AA$4:$AC$19,3,FALSE))</f>
        <v>444.277622702084</v>
      </c>
      <c r="AH31" s="21">
        <f>VLOOKUP(AH$22,ovrcst!$A$5:$W$36,VLOOKUP('ELC_Gen-sdj'!$B31,'ELC_Gen-sdj'!$AA$4:$AC$19,3,FALSE))</f>
        <v>440.182261751973</v>
      </c>
    </row>
    <row r="32" spans="2:34">
      <c r="B32" t="str">
        <f t="shared" si="2"/>
        <v>EN_NuclearAdv</v>
      </c>
      <c r="C32" s="21">
        <f>VLOOKUP(C$22,ovrcst!$A$5:$W$36,VLOOKUP('ELC_Gen-sdj'!$B32,'ELC_Gen-sdj'!$AA$4:$AC$19,3,FALSE))</f>
        <v>6034.26585443669</v>
      </c>
      <c r="D32" s="21">
        <f>VLOOKUP(D$22,ovrcst!$A$5:$W$36,VLOOKUP('ELC_Gen-sdj'!$B32,'ELC_Gen-sdj'!$AA$4:$AC$19,3,FALSE))</f>
        <v>5962.73873678963</v>
      </c>
      <c r="E32" s="21">
        <f>VLOOKUP(E$22,ovrcst!$A$5:$W$36,VLOOKUP('ELC_Gen-sdj'!$B32,'ELC_Gen-sdj'!$AA$4:$AC$19,3,FALSE))</f>
        <v>5813.15380059821</v>
      </c>
      <c r="F32" s="21">
        <f>VLOOKUP(F$22,ovrcst!$A$5:$W$36,VLOOKUP('ELC_Gen-sdj'!$B32,'ELC_Gen-sdj'!$AA$4:$AC$19,3,FALSE))</f>
        <v>5718.84833798604</v>
      </c>
      <c r="G32" s="21">
        <f>VLOOKUP(G$22,ovrcst!$A$5:$W$36,VLOOKUP('ELC_Gen-sdj'!$B32,'ELC_Gen-sdj'!$AA$4:$AC$19,3,FALSE))</f>
        <v>5651.08385742772</v>
      </c>
      <c r="H32" s="21">
        <f>VLOOKUP(H$22,ovrcst!$A$5:$W$36,VLOOKUP('ELC_Gen-sdj'!$B32,'ELC_Gen-sdj'!$AA$4:$AC$19,3,FALSE))</f>
        <v>5595.79708175474</v>
      </c>
      <c r="I32" s="21">
        <f>VLOOKUP(I$22,ovrcst!$A$5:$W$36,VLOOKUP('ELC_Gen-sdj'!$B32,'ELC_Gen-sdj'!$AA$4:$AC$19,3,FALSE))</f>
        <v>5550.10310867398</v>
      </c>
      <c r="J32" s="21">
        <f>VLOOKUP(J$22,ovrcst!$A$5:$W$36,VLOOKUP('ELC_Gen-sdj'!$B32,'ELC_Gen-sdj'!$AA$4:$AC$19,3,FALSE))</f>
        <v>5491.11552043869</v>
      </c>
      <c r="K32" s="21">
        <f>VLOOKUP(K$22,ovrcst!$A$5:$W$36,VLOOKUP('ELC_Gen-sdj'!$B32,'ELC_Gen-sdj'!$AA$4:$AC$19,3,FALSE))</f>
        <v>5421.3467996012</v>
      </c>
      <c r="L32" s="21">
        <f>VLOOKUP(L$22,ovrcst!$A$5:$W$36,VLOOKUP('ELC_Gen-sdj'!$B32,'ELC_Gen-sdj'!$AA$4:$AC$19,3,FALSE))</f>
        <v>5343.95884646062</v>
      </c>
      <c r="M32" s="21">
        <f>VLOOKUP(M$22,ovrcst!$A$5:$W$36,VLOOKUP('ELC_Gen-sdj'!$B32,'ELC_Gen-sdj'!$AA$4:$AC$19,3,FALSE))</f>
        <v>5264.72730209372</v>
      </c>
      <c r="N32" s="21">
        <f>VLOOKUP(N$22,ovrcst!$A$5:$W$36,VLOOKUP('ELC_Gen-sdj'!$B32,'ELC_Gen-sdj'!$AA$4:$AC$19,3,FALSE))</f>
        <v>5194.53991525424</v>
      </c>
      <c r="O32" s="21">
        <f>VLOOKUP(O$22,ovrcst!$A$5:$W$36,VLOOKUP('ELC_Gen-sdj'!$B32,'ELC_Gen-sdj'!$AA$4:$AC$19,3,FALSE))</f>
        <v>5124.75026121635</v>
      </c>
      <c r="P32" s="21">
        <f>VLOOKUP(P$22,ovrcst!$A$5:$W$36,VLOOKUP('ELC_Gen-sdj'!$B32,'ELC_Gen-sdj'!$AA$4:$AC$19,3,FALSE))</f>
        <v>5055.2288444666</v>
      </c>
      <c r="Q32" s="21">
        <f>VLOOKUP(Q$22,ovrcst!$A$5:$W$36,VLOOKUP('ELC_Gen-sdj'!$B32,'ELC_Gen-sdj'!$AA$4:$AC$19,3,FALSE))</f>
        <v>4988.72474376869</v>
      </c>
      <c r="R32" s="21">
        <f>VLOOKUP(R$22,ovrcst!$A$5:$W$36,VLOOKUP('ELC_Gen-sdj'!$B32,'ELC_Gen-sdj'!$AA$4:$AC$19,3,FALSE))</f>
        <v>4923.08474975075</v>
      </c>
      <c r="S32" s="21">
        <f>VLOOKUP(S$22,ovrcst!$A$5:$W$36,VLOOKUP('ELC_Gen-sdj'!$B32,'ELC_Gen-sdj'!$AA$4:$AC$19,3,FALSE))</f>
        <v>4854.46638584247</v>
      </c>
      <c r="T32" s="21">
        <f>VLOOKUP(T$22,ovrcst!$A$5:$W$36,VLOOKUP('ELC_Gen-sdj'!$B32,'ELC_Gen-sdj'!$AA$4:$AC$19,3,FALSE))</f>
        <v>4789.033777667</v>
      </c>
      <c r="U32" s="21">
        <f>VLOOKUP(U$22,ovrcst!$A$5:$W$36,VLOOKUP('ELC_Gen-sdj'!$B32,'ELC_Gen-sdj'!$AA$4:$AC$19,3,FALSE))</f>
        <v>4724.67363509472</v>
      </c>
      <c r="V32" s="21">
        <f>VLOOKUP(V$22,ovrcst!$A$5:$W$36,VLOOKUP('ELC_Gen-sdj'!$B32,'ELC_Gen-sdj'!$AA$4:$AC$19,3,FALSE))</f>
        <v>4662.49299002991</v>
      </c>
      <c r="W32" s="21">
        <f>VLOOKUP(W$22,ovrcst!$A$5:$W$36,VLOOKUP('ELC_Gen-sdj'!$B32,'ELC_Gen-sdj'!$AA$4:$AC$19,3,FALSE))</f>
        <v>4599.88832303091</v>
      </c>
      <c r="X32" s="21">
        <f>VLOOKUP(X$22,ovrcst!$A$5:$W$36,VLOOKUP('ELC_Gen-sdj'!$B32,'ELC_Gen-sdj'!$AA$4:$AC$19,3,FALSE))</f>
        <v>4539.32538285145</v>
      </c>
      <c r="Y32" s="21">
        <f>VLOOKUP(Y$22,ovrcst!$A$5:$W$36,VLOOKUP('ELC_Gen-sdj'!$B32,'ELC_Gen-sdj'!$AA$4:$AC$19,3,FALSE))</f>
        <v>4480.18006480558</v>
      </c>
      <c r="Z32" s="21">
        <f>VLOOKUP(Z$22,ovrcst!$A$5:$W$36,VLOOKUP('ELC_Gen-sdj'!$B32,'ELC_Gen-sdj'!$AA$4:$AC$19,3,FALSE))</f>
        <v>4417.85775473579</v>
      </c>
      <c r="AA32" s="21">
        <f>VLOOKUP(AA$22,ovrcst!$A$5:$W$36,VLOOKUP('ELC_Gen-sdj'!$B32,'ELC_Gen-sdj'!$AA$4:$AC$19,3,FALSE))</f>
        <v>4362.34947457627</v>
      </c>
      <c r="AB32" s="21">
        <f>VLOOKUP(AB$22,ovrcst!$A$5:$W$36,VLOOKUP('ELC_Gen-sdj'!$B32,'ELC_Gen-sdj'!$AA$4:$AC$19,3,FALSE))</f>
        <v>4301.42433998006</v>
      </c>
      <c r="AC32" s="21">
        <f>VLOOKUP(AC$22,ovrcst!$A$5:$W$36,VLOOKUP('ELC_Gen-sdj'!$B32,'ELC_Gen-sdj'!$AA$4:$AC$19,3,FALSE))</f>
        <v>4246.25099302094</v>
      </c>
      <c r="AD32" s="21">
        <f>VLOOKUP(AD$22,ovrcst!$A$5:$W$36,VLOOKUP('ELC_Gen-sdj'!$B32,'ELC_Gen-sdj'!$AA$4:$AC$19,3,FALSE))</f>
        <v>4186.72692821535</v>
      </c>
      <c r="AE32" s="21">
        <f>VLOOKUP(AE$22,ovrcst!$A$5:$W$36,VLOOKUP('ELC_Gen-sdj'!$B32,'ELC_Gen-sdj'!$AA$4:$AC$19,3,FALSE))</f>
        <v>4131.20550448654</v>
      </c>
      <c r="AF32" s="21">
        <f>VLOOKUP(AF$22,ovrcst!$A$5:$W$36,VLOOKUP('ELC_Gen-sdj'!$B32,'ELC_Gen-sdj'!$AA$4:$AC$19,3,FALSE))</f>
        <v>4075.75442572283</v>
      </c>
      <c r="AG32" s="21">
        <f>VLOOKUP(AG$22,ovrcst!$A$5:$W$36,VLOOKUP('ELC_Gen-sdj'!$B32,'ELC_Gen-sdj'!$AA$4:$AC$19,3,FALSE))</f>
        <v>4020.45328813559</v>
      </c>
      <c r="AH32" s="21">
        <f>VLOOKUP(AH$22,ovrcst!$A$5:$W$36,VLOOKUP('ELC_Gen-sdj'!$B32,'ELC_Gen-sdj'!$AA$4:$AC$19,3,FALSE))</f>
        <v>3965.67012861416</v>
      </c>
    </row>
    <row r="35" spans="2:2">
      <c r="B35" t="s">
        <v>77</v>
      </c>
    </row>
    <row r="36" spans="2:34">
      <c r="B36" t="s">
        <v>2</v>
      </c>
      <c r="C36">
        <v>2019</v>
      </c>
      <c r="D36">
        <v>2020</v>
      </c>
      <c r="E36">
        <v>2021</v>
      </c>
      <c r="F36">
        <v>2022</v>
      </c>
      <c r="G36">
        <v>2023</v>
      </c>
      <c r="H36">
        <v>2024</v>
      </c>
      <c r="I36">
        <v>2025</v>
      </c>
      <c r="J36">
        <v>2026</v>
      </c>
      <c r="K36">
        <v>2027</v>
      </c>
      <c r="L36">
        <v>2028</v>
      </c>
      <c r="M36">
        <v>2029</v>
      </c>
      <c r="N36">
        <v>2030</v>
      </c>
      <c r="O36">
        <v>2031</v>
      </c>
      <c r="P36">
        <v>2032</v>
      </c>
      <c r="Q36">
        <v>2033</v>
      </c>
      <c r="R36">
        <v>2034</v>
      </c>
      <c r="S36">
        <v>2035</v>
      </c>
      <c r="T36">
        <v>2036</v>
      </c>
      <c r="U36">
        <v>2037</v>
      </c>
      <c r="V36">
        <v>2038</v>
      </c>
      <c r="W36">
        <v>2039</v>
      </c>
      <c r="X36">
        <v>2040</v>
      </c>
      <c r="Y36">
        <v>2041</v>
      </c>
      <c r="Z36">
        <v>2042</v>
      </c>
      <c r="AA36">
        <v>2043</v>
      </c>
      <c r="AB36">
        <v>2044</v>
      </c>
      <c r="AC36">
        <v>2045</v>
      </c>
      <c r="AD36">
        <v>2046</v>
      </c>
      <c r="AE36">
        <v>2047</v>
      </c>
      <c r="AF36">
        <v>2048</v>
      </c>
      <c r="AG36">
        <v>2049</v>
      </c>
      <c r="AH36">
        <v>2050</v>
      </c>
    </row>
    <row r="37" spans="2:34">
      <c r="B37" t="str">
        <f>B23</f>
        <v>EN_ZCOAIGCC</v>
      </c>
      <c r="C37" s="19">
        <f>VLOOKUP(C$22,heatrate!$K$5:$T$36,VLOOKUP('ELC_Gen-sdj'!$B37,'ELC_Gen-sdj'!$AA$4:$AD$19,4,FALSE))</f>
        <v>0.292903199560645</v>
      </c>
      <c r="D37" s="19">
        <f>VLOOKUP(D$22,heatrate!$K$5:$T$36,VLOOKUP('ELC_Gen-sdj'!$B37,'ELC_Gen-sdj'!$AA$4:$AD$19,4,FALSE))</f>
        <v>0.292903199560645</v>
      </c>
      <c r="E37" s="19">
        <f>VLOOKUP(E$22,heatrate!$K$5:$T$36,VLOOKUP('ELC_Gen-sdj'!$B37,'ELC_Gen-sdj'!$AA$4:$AD$19,4,FALSE))</f>
        <v>0.292903199560645</v>
      </c>
      <c r="F37" s="19">
        <f>VLOOKUP(F$22,heatrate!$K$5:$T$36,VLOOKUP('ELC_Gen-sdj'!$B37,'ELC_Gen-sdj'!$AA$4:$AD$19,4,FALSE))</f>
        <v>0.292903199560645</v>
      </c>
      <c r="G37" s="19">
        <f>VLOOKUP(G$22,heatrate!$K$5:$T$36,VLOOKUP('ELC_Gen-sdj'!$B37,'ELC_Gen-sdj'!$AA$4:$AD$19,4,FALSE))</f>
        <v>0.314432129033971</v>
      </c>
      <c r="H37" s="19">
        <f>VLOOKUP(H$22,heatrate!$K$5:$T$36,VLOOKUP('ELC_Gen-sdj'!$B37,'ELC_Gen-sdj'!$AA$4:$AD$19,4,FALSE))</f>
        <v>0.339376966725407</v>
      </c>
      <c r="I37" s="19">
        <f>VLOOKUP(I$22,heatrate!$K$5:$T$36,VLOOKUP('ELC_Gen-sdj'!$B37,'ELC_Gen-sdj'!$AA$4:$AD$19,4,FALSE))</f>
        <v>0.368620749149996</v>
      </c>
      <c r="J37" s="19">
        <f>VLOOKUP(J$22,heatrate!$K$5:$T$36,VLOOKUP('ELC_Gen-sdj'!$B37,'ELC_Gen-sdj'!$AA$4:$AD$19,4,FALSE))</f>
        <v>0.368620749149996</v>
      </c>
      <c r="K37" s="19">
        <f>VLOOKUP(K$22,heatrate!$K$5:$T$36,VLOOKUP('ELC_Gen-sdj'!$B37,'ELC_Gen-sdj'!$AA$4:$AD$19,4,FALSE))</f>
        <v>0.368620749149996</v>
      </c>
      <c r="L37" s="19">
        <f>VLOOKUP(L$22,heatrate!$K$5:$T$36,VLOOKUP('ELC_Gen-sdj'!$B37,'ELC_Gen-sdj'!$AA$4:$AD$19,4,FALSE))</f>
        <v>0.368620749149996</v>
      </c>
      <c r="M37" s="19">
        <f>VLOOKUP(M$22,heatrate!$K$5:$T$36,VLOOKUP('ELC_Gen-sdj'!$B37,'ELC_Gen-sdj'!$AA$4:$AD$19,4,FALSE))</f>
        <v>0.368620749149996</v>
      </c>
      <c r="N37" s="19">
        <f>VLOOKUP(N$22,heatrate!$K$5:$T$36,VLOOKUP('ELC_Gen-sdj'!$B37,'ELC_Gen-sdj'!$AA$4:$AD$19,4,FALSE))</f>
        <v>0.368620749149996</v>
      </c>
      <c r="O37" s="19">
        <f>VLOOKUP(O$22,heatrate!$K$5:$T$36,VLOOKUP('ELC_Gen-sdj'!$B37,'ELC_Gen-sdj'!$AA$4:$AD$19,4,FALSE))</f>
        <v>0.368620749149996</v>
      </c>
      <c r="P37" s="19">
        <f>VLOOKUP(P$22,heatrate!$K$5:$T$36,VLOOKUP('ELC_Gen-sdj'!$B37,'ELC_Gen-sdj'!$AA$4:$AD$19,4,FALSE))</f>
        <v>0.368620749149996</v>
      </c>
      <c r="Q37" s="19">
        <f>VLOOKUP(Q$22,heatrate!$K$5:$T$36,VLOOKUP('ELC_Gen-sdj'!$B37,'ELC_Gen-sdj'!$AA$4:$AD$19,4,FALSE))</f>
        <v>0.368620749149996</v>
      </c>
      <c r="R37" s="19">
        <f>VLOOKUP(R$22,heatrate!$K$5:$T$36,VLOOKUP('ELC_Gen-sdj'!$B37,'ELC_Gen-sdj'!$AA$4:$AD$19,4,FALSE))</f>
        <v>0.368620749149996</v>
      </c>
      <c r="S37" s="19">
        <f>VLOOKUP(S$22,heatrate!$K$5:$T$36,VLOOKUP('ELC_Gen-sdj'!$B37,'ELC_Gen-sdj'!$AA$4:$AD$19,4,FALSE))</f>
        <v>0.368620749149996</v>
      </c>
      <c r="T37" s="19">
        <f>VLOOKUP(T$22,heatrate!$K$5:$T$36,VLOOKUP('ELC_Gen-sdj'!$B37,'ELC_Gen-sdj'!$AA$4:$AD$19,4,FALSE))</f>
        <v>0.368620749149996</v>
      </c>
      <c r="U37" s="19">
        <f>VLOOKUP(U$22,heatrate!$K$5:$T$36,VLOOKUP('ELC_Gen-sdj'!$B37,'ELC_Gen-sdj'!$AA$4:$AD$19,4,FALSE))</f>
        <v>0.368620749149996</v>
      </c>
      <c r="V37" s="19">
        <f>VLOOKUP(V$22,heatrate!$K$5:$T$36,VLOOKUP('ELC_Gen-sdj'!$B37,'ELC_Gen-sdj'!$AA$4:$AD$19,4,FALSE))</f>
        <v>0.368620749149996</v>
      </c>
      <c r="W37" s="19">
        <f>VLOOKUP(W$22,heatrate!$K$5:$T$36,VLOOKUP('ELC_Gen-sdj'!$B37,'ELC_Gen-sdj'!$AA$4:$AD$19,4,FALSE))</f>
        <v>0.368620749149996</v>
      </c>
      <c r="X37" s="19">
        <f>VLOOKUP(X$22,heatrate!$K$5:$T$36,VLOOKUP('ELC_Gen-sdj'!$B37,'ELC_Gen-sdj'!$AA$4:$AD$19,4,FALSE))</f>
        <v>0.368620749149996</v>
      </c>
      <c r="Y37" s="19">
        <f>VLOOKUP(Y$22,heatrate!$K$5:$T$36,VLOOKUP('ELC_Gen-sdj'!$B37,'ELC_Gen-sdj'!$AA$4:$AD$19,4,FALSE))</f>
        <v>0.368620749149996</v>
      </c>
      <c r="Z37" s="19">
        <f>VLOOKUP(Z$22,heatrate!$K$5:$T$36,VLOOKUP('ELC_Gen-sdj'!$B37,'ELC_Gen-sdj'!$AA$4:$AD$19,4,FALSE))</f>
        <v>0.368620749149996</v>
      </c>
      <c r="AA37" s="19">
        <f>VLOOKUP(AA$22,heatrate!$K$5:$T$36,VLOOKUP('ELC_Gen-sdj'!$B37,'ELC_Gen-sdj'!$AA$4:$AD$19,4,FALSE))</f>
        <v>0.368620749149996</v>
      </c>
      <c r="AB37" s="19">
        <f>VLOOKUP(AB$22,heatrate!$K$5:$T$36,VLOOKUP('ELC_Gen-sdj'!$B37,'ELC_Gen-sdj'!$AA$4:$AD$19,4,FALSE))</f>
        <v>0.368620749149996</v>
      </c>
      <c r="AC37" s="19">
        <f>VLOOKUP(AC$22,heatrate!$K$5:$T$36,VLOOKUP('ELC_Gen-sdj'!$B37,'ELC_Gen-sdj'!$AA$4:$AD$19,4,FALSE))</f>
        <v>0.368620749149996</v>
      </c>
      <c r="AD37" s="19">
        <f>VLOOKUP(AD$22,heatrate!$K$5:$T$36,VLOOKUP('ELC_Gen-sdj'!$B37,'ELC_Gen-sdj'!$AA$4:$AD$19,4,FALSE))</f>
        <v>0.368620749149996</v>
      </c>
      <c r="AE37" s="19">
        <f>VLOOKUP(AE$22,heatrate!$K$5:$T$36,VLOOKUP('ELC_Gen-sdj'!$B37,'ELC_Gen-sdj'!$AA$4:$AD$19,4,FALSE))</f>
        <v>0.368620749149996</v>
      </c>
      <c r="AF37" s="19">
        <f>VLOOKUP(AF$22,heatrate!$K$5:$T$36,VLOOKUP('ELC_Gen-sdj'!$B37,'ELC_Gen-sdj'!$AA$4:$AD$19,4,FALSE))</f>
        <v>0.368620749149996</v>
      </c>
      <c r="AG37" s="19">
        <f>VLOOKUP(AG$22,heatrate!$K$5:$T$36,VLOOKUP('ELC_Gen-sdj'!$B37,'ELC_Gen-sdj'!$AA$4:$AD$19,4,FALSE))</f>
        <v>0.368620749149996</v>
      </c>
      <c r="AH37" s="19">
        <f>VLOOKUP(AH$22,heatrate!$K$5:$T$36,VLOOKUP('ELC_Gen-sdj'!$B37,'ELC_Gen-sdj'!$AA$4:$AD$19,4,FALSE))</f>
        <v>0.368620749149996</v>
      </c>
    </row>
    <row r="38" spans="2:34">
      <c r="B38" t="str">
        <f t="shared" ref="B38:B42" si="4">B24</f>
        <v>EN_ZGasCCAdv</v>
      </c>
      <c r="C38" s="19">
        <f>VLOOKUP(C$22,heatrate!$K$5:$T$36,VLOOKUP('ELC_Gen-sdj'!$B38,'ELC_Gen-sdj'!$AA$4:$AD$19,4,FALSE))</f>
        <v>0.453464754137079</v>
      </c>
      <c r="D38" s="19">
        <f>VLOOKUP(D$22,heatrate!$K$5:$T$36,VLOOKUP('ELC_Gen-sdj'!$B38,'ELC_Gen-sdj'!$AA$4:$AD$19,4,FALSE))</f>
        <v>0.453464754137079</v>
      </c>
      <c r="E38" s="19">
        <f>VLOOKUP(E$22,heatrate!$K$5:$T$36,VLOOKUP('ELC_Gen-sdj'!$B38,'ELC_Gen-sdj'!$AA$4:$AD$19,4,FALSE))</f>
        <v>0.453464754137079</v>
      </c>
      <c r="F38" s="19">
        <f>VLOOKUP(F$22,heatrate!$K$5:$T$36,VLOOKUP('ELC_Gen-sdj'!$B38,'ELC_Gen-sdj'!$AA$4:$AD$19,4,FALSE))</f>
        <v>0.45394735597732</v>
      </c>
      <c r="G38" s="19">
        <f>VLOOKUP(G$22,heatrate!$K$5:$T$36,VLOOKUP('ELC_Gen-sdj'!$B38,'ELC_Gen-sdj'!$AA$4:$AD$19,4,FALSE))</f>
        <v>0.454430986134174</v>
      </c>
      <c r="H38" s="19">
        <f>VLOOKUP(H$22,heatrate!$K$5:$T$36,VLOOKUP('ELC_Gen-sdj'!$B38,'ELC_Gen-sdj'!$AA$4:$AD$19,4,FALSE))</f>
        <v>0.454915647897816</v>
      </c>
      <c r="I38" s="19">
        <f>VLOOKUP(I$22,heatrate!$K$5:$T$36,VLOOKUP('ELC_Gen-sdj'!$B38,'ELC_Gen-sdj'!$AA$4:$AD$19,4,FALSE))</f>
        <v>0.45540134457247</v>
      </c>
      <c r="J38" s="19">
        <f>VLOOKUP(J$22,heatrate!$K$5:$T$36,VLOOKUP('ELC_Gen-sdj'!$B38,'ELC_Gen-sdj'!$AA$4:$AD$19,4,FALSE))</f>
        <v>0.45540134457247</v>
      </c>
      <c r="K38" s="19">
        <f>VLOOKUP(K$22,heatrate!$K$5:$T$36,VLOOKUP('ELC_Gen-sdj'!$B38,'ELC_Gen-sdj'!$AA$4:$AD$19,4,FALSE))</f>
        <v>0.45540134457247</v>
      </c>
      <c r="L38" s="19">
        <f>VLOOKUP(L$22,heatrate!$K$5:$T$36,VLOOKUP('ELC_Gen-sdj'!$B38,'ELC_Gen-sdj'!$AA$4:$AD$19,4,FALSE))</f>
        <v>0.45540134457247</v>
      </c>
      <c r="M38" s="19">
        <f>VLOOKUP(M$22,heatrate!$K$5:$T$36,VLOOKUP('ELC_Gen-sdj'!$B38,'ELC_Gen-sdj'!$AA$4:$AD$19,4,FALSE))</f>
        <v>0.45540134457247</v>
      </c>
      <c r="N38" s="19">
        <f>VLOOKUP(N$22,heatrate!$K$5:$T$36,VLOOKUP('ELC_Gen-sdj'!$B38,'ELC_Gen-sdj'!$AA$4:$AD$19,4,FALSE))</f>
        <v>0.45540134457247</v>
      </c>
      <c r="O38" s="19">
        <f>VLOOKUP(O$22,heatrate!$K$5:$T$36,VLOOKUP('ELC_Gen-sdj'!$B38,'ELC_Gen-sdj'!$AA$4:$AD$19,4,FALSE))</f>
        <v>0.45540134457247</v>
      </c>
      <c r="P38" s="19">
        <f>VLOOKUP(P$22,heatrate!$K$5:$T$36,VLOOKUP('ELC_Gen-sdj'!$B38,'ELC_Gen-sdj'!$AA$4:$AD$19,4,FALSE))</f>
        <v>0.45540134457247</v>
      </c>
      <c r="Q38" s="19">
        <f>VLOOKUP(Q$22,heatrate!$K$5:$T$36,VLOOKUP('ELC_Gen-sdj'!$B38,'ELC_Gen-sdj'!$AA$4:$AD$19,4,FALSE))</f>
        <v>0.45540134457247</v>
      </c>
      <c r="R38" s="19">
        <f>VLOOKUP(R$22,heatrate!$K$5:$T$36,VLOOKUP('ELC_Gen-sdj'!$B38,'ELC_Gen-sdj'!$AA$4:$AD$19,4,FALSE))</f>
        <v>0.45540134457247</v>
      </c>
      <c r="S38" s="19">
        <f>VLOOKUP(S$22,heatrate!$K$5:$T$36,VLOOKUP('ELC_Gen-sdj'!$B38,'ELC_Gen-sdj'!$AA$4:$AD$19,4,FALSE))</f>
        <v>0.45540134457247</v>
      </c>
      <c r="T38" s="19">
        <f>VLOOKUP(T$22,heatrate!$K$5:$T$36,VLOOKUP('ELC_Gen-sdj'!$B38,'ELC_Gen-sdj'!$AA$4:$AD$19,4,FALSE))</f>
        <v>0.45540134457247</v>
      </c>
      <c r="U38" s="19">
        <f>VLOOKUP(U$22,heatrate!$K$5:$T$36,VLOOKUP('ELC_Gen-sdj'!$B38,'ELC_Gen-sdj'!$AA$4:$AD$19,4,FALSE))</f>
        <v>0.45540134457247</v>
      </c>
      <c r="V38" s="19">
        <f>VLOOKUP(V$22,heatrate!$K$5:$T$36,VLOOKUP('ELC_Gen-sdj'!$B38,'ELC_Gen-sdj'!$AA$4:$AD$19,4,FALSE))</f>
        <v>0.45540134457247</v>
      </c>
      <c r="W38" s="19">
        <f>VLOOKUP(W$22,heatrate!$K$5:$T$36,VLOOKUP('ELC_Gen-sdj'!$B38,'ELC_Gen-sdj'!$AA$4:$AD$19,4,FALSE))</f>
        <v>0.45540134457247</v>
      </c>
      <c r="X38" s="19">
        <f>VLOOKUP(X$22,heatrate!$K$5:$T$36,VLOOKUP('ELC_Gen-sdj'!$B38,'ELC_Gen-sdj'!$AA$4:$AD$19,4,FALSE))</f>
        <v>0.45540134457247</v>
      </c>
      <c r="Y38" s="19">
        <f>VLOOKUP(Y$22,heatrate!$K$5:$T$36,VLOOKUP('ELC_Gen-sdj'!$B38,'ELC_Gen-sdj'!$AA$4:$AD$19,4,FALSE))</f>
        <v>0.45540134457247</v>
      </c>
      <c r="Z38" s="19">
        <f>VLOOKUP(Z$22,heatrate!$K$5:$T$36,VLOOKUP('ELC_Gen-sdj'!$B38,'ELC_Gen-sdj'!$AA$4:$AD$19,4,FALSE))</f>
        <v>0.45540134457247</v>
      </c>
      <c r="AA38" s="19">
        <f>VLOOKUP(AA$22,heatrate!$K$5:$T$36,VLOOKUP('ELC_Gen-sdj'!$B38,'ELC_Gen-sdj'!$AA$4:$AD$19,4,FALSE))</f>
        <v>0.45540134457247</v>
      </c>
      <c r="AB38" s="19">
        <f>VLOOKUP(AB$22,heatrate!$K$5:$T$36,VLOOKUP('ELC_Gen-sdj'!$B38,'ELC_Gen-sdj'!$AA$4:$AD$19,4,FALSE))</f>
        <v>0.45540134457247</v>
      </c>
      <c r="AC38" s="19">
        <f>VLOOKUP(AC$22,heatrate!$K$5:$T$36,VLOOKUP('ELC_Gen-sdj'!$B38,'ELC_Gen-sdj'!$AA$4:$AD$19,4,FALSE))</f>
        <v>0.45540134457247</v>
      </c>
      <c r="AD38" s="19">
        <f>VLOOKUP(AD$22,heatrate!$K$5:$T$36,VLOOKUP('ELC_Gen-sdj'!$B38,'ELC_Gen-sdj'!$AA$4:$AD$19,4,FALSE))</f>
        <v>0.45540134457247</v>
      </c>
      <c r="AE38" s="19">
        <f>VLOOKUP(AE$22,heatrate!$K$5:$T$36,VLOOKUP('ELC_Gen-sdj'!$B38,'ELC_Gen-sdj'!$AA$4:$AD$19,4,FALSE))</f>
        <v>0.45540134457247</v>
      </c>
      <c r="AF38" s="19">
        <f>VLOOKUP(AF$22,heatrate!$K$5:$T$36,VLOOKUP('ELC_Gen-sdj'!$B38,'ELC_Gen-sdj'!$AA$4:$AD$19,4,FALSE))</f>
        <v>0.45540134457247</v>
      </c>
      <c r="AG38" s="19">
        <f>VLOOKUP(AG$22,heatrate!$K$5:$T$36,VLOOKUP('ELC_Gen-sdj'!$B38,'ELC_Gen-sdj'!$AA$4:$AD$19,4,FALSE))</f>
        <v>0.45540134457247</v>
      </c>
      <c r="AH38" s="19">
        <f>VLOOKUP(AH$22,heatrate!$K$5:$T$36,VLOOKUP('ELC_Gen-sdj'!$B38,'ELC_Gen-sdj'!$AA$4:$AD$19,4,FALSE))</f>
        <v>0.45540134457247</v>
      </c>
    </row>
    <row r="39" spans="2:34">
      <c r="B39" t="str">
        <f t="shared" si="4"/>
        <v>EN_GasCCAdv</v>
      </c>
      <c r="C39" s="19">
        <f>VLOOKUP(C$22,heatrate!$K$5:$T$36,VLOOKUP('ELC_Gen-sdj'!$B39,'ELC_Gen-sdj'!$AA$4:$AD$19,4,FALSE))</f>
        <v>0.541638456330399</v>
      </c>
      <c r="D39" s="19">
        <f>VLOOKUP(D$22,heatrate!$K$5:$T$36,VLOOKUP('ELC_Gen-sdj'!$B39,'ELC_Gen-sdj'!$AA$4:$AD$19,4,FALSE))</f>
        <v>0.541638456330399</v>
      </c>
      <c r="E39" s="19">
        <f>VLOOKUP(E$22,heatrate!$K$5:$T$36,VLOOKUP('ELC_Gen-sdj'!$B39,'ELC_Gen-sdj'!$AA$4:$AD$19,4,FALSE))</f>
        <v>0.541638456330399</v>
      </c>
      <c r="F39" s="19">
        <f>VLOOKUP(F$22,heatrate!$K$5:$T$36,VLOOKUP('ELC_Gen-sdj'!$B39,'ELC_Gen-sdj'!$AA$4:$AD$19,4,FALSE))</f>
        <v>0.543796378467174</v>
      </c>
      <c r="G39" s="19">
        <f>VLOOKUP(G$22,heatrate!$K$5:$T$36,VLOOKUP('ELC_Gen-sdj'!$B39,'ELC_Gen-sdj'!$AA$4:$AD$19,4,FALSE))</f>
        <v>0.545971563981043</v>
      </c>
      <c r="H39" s="19">
        <f>VLOOKUP(H$22,heatrate!$K$5:$T$36,VLOOKUP('ELC_Gen-sdj'!$B39,'ELC_Gen-sdj'!$AA$4:$AD$19,4,FALSE))</f>
        <v>0.548164220864501</v>
      </c>
      <c r="I39" s="19">
        <f>VLOOKUP(I$22,heatrate!$K$5:$T$36,VLOOKUP('ELC_Gen-sdj'!$B39,'ELC_Gen-sdj'!$AA$4:$AD$19,4,FALSE))</f>
        <v>0.550374560464761</v>
      </c>
      <c r="J39" s="19">
        <f>VLOOKUP(J$22,heatrate!$K$5:$T$36,VLOOKUP('ELC_Gen-sdj'!$B39,'ELC_Gen-sdj'!$AA$4:$AD$19,4,FALSE))</f>
        <v>0.550374560464761</v>
      </c>
      <c r="K39" s="19">
        <f>VLOOKUP(K$22,heatrate!$K$5:$T$36,VLOOKUP('ELC_Gen-sdj'!$B39,'ELC_Gen-sdj'!$AA$4:$AD$19,4,FALSE))</f>
        <v>0.550374560464761</v>
      </c>
      <c r="L39" s="19">
        <f>VLOOKUP(L$22,heatrate!$K$5:$T$36,VLOOKUP('ELC_Gen-sdj'!$B39,'ELC_Gen-sdj'!$AA$4:$AD$19,4,FALSE))</f>
        <v>0.550374560464761</v>
      </c>
      <c r="M39" s="19">
        <f>VLOOKUP(M$22,heatrate!$K$5:$T$36,VLOOKUP('ELC_Gen-sdj'!$B39,'ELC_Gen-sdj'!$AA$4:$AD$19,4,FALSE))</f>
        <v>0.550374560464761</v>
      </c>
      <c r="N39" s="19">
        <f>VLOOKUP(N$22,heatrate!$K$5:$T$36,VLOOKUP('ELC_Gen-sdj'!$B39,'ELC_Gen-sdj'!$AA$4:$AD$19,4,FALSE))</f>
        <v>0.550374560464761</v>
      </c>
      <c r="O39" s="19">
        <f>VLOOKUP(O$22,heatrate!$K$5:$T$36,VLOOKUP('ELC_Gen-sdj'!$B39,'ELC_Gen-sdj'!$AA$4:$AD$19,4,FALSE))</f>
        <v>0.550374560464761</v>
      </c>
      <c r="P39" s="19">
        <f>VLOOKUP(P$22,heatrate!$K$5:$T$36,VLOOKUP('ELC_Gen-sdj'!$B39,'ELC_Gen-sdj'!$AA$4:$AD$19,4,FALSE))</f>
        <v>0.550374560464761</v>
      </c>
      <c r="Q39" s="19">
        <f>VLOOKUP(Q$22,heatrate!$K$5:$T$36,VLOOKUP('ELC_Gen-sdj'!$B39,'ELC_Gen-sdj'!$AA$4:$AD$19,4,FALSE))</f>
        <v>0.550374560464761</v>
      </c>
      <c r="R39" s="19">
        <f>VLOOKUP(R$22,heatrate!$K$5:$T$36,VLOOKUP('ELC_Gen-sdj'!$B39,'ELC_Gen-sdj'!$AA$4:$AD$19,4,FALSE))</f>
        <v>0.550374560464761</v>
      </c>
      <c r="S39" s="19">
        <f>VLOOKUP(S$22,heatrate!$K$5:$T$36,VLOOKUP('ELC_Gen-sdj'!$B39,'ELC_Gen-sdj'!$AA$4:$AD$19,4,FALSE))</f>
        <v>0.550374560464761</v>
      </c>
      <c r="T39" s="19">
        <f>VLOOKUP(T$22,heatrate!$K$5:$T$36,VLOOKUP('ELC_Gen-sdj'!$B39,'ELC_Gen-sdj'!$AA$4:$AD$19,4,FALSE))</f>
        <v>0.550374560464761</v>
      </c>
      <c r="U39" s="19">
        <f>VLOOKUP(U$22,heatrate!$K$5:$T$36,VLOOKUP('ELC_Gen-sdj'!$B39,'ELC_Gen-sdj'!$AA$4:$AD$19,4,FALSE))</f>
        <v>0.550374560464761</v>
      </c>
      <c r="V39" s="19">
        <f>VLOOKUP(V$22,heatrate!$K$5:$T$36,VLOOKUP('ELC_Gen-sdj'!$B39,'ELC_Gen-sdj'!$AA$4:$AD$19,4,FALSE))</f>
        <v>0.550374560464761</v>
      </c>
      <c r="W39" s="19">
        <f>VLOOKUP(W$22,heatrate!$K$5:$T$36,VLOOKUP('ELC_Gen-sdj'!$B39,'ELC_Gen-sdj'!$AA$4:$AD$19,4,FALSE))</f>
        <v>0.550374560464761</v>
      </c>
      <c r="X39" s="19">
        <f>VLOOKUP(X$22,heatrate!$K$5:$T$36,VLOOKUP('ELC_Gen-sdj'!$B39,'ELC_Gen-sdj'!$AA$4:$AD$19,4,FALSE))</f>
        <v>0.550374560464761</v>
      </c>
      <c r="Y39" s="19">
        <f>VLOOKUP(Y$22,heatrate!$K$5:$T$36,VLOOKUP('ELC_Gen-sdj'!$B39,'ELC_Gen-sdj'!$AA$4:$AD$19,4,FALSE))</f>
        <v>0.550374560464761</v>
      </c>
      <c r="Z39" s="19">
        <f>VLOOKUP(Z$22,heatrate!$K$5:$T$36,VLOOKUP('ELC_Gen-sdj'!$B39,'ELC_Gen-sdj'!$AA$4:$AD$19,4,FALSE))</f>
        <v>0.550374560464761</v>
      </c>
      <c r="AA39" s="19">
        <f>VLOOKUP(AA$22,heatrate!$K$5:$T$36,VLOOKUP('ELC_Gen-sdj'!$B39,'ELC_Gen-sdj'!$AA$4:$AD$19,4,FALSE))</f>
        <v>0.550374560464761</v>
      </c>
      <c r="AB39" s="19">
        <f>VLOOKUP(AB$22,heatrate!$K$5:$T$36,VLOOKUP('ELC_Gen-sdj'!$B39,'ELC_Gen-sdj'!$AA$4:$AD$19,4,FALSE))</f>
        <v>0.550374560464761</v>
      </c>
      <c r="AC39" s="19">
        <f>VLOOKUP(AC$22,heatrate!$K$5:$T$36,VLOOKUP('ELC_Gen-sdj'!$B39,'ELC_Gen-sdj'!$AA$4:$AD$19,4,FALSE))</f>
        <v>0.550374560464761</v>
      </c>
      <c r="AD39" s="19">
        <f>VLOOKUP(AD$22,heatrate!$K$5:$T$36,VLOOKUP('ELC_Gen-sdj'!$B39,'ELC_Gen-sdj'!$AA$4:$AD$19,4,FALSE))</f>
        <v>0.550374560464761</v>
      </c>
      <c r="AE39" s="19">
        <f>VLOOKUP(AE$22,heatrate!$K$5:$T$36,VLOOKUP('ELC_Gen-sdj'!$B39,'ELC_Gen-sdj'!$AA$4:$AD$19,4,FALSE))</f>
        <v>0.550374560464761</v>
      </c>
      <c r="AF39" s="19">
        <f>VLOOKUP(AF$22,heatrate!$K$5:$T$36,VLOOKUP('ELC_Gen-sdj'!$B39,'ELC_Gen-sdj'!$AA$4:$AD$19,4,FALSE))</f>
        <v>0.550374560464761</v>
      </c>
      <c r="AG39" s="19">
        <f>VLOOKUP(AG$22,heatrate!$K$5:$T$36,VLOOKUP('ELC_Gen-sdj'!$B39,'ELC_Gen-sdj'!$AA$4:$AD$19,4,FALSE))</f>
        <v>0.550374560464761</v>
      </c>
      <c r="AH39" s="19">
        <f>VLOOKUP(AH$22,heatrate!$K$5:$T$36,VLOOKUP('ELC_Gen-sdj'!$B39,'ELC_Gen-sdj'!$AA$4:$AD$19,4,FALSE))</f>
        <v>0.550374560464761</v>
      </c>
    </row>
    <row r="40" spans="2:34">
      <c r="B40" t="str">
        <f t="shared" si="4"/>
        <v>EN_GasCC</v>
      </c>
      <c r="C40" s="19">
        <f>VLOOKUP(C$22,heatrate!$K$5:$T$36,VLOOKUP('ELC_Gen-sdj'!$B40,'ELC_Gen-sdj'!$AA$4:$AD$19,4,FALSE))</f>
        <v>0.517018526497199</v>
      </c>
      <c r="D40" s="19">
        <f>VLOOKUP(D$22,heatrate!$K$5:$T$36,VLOOKUP('ELC_Gen-sdj'!$B40,'ELC_Gen-sdj'!$AA$4:$AD$19,4,FALSE))</f>
        <v>0.517018526497199</v>
      </c>
      <c r="E40" s="19">
        <f>VLOOKUP(E$22,heatrate!$K$5:$T$36,VLOOKUP('ELC_Gen-sdj'!$B40,'ELC_Gen-sdj'!$AA$4:$AD$19,4,FALSE))</f>
        <v>0.517018526497199</v>
      </c>
      <c r="F40" s="19">
        <f>VLOOKUP(F$22,heatrate!$K$5:$T$36,VLOOKUP('ELC_Gen-sdj'!$B40,'ELC_Gen-sdj'!$AA$4:$AD$19,4,FALSE))</f>
        <v>0.521961342238091</v>
      </c>
      <c r="G40" s="19">
        <f>VLOOKUP(G$22,heatrate!$K$5:$T$36,VLOOKUP('ELC_Gen-sdj'!$B40,'ELC_Gen-sdj'!$AA$4:$AD$19,4,FALSE))</f>
        <v>0.526999579132281</v>
      </c>
      <c r="H40" s="19">
        <f>VLOOKUP(H$22,heatrate!$K$5:$T$36,VLOOKUP('ELC_Gen-sdj'!$B40,'ELC_Gen-sdj'!$AA$4:$AD$19,4,FALSE))</f>
        <v>0.532136027271971</v>
      </c>
      <c r="I40" s="19">
        <f>VLOOKUP(I$22,heatrate!$K$5:$T$36,VLOOKUP('ELC_Gen-sdj'!$B40,'ELC_Gen-sdj'!$AA$4:$AD$19,4,FALSE))</f>
        <v>0.537373586595514</v>
      </c>
      <c r="J40" s="19">
        <f>VLOOKUP(J$22,heatrate!$K$5:$T$36,VLOOKUP('ELC_Gen-sdj'!$B40,'ELC_Gen-sdj'!$AA$4:$AD$19,4,FALSE))</f>
        <v>0.537373586595514</v>
      </c>
      <c r="K40" s="19">
        <f>VLOOKUP(K$22,heatrate!$K$5:$T$36,VLOOKUP('ELC_Gen-sdj'!$B40,'ELC_Gen-sdj'!$AA$4:$AD$19,4,FALSE))</f>
        <v>0.537373586595514</v>
      </c>
      <c r="L40" s="19">
        <f>VLOOKUP(L$22,heatrate!$K$5:$T$36,VLOOKUP('ELC_Gen-sdj'!$B40,'ELC_Gen-sdj'!$AA$4:$AD$19,4,FALSE))</f>
        <v>0.537373586595514</v>
      </c>
      <c r="M40" s="19">
        <f>VLOOKUP(M$22,heatrate!$K$5:$T$36,VLOOKUP('ELC_Gen-sdj'!$B40,'ELC_Gen-sdj'!$AA$4:$AD$19,4,FALSE))</f>
        <v>0.537373586595514</v>
      </c>
      <c r="N40" s="19">
        <f>VLOOKUP(N$22,heatrate!$K$5:$T$36,VLOOKUP('ELC_Gen-sdj'!$B40,'ELC_Gen-sdj'!$AA$4:$AD$19,4,FALSE))</f>
        <v>0.537373586595514</v>
      </c>
      <c r="O40" s="19">
        <f>VLOOKUP(O$22,heatrate!$K$5:$T$36,VLOOKUP('ELC_Gen-sdj'!$B40,'ELC_Gen-sdj'!$AA$4:$AD$19,4,FALSE))</f>
        <v>0.537373586595514</v>
      </c>
      <c r="P40" s="19">
        <f>VLOOKUP(P$22,heatrate!$K$5:$T$36,VLOOKUP('ELC_Gen-sdj'!$B40,'ELC_Gen-sdj'!$AA$4:$AD$19,4,FALSE))</f>
        <v>0.537373586595514</v>
      </c>
      <c r="Q40" s="19">
        <f>VLOOKUP(Q$22,heatrate!$K$5:$T$36,VLOOKUP('ELC_Gen-sdj'!$B40,'ELC_Gen-sdj'!$AA$4:$AD$19,4,FALSE))</f>
        <v>0.537373586595514</v>
      </c>
      <c r="R40" s="19">
        <f>VLOOKUP(R$22,heatrate!$K$5:$T$36,VLOOKUP('ELC_Gen-sdj'!$B40,'ELC_Gen-sdj'!$AA$4:$AD$19,4,FALSE))</f>
        <v>0.537373586595514</v>
      </c>
      <c r="S40" s="19">
        <f>VLOOKUP(S$22,heatrate!$K$5:$T$36,VLOOKUP('ELC_Gen-sdj'!$B40,'ELC_Gen-sdj'!$AA$4:$AD$19,4,FALSE))</f>
        <v>0.537373586595514</v>
      </c>
      <c r="T40" s="19">
        <f>VLOOKUP(T$22,heatrate!$K$5:$T$36,VLOOKUP('ELC_Gen-sdj'!$B40,'ELC_Gen-sdj'!$AA$4:$AD$19,4,FALSE))</f>
        <v>0.537373586595514</v>
      </c>
      <c r="U40" s="19">
        <f>VLOOKUP(U$22,heatrate!$K$5:$T$36,VLOOKUP('ELC_Gen-sdj'!$B40,'ELC_Gen-sdj'!$AA$4:$AD$19,4,FALSE))</f>
        <v>0.537373586595514</v>
      </c>
      <c r="V40" s="19">
        <f>VLOOKUP(V$22,heatrate!$K$5:$T$36,VLOOKUP('ELC_Gen-sdj'!$B40,'ELC_Gen-sdj'!$AA$4:$AD$19,4,FALSE))</f>
        <v>0.537373586595514</v>
      </c>
      <c r="W40" s="19">
        <f>VLOOKUP(W$22,heatrate!$K$5:$T$36,VLOOKUP('ELC_Gen-sdj'!$B40,'ELC_Gen-sdj'!$AA$4:$AD$19,4,FALSE))</f>
        <v>0.537373586595514</v>
      </c>
      <c r="X40" s="19">
        <f>VLOOKUP(X$22,heatrate!$K$5:$T$36,VLOOKUP('ELC_Gen-sdj'!$B40,'ELC_Gen-sdj'!$AA$4:$AD$19,4,FALSE))</f>
        <v>0.537373586595514</v>
      </c>
      <c r="Y40" s="19">
        <f>VLOOKUP(Y$22,heatrate!$K$5:$T$36,VLOOKUP('ELC_Gen-sdj'!$B40,'ELC_Gen-sdj'!$AA$4:$AD$19,4,FALSE))</f>
        <v>0.537373586595514</v>
      </c>
      <c r="Z40" s="19">
        <f>VLOOKUP(Z$22,heatrate!$K$5:$T$36,VLOOKUP('ELC_Gen-sdj'!$B40,'ELC_Gen-sdj'!$AA$4:$AD$19,4,FALSE))</f>
        <v>0.537373586595514</v>
      </c>
      <c r="AA40" s="19">
        <f>VLOOKUP(AA$22,heatrate!$K$5:$T$36,VLOOKUP('ELC_Gen-sdj'!$B40,'ELC_Gen-sdj'!$AA$4:$AD$19,4,FALSE))</f>
        <v>0.537373586595514</v>
      </c>
      <c r="AB40" s="19">
        <f>VLOOKUP(AB$22,heatrate!$K$5:$T$36,VLOOKUP('ELC_Gen-sdj'!$B40,'ELC_Gen-sdj'!$AA$4:$AD$19,4,FALSE))</f>
        <v>0.537373586595514</v>
      </c>
      <c r="AC40" s="19">
        <f>VLOOKUP(AC$22,heatrate!$K$5:$T$36,VLOOKUP('ELC_Gen-sdj'!$B40,'ELC_Gen-sdj'!$AA$4:$AD$19,4,FALSE))</f>
        <v>0.537373586595514</v>
      </c>
      <c r="AD40" s="19">
        <f>VLOOKUP(AD$22,heatrate!$K$5:$T$36,VLOOKUP('ELC_Gen-sdj'!$B40,'ELC_Gen-sdj'!$AA$4:$AD$19,4,FALSE))</f>
        <v>0.537373586595514</v>
      </c>
      <c r="AE40" s="19">
        <f>VLOOKUP(AE$22,heatrate!$K$5:$T$36,VLOOKUP('ELC_Gen-sdj'!$B40,'ELC_Gen-sdj'!$AA$4:$AD$19,4,FALSE))</f>
        <v>0.537373586595514</v>
      </c>
      <c r="AF40" s="19">
        <f>VLOOKUP(AF$22,heatrate!$K$5:$T$36,VLOOKUP('ELC_Gen-sdj'!$B40,'ELC_Gen-sdj'!$AA$4:$AD$19,4,FALSE))</f>
        <v>0.537373586595514</v>
      </c>
      <c r="AG40" s="19">
        <f>VLOOKUP(AG$22,heatrate!$K$5:$T$36,VLOOKUP('ELC_Gen-sdj'!$B40,'ELC_Gen-sdj'!$AA$4:$AD$19,4,FALSE))</f>
        <v>0.537373586595514</v>
      </c>
      <c r="AH40" s="19">
        <f>VLOOKUP(AH$22,heatrate!$K$5:$T$36,VLOOKUP('ELC_Gen-sdj'!$B40,'ELC_Gen-sdj'!$AA$4:$AD$19,4,FALSE))</f>
        <v>0.537373586595514</v>
      </c>
    </row>
    <row r="41" spans="2:34">
      <c r="B41" t="str">
        <f t="shared" si="4"/>
        <v>EN_GasCTAdv</v>
      </c>
      <c r="C41" s="19">
        <f>VLOOKUP(C$22,heatrate!$K$5:$T$36,VLOOKUP('ELC_Gen-sdj'!$B41,'ELC_Gen-sdj'!$AA$4:$AD$19,4,FALSE))</f>
        <v>0.348196150498114</v>
      </c>
      <c r="D41" s="19">
        <f>VLOOKUP(D$22,heatrate!$K$5:$T$36,VLOOKUP('ELC_Gen-sdj'!$B41,'ELC_Gen-sdj'!$AA$4:$AD$19,4,FALSE))</f>
        <v>0.348196150498114</v>
      </c>
      <c r="E41" s="19">
        <f>VLOOKUP(E$22,heatrate!$K$5:$T$36,VLOOKUP('ELC_Gen-sdj'!$B41,'ELC_Gen-sdj'!$AA$4:$AD$19,4,FALSE))</f>
        <v>0.357311232971887</v>
      </c>
      <c r="F41" s="19">
        <f>VLOOKUP(F$22,heatrate!$K$5:$T$36,VLOOKUP('ELC_Gen-sdj'!$B41,'ELC_Gen-sdj'!$AA$4:$AD$19,4,FALSE))</f>
        <v>0.366916373643174</v>
      </c>
      <c r="G41" s="19">
        <f>VLOOKUP(G$22,heatrate!$K$5:$T$36,VLOOKUP('ELC_Gen-sdj'!$B41,'ELC_Gen-sdj'!$AA$4:$AD$19,4,FALSE))</f>
        <v>0.377052185069781</v>
      </c>
      <c r="H41" s="19">
        <f>VLOOKUP(H$22,heatrate!$K$5:$T$36,VLOOKUP('ELC_Gen-sdj'!$B41,'ELC_Gen-sdj'!$AA$4:$AD$19,4,FALSE))</f>
        <v>0.3877638948729</v>
      </c>
      <c r="I41" s="19">
        <f>VLOOKUP(I$22,heatrate!$K$5:$T$36,VLOOKUP('ELC_Gen-sdj'!$B41,'ELC_Gen-sdj'!$AA$4:$AD$19,4,FALSE))</f>
        <v>0.399102020453979</v>
      </c>
      <c r="J41" s="19">
        <f>VLOOKUP(J$22,heatrate!$K$5:$T$36,VLOOKUP('ELC_Gen-sdj'!$B41,'ELC_Gen-sdj'!$AA$4:$AD$19,4,FALSE))</f>
        <v>0.399102020453979</v>
      </c>
      <c r="K41" s="19">
        <f>VLOOKUP(K$22,heatrate!$K$5:$T$36,VLOOKUP('ELC_Gen-sdj'!$B41,'ELC_Gen-sdj'!$AA$4:$AD$19,4,FALSE))</f>
        <v>0.399102020453979</v>
      </c>
      <c r="L41" s="19">
        <f>VLOOKUP(L$22,heatrate!$K$5:$T$36,VLOOKUP('ELC_Gen-sdj'!$B41,'ELC_Gen-sdj'!$AA$4:$AD$19,4,FALSE))</f>
        <v>0.399102020453979</v>
      </c>
      <c r="M41" s="19">
        <f>VLOOKUP(M$22,heatrate!$K$5:$T$36,VLOOKUP('ELC_Gen-sdj'!$B41,'ELC_Gen-sdj'!$AA$4:$AD$19,4,FALSE))</f>
        <v>0.399102020453979</v>
      </c>
      <c r="N41" s="19">
        <f>VLOOKUP(N$22,heatrate!$K$5:$T$36,VLOOKUP('ELC_Gen-sdj'!$B41,'ELC_Gen-sdj'!$AA$4:$AD$19,4,FALSE))</f>
        <v>0.399102020453979</v>
      </c>
      <c r="O41" s="19">
        <f>VLOOKUP(O$22,heatrate!$K$5:$T$36,VLOOKUP('ELC_Gen-sdj'!$B41,'ELC_Gen-sdj'!$AA$4:$AD$19,4,FALSE))</f>
        <v>0.399102020453979</v>
      </c>
      <c r="P41" s="19">
        <f>VLOOKUP(P$22,heatrate!$K$5:$T$36,VLOOKUP('ELC_Gen-sdj'!$B41,'ELC_Gen-sdj'!$AA$4:$AD$19,4,FALSE))</f>
        <v>0.399102020453979</v>
      </c>
      <c r="Q41" s="19">
        <f>VLOOKUP(Q$22,heatrate!$K$5:$T$36,VLOOKUP('ELC_Gen-sdj'!$B41,'ELC_Gen-sdj'!$AA$4:$AD$19,4,FALSE))</f>
        <v>0.399102020453979</v>
      </c>
      <c r="R41" s="19">
        <f>VLOOKUP(R$22,heatrate!$K$5:$T$36,VLOOKUP('ELC_Gen-sdj'!$B41,'ELC_Gen-sdj'!$AA$4:$AD$19,4,FALSE))</f>
        <v>0.399102020453979</v>
      </c>
      <c r="S41" s="19">
        <f>VLOOKUP(S$22,heatrate!$K$5:$T$36,VLOOKUP('ELC_Gen-sdj'!$B41,'ELC_Gen-sdj'!$AA$4:$AD$19,4,FALSE))</f>
        <v>0.399102020453979</v>
      </c>
      <c r="T41" s="19">
        <f>VLOOKUP(T$22,heatrate!$K$5:$T$36,VLOOKUP('ELC_Gen-sdj'!$B41,'ELC_Gen-sdj'!$AA$4:$AD$19,4,FALSE))</f>
        <v>0.399102020453979</v>
      </c>
      <c r="U41" s="19">
        <f>VLOOKUP(U$22,heatrate!$K$5:$T$36,VLOOKUP('ELC_Gen-sdj'!$B41,'ELC_Gen-sdj'!$AA$4:$AD$19,4,FALSE))</f>
        <v>0.399102020453979</v>
      </c>
      <c r="V41" s="19">
        <f>VLOOKUP(V$22,heatrate!$K$5:$T$36,VLOOKUP('ELC_Gen-sdj'!$B41,'ELC_Gen-sdj'!$AA$4:$AD$19,4,FALSE))</f>
        <v>0.399102020453979</v>
      </c>
      <c r="W41" s="19">
        <f>VLOOKUP(W$22,heatrate!$K$5:$T$36,VLOOKUP('ELC_Gen-sdj'!$B41,'ELC_Gen-sdj'!$AA$4:$AD$19,4,FALSE))</f>
        <v>0.399102020453979</v>
      </c>
      <c r="X41" s="19">
        <f>VLOOKUP(X$22,heatrate!$K$5:$T$36,VLOOKUP('ELC_Gen-sdj'!$B41,'ELC_Gen-sdj'!$AA$4:$AD$19,4,FALSE))</f>
        <v>0.399102020453979</v>
      </c>
      <c r="Y41" s="19">
        <f>VLOOKUP(Y$22,heatrate!$K$5:$T$36,VLOOKUP('ELC_Gen-sdj'!$B41,'ELC_Gen-sdj'!$AA$4:$AD$19,4,FALSE))</f>
        <v>0.399102020453979</v>
      </c>
      <c r="Z41" s="19">
        <f>VLOOKUP(Z$22,heatrate!$K$5:$T$36,VLOOKUP('ELC_Gen-sdj'!$B41,'ELC_Gen-sdj'!$AA$4:$AD$19,4,FALSE))</f>
        <v>0.399102020453979</v>
      </c>
      <c r="AA41" s="19">
        <f>VLOOKUP(AA$22,heatrate!$K$5:$T$36,VLOOKUP('ELC_Gen-sdj'!$B41,'ELC_Gen-sdj'!$AA$4:$AD$19,4,FALSE))</f>
        <v>0.399102020453979</v>
      </c>
      <c r="AB41" s="19">
        <f>VLOOKUP(AB$22,heatrate!$K$5:$T$36,VLOOKUP('ELC_Gen-sdj'!$B41,'ELC_Gen-sdj'!$AA$4:$AD$19,4,FALSE))</f>
        <v>0.399102020453979</v>
      </c>
      <c r="AC41" s="19">
        <f>VLOOKUP(AC$22,heatrate!$K$5:$T$36,VLOOKUP('ELC_Gen-sdj'!$B41,'ELC_Gen-sdj'!$AA$4:$AD$19,4,FALSE))</f>
        <v>0.399102020453979</v>
      </c>
      <c r="AD41" s="19">
        <f>VLOOKUP(AD$22,heatrate!$K$5:$T$36,VLOOKUP('ELC_Gen-sdj'!$B41,'ELC_Gen-sdj'!$AA$4:$AD$19,4,FALSE))</f>
        <v>0.399102020453979</v>
      </c>
      <c r="AE41" s="19">
        <f>VLOOKUP(AE$22,heatrate!$K$5:$T$36,VLOOKUP('ELC_Gen-sdj'!$B41,'ELC_Gen-sdj'!$AA$4:$AD$19,4,FALSE))</f>
        <v>0.399102020453979</v>
      </c>
      <c r="AF41" s="19">
        <f>VLOOKUP(AF$22,heatrate!$K$5:$T$36,VLOOKUP('ELC_Gen-sdj'!$B41,'ELC_Gen-sdj'!$AA$4:$AD$19,4,FALSE))</f>
        <v>0.399102020453979</v>
      </c>
      <c r="AG41" s="19">
        <f>VLOOKUP(AG$22,heatrate!$K$5:$T$36,VLOOKUP('ELC_Gen-sdj'!$B41,'ELC_Gen-sdj'!$AA$4:$AD$19,4,FALSE))</f>
        <v>0.399102020453979</v>
      </c>
      <c r="AH41" s="19">
        <f>VLOOKUP(AH$22,heatrate!$K$5:$T$36,VLOOKUP('ELC_Gen-sdj'!$B41,'ELC_Gen-sdj'!$AA$4:$AD$19,4,FALSE))</f>
        <v>0.399102020453979</v>
      </c>
    </row>
    <row r="42" spans="2:34">
      <c r="B42" t="str">
        <f t="shared" si="4"/>
        <v>EN_GasCT</v>
      </c>
      <c r="C42" s="19">
        <f>VLOOKUP(C$22,heatrate!$K$5:$T$36,VLOOKUP('ELC_Gen-sdj'!$B42,'ELC_Gen-sdj'!$AA$4:$AD$19,4,FALSE))</f>
        <v>0.346780718992024</v>
      </c>
      <c r="D42" s="19">
        <f>VLOOKUP(D$22,heatrate!$K$5:$T$36,VLOOKUP('ELC_Gen-sdj'!$B42,'ELC_Gen-sdj'!$AA$4:$AD$19,4,FALSE))</f>
        <v>0.348196150498114</v>
      </c>
      <c r="E42" s="19">
        <f>VLOOKUP(E$22,heatrate!$K$5:$T$36,VLOOKUP('ELC_Gen-sdj'!$B42,'ELC_Gen-sdj'!$AA$4:$AD$19,4,FALSE))</f>
        <v>0.349623183901795</v>
      </c>
      <c r="F42" s="19">
        <f>VLOOKUP(F$22,heatrate!$K$5:$T$36,VLOOKUP('ELC_Gen-sdj'!$B42,'ELC_Gen-sdj'!$AA$4:$AD$19,4,FALSE))</f>
        <v>0.35106196243637</v>
      </c>
      <c r="G42" s="19">
        <f>VLOOKUP(G$22,heatrate!$K$5:$T$36,VLOOKUP('ELC_Gen-sdj'!$B42,'ELC_Gen-sdj'!$AA$4:$AD$19,4,FALSE))</f>
        <v>0.352512631702636</v>
      </c>
      <c r="H42" s="19">
        <f>VLOOKUP(H$22,heatrate!$K$5:$T$36,VLOOKUP('ELC_Gen-sdj'!$B42,'ELC_Gen-sdj'!$AA$4:$AD$19,4,FALSE))</f>
        <v>0.353975339718</v>
      </c>
      <c r="I42" s="19">
        <f>VLOOKUP(I$22,heatrate!$K$5:$T$36,VLOOKUP('ELC_Gen-sdj'!$B42,'ELC_Gen-sdj'!$AA$4:$AD$19,4,FALSE))</f>
        <v>0.355450236966825</v>
      </c>
      <c r="J42" s="19">
        <f>VLOOKUP(J$22,heatrate!$K$5:$T$36,VLOOKUP('ELC_Gen-sdj'!$B42,'ELC_Gen-sdj'!$AA$4:$AD$19,4,FALSE))</f>
        <v>0.355450236966825</v>
      </c>
      <c r="K42" s="19">
        <f>VLOOKUP(K$22,heatrate!$K$5:$T$36,VLOOKUP('ELC_Gen-sdj'!$B42,'ELC_Gen-sdj'!$AA$4:$AD$19,4,FALSE))</f>
        <v>0.355450236966825</v>
      </c>
      <c r="L42" s="19">
        <f>VLOOKUP(L$22,heatrate!$K$5:$T$36,VLOOKUP('ELC_Gen-sdj'!$B42,'ELC_Gen-sdj'!$AA$4:$AD$19,4,FALSE))</f>
        <v>0.355450236966825</v>
      </c>
      <c r="M42" s="19">
        <f>VLOOKUP(M$22,heatrate!$K$5:$T$36,VLOOKUP('ELC_Gen-sdj'!$B42,'ELC_Gen-sdj'!$AA$4:$AD$19,4,FALSE))</f>
        <v>0.355450236966825</v>
      </c>
      <c r="N42" s="19">
        <f>VLOOKUP(N$22,heatrate!$K$5:$T$36,VLOOKUP('ELC_Gen-sdj'!$B42,'ELC_Gen-sdj'!$AA$4:$AD$19,4,FALSE))</f>
        <v>0.355450236966825</v>
      </c>
      <c r="O42" s="19">
        <f>VLOOKUP(O$22,heatrate!$K$5:$T$36,VLOOKUP('ELC_Gen-sdj'!$B42,'ELC_Gen-sdj'!$AA$4:$AD$19,4,FALSE))</f>
        <v>0.355450236966825</v>
      </c>
      <c r="P42" s="19">
        <f>VLOOKUP(P$22,heatrate!$K$5:$T$36,VLOOKUP('ELC_Gen-sdj'!$B42,'ELC_Gen-sdj'!$AA$4:$AD$19,4,FALSE))</f>
        <v>0.355450236966825</v>
      </c>
      <c r="Q42" s="19">
        <f>VLOOKUP(Q$22,heatrate!$K$5:$T$36,VLOOKUP('ELC_Gen-sdj'!$B42,'ELC_Gen-sdj'!$AA$4:$AD$19,4,FALSE))</f>
        <v>0.355450236966825</v>
      </c>
      <c r="R42" s="19">
        <f>VLOOKUP(R$22,heatrate!$K$5:$T$36,VLOOKUP('ELC_Gen-sdj'!$B42,'ELC_Gen-sdj'!$AA$4:$AD$19,4,FALSE))</f>
        <v>0.355450236966825</v>
      </c>
      <c r="S42" s="19">
        <f>VLOOKUP(S$22,heatrate!$K$5:$T$36,VLOOKUP('ELC_Gen-sdj'!$B42,'ELC_Gen-sdj'!$AA$4:$AD$19,4,FALSE))</f>
        <v>0.355450236966825</v>
      </c>
      <c r="T42" s="19">
        <f>VLOOKUP(T$22,heatrate!$K$5:$T$36,VLOOKUP('ELC_Gen-sdj'!$B42,'ELC_Gen-sdj'!$AA$4:$AD$19,4,FALSE))</f>
        <v>0.355450236966825</v>
      </c>
      <c r="U42" s="19">
        <f>VLOOKUP(U$22,heatrate!$K$5:$T$36,VLOOKUP('ELC_Gen-sdj'!$B42,'ELC_Gen-sdj'!$AA$4:$AD$19,4,FALSE))</f>
        <v>0.355450236966825</v>
      </c>
      <c r="V42" s="19">
        <f>VLOOKUP(V$22,heatrate!$K$5:$T$36,VLOOKUP('ELC_Gen-sdj'!$B42,'ELC_Gen-sdj'!$AA$4:$AD$19,4,FALSE))</f>
        <v>0.355450236966825</v>
      </c>
      <c r="W42" s="19">
        <f>VLOOKUP(W$22,heatrate!$K$5:$T$36,VLOOKUP('ELC_Gen-sdj'!$B42,'ELC_Gen-sdj'!$AA$4:$AD$19,4,FALSE))</f>
        <v>0.355450236966825</v>
      </c>
      <c r="X42" s="19">
        <f>VLOOKUP(X$22,heatrate!$K$5:$T$36,VLOOKUP('ELC_Gen-sdj'!$B42,'ELC_Gen-sdj'!$AA$4:$AD$19,4,FALSE))</f>
        <v>0.355450236966825</v>
      </c>
      <c r="Y42" s="19">
        <f>VLOOKUP(Y$22,heatrate!$K$5:$T$36,VLOOKUP('ELC_Gen-sdj'!$B42,'ELC_Gen-sdj'!$AA$4:$AD$19,4,FALSE))</f>
        <v>0.355450236966825</v>
      </c>
      <c r="Z42" s="19">
        <f>VLOOKUP(Z$22,heatrate!$K$5:$T$36,VLOOKUP('ELC_Gen-sdj'!$B42,'ELC_Gen-sdj'!$AA$4:$AD$19,4,FALSE))</f>
        <v>0.355450236966825</v>
      </c>
      <c r="AA42" s="19">
        <f>VLOOKUP(AA$22,heatrate!$K$5:$T$36,VLOOKUP('ELC_Gen-sdj'!$B42,'ELC_Gen-sdj'!$AA$4:$AD$19,4,FALSE))</f>
        <v>0.355450236966825</v>
      </c>
      <c r="AB42" s="19">
        <f>VLOOKUP(AB$22,heatrate!$K$5:$T$36,VLOOKUP('ELC_Gen-sdj'!$B42,'ELC_Gen-sdj'!$AA$4:$AD$19,4,FALSE))</f>
        <v>0.355450236966825</v>
      </c>
      <c r="AC42" s="19">
        <f>VLOOKUP(AC$22,heatrate!$K$5:$T$36,VLOOKUP('ELC_Gen-sdj'!$B42,'ELC_Gen-sdj'!$AA$4:$AD$19,4,FALSE))</f>
        <v>0.355450236966825</v>
      </c>
      <c r="AD42" s="19">
        <f>VLOOKUP(AD$22,heatrate!$K$5:$T$36,VLOOKUP('ELC_Gen-sdj'!$B42,'ELC_Gen-sdj'!$AA$4:$AD$19,4,FALSE))</f>
        <v>0.355450236966825</v>
      </c>
      <c r="AE42" s="19">
        <f>VLOOKUP(AE$22,heatrate!$K$5:$T$36,VLOOKUP('ELC_Gen-sdj'!$B42,'ELC_Gen-sdj'!$AA$4:$AD$19,4,FALSE))</f>
        <v>0.355450236966825</v>
      </c>
      <c r="AF42" s="19">
        <f>VLOOKUP(AF$22,heatrate!$K$5:$T$36,VLOOKUP('ELC_Gen-sdj'!$B42,'ELC_Gen-sdj'!$AA$4:$AD$19,4,FALSE))</f>
        <v>0.355450236966825</v>
      </c>
      <c r="AG42" s="19">
        <f>VLOOKUP(AG$22,heatrate!$K$5:$T$36,VLOOKUP('ELC_Gen-sdj'!$B42,'ELC_Gen-sdj'!$AA$4:$AD$19,4,FALSE))</f>
        <v>0.355450236966825</v>
      </c>
      <c r="AH42" s="19">
        <f>VLOOKUP(AH$22,heatrate!$K$5:$T$36,VLOOKUP('ELC_Gen-sdj'!$B42,'ELC_Gen-sdj'!$AA$4:$AD$19,4,FALSE))</f>
        <v>0.355450236966825</v>
      </c>
    </row>
    <row r="43" spans="2:34">
      <c r="B43" t="str">
        <f>B30</f>
        <v>EN_ZBiomass</v>
      </c>
      <c r="C43" s="19">
        <f>VLOOKUP(C$22,heatrate!$K$5:$T$36,VLOOKUP('ELC_Gen-sdj'!$B43,'ELC_Gen-sdj'!$AA$4:$AD$19,4,FALSE))</f>
        <v>0.292903199560645</v>
      </c>
      <c r="D43" s="19">
        <f>VLOOKUP(D$22,heatrate!$K$5:$T$36,VLOOKUP('ELC_Gen-sdj'!$B43,'ELC_Gen-sdj'!$AA$4:$AD$19,4,FALSE))</f>
        <v>0.292903199560645</v>
      </c>
      <c r="E43" s="19">
        <f>VLOOKUP(E$22,heatrate!$K$5:$T$36,VLOOKUP('ELC_Gen-sdj'!$B43,'ELC_Gen-sdj'!$AA$4:$AD$19,4,FALSE))</f>
        <v>0.292903199560645</v>
      </c>
      <c r="F43" s="19">
        <f>VLOOKUP(F$22,heatrate!$K$5:$T$36,VLOOKUP('ELC_Gen-sdj'!$B43,'ELC_Gen-sdj'!$AA$4:$AD$19,4,FALSE))</f>
        <v>0.292903199560645</v>
      </c>
      <c r="G43" s="19">
        <f>VLOOKUP(G$22,heatrate!$K$5:$T$36,VLOOKUP('ELC_Gen-sdj'!$B43,'ELC_Gen-sdj'!$AA$4:$AD$19,4,FALSE))</f>
        <v>0.314432129033971</v>
      </c>
      <c r="H43" s="19">
        <f>VLOOKUP(H$22,heatrate!$K$5:$T$36,VLOOKUP('ELC_Gen-sdj'!$B43,'ELC_Gen-sdj'!$AA$4:$AD$19,4,FALSE))</f>
        <v>0.339376966725407</v>
      </c>
      <c r="I43" s="19">
        <f>VLOOKUP(I$22,heatrate!$K$5:$T$36,VLOOKUP('ELC_Gen-sdj'!$B43,'ELC_Gen-sdj'!$AA$4:$AD$19,4,FALSE))</f>
        <v>0.368620749149996</v>
      </c>
      <c r="J43" s="19">
        <f>VLOOKUP(J$22,heatrate!$K$5:$T$36,VLOOKUP('ELC_Gen-sdj'!$B43,'ELC_Gen-sdj'!$AA$4:$AD$19,4,FALSE))</f>
        <v>0.368620749149996</v>
      </c>
      <c r="K43" s="19">
        <f>VLOOKUP(K$22,heatrate!$K$5:$T$36,VLOOKUP('ELC_Gen-sdj'!$B43,'ELC_Gen-sdj'!$AA$4:$AD$19,4,FALSE))</f>
        <v>0.368620749149996</v>
      </c>
      <c r="L43" s="19">
        <f>VLOOKUP(L$22,heatrate!$K$5:$T$36,VLOOKUP('ELC_Gen-sdj'!$B43,'ELC_Gen-sdj'!$AA$4:$AD$19,4,FALSE))</f>
        <v>0.368620749149996</v>
      </c>
      <c r="M43" s="19">
        <f>VLOOKUP(M$22,heatrate!$K$5:$T$36,VLOOKUP('ELC_Gen-sdj'!$B43,'ELC_Gen-sdj'!$AA$4:$AD$19,4,FALSE))</f>
        <v>0.368620749149996</v>
      </c>
      <c r="N43" s="19">
        <f>VLOOKUP(N$22,heatrate!$K$5:$T$36,VLOOKUP('ELC_Gen-sdj'!$B43,'ELC_Gen-sdj'!$AA$4:$AD$19,4,FALSE))</f>
        <v>0.368620749149996</v>
      </c>
      <c r="O43" s="19">
        <f>VLOOKUP(O$22,heatrate!$K$5:$T$36,VLOOKUP('ELC_Gen-sdj'!$B43,'ELC_Gen-sdj'!$AA$4:$AD$19,4,FALSE))</f>
        <v>0.368620749149996</v>
      </c>
      <c r="P43" s="19">
        <f>VLOOKUP(P$22,heatrate!$K$5:$T$36,VLOOKUP('ELC_Gen-sdj'!$B43,'ELC_Gen-sdj'!$AA$4:$AD$19,4,FALSE))</f>
        <v>0.368620749149996</v>
      </c>
      <c r="Q43" s="19">
        <f>VLOOKUP(Q$22,heatrate!$K$5:$T$36,VLOOKUP('ELC_Gen-sdj'!$B43,'ELC_Gen-sdj'!$AA$4:$AD$19,4,FALSE))</f>
        <v>0.368620749149996</v>
      </c>
      <c r="R43" s="19">
        <f>VLOOKUP(R$22,heatrate!$K$5:$T$36,VLOOKUP('ELC_Gen-sdj'!$B43,'ELC_Gen-sdj'!$AA$4:$AD$19,4,FALSE))</f>
        <v>0.368620749149996</v>
      </c>
      <c r="S43" s="19">
        <f>VLOOKUP(S$22,heatrate!$K$5:$T$36,VLOOKUP('ELC_Gen-sdj'!$B43,'ELC_Gen-sdj'!$AA$4:$AD$19,4,FALSE))</f>
        <v>0.368620749149996</v>
      </c>
      <c r="T43" s="19">
        <f>VLOOKUP(T$22,heatrate!$K$5:$T$36,VLOOKUP('ELC_Gen-sdj'!$B43,'ELC_Gen-sdj'!$AA$4:$AD$19,4,FALSE))</f>
        <v>0.368620749149996</v>
      </c>
      <c r="U43" s="19">
        <f>VLOOKUP(U$22,heatrate!$K$5:$T$36,VLOOKUP('ELC_Gen-sdj'!$B43,'ELC_Gen-sdj'!$AA$4:$AD$19,4,FALSE))</f>
        <v>0.368620749149996</v>
      </c>
      <c r="V43" s="19">
        <f>VLOOKUP(V$22,heatrate!$K$5:$T$36,VLOOKUP('ELC_Gen-sdj'!$B43,'ELC_Gen-sdj'!$AA$4:$AD$19,4,FALSE))</f>
        <v>0.368620749149996</v>
      </c>
      <c r="W43" s="19">
        <f>VLOOKUP(W$22,heatrate!$K$5:$T$36,VLOOKUP('ELC_Gen-sdj'!$B43,'ELC_Gen-sdj'!$AA$4:$AD$19,4,FALSE))</f>
        <v>0.368620749149996</v>
      </c>
      <c r="X43" s="19">
        <f>VLOOKUP(X$22,heatrate!$K$5:$T$36,VLOOKUP('ELC_Gen-sdj'!$B43,'ELC_Gen-sdj'!$AA$4:$AD$19,4,FALSE))</f>
        <v>0.368620749149996</v>
      </c>
      <c r="Y43" s="19">
        <f>VLOOKUP(Y$22,heatrate!$K$5:$T$36,VLOOKUP('ELC_Gen-sdj'!$B43,'ELC_Gen-sdj'!$AA$4:$AD$19,4,FALSE))</f>
        <v>0.368620749149996</v>
      </c>
      <c r="Z43" s="19">
        <f>VLOOKUP(Z$22,heatrate!$K$5:$T$36,VLOOKUP('ELC_Gen-sdj'!$B43,'ELC_Gen-sdj'!$AA$4:$AD$19,4,FALSE))</f>
        <v>0.368620749149996</v>
      </c>
      <c r="AA43" s="19">
        <f>VLOOKUP(AA$22,heatrate!$K$5:$T$36,VLOOKUP('ELC_Gen-sdj'!$B43,'ELC_Gen-sdj'!$AA$4:$AD$19,4,FALSE))</f>
        <v>0.368620749149996</v>
      </c>
      <c r="AB43" s="19">
        <f>VLOOKUP(AB$22,heatrate!$K$5:$T$36,VLOOKUP('ELC_Gen-sdj'!$B43,'ELC_Gen-sdj'!$AA$4:$AD$19,4,FALSE))</f>
        <v>0.368620749149996</v>
      </c>
      <c r="AC43" s="19">
        <f>VLOOKUP(AC$22,heatrate!$K$5:$T$36,VLOOKUP('ELC_Gen-sdj'!$B43,'ELC_Gen-sdj'!$AA$4:$AD$19,4,FALSE))</f>
        <v>0.368620749149996</v>
      </c>
      <c r="AD43" s="19">
        <f>VLOOKUP(AD$22,heatrate!$K$5:$T$36,VLOOKUP('ELC_Gen-sdj'!$B43,'ELC_Gen-sdj'!$AA$4:$AD$19,4,FALSE))</f>
        <v>0.368620749149996</v>
      </c>
      <c r="AE43" s="19">
        <f>VLOOKUP(AE$22,heatrate!$K$5:$T$36,VLOOKUP('ELC_Gen-sdj'!$B43,'ELC_Gen-sdj'!$AA$4:$AD$19,4,FALSE))</f>
        <v>0.368620749149996</v>
      </c>
      <c r="AF43" s="19">
        <f>VLOOKUP(AF$22,heatrate!$K$5:$T$36,VLOOKUP('ELC_Gen-sdj'!$B43,'ELC_Gen-sdj'!$AA$4:$AD$19,4,FALSE))</f>
        <v>0.368620749149996</v>
      </c>
      <c r="AG43" s="19">
        <f>VLOOKUP(AG$22,heatrate!$K$5:$T$36,VLOOKUP('ELC_Gen-sdj'!$B43,'ELC_Gen-sdj'!$AA$4:$AD$19,4,FALSE))</f>
        <v>0.368620749149996</v>
      </c>
      <c r="AH43" s="19">
        <f>VLOOKUP(AH$22,heatrate!$K$5:$T$36,VLOOKUP('ELC_Gen-sdj'!$B43,'ELC_Gen-sdj'!$AA$4:$AD$19,4,FALSE))</f>
        <v>0.368620749149996</v>
      </c>
    </row>
    <row r="44" spans="2:34">
      <c r="B44" t="str">
        <f>B31</f>
        <v>EN_OilCCAdv</v>
      </c>
      <c r="C44" s="19">
        <f>VLOOKUP(C$22,heatrate!$K$5:$T$36,VLOOKUP('ELC_Gen-sdj'!$B44,'ELC_Gen-sdj'!$AA$4:$AD$19,4,FALSE))</f>
        <v>0.348196150498114</v>
      </c>
      <c r="D44" s="19">
        <f>VLOOKUP(D$22,heatrate!$K$5:$T$36,VLOOKUP('ELC_Gen-sdj'!$B44,'ELC_Gen-sdj'!$AA$4:$AD$19,4,FALSE))</f>
        <v>0.348196150498114</v>
      </c>
      <c r="E44" s="19">
        <f>VLOOKUP(E$22,heatrate!$K$5:$T$36,VLOOKUP('ELC_Gen-sdj'!$B44,'ELC_Gen-sdj'!$AA$4:$AD$19,4,FALSE))</f>
        <v>0.357311232971887</v>
      </c>
      <c r="F44" s="19">
        <f>VLOOKUP(F$22,heatrate!$K$5:$T$36,VLOOKUP('ELC_Gen-sdj'!$B44,'ELC_Gen-sdj'!$AA$4:$AD$19,4,FALSE))</f>
        <v>0.366916373643174</v>
      </c>
      <c r="G44" s="19">
        <f>VLOOKUP(G$22,heatrate!$K$5:$T$36,VLOOKUP('ELC_Gen-sdj'!$B44,'ELC_Gen-sdj'!$AA$4:$AD$19,4,FALSE))</f>
        <v>0.377052185069781</v>
      </c>
      <c r="H44" s="19">
        <f>VLOOKUP(H$22,heatrate!$K$5:$T$36,VLOOKUP('ELC_Gen-sdj'!$B44,'ELC_Gen-sdj'!$AA$4:$AD$19,4,FALSE))</f>
        <v>0.3877638948729</v>
      </c>
      <c r="I44" s="19">
        <f>VLOOKUP(I$22,heatrate!$K$5:$T$36,VLOOKUP('ELC_Gen-sdj'!$B44,'ELC_Gen-sdj'!$AA$4:$AD$19,4,FALSE))</f>
        <v>0.399102020453979</v>
      </c>
      <c r="J44" s="19">
        <f>VLOOKUP(J$22,heatrate!$K$5:$T$36,VLOOKUP('ELC_Gen-sdj'!$B44,'ELC_Gen-sdj'!$AA$4:$AD$19,4,FALSE))</f>
        <v>0.399102020453979</v>
      </c>
      <c r="K44" s="19">
        <f>VLOOKUP(K$22,heatrate!$K$5:$T$36,VLOOKUP('ELC_Gen-sdj'!$B44,'ELC_Gen-sdj'!$AA$4:$AD$19,4,FALSE))</f>
        <v>0.399102020453979</v>
      </c>
      <c r="L44" s="19">
        <f>VLOOKUP(L$22,heatrate!$K$5:$T$36,VLOOKUP('ELC_Gen-sdj'!$B44,'ELC_Gen-sdj'!$AA$4:$AD$19,4,FALSE))</f>
        <v>0.399102020453979</v>
      </c>
      <c r="M44" s="19">
        <f>VLOOKUP(M$22,heatrate!$K$5:$T$36,VLOOKUP('ELC_Gen-sdj'!$B44,'ELC_Gen-sdj'!$AA$4:$AD$19,4,FALSE))</f>
        <v>0.399102020453979</v>
      </c>
      <c r="N44" s="19">
        <f>VLOOKUP(N$22,heatrate!$K$5:$T$36,VLOOKUP('ELC_Gen-sdj'!$B44,'ELC_Gen-sdj'!$AA$4:$AD$19,4,FALSE))</f>
        <v>0.399102020453979</v>
      </c>
      <c r="O44" s="19">
        <f>VLOOKUP(O$22,heatrate!$K$5:$T$36,VLOOKUP('ELC_Gen-sdj'!$B44,'ELC_Gen-sdj'!$AA$4:$AD$19,4,FALSE))</f>
        <v>0.399102020453979</v>
      </c>
      <c r="P44" s="19">
        <f>VLOOKUP(P$22,heatrate!$K$5:$T$36,VLOOKUP('ELC_Gen-sdj'!$B44,'ELC_Gen-sdj'!$AA$4:$AD$19,4,FALSE))</f>
        <v>0.399102020453979</v>
      </c>
      <c r="Q44" s="19">
        <f>VLOOKUP(Q$22,heatrate!$K$5:$T$36,VLOOKUP('ELC_Gen-sdj'!$B44,'ELC_Gen-sdj'!$AA$4:$AD$19,4,FALSE))</f>
        <v>0.399102020453979</v>
      </c>
      <c r="R44" s="19">
        <f>VLOOKUP(R$22,heatrate!$K$5:$T$36,VLOOKUP('ELC_Gen-sdj'!$B44,'ELC_Gen-sdj'!$AA$4:$AD$19,4,FALSE))</f>
        <v>0.399102020453979</v>
      </c>
      <c r="S44" s="19">
        <f>VLOOKUP(S$22,heatrate!$K$5:$T$36,VLOOKUP('ELC_Gen-sdj'!$B44,'ELC_Gen-sdj'!$AA$4:$AD$19,4,FALSE))</f>
        <v>0.399102020453979</v>
      </c>
      <c r="T44" s="19">
        <f>VLOOKUP(T$22,heatrate!$K$5:$T$36,VLOOKUP('ELC_Gen-sdj'!$B44,'ELC_Gen-sdj'!$AA$4:$AD$19,4,FALSE))</f>
        <v>0.399102020453979</v>
      </c>
      <c r="U44" s="19">
        <f>VLOOKUP(U$22,heatrate!$K$5:$T$36,VLOOKUP('ELC_Gen-sdj'!$B44,'ELC_Gen-sdj'!$AA$4:$AD$19,4,FALSE))</f>
        <v>0.399102020453979</v>
      </c>
      <c r="V44" s="19">
        <f>VLOOKUP(V$22,heatrate!$K$5:$T$36,VLOOKUP('ELC_Gen-sdj'!$B44,'ELC_Gen-sdj'!$AA$4:$AD$19,4,FALSE))</f>
        <v>0.399102020453979</v>
      </c>
      <c r="W44" s="19">
        <f>VLOOKUP(W$22,heatrate!$K$5:$T$36,VLOOKUP('ELC_Gen-sdj'!$B44,'ELC_Gen-sdj'!$AA$4:$AD$19,4,FALSE))</f>
        <v>0.399102020453979</v>
      </c>
      <c r="X44" s="19">
        <f>VLOOKUP(X$22,heatrate!$K$5:$T$36,VLOOKUP('ELC_Gen-sdj'!$B44,'ELC_Gen-sdj'!$AA$4:$AD$19,4,FALSE))</f>
        <v>0.399102020453979</v>
      </c>
      <c r="Y44" s="19">
        <f>VLOOKUP(Y$22,heatrate!$K$5:$T$36,VLOOKUP('ELC_Gen-sdj'!$B44,'ELC_Gen-sdj'!$AA$4:$AD$19,4,FALSE))</f>
        <v>0.399102020453979</v>
      </c>
      <c r="Z44" s="19">
        <f>VLOOKUP(Z$22,heatrate!$K$5:$T$36,VLOOKUP('ELC_Gen-sdj'!$B44,'ELC_Gen-sdj'!$AA$4:$AD$19,4,FALSE))</f>
        <v>0.399102020453979</v>
      </c>
      <c r="AA44" s="19">
        <f>VLOOKUP(AA$22,heatrate!$K$5:$T$36,VLOOKUP('ELC_Gen-sdj'!$B44,'ELC_Gen-sdj'!$AA$4:$AD$19,4,FALSE))</f>
        <v>0.399102020453979</v>
      </c>
      <c r="AB44" s="19">
        <f>VLOOKUP(AB$22,heatrate!$K$5:$T$36,VLOOKUP('ELC_Gen-sdj'!$B44,'ELC_Gen-sdj'!$AA$4:$AD$19,4,FALSE))</f>
        <v>0.399102020453979</v>
      </c>
      <c r="AC44" s="19">
        <f>VLOOKUP(AC$22,heatrate!$K$5:$T$36,VLOOKUP('ELC_Gen-sdj'!$B44,'ELC_Gen-sdj'!$AA$4:$AD$19,4,FALSE))</f>
        <v>0.399102020453979</v>
      </c>
      <c r="AD44" s="19">
        <f>VLOOKUP(AD$22,heatrate!$K$5:$T$36,VLOOKUP('ELC_Gen-sdj'!$B44,'ELC_Gen-sdj'!$AA$4:$AD$19,4,FALSE))</f>
        <v>0.399102020453979</v>
      </c>
      <c r="AE44" s="19">
        <f>VLOOKUP(AE$22,heatrate!$K$5:$T$36,VLOOKUP('ELC_Gen-sdj'!$B44,'ELC_Gen-sdj'!$AA$4:$AD$19,4,FALSE))</f>
        <v>0.399102020453979</v>
      </c>
      <c r="AF44" s="19">
        <f>VLOOKUP(AF$22,heatrate!$K$5:$T$36,VLOOKUP('ELC_Gen-sdj'!$B44,'ELC_Gen-sdj'!$AA$4:$AD$19,4,FALSE))</f>
        <v>0.399102020453979</v>
      </c>
      <c r="AG44" s="19">
        <f>VLOOKUP(AG$22,heatrate!$K$5:$T$36,VLOOKUP('ELC_Gen-sdj'!$B44,'ELC_Gen-sdj'!$AA$4:$AD$19,4,FALSE))</f>
        <v>0.399102020453979</v>
      </c>
      <c r="AH44" s="19">
        <f>VLOOKUP(AH$22,heatrate!$K$5:$T$36,VLOOKUP('ELC_Gen-sdj'!$B44,'ELC_Gen-sdj'!$AA$4:$AD$19,4,FALSE))</f>
        <v>0.399102020453979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2:AF30"/>
  <sheetViews>
    <sheetView zoomScale="64" zoomScaleNormal="64" workbookViewId="0">
      <selection activeCell="D36" sqref="D36"/>
    </sheetView>
  </sheetViews>
  <sheetFormatPr defaultColWidth="8.81818181818182" defaultRowHeight="14.5"/>
  <cols>
    <col min="2" max="2" width="14" customWidth="1"/>
    <col min="3" max="3" width="17.5454545454545" customWidth="1"/>
    <col min="4" max="4" width="50" customWidth="1"/>
    <col min="5" max="5" width="11.0909090909091" customWidth="1"/>
    <col min="6" max="6" width="13.2727272727273" customWidth="1"/>
    <col min="7" max="7" width="12.0909090909091" customWidth="1"/>
    <col min="8" max="8" width="10.2727272727273" customWidth="1"/>
    <col min="9" max="9" width="8.09090909090909" customWidth="1"/>
    <col min="10" max="10" width="19.2727272727273" customWidth="1"/>
    <col min="11" max="11" width="8.81818181818182" customWidth="1"/>
    <col min="12" max="12" width="14.2727272727273" customWidth="1"/>
    <col min="13" max="13" width="4.45454545454545" customWidth="1"/>
    <col min="14" max="14" width="12.8181818181818" customWidth="1"/>
    <col min="15" max="15" width="6.81818181818182" customWidth="1"/>
    <col min="18" max="18" width="6.09090909090909" customWidth="1"/>
    <col min="23" max="23" width="20.1818181818182" customWidth="1"/>
    <col min="24" max="24" width="18.5454545454545" customWidth="1"/>
    <col min="25" max="25" width="19.1818181818182" customWidth="1"/>
  </cols>
  <sheetData>
    <row r="2" spans="2:32">
      <c r="B2" t="s">
        <v>1</v>
      </c>
      <c r="W2" s="34"/>
      <c r="X2" s="34"/>
      <c r="Y2" s="34" t="s">
        <v>78</v>
      </c>
      <c r="Z2" s="34"/>
      <c r="AA2" s="34"/>
      <c r="AB2" s="34"/>
      <c r="AC2" s="34"/>
      <c r="AD2" s="34"/>
      <c r="AE2" s="34"/>
      <c r="AF2" s="34"/>
    </row>
    <row r="3" spans="2:32">
      <c r="B3" s="4" t="s">
        <v>11</v>
      </c>
      <c r="C3" s="4" t="s">
        <v>2</v>
      </c>
      <c r="D3" s="4" t="s">
        <v>12</v>
      </c>
      <c r="E3" s="4" t="s">
        <v>14</v>
      </c>
      <c r="F3" s="4" t="s">
        <v>15</v>
      </c>
      <c r="G3" s="4" t="s">
        <v>13</v>
      </c>
      <c r="H3" s="4" t="s">
        <v>16</v>
      </c>
      <c r="W3" s="34" t="s">
        <v>79</v>
      </c>
      <c r="X3" s="35" t="s">
        <v>80</v>
      </c>
      <c r="Y3" s="34" t="s">
        <v>81</v>
      </c>
      <c r="Z3" s="34" t="s">
        <v>82</v>
      </c>
      <c r="AA3" s="34" t="s">
        <v>83</v>
      </c>
      <c r="AB3" s="34" t="s">
        <v>84</v>
      </c>
      <c r="AC3" s="34" t="s">
        <v>85</v>
      </c>
      <c r="AD3" s="34" t="s">
        <v>86</v>
      </c>
      <c r="AE3" s="34" t="s">
        <v>87</v>
      </c>
      <c r="AF3" s="34" t="s">
        <v>88</v>
      </c>
    </row>
    <row r="4" spans="2:32"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42</v>
      </c>
      <c r="H4" s="4"/>
      <c r="W4" s="34">
        <v>2020</v>
      </c>
      <c r="X4" s="34" t="s">
        <v>94</v>
      </c>
      <c r="Y4" s="34" t="s">
        <v>90</v>
      </c>
      <c r="Z4" s="34">
        <v>0.095</v>
      </c>
      <c r="AA4" s="34">
        <v>0</v>
      </c>
      <c r="AB4" s="34">
        <v>0</v>
      </c>
      <c r="AC4" s="34">
        <v>0</v>
      </c>
      <c r="AD4" s="34">
        <v>3.528</v>
      </c>
      <c r="AE4" s="34">
        <v>0.946</v>
      </c>
      <c r="AF4" s="34">
        <v>1.085</v>
      </c>
    </row>
    <row r="5" spans="2:32">
      <c r="B5" s="4" t="s">
        <v>23</v>
      </c>
      <c r="C5" s="4" t="s">
        <v>95</v>
      </c>
      <c r="D5" s="4" t="s">
        <v>96</v>
      </c>
      <c r="E5" s="4" t="s">
        <v>92</v>
      </c>
      <c r="F5" s="4" t="s">
        <v>27</v>
      </c>
      <c r="G5" s="4" t="s">
        <v>42</v>
      </c>
      <c r="H5" s="4"/>
      <c r="W5" s="34"/>
      <c r="X5" s="36"/>
      <c r="Y5" s="34"/>
      <c r="Z5" s="34"/>
      <c r="AA5" s="34"/>
      <c r="AB5" s="34"/>
      <c r="AC5" s="34"/>
      <c r="AD5" s="34"/>
      <c r="AE5" s="34"/>
      <c r="AF5" s="34"/>
    </row>
    <row r="6" spans="2:32">
      <c r="B6" s="4"/>
      <c r="E6" s="4"/>
      <c r="F6" s="4"/>
      <c r="G6" s="4"/>
      <c r="W6" s="34"/>
      <c r="X6" s="36"/>
      <c r="Y6" s="34"/>
      <c r="Z6" s="34"/>
      <c r="AA6" s="34"/>
      <c r="AB6" s="34"/>
      <c r="AC6" s="34"/>
      <c r="AD6" s="34"/>
      <c r="AE6" s="34"/>
      <c r="AF6" s="34"/>
    </row>
    <row r="7" spans="23:32">
      <c r="W7" s="34"/>
      <c r="X7" s="36"/>
      <c r="Y7" s="34"/>
      <c r="Z7" s="34"/>
      <c r="AA7" s="34"/>
      <c r="AB7" s="34"/>
      <c r="AC7" s="34"/>
      <c r="AD7" s="34"/>
      <c r="AE7" s="34"/>
      <c r="AF7" s="34"/>
    </row>
    <row r="8" spans="7:32">
      <c r="G8" t="s">
        <v>97</v>
      </c>
      <c r="W8" s="34"/>
      <c r="X8" s="36"/>
      <c r="Y8" s="34"/>
      <c r="Z8" s="34"/>
      <c r="AA8" s="34"/>
      <c r="AB8" s="34"/>
      <c r="AC8" s="34"/>
      <c r="AD8" s="34"/>
      <c r="AE8" s="34"/>
      <c r="AF8" s="34"/>
    </row>
    <row r="9" spans="2:32">
      <c r="B9" t="s">
        <v>2</v>
      </c>
      <c r="C9" t="s">
        <v>3</v>
      </c>
      <c r="D9" t="s">
        <v>98</v>
      </c>
      <c r="E9" t="s">
        <v>4</v>
      </c>
      <c r="F9" t="s">
        <v>80</v>
      </c>
      <c r="G9" t="s">
        <v>99</v>
      </c>
      <c r="H9" t="s">
        <v>100</v>
      </c>
      <c r="I9" t="s">
        <v>101</v>
      </c>
      <c r="J9" t="s">
        <v>102</v>
      </c>
      <c r="K9" t="s">
        <v>5</v>
      </c>
      <c r="L9" t="s">
        <v>103</v>
      </c>
      <c r="M9" t="s">
        <v>9</v>
      </c>
      <c r="N9" t="s">
        <v>104</v>
      </c>
      <c r="O9" t="s">
        <v>6</v>
      </c>
      <c r="P9" t="s">
        <v>105</v>
      </c>
      <c r="Q9" t="s">
        <v>106</v>
      </c>
      <c r="R9" t="s">
        <v>107</v>
      </c>
      <c r="W9" s="34"/>
      <c r="X9" s="37" t="s">
        <v>108</v>
      </c>
      <c r="Y9" s="47"/>
      <c r="Z9" s="47"/>
      <c r="AA9" s="34"/>
      <c r="AB9" s="34"/>
      <c r="AC9" s="34"/>
      <c r="AD9" s="34"/>
      <c r="AE9" s="34"/>
      <c r="AF9" s="34"/>
    </row>
    <row r="10" spans="2:32">
      <c r="B10" t="s">
        <v>90</v>
      </c>
      <c r="C10" t="s">
        <v>22</v>
      </c>
      <c r="E10" t="s">
        <v>22</v>
      </c>
      <c r="G10" t="s">
        <v>109</v>
      </c>
      <c r="H10">
        <v>0.92</v>
      </c>
      <c r="I10" s="19">
        <v>29.89194313</v>
      </c>
      <c r="J10">
        <v>1</v>
      </c>
      <c r="K10">
        <v>1391</v>
      </c>
      <c r="M10" s="24">
        <v>20</v>
      </c>
      <c r="O10">
        <v>24.8</v>
      </c>
      <c r="R10">
        <v>1</v>
      </c>
      <c r="W10" s="34"/>
      <c r="X10" s="38" t="s">
        <v>81</v>
      </c>
      <c r="Y10" s="48" t="s">
        <v>110</v>
      </c>
      <c r="Z10" s="48" t="s">
        <v>111</v>
      </c>
      <c r="AA10" s="34"/>
      <c r="AB10" s="34"/>
      <c r="AC10" s="34"/>
      <c r="AD10" s="34"/>
      <c r="AE10" s="34"/>
      <c r="AF10" s="34"/>
    </row>
    <row r="11" spans="4:32">
      <c r="D11" s="4"/>
      <c r="F11" t="s">
        <v>112</v>
      </c>
      <c r="G11" t="str">
        <f>F11</f>
        <v>AuxStoOUT</v>
      </c>
      <c r="I11" s="19"/>
      <c r="L11" s="19">
        <f>1/H10</f>
        <v>1.08695652173913</v>
      </c>
      <c r="W11" s="39"/>
      <c r="X11" s="40" t="s">
        <v>90</v>
      </c>
      <c r="Y11" s="40" t="s">
        <v>113</v>
      </c>
      <c r="Z11" s="40">
        <v>1</v>
      </c>
      <c r="AA11" s="39"/>
      <c r="AB11" s="39"/>
      <c r="AC11" s="39"/>
      <c r="AD11" s="39"/>
      <c r="AE11" s="39"/>
      <c r="AF11" s="39"/>
    </row>
    <row r="12" spans="4:26">
      <c r="D12" s="4"/>
      <c r="F12" s="4" t="str">
        <f>C19</f>
        <v>AuxStoIN</v>
      </c>
      <c r="G12" t="s">
        <v>22</v>
      </c>
      <c r="I12" s="19"/>
      <c r="P12">
        <v>1</v>
      </c>
      <c r="W12" s="41"/>
      <c r="X12" s="41"/>
      <c r="Y12" s="41"/>
      <c r="Z12" s="41"/>
    </row>
    <row r="13" spans="2:26">
      <c r="B13" t="s">
        <v>95</v>
      </c>
      <c r="E13" t="s">
        <v>114</v>
      </c>
      <c r="I13" s="19">
        <v>29.89194313</v>
      </c>
      <c r="M13">
        <v>1</v>
      </c>
      <c r="N13">
        <v>0</v>
      </c>
      <c r="Q13">
        <v>3</v>
      </c>
      <c r="W13" s="41"/>
      <c r="X13" s="41"/>
      <c r="Y13" s="41"/>
      <c r="Z13" s="41"/>
    </row>
    <row r="14" spans="23:26">
      <c r="W14" s="41"/>
      <c r="X14" s="41"/>
      <c r="Y14" s="41"/>
      <c r="Z14" s="41"/>
    </row>
    <row r="15" spans="23:27">
      <c r="W15" s="41"/>
      <c r="X15" s="41"/>
      <c r="Y15" s="41"/>
      <c r="Z15" s="41"/>
      <c r="AA15" s="41"/>
    </row>
    <row r="16" spans="23:27">
      <c r="W16" s="41"/>
      <c r="X16" s="42"/>
      <c r="Y16" s="49"/>
      <c r="Z16" s="49"/>
      <c r="AA16" s="41"/>
    </row>
    <row r="17" spans="2:27">
      <c r="B17" s="4" t="s">
        <v>115</v>
      </c>
      <c r="C17" s="4"/>
      <c r="D17" s="4"/>
      <c r="E17" s="4"/>
      <c r="F17" s="4"/>
      <c r="G17" s="4"/>
      <c r="H17" s="4"/>
      <c r="I17" s="4"/>
      <c r="X17" s="43"/>
      <c r="Y17" s="50"/>
      <c r="Z17" s="50"/>
      <c r="AA17" s="41"/>
    </row>
    <row r="18" spans="2:27">
      <c r="B18" s="4" t="s">
        <v>116</v>
      </c>
      <c r="C18" s="4" t="s">
        <v>117</v>
      </c>
      <c r="D18" s="4" t="s">
        <v>118</v>
      </c>
      <c r="E18" s="4" t="s">
        <v>119</v>
      </c>
      <c r="F18" s="4" t="s">
        <v>120</v>
      </c>
      <c r="G18" s="4" t="s">
        <v>121</v>
      </c>
      <c r="H18" s="4" t="s">
        <v>122</v>
      </c>
      <c r="I18" s="4" t="s">
        <v>123</v>
      </c>
      <c r="X18" s="44"/>
      <c r="Y18" s="44"/>
      <c r="Z18" s="44"/>
      <c r="AA18" s="41"/>
    </row>
    <row r="19" spans="2:27">
      <c r="B19" s="4" t="s">
        <v>124</v>
      </c>
      <c r="C19" s="4" t="s">
        <v>94</v>
      </c>
      <c r="D19" s="4" t="s">
        <v>125</v>
      </c>
      <c r="E19" s="4" t="s">
        <v>92</v>
      </c>
      <c r="F19" s="4"/>
      <c r="G19" s="4" t="s">
        <v>42</v>
      </c>
      <c r="H19" s="4"/>
      <c r="I19" s="4"/>
      <c r="X19" s="41"/>
      <c r="Y19" s="41"/>
      <c r="Z19" s="41"/>
      <c r="AA19" s="41"/>
    </row>
    <row r="20" spans="3:27">
      <c r="C20" s="4" t="s">
        <v>112</v>
      </c>
      <c r="D20" s="4" t="s">
        <v>126</v>
      </c>
      <c r="E20" s="4" t="s">
        <v>92</v>
      </c>
      <c r="F20" s="4"/>
      <c r="G20" s="4" t="s">
        <v>42</v>
      </c>
      <c r="W20" s="45"/>
      <c r="X20" s="45"/>
      <c r="Y20" s="45"/>
      <c r="Z20" s="41"/>
      <c r="AA20" s="41"/>
    </row>
    <row r="21" spans="23:27">
      <c r="W21" s="45"/>
      <c r="X21" s="45"/>
      <c r="Y21" s="45"/>
      <c r="Z21" s="41"/>
      <c r="AA21" s="41"/>
    </row>
    <row r="22" spans="23:27">
      <c r="W22" s="45"/>
      <c r="X22" s="45"/>
      <c r="Y22" s="45"/>
      <c r="Z22" s="41"/>
      <c r="AA22" s="41"/>
    </row>
    <row r="23" spans="23:27">
      <c r="W23" s="45"/>
      <c r="X23" s="45"/>
      <c r="Y23" s="45"/>
      <c r="Z23" s="41"/>
      <c r="AA23" s="41"/>
    </row>
    <row r="24" spans="23:27">
      <c r="W24" s="45"/>
      <c r="X24" s="45"/>
      <c r="Y24" s="45"/>
      <c r="Z24" s="41"/>
      <c r="AA24" s="41"/>
    </row>
    <row r="25" spans="2:27">
      <c r="B25" s="27"/>
      <c r="C25" s="27"/>
      <c r="D25" s="27" t="s">
        <v>78</v>
      </c>
      <c r="E25" s="27"/>
      <c r="W25" s="45"/>
      <c r="X25" s="45"/>
      <c r="Y25" s="45"/>
      <c r="Z25" s="41"/>
      <c r="AA25" s="41"/>
    </row>
    <row r="26" spans="2:27">
      <c r="B26" s="28" t="s">
        <v>127</v>
      </c>
      <c r="C26" s="27" t="s">
        <v>2</v>
      </c>
      <c r="D26" s="27" t="s">
        <v>3</v>
      </c>
      <c r="E26" s="27">
        <v>2019</v>
      </c>
      <c r="W26" s="46"/>
      <c r="X26" s="46"/>
      <c r="Y26" s="46"/>
      <c r="Z26" s="41"/>
      <c r="AA26" s="41"/>
    </row>
    <row r="27" spans="2:27">
      <c r="B27" s="29" t="s">
        <v>128</v>
      </c>
      <c r="C27" s="30" t="s">
        <v>90</v>
      </c>
      <c r="D27" s="31" t="s">
        <v>22</v>
      </c>
      <c r="E27" s="32">
        <f>[2]EnergyUseFromEverBatt_Min_!$AW$6</f>
        <v>0.0473</v>
      </c>
      <c r="W27" s="41"/>
      <c r="X27" s="41"/>
      <c r="Y27" s="41"/>
      <c r="Z27" s="41"/>
      <c r="AA27" s="41"/>
    </row>
    <row r="28" ht="16" spans="2:27">
      <c r="B28" s="29" t="s">
        <v>128</v>
      </c>
      <c r="C28" s="33" t="str">
        <f t="shared" ref="C28:C30" si="0">C27</f>
        <v>EN_STG_4hBatt</v>
      </c>
      <c r="D28" s="31" t="s">
        <v>129</v>
      </c>
      <c r="E28" s="32">
        <f>[2]EnergyUseFromEverBatt_Min_!$AW$7</f>
        <v>0.171166666666667</v>
      </c>
      <c r="W28" s="41"/>
      <c r="X28" s="41"/>
      <c r="Y28" s="41"/>
      <c r="Z28" s="41"/>
      <c r="AA28" s="41"/>
    </row>
    <row r="29" ht="16" spans="2:5">
      <c r="B29" s="29" t="s">
        <v>128</v>
      </c>
      <c r="C29" s="33" t="str">
        <f t="shared" si="0"/>
        <v>EN_STG_4hBatt</v>
      </c>
      <c r="D29" s="31" t="s">
        <v>130</v>
      </c>
      <c r="E29" s="32">
        <f>[2]EnergyUseFromEverBatt_Min_!$AW$8</f>
        <v>0.466366666666667</v>
      </c>
    </row>
    <row r="30" ht="16" spans="2:5">
      <c r="B30" s="29" t="s">
        <v>128</v>
      </c>
      <c r="C30" s="33" t="str">
        <f t="shared" si="0"/>
        <v>EN_STG_4hBatt</v>
      </c>
      <c r="D30" s="31" t="s">
        <v>131</v>
      </c>
      <c r="E30" s="32">
        <f>[2]EnergyUseFromEverBatt_Min_!$AW$9</f>
        <v>0.0956666666666667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C16" sqref="C16"/>
    </sheetView>
  </sheetViews>
  <sheetFormatPr defaultColWidth="11.4545454545455" defaultRowHeight="14.5"/>
  <sheetData>
    <row r="1" spans="1:1">
      <c r="A1" s="15" t="s">
        <v>132</v>
      </c>
    </row>
    <row r="2" spans="1:1">
      <c r="A2" t="s">
        <v>133</v>
      </c>
    </row>
    <row r="4" spans="1:1">
      <c r="A4" s="15" t="s">
        <v>134</v>
      </c>
    </row>
    <row r="5" spans="1:1">
      <c r="A5" t="s">
        <v>135</v>
      </c>
    </row>
    <row r="7" spans="1:1">
      <c r="A7" s="15" t="s">
        <v>136</v>
      </c>
    </row>
    <row r="8" spans="1:1">
      <c r="A8" t="s">
        <v>137</v>
      </c>
    </row>
    <row r="9" spans="1:1">
      <c r="A9" t="s">
        <v>138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.09090909090909" defaultRowHeight="14.5" outlineLevelRow="1" outlineLevelCol="1"/>
  <cols>
    <col min="1" max="1" width="9.72727272727273" customWidth="1"/>
  </cols>
  <sheetData>
    <row r="1" spans="1:2">
      <c r="A1" t="s">
        <v>139</v>
      </c>
      <c r="B1" t="s">
        <v>140</v>
      </c>
    </row>
    <row r="2" spans="1:2">
      <c r="A2" s="26">
        <v>43598</v>
      </c>
      <c r="B2" t="s">
        <v>141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4"/>
  <sheetViews>
    <sheetView zoomScale="87" zoomScaleNormal="87" topLeftCell="A21" workbookViewId="0">
      <selection activeCell="G19" sqref="G19"/>
    </sheetView>
  </sheetViews>
  <sheetFormatPr defaultColWidth="8.81818181818182" defaultRowHeight="14.5"/>
  <cols>
    <col min="1" max="1" width="6.45454545454545" customWidth="1"/>
    <col min="2" max="2" width="14.4545454545455" customWidth="1"/>
    <col min="3" max="3" width="9.45454545454546" customWidth="1"/>
    <col min="4" max="4" width="11" customWidth="1"/>
    <col min="5" max="5" width="7" customWidth="1"/>
    <col min="6" max="6" width="8" customWidth="1"/>
    <col min="7" max="7" width="8.81818181818182" customWidth="1"/>
    <col min="8" max="8" width="6.81818181818182" customWidth="1"/>
    <col min="9" max="9" width="5.45454545454545" customWidth="1"/>
    <col min="10" max="13" width="5" customWidth="1"/>
    <col min="14" max="14" width="5.45454545454545" customWidth="1"/>
    <col min="15" max="15" width="5" customWidth="1"/>
    <col min="16" max="16" width="8.45454545454546" customWidth="1"/>
    <col min="17" max="17" width="15.4545454545455" customWidth="1"/>
    <col min="18" max="18" width="29.4545454545455" customWidth="1"/>
    <col min="19" max="19" width="10.2727272727273" customWidth="1"/>
    <col min="20" max="20" width="7.81818181818182" customWidth="1"/>
    <col min="21" max="26" width="5" customWidth="1"/>
    <col min="27" max="27" width="14.4545454545455" customWidth="1"/>
    <col min="28" max="28" width="17.7272727272727" customWidth="1"/>
    <col min="29" max="29" width="5" customWidth="1"/>
    <col min="30" max="30" width="5.45454545454545" customWidth="1"/>
    <col min="31" max="34" width="5" customWidth="1"/>
  </cols>
  <sheetData>
    <row r="2" spans="4:22">
      <c r="D2" s="2" t="s">
        <v>142</v>
      </c>
      <c r="E2" s="2"/>
      <c r="F2" s="2"/>
      <c r="G2" s="2"/>
      <c r="P2" s="4" t="s">
        <v>143</v>
      </c>
      <c r="Q2" s="4"/>
      <c r="R2" s="4"/>
      <c r="S2" s="4"/>
      <c r="T2" s="4"/>
      <c r="U2" s="4"/>
      <c r="V2" s="4"/>
    </row>
    <row r="3" spans="2:30">
      <c r="B3" t="s">
        <v>2</v>
      </c>
      <c r="C3" s="2" t="s">
        <v>3</v>
      </c>
      <c r="D3" s="2" t="s">
        <v>4</v>
      </c>
      <c r="E3">
        <v>2010</v>
      </c>
      <c r="F3">
        <v>2050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P3" s="4" t="s">
        <v>11</v>
      </c>
      <c r="Q3" s="4" t="s">
        <v>2</v>
      </c>
      <c r="R3" s="4" t="s">
        <v>12</v>
      </c>
      <c r="S3" s="4" t="s">
        <v>13</v>
      </c>
      <c r="T3" s="4" t="s">
        <v>14</v>
      </c>
      <c r="U3" s="4" t="s">
        <v>15</v>
      </c>
      <c r="V3" s="4" t="s">
        <v>16</v>
      </c>
      <c r="W3" s="4" t="s">
        <v>17</v>
      </c>
      <c r="AC3" t="s">
        <v>18</v>
      </c>
      <c r="AD3" t="s">
        <v>19</v>
      </c>
    </row>
    <row r="4" spans="2:30">
      <c r="B4" t="s">
        <v>20</v>
      </c>
      <c r="C4" t="s">
        <v>21</v>
      </c>
      <c r="D4" t="s">
        <v>22</v>
      </c>
      <c r="E4" s="19">
        <v>0.387727272727273</v>
      </c>
      <c r="F4" s="19">
        <v>0.390389016018307</v>
      </c>
      <c r="G4" s="19">
        <v>2882.65777101602</v>
      </c>
      <c r="H4" s="19">
        <v>30.6361045837402</v>
      </c>
      <c r="I4" s="19">
        <f>N4/3.6*1.055</f>
        <v>1.2871267484294</v>
      </c>
      <c r="J4" s="19">
        <v>0.85</v>
      </c>
      <c r="K4" s="21">
        <v>40</v>
      </c>
      <c r="L4">
        <v>30</v>
      </c>
      <c r="N4" s="19">
        <v>4.39209127426147</v>
      </c>
      <c r="P4" s="4" t="s">
        <v>23</v>
      </c>
      <c r="Q4" s="4" t="str">
        <f>B4</f>
        <v>EN_COAPUL</v>
      </c>
      <c r="R4" s="4" t="s">
        <v>24</v>
      </c>
      <c r="S4" s="4" t="s">
        <v>25</v>
      </c>
      <c r="T4" s="4" t="s">
        <v>26</v>
      </c>
      <c r="U4" s="4" t="s">
        <v>27</v>
      </c>
      <c r="V4" s="4"/>
      <c r="W4" s="4" t="s">
        <v>28</v>
      </c>
      <c r="Z4">
        <v>1</v>
      </c>
      <c r="AA4" t="s">
        <v>29</v>
      </c>
      <c r="AB4" t="s">
        <v>30</v>
      </c>
      <c r="AC4">
        <f>MATCH(AB4,ovrcst!$A$4:$W$4,0)</f>
        <v>21</v>
      </c>
      <c r="AD4">
        <f>IFERROR(MATCH(AB4,heatrate!$K$4:$T$4,0),1)</f>
        <v>1</v>
      </c>
    </row>
    <row r="5" spans="2:30">
      <c r="B5" t="s">
        <v>31</v>
      </c>
      <c r="C5" t="s">
        <v>21</v>
      </c>
      <c r="D5" t="s">
        <v>22</v>
      </c>
      <c r="E5" s="19">
        <v>0.392183908045977</v>
      </c>
      <c r="F5" s="19">
        <v>0.457986577181209</v>
      </c>
      <c r="G5" s="19">
        <v>3718.04794517343</v>
      </c>
      <c r="H5" s="19">
        <v>50.4941673278809</v>
      </c>
      <c r="I5" s="19">
        <f t="shared" ref="I5:I15" si="0">N5/3.6*1.055</f>
        <v>2.07920465071996</v>
      </c>
      <c r="J5" s="19">
        <v>0.85</v>
      </c>
      <c r="K5" s="21">
        <v>40</v>
      </c>
      <c r="L5">
        <v>30</v>
      </c>
      <c r="N5" s="19">
        <v>7.09491634368896</v>
      </c>
      <c r="P5" s="4"/>
      <c r="Q5" s="4" t="str">
        <f t="shared" ref="Q5:Q16" si="1">B5</f>
        <v>EN_COAIGCC</v>
      </c>
      <c r="R5" s="4" t="s">
        <v>32</v>
      </c>
      <c r="S5" s="4" t="s">
        <v>25</v>
      </c>
      <c r="T5" s="4" t="s">
        <v>26</v>
      </c>
      <c r="U5" s="4" t="s">
        <v>27</v>
      </c>
      <c r="V5" s="4"/>
      <c r="W5" s="4" t="s">
        <v>28</v>
      </c>
      <c r="Z5">
        <v>2</v>
      </c>
      <c r="AA5" t="s">
        <v>33</v>
      </c>
      <c r="AB5" t="s">
        <v>34</v>
      </c>
      <c r="AC5">
        <f>MATCH(AB5,ovrcst!$A$4:$W$4,0)</f>
        <v>17</v>
      </c>
      <c r="AD5">
        <f>IFERROR(MATCH(AB5,heatrate!$K$4:$T$4,0),1)</f>
        <v>1</v>
      </c>
    </row>
    <row r="6" spans="2:30">
      <c r="B6" t="s">
        <v>35</v>
      </c>
      <c r="C6" t="s">
        <v>21</v>
      </c>
      <c r="D6" t="s">
        <v>22</v>
      </c>
      <c r="H6" s="19">
        <v>65.3089370727539</v>
      </c>
      <c r="I6" s="19">
        <f t="shared" si="0"/>
        <v>1.28199676142799</v>
      </c>
      <c r="J6" s="19">
        <v>0.85</v>
      </c>
      <c r="K6" s="21">
        <v>40</v>
      </c>
      <c r="L6">
        <v>30</v>
      </c>
      <c r="N6" s="19">
        <v>4.37458610534668</v>
      </c>
      <c r="P6" s="4"/>
      <c r="Q6" s="4" t="str">
        <f t="shared" si="1"/>
        <v>EN_ZCOAIGCC</v>
      </c>
      <c r="R6" s="4" t="s">
        <v>36</v>
      </c>
      <c r="S6" s="4" t="s">
        <v>25</v>
      </c>
      <c r="T6" s="4" t="s">
        <v>26</v>
      </c>
      <c r="U6" s="4" t="s">
        <v>27</v>
      </c>
      <c r="V6" s="4"/>
      <c r="W6" s="4" t="s">
        <v>28</v>
      </c>
      <c r="Z6">
        <v>3</v>
      </c>
      <c r="AA6" t="s">
        <v>37</v>
      </c>
      <c r="AB6" t="s">
        <v>38</v>
      </c>
      <c r="AC6">
        <f>MATCH(AB6,ovrcst!$A$4:$W$4,0)</f>
        <v>18</v>
      </c>
      <c r="AD6">
        <f>IFERROR(MATCH(AB6,heatrate!$K$4:$T$4,0),1)</f>
        <v>1</v>
      </c>
    </row>
    <row r="7" spans="2:30">
      <c r="B7" t="s">
        <v>39</v>
      </c>
      <c r="C7" t="s">
        <v>40</v>
      </c>
      <c r="D7" t="s">
        <v>22</v>
      </c>
      <c r="H7" s="19">
        <v>31.2347888946533</v>
      </c>
      <c r="I7" s="19">
        <f t="shared" si="0"/>
        <v>1.95249267220497</v>
      </c>
      <c r="J7" s="19">
        <v>0.87</v>
      </c>
      <c r="K7" s="21">
        <v>30</v>
      </c>
      <c r="L7">
        <v>30</v>
      </c>
      <c r="N7" s="19">
        <v>6.66253423690796</v>
      </c>
      <c r="P7" s="4"/>
      <c r="Q7" s="4" t="str">
        <f t="shared" si="1"/>
        <v>EN_ZGasCCAdv</v>
      </c>
      <c r="R7" s="4" t="s">
        <v>41</v>
      </c>
      <c r="S7" s="4" t="s">
        <v>42</v>
      </c>
      <c r="T7" s="4" t="s">
        <v>26</v>
      </c>
      <c r="U7" s="4" t="s">
        <v>27</v>
      </c>
      <c r="V7" s="4"/>
      <c r="W7" s="4" t="s">
        <v>28</v>
      </c>
      <c r="Z7">
        <v>4</v>
      </c>
      <c r="AA7" t="s">
        <v>20</v>
      </c>
      <c r="AB7" t="s">
        <v>43</v>
      </c>
      <c r="AC7">
        <f>MATCH(AB7,ovrcst!$A$4:$W$4,0)</f>
        <v>2</v>
      </c>
      <c r="AD7">
        <f>IFERROR(MATCH(AB7,heatrate!$K$4:$T$4,0),1)</f>
        <v>2</v>
      </c>
    </row>
    <row r="8" spans="2:30">
      <c r="B8" t="s">
        <v>44</v>
      </c>
      <c r="C8" t="s">
        <v>40</v>
      </c>
      <c r="D8" t="s">
        <v>22</v>
      </c>
      <c r="H8" s="19">
        <v>15.101861000061</v>
      </c>
      <c r="I8" s="19">
        <f t="shared" si="0"/>
        <v>0.941362117065324</v>
      </c>
      <c r="J8" s="19">
        <v>0.87</v>
      </c>
      <c r="K8" s="21">
        <v>30</v>
      </c>
      <c r="L8">
        <v>30</v>
      </c>
      <c r="N8" s="19">
        <v>3.21223092079163</v>
      </c>
      <c r="P8" s="4"/>
      <c r="Q8" s="4" t="str">
        <f t="shared" si="1"/>
        <v>EN_GasCCAdv</v>
      </c>
      <c r="R8" s="4" t="s">
        <v>45</v>
      </c>
      <c r="S8" s="4" t="s">
        <v>42</v>
      </c>
      <c r="T8" s="4" t="s">
        <v>26</v>
      </c>
      <c r="U8" s="4" t="s">
        <v>27</v>
      </c>
      <c r="V8" s="4"/>
      <c r="W8" s="4" t="s">
        <v>28</v>
      </c>
      <c r="Z8">
        <v>5</v>
      </c>
      <c r="AA8" t="s">
        <v>31</v>
      </c>
      <c r="AB8" t="s">
        <v>43</v>
      </c>
      <c r="AC8">
        <f>MATCH(AB8,ovrcst!$A$4:$W$4,0)</f>
        <v>2</v>
      </c>
      <c r="AD8">
        <f>IFERROR(MATCH(AB8,heatrate!$K$4:$T$4,0),1)</f>
        <v>2</v>
      </c>
    </row>
    <row r="9" spans="2:30">
      <c r="B9" t="s">
        <v>46</v>
      </c>
      <c r="C9" t="s">
        <v>40</v>
      </c>
      <c r="D9" t="s">
        <v>22</v>
      </c>
      <c r="H9" s="19">
        <v>12.9399518966675</v>
      </c>
      <c r="I9" s="19">
        <f t="shared" si="0"/>
        <v>1.0367807696263</v>
      </c>
      <c r="J9" s="19">
        <v>0.87</v>
      </c>
      <c r="K9" s="21">
        <v>30</v>
      </c>
      <c r="L9">
        <v>30</v>
      </c>
      <c r="N9" s="19">
        <v>3.53783011436462</v>
      </c>
      <c r="P9" s="4"/>
      <c r="Q9" s="4" t="str">
        <f t="shared" si="1"/>
        <v>EN_GasCC</v>
      </c>
      <c r="R9" s="4" t="s">
        <v>47</v>
      </c>
      <c r="S9" s="4" t="s">
        <v>42</v>
      </c>
      <c r="T9" s="4" t="s">
        <v>26</v>
      </c>
      <c r="U9" s="4" t="s">
        <v>27</v>
      </c>
      <c r="V9" s="4"/>
      <c r="W9" s="4" t="s">
        <v>28</v>
      </c>
      <c r="Z9">
        <v>6</v>
      </c>
      <c r="AA9" t="s">
        <v>35</v>
      </c>
      <c r="AB9" t="s">
        <v>48</v>
      </c>
      <c r="AC9">
        <f>MATCH(AB9,ovrcst!$A$4:$W$4,0)</f>
        <v>3</v>
      </c>
      <c r="AD9">
        <f>IFERROR(MATCH(AB9,heatrate!$K$4:$T$4,0),1)</f>
        <v>3</v>
      </c>
    </row>
    <row r="10" spans="2:30">
      <c r="B10" t="s">
        <v>49</v>
      </c>
      <c r="C10" t="s">
        <v>40</v>
      </c>
      <c r="D10" t="s">
        <v>22</v>
      </c>
      <c r="H10" s="19">
        <v>6.91636180877686</v>
      </c>
      <c r="I10" s="19">
        <f t="shared" si="0"/>
        <v>2.9861954636044</v>
      </c>
      <c r="J10" s="19">
        <v>0.06</v>
      </c>
      <c r="K10" s="21">
        <v>30</v>
      </c>
      <c r="L10">
        <v>30</v>
      </c>
      <c r="N10" s="19">
        <v>10.1898612976074</v>
      </c>
      <c r="P10" s="4"/>
      <c r="Q10" s="4" t="str">
        <f t="shared" si="1"/>
        <v>EN_GasCTAdv</v>
      </c>
      <c r="R10" s="4" t="s">
        <v>50</v>
      </c>
      <c r="S10" s="4" t="s">
        <v>42</v>
      </c>
      <c r="T10" s="4" t="s">
        <v>26</v>
      </c>
      <c r="U10" s="4" t="s">
        <v>27</v>
      </c>
      <c r="V10" s="4"/>
      <c r="W10" s="4" t="s">
        <v>28</v>
      </c>
      <c r="Z10">
        <v>7</v>
      </c>
      <c r="AA10" t="s">
        <v>39</v>
      </c>
      <c r="AB10" t="s">
        <v>51</v>
      </c>
      <c r="AC10">
        <f>MATCH(AB10,ovrcst!$A$4:$W$4,0)</f>
        <v>9</v>
      </c>
      <c r="AD10">
        <f>IFERROR(MATCH(AB10,heatrate!$K$4:$T$4,0),1)</f>
        <v>9</v>
      </c>
    </row>
    <row r="11" spans="2:30">
      <c r="B11" t="s">
        <v>52</v>
      </c>
      <c r="C11" t="s">
        <v>40</v>
      </c>
      <c r="D11" t="s">
        <v>22</v>
      </c>
      <c r="H11" s="19">
        <v>7.21220207214355</v>
      </c>
      <c r="I11" s="19">
        <f t="shared" si="0"/>
        <v>4.4487695561515</v>
      </c>
      <c r="J11" s="19">
        <v>0.06</v>
      </c>
      <c r="K11" s="21">
        <v>30</v>
      </c>
      <c r="L11">
        <v>30</v>
      </c>
      <c r="N11" s="19">
        <v>15.1806354522705</v>
      </c>
      <c r="P11" s="4"/>
      <c r="Q11" s="4" t="str">
        <f t="shared" si="1"/>
        <v>EN_GasCT</v>
      </c>
      <c r="R11" s="4" t="s">
        <v>53</v>
      </c>
      <c r="S11" s="4" t="s">
        <v>42</v>
      </c>
      <c r="T11" s="4" t="s">
        <v>26</v>
      </c>
      <c r="U11" s="4" t="s">
        <v>27</v>
      </c>
      <c r="V11" s="4"/>
      <c r="W11" s="4" t="s">
        <v>28</v>
      </c>
      <c r="Z11">
        <v>8</v>
      </c>
      <c r="AA11" t="s">
        <v>44</v>
      </c>
      <c r="AB11" t="s">
        <v>54</v>
      </c>
      <c r="AC11">
        <f>MATCH(AB11,ovrcst!$A$4:$W$4,0)</f>
        <v>8</v>
      </c>
      <c r="AD11">
        <f>IFERROR(MATCH(AB11,heatrate!$K$4:$T$4,0),1)</f>
        <v>8</v>
      </c>
    </row>
    <row r="12" spans="2:30">
      <c r="B12" t="s">
        <v>55</v>
      </c>
      <c r="C12" t="s">
        <v>56</v>
      </c>
      <c r="D12" t="s">
        <v>22</v>
      </c>
      <c r="E12" s="19">
        <v>0.252740740740741</v>
      </c>
      <c r="F12" s="19">
        <v>0.278014814814815</v>
      </c>
      <c r="H12" s="19">
        <v>103.787445068359</v>
      </c>
      <c r="I12" s="19">
        <f t="shared" si="0"/>
        <v>1.51438736650679</v>
      </c>
      <c r="J12" s="19">
        <v>0.83</v>
      </c>
      <c r="K12" s="21">
        <v>30</v>
      </c>
      <c r="L12">
        <v>30</v>
      </c>
      <c r="N12" s="19">
        <v>5.16757774353027</v>
      </c>
      <c r="P12" s="4"/>
      <c r="Q12" s="4" t="str">
        <f t="shared" si="1"/>
        <v>EN_Biomass</v>
      </c>
      <c r="R12" s="4" t="s">
        <v>57</v>
      </c>
      <c r="S12" s="4" t="s">
        <v>25</v>
      </c>
      <c r="T12" s="4" t="s">
        <v>26</v>
      </c>
      <c r="U12" s="4" t="s">
        <v>27</v>
      </c>
      <c r="V12" s="4"/>
      <c r="W12" s="4" t="s">
        <v>28</v>
      </c>
      <c r="Z12">
        <v>9</v>
      </c>
      <c r="AA12" t="s">
        <v>46</v>
      </c>
      <c r="AB12" t="s">
        <v>58</v>
      </c>
      <c r="AC12">
        <f>MATCH(AB12,ovrcst!$A$4:$W$4,0)</f>
        <v>7</v>
      </c>
      <c r="AD12">
        <f>IFERROR(MATCH(AB12,heatrate!$K$4:$T$4,0),1)</f>
        <v>7</v>
      </c>
    </row>
    <row r="13" spans="2:30">
      <c r="B13" t="s">
        <v>59</v>
      </c>
      <c r="C13" t="s">
        <v>56</v>
      </c>
      <c r="D13" t="s">
        <v>22</v>
      </c>
      <c r="H13" s="19">
        <v>103.787445068359</v>
      </c>
      <c r="I13" s="19">
        <f t="shared" si="0"/>
        <v>1.51438736650679</v>
      </c>
      <c r="J13" s="19">
        <v>0.83</v>
      </c>
      <c r="K13" s="21">
        <v>30</v>
      </c>
      <c r="L13">
        <v>30</v>
      </c>
      <c r="N13" s="19">
        <v>5.16757774353027</v>
      </c>
      <c r="P13" s="4"/>
      <c r="Q13" s="4" t="str">
        <f t="shared" si="1"/>
        <v>EN_ZBiomass</v>
      </c>
      <c r="R13" s="4" t="s">
        <v>60</v>
      </c>
      <c r="S13" s="4" t="s">
        <v>25</v>
      </c>
      <c r="T13" s="4" t="s">
        <v>26</v>
      </c>
      <c r="U13" s="4" t="s">
        <v>27</v>
      </c>
      <c r="V13" s="4"/>
      <c r="W13" s="4" t="s">
        <v>28</v>
      </c>
      <c r="Z13">
        <v>10</v>
      </c>
      <c r="AA13" t="s">
        <v>49</v>
      </c>
      <c r="AB13" t="s">
        <v>61</v>
      </c>
      <c r="AC13">
        <f>MATCH(AB13,ovrcst!$A$4:$W$4,0)</f>
        <v>6</v>
      </c>
      <c r="AD13">
        <f>IFERROR(MATCH(AB13,heatrate!$K$4:$T$4,0),1)</f>
        <v>6</v>
      </c>
    </row>
    <row r="14" spans="2:30">
      <c r="B14" t="s">
        <v>62</v>
      </c>
      <c r="C14" t="s">
        <v>63</v>
      </c>
      <c r="D14" t="s">
        <v>22</v>
      </c>
      <c r="H14" s="19">
        <v>15.101861000061</v>
      </c>
      <c r="I14" s="19">
        <f t="shared" si="0"/>
        <v>0.941362117065324</v>
      </c>
      <c r="J14" s="19">
        <v>0.3</v>
      </c>
      <c r="K14" s="21">
        <v>30</v>
      </c>
      <c r="L14">
        <v>30</v>
      </c>
      <c r="N14" s="19">
        <v>3.21223092079163</v>
      </c>
      <c r="P14" s="4"/>
      <c r="Q14" s="4" t="str">
        <f t="shared" si="1"/>
        <v>EN_OilCCAdv</v>
      </c>
      <c r="R14" s="4" t="s">
        <v>64</v>
      </c>
      <c r="S14" s="4" t="s">
        <v>42</v>
      </c>
      <c r="T14" s="4" t="s">
        <v>26</v>
      </c>
      <c r="U14" s="4" t="s">
        <v>27</v>
      </c>
      <c r="V14" s="4"/>
      <c r="W14" s="4" t="s">
        <v>28</v>
      </c>
      <c r="Z14">
        <v>11</v>
      </c>
      <c r="AA14" t="s">
        <v>52</v>
      </c>
      <c r="AB14" t="s">
        <v>65</v>
      </c>
      <c r="AC14">
        <f>MATCH(AB14,ovrcst!$A$4:$W$4,0)</f>
        <v>5</v>
      </c>
      <c r="AD14">
        <f>IFERROR(MATCH(AB14,heatrate!$K$4:$T$4,0),1)</f>
        <v>5</v>
      </c>
    </row>
    <row r="15" spans="2:30">
      <c r="B15" s="20" t="s">
        <v>66</v>
      </c>
      <c r="C15" t="s">
        <v>67</v>
      </c>
      <c r="D15" t="s">
        <v>22</v>
      </c>
      <c r="E15">
        <v>0.33</v>
      </c>
      <c r="H15" s="19">
        <f>H13</f>
        <v>103.787445068359</v>
      </c>
      <c r="I15" s="19">
        <f t="shared" si="0"/>
        <v>1.51438736650679</v>
      </c>
      <c r="J15" s="19">
        <f>J6</f>
        <v>0.85</v>
      </c>
      <c r="K15" s="21">
        <v>50</v>
      </c>
      <c r="L15">
        <v>30</v>
      </c>
      <c r="N15" s="19">
        <f>N13</f>
        <v>5.16757774353027</v>
      </c>
      <c r="Q15" s="4" t="str">
        <f t="shared" si="1"/>
        <v>EN_NuclearAdv</v>
      </c>
      <c r="R15" s="20" t="s">
        <v>68</v>
      </c>
      <c r="S15" s="4" t="s">
        <v>25</v>
      </c>
      <c r="T15" s="4" t="s">
        <v>26</v>
      </c>
      <c r="U15" s="4" t="s">
        <v>27</v>
      </c>
      <c r="V15" s="4"/>
      <c r="W15" s="4" t="s">
        <v>28</v>
      </c>
      <c r="Z15">
        <v>12</v>
      </c>
      <c r="AA15" t="s">
        <v>55</v>
      </c>
      <c r="AB15" t="s">
        <v>69</v>
      </c>
      <c r="AC15">
        <f>MATCH(AB15,ovrcst!$A$4:$W$4,0)</f>
        <v>12</v>
      </c>
      <c r="AD15">
        <f>IFERROR(MATCH(AB15,heatrate!$K$4:$T$4,0),1)</f>
        <v>1</v>
      </c>
    </row>
    <row r="16" spans="2:30">
      <c r="B16" t="s">
        <v>70</v>
      </c>
      <c r="C16" t="s">
        <v>71</v>
      </c>
      <c r="D16" t="s">
        <v>22</v>
      </c>
      <c r="E16">
        <v>0.33</v>
      </c>
      <c r="G16">
        <v>6999</v>
      </c>
      <c r="H16">
        <v>200</v>
      </c>
      <c r="I16">
        <v>2</v>
      </c>
      <c r="J16">
        <v>0.85</v>
      </c>
      <c r="K16">
        <v>50</v>
      </c>
      <c r="L16">
        <v>30</v>
      </c>
      <c r="Q16" s="4" t="str">
        <f t="shared" si="1"/>
        <v>EN_GeoThermal</v>
      </c>
      <c r="R16" s="4" t="s">
        <v>72</v>
      </c>
      <c r="S16" s="4" t="s">
        <v>25</v>
      </c>
      <c r="T16" s="4" t="s">
        <v>26</v>
      </c>
      <c r="U16" s="4" t="s">
        <v>27</v>
      </c>
      <c r="V16" s="4"/>
      <c r="Z16">
        <v>13</v>
      </c>
      <c r="AA16" t="s">
        <v>59</v>
      </c>
      <c r="AB16" t="s">
        <v>48</v>
      </c>
      <c r="AC16">
        <f>MATCH(AB16,ovrcst!$A$4:$W$4,0)</f>
        <v>3</v>
      </c>
      <c r="AD16">
        <f>IFERROR(MATCH(AB16,heatrate!$K$4:$T$4,0),1)</f>
        <v>3</v>
      </c>
    </row>
    <row r="17" spans="26:30">
      <c r="Z17">
        <v>14</v>
      </c>
      <c r="AA17" t="s">
        <v>62</v>
      </c>
      <c r="AB17" t="s">
        <v>61</v>
      </c>
      <c r="AC17">
        <f>MATCH(AB17,ovrcst!$A$4:$W$4,0)</f>
        <v>6</v>
      </c>
      <c r="AD17">
        <f>IFERROR(MATCH(AB17,heatrate!$K$4:$T$4,0),1)</f>
        <v>6</v>
      </c>
    </row>
    <row r="18" spans="26:30">
      <c r="Z18">
        <v>15</v>
      </c>
      <c r="AA18" t="s">
        <v>73</v>
      </c>
      <c r="AB18" t="s">
        <v>74</v>
      </c>
      <c r="AC18">
        <f>MATCH(AB18,ovrcst!$A$4:$W$4,0)</f>
        <v>15</v>
      </c>
      <c r="AD18">
        <f>IFERROR(MATCH(AB18,heatrate!$K$4:$T$4,0),1)</f>
        <v>1</v>
      </c>
    </row>
    <row r="19" spans="26:30">
      <c r="Z19">
        <v>16</v>
      </c>
      <c r="AA19" s="20" t="s">
        <v>66</v>
      </c>
      <c r="AB19" t="s">
        <v>75</v>
      </c>
      <c r="AC19">
        <f>MATCH(AB19,ovrcst!$A$4:$W$4,0)</f>
        <v>11</v>
      </c>
      <c r="AD19">
        <f>IFERROR(MATCH(AB19,heatrate!$K$4:$T$4,0),1)</f>
        <v>1</v>
      </c>
    </row>
    <row r="20" spans="27:27">
      <c r="AA20" s="20"/>
    </row>
    <row r="21" spans="2:2">
      <c r="B21" t="s">
        <v>144</v>
      </c>
    </row>
    <row r="22" spans="2:34">
      <c r="B22" t="s">
        <v>2</v>
      </c>
      <c r="C22">
        <v>2019</v>
      </c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</row>
    <row r="23" spans="2:34">
      <c r="B23" t="str">
        <f t="shared" ref="B23:B32" si="2">B6</f>
        <v>EN_ZCOAIGCC</v>
      </c>
      <c r="C23" s="21">
        <f>VLOOKUP(C$22,ovrcst!$A$5:$W$36,VLOOKUP('ELC_Gen-sdj'!$B23,'ELC_Gen-sdj'!$AA$4:$AC$19,3,FALSE))</f>
        <v>5715.78799287169</v>
      </c>
      <c r="D23" s="21">
        <f>VLOOKUP(D$22,ovrcst!$A$5:$W$36,VLOOKUP('ELC_Gen-sdj'!$B23,'ELC_Gen-sdj'!$AA$4:$AC$19,3,FALSE))</f>
        <v>5651.68641038696</v>
      </c>
      <c r="E23" s="21">
        <f>VLOOKUP(E$22,ovrcst!$A$5:$W$36,VLOOKUP('ELC_Gen-sdj'!$B23,'ELC_Gen-sdj'!$AA$4:$AC$19,3,FALSE))</f>
        <v>5513.49933604888</v>
      </c>
      <c r="F23" s="21">
        <f>VLOOKUP(F$22,ovrcst!$A$5:$W$36,VLOOKUP('ELC_Gen-sdj'!$B23,'ELC_Gen-sdj'!$AA$4:$AC$19,3,FALSE))</f>
        <v>5427.62747046843</v>
      </c>
      <c r="G23" s="21">
        <f>VLOOKUP(G$22,ovrcst!$A$5:$W$36,VLOOKUP('ELC_Gen-sdj'!$B23,'ELC_Gen-sdj'!$AA$4:$AC$19,3,FALSE))</f>
        <v>5366.88070773931</v>
      </c>
      <c r="H23" s="21">
        <f>VLOOKUP(H$22,ovrcst!$A$5:$W$36,VLOOKUP('ELC_Gen-sdj'!$B23,'ELC_Gen-sdj'!$AA$4:$AC$19,3,FALSE))</f>
        <v>5317.94418635438</v>
      </c>
      <c r="I23" s="21">
        <f>VLOOKUP(I$22,ovrcst!$A$5:$W$36,VLOOKUP('ELC_Gen-sdj'!$B23,'ELC_Gen-sdj'!$AA$4:$AC$19,3,FALSE))</f>
        <v>5278.09655804481</v>
      </c>
      <c r="J23" s="21">
        <f>VLOOKUP(J$22,ovrcst!$A$5:$W$36,VLOOKUP('ELC_Gen-sdj'!$B23,'ELC_Gen-sdj'!$AA$4:$AC$19,3,FALSE))</f>
        <v>5225.57549592668</v>
      </c>
      <c r="K23" s="21">
        <f>VLOOKUP(K$22,ovrcst!$A$5:$W$36,VLOOKUP('ELC_Gen-sdj'!$B23,'ELC_Gen-sdj'!$AA$4:$AC$19,3,FALSE))</f>
        <v>5162.74931160896</v>
      </c>
      <c r="L23" s="21">
        <f>VLOOKUP(L$22,ovrcst!$A$5:$W$36,VLOOKUP('ELC_Gen-sdj'!$B23,'ELC_Gen-sdj'!$AA$4:$AC$19,3,FALSE))</f>
        <v>5092.60736252546</v>
      </c>
      <c r="M23" s="21">
        <f>VLOOKUP(M$22,ovrcst!$A$5:$W$36,VLOOKUP('ELC_Gen-sdj'!$B23,'ELC_Gen-sdj'!$AA$4:$AC$19,3,FALSE))</f>
        <v>5020.64206517312</v>
      </c>
      <c r="N23" s="21">
        <f>VLOOKUP(N$22,ovrcst!$A$5:$W$36,VLOOKUP('ELC_Gen-sdj'!$B23,'ELC_Gen-sdj'!$AA$4:$AC$19,3,FALSE))</f>
        <v>4957.23809775967</v>
      </c>
      <c r="O23" s="21">
        <f>VLOOKUP(O$22,ovrcst!$A$5:$W$36,VLOOKUP('ELC_Gen-sdj'!$B23,'ELC_Gen-sdj'!$AA$4:$AC$19,3,FALSE))</f>
        <v>4894.15733197556</v>
      </c>
      <c r="P23" s="21">
        <f>VLOOKUP(P$22,ovrcst!$A$5:$W$36,VLOOKUP('ELC_Gen-sdj'!$B23,'ELC_Gen-sdj'!$AA$4:$AC$19,3,FALSE))</f>
        <v>4831.2734694501</v>
      </c>
      <c r="Q23" s="21">
        <f>VLOOKUP(Q$22,ovrcst!$A$5:$W$36,VLOOKUP('ELC_Gen-sdj'!$B23,'ELC_Gen-sdj'!$AA$4:$AC$19,3,FALSE))</f>
        <v>4771.21835641548</v>
      </c>
      <c r="R23" s="21">
        <f>VLOOKUP(R$22,ovrcst!$A$5:$W$36,VLOOKUP('ELC_Gen-sdj'!$B23,'ELC_Gen-sdj'!$AA$4:$AC$19,3,FALSE))</f>
        <v>4711.93395213849</v>
      </c>
      <c r="S23" s="21">
        <f>VLOOKUP(S$22,ovrcst!$A$5:$W$36,VLOOKUP('ELC_Gen-sdj'!$B23,'ELC_Gen-sdj'!$AA$4:$AC$19,3,FALSE))</f>
        <v>4649.74124032587</v>
      </c>
      <c r="T23" s="21">
        <f>VLOOKUP(T$22,ovrcst!$A$5:$W$36,VLOOKUP('ELC_Gen-sdj'!$B23,'ELC_Gen-sdj'!$AA$4:$AC$19,3,FALSE))</f>
        <v>4590.54186252546</v>
      </c>
      <c r="U23" s="21">
        <f>VLOOKUP(U$22,ovrcst!$A$5:$W$36,VLOOKUP('ELC_Gen-sdj'!$B23,'ELC_Gen-sdj'!$AA$4:$AC$19,3,FALSE))</f>
        <v>4532.31506924644</v>
      </c>
      <c r="V23" s="21">
        <f>VLOOKUP(V$22,ovrcst!$A$5:$W$36,VLOOKUP('ELC_Gen-sdj'!$B23,'ELC_Gen-sdj'!$AA$4:$AC$19,3,FALSE))</f>
        <v>4476.12543380855</v>
      </c>
      <c r="W23" s="21">
        <f>VLOOKUP(W$22,ovrcst!$A$5:$W$36,VLOOKUP('ELC_Gen-sdj'!$B23,'ELC_Gen-sdj'!$AA$4:$AC$19,3,FALSE))</f>
        <v>4419.47436659878</v>
      </c>
      <c r="X23" s="21">
        <f>VLOOKUP(X$22,ovrcst!$A$5:$W$36,VLOOKUP('ELC_Gen-sdj'!$B23,'ELC_Gen-sdj'!$AA$4:$AC$19,3,FALSE))</f>
        <v>4364.73067922607</v>
      </c>
      <c r="Y23" s="21">
        <f>VLOOKUP(Y$22,ovrcst!$A$5:$W$36,VLOOKUP('ELC_Gen-sdj'!$B23,'ELC_Gen-sdj'!$AA$4:$AC$19,3,FALSE))</f>
        <v>4311.29819144603</v>
      </c>
      <c r="Z23" s="21">
        <f>VLOOKUP(Z$22,ovrcst!$A$5:$W$36,VLOOKUP('ELC_Gen-sdj'!$B23,'ELC_Gen-sdj'!$AA$4:$AC$19,3,FALSE))</f>
        <v>4254.75452647658</v>
      </c>
      <c r="AA23" s="21">
        <f>VLOOKUP(AA$22,ovrcst!$A$5:$W$36,VLOOKUP('ELC_Gen-sdj'!$B23,'ELC_Gen-sdj'!$AA$4:$AC$19,3,FALSE))</f>
        <v>4204.72011812627</v>
      </c>
      <c r="AB23" s="21">
        <f>VLOOKUP(AB$22,ovrcst!$A$5:$W$36,VLOOKUP('ELC_Gen-sdj'!$B23,'ELC_Gen-sdj'!$AA$4:$AC$19,3,FALSE))</f>
        <v>4149.41306822811</v>
      </c>
      <c r="AC23" s="21">
        <f>VLOOKUP(AC$22,ovrcst!$A$5:$W$36,VLOOKUP('ELC_Gen-sdj'!$B23,'ELC_Gen-sdj'!$AA$4:$AC$19,3,FALSE))</f>
        <v>4099.60241344195</v>
      </c>
      <c r="AD23" s="21">
        <f>VLOOKUP(AD$22,ovrcst!$A$5:$W$36,VLOOKUP('ELC_Gen-sdj'!$B23,'ELC_Gen-sdj'!$AA$4:$AC$19,3,FALSE))</f>
        <v>4045.53744704684</v>
      </c>
      <c r="AE23" s="21">
        <f>VLOOKUP(AE$22,ovrcst!$A$5:$W$36,VLOOKUP('ELC_Gen-sdj'!$B23,'ELC_Gen-sdj'!$AA$4:$AC$19,3,FALSE))</f>
        <v>3995.28674338086</v>
      </c>
      <c r="AF23" s="21">
        <f>VLOOKUP(AF$22,ovrcst!$A$5:$W$36,VLOOKUP('ELC_Gen-sdj'!$B23,'ELC_Gen-sdj'!$AA$4:$AC$19,3,FALSE))</f>
        <v>3945.05319348269</v>
      </c>
      <c r="AG23" s="21">
        <f>VLOOKUP(AG$22,ovrcst!$A$5:$W$36,VLOOKUP('ELC_Gen-sdj'!$B23,'ELC_Gen-sdj'!$AA$4:$AC$19,3,FALSE))</f>
        <v>3894.91287474542</v>
      </c>
      <c r="AH23" s="21">
        <f>VLOOKUP(AH$22,ovrcst!$A$5:$W$36,VLOOKUP('ELC_Gen-sdj'!$B23,'ELC_Gen-sdj'!$AA$4:$AC$19,3,FALSE))</f>
        <v>3845.22130753564</v>
      </c>
    </row>
    <row r="24" spans="2:34">
      <c r="B24" t="str">
        <f t="shared" si="2"/>
        <v>EN_ZGasCCAdv</v>
      </c>
      <c r="C24" s="21">
        <f>VLOOKUP(C$22,ovrcst!$A$5:$W$36,VLOOKUP('ELC_Gen-sdj'!$B24,'ELC_Gen-sdj'!$AA$4:$AC$19,3,FALSE))</f>
        <v>2204.75272645371</v>
      </c>
      <c r="D24" s="21">
        <f>VLOOKUP(D$22,ovrcst!$A$5:$W$36,VLOOKUP('ELC_Gen-sdj'!$B24,'ELC_Gen-sdj'!$AA$4:$AC$19,3,FALSE))</f>
        <v>2176.35507794149</v>
      </c>
      <c r="E24" s="21">
        <f>VLOOKUP(E$22,ovrcst!$A$5:$W$36,VLOOKUP('ELC_Gen-sdj'!$B24,'ELC_Gen-sdj'!$AA$4:$AC$19,3,FALSE))</f>
        <v>2119.52768406583</v>
      </c>
      <c r="F24" s="21">
        <f>VLOOKUP(F$22,ovrcst!$A$5:$W$36,VLOOKUP('ELC_Gen-sdj'!$B24,'ELC_Gen-sdj'!$AA$4:$AC$19,3,FALSE))</f>
        <v>2082.92714602501</v>
      </c>
      <c r="G24" s="21">
        <f>VLOOKUP(G$22,ovrcst!$A$5:$W$36,VLOOKUP('ELC_Gen-sdj'!$B24,'ELC_Gen-sdj'!$AA$4:$AC$19,3,FALSE))</f>
        <v>2023.7324353742</v>
      </c>
      <c r="H24" s="21">
        <f>VLOOKUP(H$22,ovrcst!$A$5:$W$36,VLOOKUP('ELC_Gen-sdj'!$B24,'ELC_Gen-sdj'!$AA$4:$AC$19,3,FALSE))</f>
        <v>1991.66805414048</v>
      </c>
      <c r="I24" s="21">
        <f>VLOOKUP(I$22,ovrcst!$A$5:$W$36,VLOOKUP('ELC_Gen-sdj'!$B24,'ELC_Gen-sdj'!$AA$4:$AC$19,3,FALSE))</f>
        <v>1962.45998140154</v>
      </c>
      <c r="J24" s="21">
        <f>VLOOKUP(J$22,ovrcst!$A$5:$W$36,VLOOKUP('ELC_Gen-sdj'!$B24,'ELC_Gen-sdj'!$AA$4:$AC$19,3,FALSE))</f>
        <v>1929.65633053454</v>
      </c>
      <c r="K24" s="21">
        <f>VLOOKUP(K$22,ovrcst!$A$5:$W$36,VLOOKUP('ELC_Gen-sdj'!$B24,'ELC_Gen-sdj'!$AA$4:$AC$19,3,FALSE))</f>
        <v>1894.16829580452</v>
      </c>
      <c r="L24" s="21">
        <f>VLOOKUP(L$22,ovrcst!$A$5:$W$36,VLOOKUP('ELC_Gen-sdj'!$B24,'ELC_Gen-sdj'!$AA$4:$AC$19,3,FALSE))</f>
        <v>1861.10162262903</v>
      </c>
      <c r="M24" s="21">
        <f>VLOOKUP(M$22,ovrcst!$A$5:$W$36,VLOOKUP('ELC_Gen-sdj'!$B24,'ELC_Gen-sdj'!$AA$4:$AC$19,3,FALSE))</f>
        <v>1827.58595893258</v>
      </c>
      <c r="N24" s="21">
        <f>VLOOKUP(N$22,ovrcst!$A$5:$W$36,VLOOKUP('ELC_Gen-sdj'!$B24,'ELC_Gen-sdj'!$AA$4:$AC$19,3,FALSE))</f>
        <v>1799.75824992702</v>
      </c>
      <c r="O24" s="21">
        <f>VLOOKUP(O$22,ovrcst!$A$5:$W$36,VLOOKUP('ELC_Gen-sdj'!$B24,'ELC_Gen-sdj'!$AA$4:$AC$19,3,FALSE))</f>
        <v>1772.72055130334</v>
      </c>
      <c r="P24" s="21">
        <f>VLOOKUP(P$22,ovrcst!$A$5:$W$36,VLOOKUP('ELC_Gen-sdj'!$B24,'ELC_Gen-sdj'!$AA$4:$AC$19,3,FALSE))</f>
        <v>1744.33989467314</v>
      </c>
      <c r="Q24" s="21">
        <f>VLOOKUP(Q$22,ovrcst!$A$5:$W$36,VLOOKUP('ELC_Gen-sdj'!$B24,'ELC_Gen-sdj'!$AA$4:$AC$19,3,FALSE))</f>
        <v>1718.35770627959</v>
      </c>
      <c r="R24" s="21">
        <f>VLOOKUP(R$22,ovrcst!$A$5:$W$36,VLOOKUP('ELC_Gen-sdj'!$B24,'ELC_Gen-sdj'!$AA$4:$AC$19,3,FALSE))</f>
        <v>1691.78351251916</v>
      </c>
      <c r="S24" s="21">
        <f>VLOOKUP(S$22,ovrcst!$A$5:$W$36,VLOOKUP('ELC_Gen-sdj'!$B24,'ELC_Gen-sdj'!$AA$4:$AC$19,3,FALSE))</f>
        <v>1665.42301550323</v>
      </c>
      <c r="T24" s="21">
        <f>VLOOKUP(T$22,ovrcst!$A$5:$W$36,VLOOKUP('ELC_Gen-sdj'!$B24,'ELC_Gen-sdj'!$AA$4:$AC$19,3,FALSE))</f>
        <v>1639.50490094674</v>
      </c>
      <c r="U24" s="21">
        <f>VLOOKUP(U$22,ovrcst!$A$5:$W$36,VLOOKUP('ELC_Gen-sdj'!$B24,'ELC_Gen-sdj'!$AA$4:$AC$19,3,FALSE))</f>
        <v>1615.45708723299</v>
      </c>
      <c r="V24" s="21">
        <f>VLOOKUP(V$22,ovrcst!$A$5:$W$36,VLOOKUP('ELC_Gen-sdj'!$B24,'ELC_Gen-sdj'!$AA$4:$AC$19,3,FALSE))</f>
        <v>1593.55262572813</v>
      </c>
      <c r="W24" s="21">
        <f>VLOOKUP(W$22,ovrcst!$A$5:$W$36,VLOOKUP('ELC_Gen-sdj'!$B24,'ELC_Gen-sdj'!$AA$4:$AC$19,3,FALSE))</f>
        <v>1571.51376228378</v>
      </c>
      <c r="X24" s="21">
        <f>VLOOKUP(X$22,ovrcst!$A$5:$W$36,VLOOKUP('ELC_Gen-sdj'!$B24,'ELC_Gen-sdj'!$AA$4:$AC$19,3,FALSE))</f>
        <v>1550.18195465609</v>
      </c>
      <c r="Y24" s="21">
        <f>VLOOKUP(Y$22,ovrcst!$A$5:$W$36,VLOOKUP('ELC_Gen-sdj'!$B24,'ELC_Gen-sdj'!$AA$4:$AC$19,3,FALSE))</f>
        <v>1529.34397686212</v>
      </c>
      <c r="Z24" s="21">
        <f>VLOOKUP(Z$22,ovrcst!$A$5:$W$36,VLOOKUP('ELC_Gen-sdj'!$B24,'ELC_Gen-sdj'!$AA$4:$AC$19,3,FALSE))</f>
        <v>1507.43160907651</v>
      </c>
      <c r="AA24" s="21">
        <f>VLOOKUP(AA$22,ovrcst!$A$5:$W$36,VLOOKUP('ELC_Gen-sdj'!$B24,'ELC_Gen-sdj'!$AA$4:$AC$19,3,FALSE))</f>
        <v>1487.85422631741</v>
      </c>
      <c r="AB24" s="21">
        <f>VLOOKUP(AB$22,ovrcst!$A$5:$W$36,VLOOKUP('ELC_Gen-sdj'!$B24,'ELC_Gen-sdj'!$AA$4:$AC$19,3,FALSE))</f>
        <v>1466.43899239628</v>
      </c>
      <c r="AC24" s="21">
        <f>VLOOKUP(AC$22,ovrcst!$A$5:$W$36,VLOOKUP('ELC_Gen-sdj'!$B24,'ELC_Gen-sdj'!$AA$4:$AC$19,3,FALSE))</f>
        <v>1446.99435859464</v>
      </c>
      <c r="AD24" s="21">
        <f>VLOOKUP(AD$22,ovrcst!$A$5:$W$36,VLOOKUP('ELC_Gen-sdj'!$B24,'ELC_Gen-sdj'!$AA$4:$AC$19,3,FALSE))</f>
        <v>1426.07696709696</v>
      </c>
      <c r="AE24" s="21">
        <f>VLOOKUP(AE$22,ovrcst!$A$5:$W$36,VLOOKUP('ELC_Gen-sdj'!$B24,'ELC_Gen-sdj'!$AA$4:$AC$19,3,FALSE))</f>
        <v>1406.53286050958</v>
      </c>
      <c r="AF24" s="21">
        <f>VLOOKUP(AF$22,ovrcst!$A$5:$W$36,VLOOKUP('ELC_Gen-sdj'!$B24,'ELC_Gen-sdj'!$AA$4:$AC$19,3,FALSE))</f>
        <v>1387.02238292344</v>
      </c>
      <c r="AG24" s="21">
        <f>VLOOKUP(AG$22,ovrcst!$A$5:$W$36,VLOOKUP('ELC_Gen-sdj'!$B24,'ELC_Gen-sdj'!$AA$4:$AC$19,3,FALSE))</f>
        <v>1367.57267611025</v>
      </c>
      <c r="AH24" s="21">
        <f>VLOOKUP(AH$22,ovrcst!$A$5:$W$36,VLOOKUP('ELC_Gen-sdj'!$B24,'ELC_Gen-sdj'!$AA$4:$AC$19,3,FALSE))</f>
        <v>1348.30881861084</v>
      </c>
    </row>
    <row r="25" spans="2:34">
      <c r="B25" s="22" t="str">
        <f t="shared" si="2"/>
        <v>EN_GasCCAdv</v>
      </c>
      <c r="C25" s="23">
        <f>VLOOKUP(C$22,ovrcst!$A$5:$W$36,VLOOKUP('ELC_Gen-sdj'!$B25,'ELC_Gen-sdj'!$AA$4:$AC$19,3,FALSE))</f>
        <v>794.439515921459</v>
      </c>
      <c r="D25" s="23">
        <f>VLOOKUP(D$22,ovrcst!$A$5:$W$36,VLOOKUP('ELC_Gen-sdj'!$B25,'ELC_Gen-sdj'!$AA$4:$AC$19,3,FALSE))</f>
        <v>786.438414656567</v>
      </c>
      <c r="E25" s="23">
        <f>VLOOKUP(E$22,ovrcst!$A$5:$W$36,VLOOKUP('ELC_Gen-sdj'!$B25,'ELC_Gen-sdj'!$AA$4:$AC$19,3,FALSE))</f>
        <v>768.10346098691</v>
      </c>
      <c r="F25" s="23">
        <f>VLOOKUP(F$22,ovrcst!$A$5:$W$36,VLOOKUP('ELC_Gen-sdj'!$B25,'ELC_Gen-sdj'!$AA$4:$AC$19,3,FALSE))</f>
        <v>757.02855199294</v>
      </c>
      <c r="G25" s="23">
        <f>VLOOKUP(G$22,ovrcst!$A$5:$W$36,VLOOKUP('ELC_Gen-sdj'!$B25,'ELC_Gen-sdj'!$AA$4:$AC$19,3,FALSE))</f>
        <v>732.128885681718</v>
      </c>
      <c r="H25" s="23">
        <f>VLOOKUP(H$22,ovrcst!$A$5:$W$36,VLOOKUP('ELC_Gen-sdj'!$B25,'ELC_Gen-sdj'!$AA$4:$AC$19,3,FALSE))</f>
        <v>720.962914583027</v>
      </c>
      <c r="I25" s="23">
        <f>VLOOKUP(I$22,ovrcst!$A$5:$W$36,VLOOKUP('ELC_Gen-sdj'!$B25,'ELC_Gen-sdj'!$AA$4:$AC$19,3,FALSE))</f>
        <v>710.713896345051</v>
      </c>
      <c r="J25" s="23">
        <f>VLOOKUP(J$22,ovrcst!$A$5:$W$36,VLOOKUP('ELC_Gen-sdj'!$B25,'ELC_Gen-sdj'!$AA$4:$AC$19,3,FALSE))</f>
        <v>699.333261325195</v>
      </c>
      <c r="K25" s="23">
        <f>VLOOKUP(K$22,ovrcst!$A$5:$W$36,VLOOKUP('ELC_Gen-sdj'!$B25,'ELC_Gen-sdj'!$AA$4:$AC$19,3,FALSE))</f>
        <v>687.137956868657</v>
      </c>
      <c r="L25" s="23">
        <f>VLOOKUP(L$22,ovrcst!$A$5:$W$36,VLOOKUP('ELC_Gen-sdj'!$B25,'ELC_Gen-sdj'!$AA$4:$AC$19,3,FALSE))</f>
        <v>676.658619833799</v>
      </c>
      <c r="M25" s="23">
        <f>VLOOKUP(M$22,ovrcst!$A$5:$W$36,VLOOKUP('ELC_Gen-sdj'!$B25,'ELC_Gen-sdj'!$AA$4:$AC$19,3,FALSE))</f>
        <v>666.001425761141</v>
      </c>
      <c r="N25" s="23">
        <f>VLOOKUP(N$22,ovrcst!$A$5:$W$36,VLOOKUP('ELC_Gen-sdj'!$B25,'ELC_Gen-sdj'!$AA$4:$AC$19,3,FALSE))</f>
        <v>657.808775187527</v>
      </c>
      <c r="O25" s="23">
        <f>VLOOKUP(O$22,ovrcst!$A$5:$W$36,VLOOKUP('ELC_Gen-sdj'!$B25,'ELC_Gen-sdj'!$AA$4:$AC$19,3,FALSE))</f>
        <v>649.975040447124</v>
      </c>
      <c r="P25" s="23">
        <f>VLOOKUP(P$22,ovrcst!$A$5:$W$36,VLOOKUP('ELC_Gen-sdj'!$B25,'ELC_Gen-sdj'!$AA$4:$AC$19,3,FALSE))</f>
        <v>641.363721687013</v>
      </c>
      <c r="Q25" s="23">
        <f>VLOOKUP(Q$22,ovrcst!$A$5:$W$36,VLOOKUP('ELC_Gen-sdj'!$B25,'ELC_Gen-sdj'!$AA$4:$AC$19,3,FALSE))</f>
        <v>633.822021620827</v>
      </c>
      <c r="R25" s="23">
        <f>VLOOKUP(R$22,ovrcst!$A$5:$W$36,VLOOKUP('ELC_Gen-sdj'!$B25,'ELC_Gen-sdj'!$AA$4:$AC$19,3,FALSE))</f>
        <v>625.87377279747</v>
      </c>
      <c r="S25" s="21">
        <f>VLOOKUP(S$22,ovrcst!$A$5:$W$36,VLOOKUP('ELC_Gen-sdj'!$B25,'ELC_Gen-sdj'!$AA$4:$AC$19,3,FALSE))</f>
        <v>618.168914546257</v>
      </c>
      <c r="T25" s="21">
        <f>VLOOKUP(T$22,ovrcst!$A$5:$W$36,VLOOKUP('ELC_Gen-sdj'!$B25,'ELC_Gen-sdj'!$AA$4:$AC$19,3,FALSE))</f>
        <v>610.47914950728</v>
      </c>
      <c r="U25" s="21">
        <f>VLOOKUP(U$22,ovrcst!$A$5:$W$36,VLOOKUP('ELC_Gen-sdj'!$B25,'ELC_Gen-sdj'!$AA$4:$AC$19,3,FALSE))</f>
        <v>603.691580563318</v>
      </c>
      <c r="V25" s="21">
        <f>VLOOKUP(V$22,ovrcst!$A$5:$W$36,VLOOKUP('ELC_Gen-sdj'!$B25,'ELC_Gen-sdj'!$AA$4:$AC$19,3,FALSE))</f>
        <v>597.892836262686</v>
      </c>
      <c r="W25" s="21">
        <f>VLOOKUP(W$22,ovrcst!$A$5:$W$36,VLOOKUP('ELC_Gen-sdj'!$B25,'ELC_Gen-sdj'!$AA$4:$AC$19,3,FALSE))</f>
        <v>592.006173702015</v>
      </c>
      <c r="X25" s="21">
        <f>VLOOKUP(X$22,ovrcst!$A$5:$W$36,VLOOKUP('ELC_Gen-sdj'!$B25,'ELC_Gen-sdj'!$AA$4:$AC$19,3,FALSE))</f>
        <v>586.348874834534</v>
      </c>
      <c r="Y25" s="21">
        <f>VLOOKUP(Y$22,ovrcst!$A$5:$W$36,VLOOKUP('ELC_Gen-sdj'!$B25,'ELC_Gen-sdj'!$AA$4:$AC$19,3,FALSE))</f>
        <v>580.842559567583</v>
      </c>
      <c r="Z25" s="21">
        <f>VLOOKUP(Z$22,ovrcst!$A$5:$W$36,VLOOKUP('ELC_Gen-sdj'!$B25,'ELC_Gen-sdj'!$AA$4:$AC$19,3,FALSE))</f>
        <v>574.890643844683</v>
      </c>
      <c r="AA25" s="21">
        <f>VLOOKUP(AA$22,ovrcst!$A$5:$W$36,VLOOKUP('ELC_Gen-sdj'!$B25,'ELC_Gen-sdj'!$AA$4:$AC$19,3,FALSE))</f>
        <v>569.792897852625</v>
      </c>
      <c r="AB25" s="21">
        <f>VLOOKUP(AB$22,ovrcst!$A$5:$W$36,VLOOKUP('ELC_Gen-sdj'!$B25,'ELC_Gen-sdj'!$AA$4:$AC$19,3,FALSE))</f>
        <v>563.955384063833</v>
      </c>
      <c r="AC25" s="21">
        <f>VLOOKUP(AC$22,ovrcst!$A$5:$W$36,VLOOKUP('ELC_Gen-sdj'!$B25,'ELC_Gen-sdj'!$AA$4:$AC$19,3,FALSE))</f>
        <v>558.839234630093</v>
      </c>
      <c r="AD25" s="21">
        <f>VLOOKUP(AD$22,ovrcst!$A$5:$W$36,VLOOKUP('ELC_Gen-sdj'!$B25,'ELC_Gen-sdj'!$AA$4:$AC$19,3,FALSE))</f>
        <v>553.117693778497</v>
      </c>
      <c r="AE25" s="21">
        <f>VLOOKUP(AE$22,ovrcst!$A$5:$W$36,VLOOKUP('ELC_Gen-sdj'!$B25,'ELC_Gen-sdj'!$AA$4:$AC$19,3,FALSE))</f>
        <v>547.891688115899</v>
      </c>
      <c r="AF25" s="21">
        <f>VLOOKUP(AF$22,ovrcst!$A$5:$W$36,VLOOKUP('ELC_Gen-sdj'!$B25,'ELC_Gen-sdj'!$AA$4:$AC$19,3,FALSE))</f>
        <v>542.643182821003</v>
      </c>
      <c r="AG25" s="21">
        <f>VLOOKUP(AG$22,ovrcst!$A$5:$W$36,VLOOKUP('ELC_Gen-sdj'!$B25,'ELC_Gen-sdj'!$AA$4:$AC$19,3,FALSE))</f>
        <v>537.382221650243</v>
      </c>
      <c r="AH25" s="21">
        <f>VLOOKUP(AH$22,ovrcst!$A$5:$W$36,VLOOKUP('ELC_Gen-sdj'!$B25,'ELC_Gen-sdj'!$AA$4:$AC$19,3,FALSE))</f>
        <v>532.157899139579</v>
      </c>
    </row>
    <row r="26" spans="2:34">
      <c r="B26" t="str">
        <f t="shared" si="2"/>
        <v>EN_GasCC</v>
      </c>
      <c r="C26" s="21">
        <f>VLOOKUP(C$22,ovrcst!$A$5:$W$36,VLOOKUP('ELC_Gen-sdj'!$B26,'ELC_Gen-sdj'!$AA$4:$AC$19,3,FALSE))</f>
        <v>999.327221030146</v>
      </c>
      <c r="D26" s="21">
        <f>VLOOKUP(D$22,ovrcst!$A$5:$W$36,VLOOKUP('ELC_Gen-sdj'!$B26,'ELC_Gen-sdj'!$AA$4:$AC$19,3,FALSE))</f>
        <v>990.019633973847</v>
      </c>
      <c r="E26" s="21">
        <f>VLOOKUP(E$22,ovrcst!$A$5:$W$36,VLOOKUP('ELC_Gen-sdj'!$B26,'ELC_Gen-sdj'!$AA$4:$AC$19,3,FALSE))</f>
        <v>967.683340229199</v>
      </c>
      <c r="F26" s="21">
        <f>VLOOKUP(F$22,ovrcst!$A$5:$W$36,VLOOKUP('ELC_Gen-sdj'!$B26,'ELC_Gen-sdj'!$AA$4:$AC$19,3,FALSE))</f>
        <v>954.469402561413</v>
      </c>
      <c r="G26" s="21">
        <f>VLOOKUP(G$22,ovrcst!$A$5:$W$36,VLOOKUP('ELC_Gen-sdj'!$B26,'ELC_Gen-sdj'!$AA$4:$AC$19,3,FALSE))</f>
        <v>945.639986721449</v>
      </c>
      <c r="H26" s="21">
        <f>VLOOKUP(H$22,ovrcst!$A$5:$W$36,VLOOKUP('ELC_Gen-sdj'!$B26,'ELC_Gen-sdj'!$AA$4:$AC$19,3,FALSE))</f>
        <v>938.870543747053</v>
      </c>
      <c r="I26" s="21">
        <f>VLOOKUP(I$22,ovrcst!$A$5:$W$36,VLOOKUP('ELC_Gen-sdj'!$B26,'ELC_Gen-sdj'!$AA$4:$AC$19,3,FALSE))</f>
        <v>933.69142090121</v>
      </c>
      <c r="J26" s="21">
        <f>VLOOKUP(J$22,ovrcst!$A$5:$W$36,VLOOKUP('ELC_Gen-sdj'!$B26,'ELC_Gen-sdj'!$AA$4:$AC$19,3,FALSE))</f>
        <v>926.254818285912</v>
      </c>
      <c r="K26" s="21">
        <f>VLOOKUP(K$22,ovrcst!$A$5:$W$36,VLOOKUP('ELC_Gen-sdj'!$B26,'ELC_Gen-sdj'!$AA$4:$AC$19,3,FALSE))</f>
        <v>916.967434834066</v>
      </c>
      <c r="L26" s="21">
        <f>VLOOKUP(L$22,ovrcst!$A$5:$W$36,VLOOKUP('ELC_Gen-sdj'!$B26,'ELC_Gen-sdj'!$AA$4:$AC$19,3,FALSE))</f>
        <v>906.349900410865</v>
      </c>
      <c r="M26" s="21">
        <f>VLOOKUP(M$22,ovrcst!$A$5:$W$36,VLOOKUP('ELC_Gen-sdj'!$B26,'ELC_Gen-sdj'!$AA$4:$AC$19,3,FALSE))</f>
        <v>895.373356298171</v>
      </c>
      <c r="N26" s="21">
        <f>VLOOKUP(N$22,ovrcst!$A$5:$W$36,VLOOKUP('ELC_Gen-sdj'!$B26,'ELC_Gen-sdj'!$AA$4:$AC$19,3,FALSE))</f>
        <v>885.891110106132</v>
      </c>
      <c r="O26" s="21">
        <f>VLOOKUP(O$22,ovrcst!$A$5:$W$36,VLOOKUP('ELC_Gen-sdj'!$B26,'ELC_Gen-sdj'!$AA$4:$AC$19,3,FALSE))</f>
        <v>876.436935541293</v>
      </c>
      <c r="P26" s="21">
        <f>VLOOKUP(P$22,ovrcst!$A$5:$W$36,VLOOKUP('ELC_Gen-sdj'!$B26,'ELC_Gen-sdj'!$AA$4:$AC$19,3,FALSE))</f>
        <v>866.988047379411</v>
      </c>
      <c r="Q26" s="21">
        <f>VLOOKUP(Q$22,ovrcst!$A$5:$W$36,VLOOKUP('ELC_Gen-sdj'!$B26,'ELC_Gen-sdj'!$AA$4:$AC$19,3,FALSE))</f>
        <v>858.017564251831</v>
      </c>
      <c r="R26" s="21">
        <f>VLOOKUP(R$22,ovrcst!$A$5:$W$36,VLOOKUP('ELC_Gen-sdj'!$B26,'ELC_Gen-sdj'!$AA$4:$AC$19,3,FALSE))</f>
        <v>849.15749131602</v>
      </c>
      <c r="S26" s="21">
        <f>VLOOKUP(S$22,ovrcst!$A$5:$W$36,VLOOKUP('ELC_Gen-sdj'!$B26,'ELC_Gen-sdj'!$AA$4:$AC$19,3,FALSE))</f>
        <v>839.743840387965</v>
      </c>
      <c r="T26" s="21">
        <f>VLOOKUP(T$22,ovrcst!$A$5:$W$36,VLOOKUP('ELC_Gen-sdj'!$B26,'ELC_Gen-sdj'!$AA$4:$AC$19,3,FALSE))</f>
        <v>830.840954708594</v>
      </c>
      <c r="U26" s="21">
        <f>VLOOKUP(U$22,ovrcst!$A$5:$W$36,VLOOKUP('ELC_Gen-sdj'!$B26,'ELC_Gen-sdj'!$AA$4:$AC$19,3,FALSE))</f>
        <v>822.085359916095</v>
      </c>
      <c r="V26" s="21">
        <f>VLOOKUP(V$22,ovrcst!$A$5:$W$36,VLOOKUP('ELC_Gen-sdj'!$B26,'ELC_Gen-sdj'!$AA$4:$AC$19,3,FALSE))</f>
        <v>813.671039287192</v>
      </c>
      <c r="W26" s="21">
        <f>VLOOKUP(W$22,ovrcst!$A$5:$W$36,VLOOKUP('ELC_Gen-sdj'!$B26,'ELC_Gen-sdj'!$AA$4:$AC$19,3,FALSE))</f>
        <v>805.145428040836</v>
      </c>
      <c r="X26" s="21">
        <f>VLOOKUP(X$22,ovrcst!$A$5:$W$36,VLOOKUP('ELC_Gen-sdj'!$B26,'ELC_Gen-sdj'!$AA$4:$AC$19,3,FALSE))</f>
        <v>796.939536405362</v>
      </c>
      <c r="Y26" s="21">
        <f>VLOOKUP(Y$22,ovrcst!$A$5:$W$36,VLOOKUP('ELC_Gen-sdj'!$B26,'ELC_Gen-sdj'!$AA$4:$AC$19,3,FALSE))</f>
        <v>788.946595206251</v>
      </c>
      <c r="Z26" s="21">
        <f>VLOOKUP(Z$22,ovrcst!$A$5:$W$36,VLOOKUP('ELC_Gen-sdj'!$B26,'ELC_Gen-sdj'!$AA$4:$AC$19,3,FALSE))</f>
        <v>780.356381883438</v>
      </c>
      <c r="AA26" s="21">
        <f>VLOOKUP(AA$22,ovrcst!$A$5:$W$36,VLOOKUP('ELC_Gen-sdj'!$B26,'ELC_Gen-sdj'!$AA$4:$AC$19,3,FALSE))</f>
        <v>772.93328682633</v>
      </c>
      <c r="AB26" s="21">
        <f>VLOOKUP(AB$22,ovrcst!$A$5:$W$36,VLOOKUP('ELC_Gen-sdj'!$B26,'ELC_Gen-sdj'!$AA$4:$AC$19,3,FALSE))</f>
        <v>764.514502487323</v>
      </c>
      <c r="AC26" s="21">
        <f>VLOOKUP(AC$22,ovrcst!$A$5:$W$36,VLOOKUP('ELC_Gen-sdj'!$B26,'ELC_Gen-sdj'!$AA$4:$AC$19,3,FALSE))</f>
        <v>757.081012633868</v>
      </c>
      <c r="AD26" s="21">
        <f>VLOOKUP(AD$22,ovrcst!$A$5:$W$36,VLOOKUP('ELC_Gen-sdj'!$B26,'ELC_Gen-sdj'!$AA$4:$AC$19,3,FALSE))</f>
        <v>748.83530266437</v>
      </c>
      <c r="AE26" s="21">
        <f>VLOOKUP(AE$22,ovrcst!$A$5:$W$36,VLOOKUP('ELC_Gen-sdj'!$B26,'ELC_Gen-sdj'!$AA$4:$AC$19,3,FALSE))</f>
        <v>741.268088177278</v>
      </c>
      <c r="AF26" s="21">
        <f>VLOOKUP(AF$22,ovrcst!$A$5:$W$36,VLOOKUP('ELC_Gen-sdj'!$B26,'ELC_Gen-sdj'!$AA$4:$AC$19,3,FALSE))</f>
        <v>733.677909494164</v>
      </c>
      <c r="AG26" s="21">
        <f>VLOOKUP(AG$22,ovrcst!$A$5:$W$36,VLOOKUP('ELC_Gen-sdj'!$B26,'ELC_Gen-sdj'!$AA$4:$AC$19,3,FALSE))</f>
        <v>726.078452182782</v>
      </c>
      <c r="AH26" s="21">
        <f>VLOOKUP(AH$22,ovrcst!$A$5:$W$36,VLOOKUP('ELC_Gen-sdj'!$B26,'ELC_Gen-sdj'!$AA$4:$AC$19,3,FALSE))</f>
        <v>718.535844390774</v>
      </c>
    </row>
    <row r="27" spans="2:34">
      <c r="B27" s="24" t="str">
        <f t="shared" si="2"/>
        <v>EN_GasCTAdv</v>
      </c>
      <c r="C27" s="25">
        <f>VLOOKUP(C$22,ovrcst!$A$5:$W$36,VLOOKUP('ELC_Gen-sdj'!$B27,'ELC_Gen-sdj'!$AA$4:$AC$19,3,FALSE))</f>
        <v>691.076815788784</v>
      </c>
      <c r="D27" s="25">
        <f>VLOOKUP(D$22,ovrcst!$A$5:$W$36,VLOOKUP('ELC_Gen-sdj'!$B27,'ELC_Gen-sdj'!$AA$4:$AC$19,3,FALSE))</f>
        <v>683.766211230557</v>
      </c>
      <c r="E27" s="25">
        <f>VLOOKUP(E$22,ovrcst!$A$5:$W$36,VLOOKUP('ELC_Gen-sdj'!$B27,'ELC_Gen-sdj'!$AA$4:$AC$19,3,FALSE))</f>
        <v>667.480398723307</v>
      </c>
      <c r="F27" s="25">
        <f>VLOOKUP(F$22,ovrcst!$A$5:$W$36,VLOOKUP('ELC_Gen-sdj'!$B27,'ELC_Gen-sdj'!$AA$4:$AC$19,3,FALSE))</f>
        <v>657.514365601135</v>
      </c>
      <c r="G27" s="25">
        <f>VLOOKUP(G$22,ovrcst!$A$5:$W$36,VLOOKUP('ELC_Gen-sdj'!$B27,'ELC_Gen-sdj'!$AA$4:$AC$19,3,FALSE))</f>
        <v>625.445632976992</v>
      </c>
      <c r="H27" s="25">
        <f>VLOOKUP(H$22,ovrcst!$A$5:$W$36,VLOOKUP('ELC_Gen-sdj'!$B27,'ELC_Gen-sdj'!$AA$4:$AC$19,3,FALSE))</f>
        <v>612.365128735692</v>
      </c>
      <c r="I27" s="25">
        <f>VLOOKUP(I$22,ovrcst!$A$5:$W$36,VLOOKUP('ELC_Gen-sdj'!$B27,'ELC_Gen-sdj'!$AA$4:$AC$19,3,FALSE))</f>
        <v>599.880182823018</v>
      </c>
      <c r="J27" s="25">
        <f>VLOOKUP(J$22,ovrcst!$A$5:$W$36,VLOOKUP('ELC_Gen-sdj'!$B27,'ELC_Gen-sdj'!$AA$4:$AC$19,3,FALSE))</f>
        <v>586.796653358428</v>
      </c>
      <c r="K27" s="25">
        <f>VLOOKUP(K$22,ovrcst!$A$5:$W$36,VLOOKUP('ELC_Gen-sdj'!$B27,'ELC_Gen-sdj'!$AA$4:$AC$19,3,FALSE))</f>
        <v>573.386882467175</v>
      </c>
      <c r="L27" s="25">
        <f>VLOOKUP(L$22,ovrcst!$A$5:$W$36,VLOOKUP('ELC_Gen-sdj'!$B27,'ELC_Gen-sdj'!$AA$4:$AC$19,3,FALSE))</f>
        <v>563.084218886224</v>
      </c>
      <c r="M27" s="25">
        <f>VLOOKUP(M$22,ovrcst!$A$5:$W$36,VLOOKUP('ELC_Gen-sdj'!$B27,'ELC_Gen-sdj'!$AA$4:$AC$19,3,FALSE))</f>
        <v>552.689402925318</v>
      </c>
      <c r="N27" s="25">
        <f>VLOOKUP(N$22,ovrcst!$A$5:$W$36,VLOOKUP('ELC_Gen-sdj'!$B27,'ELC_Gen-sdj'!$AA$4:$AC$19,3,FALSE))</f>
        <v>545.18176316075</v>
      </c>
      <c r="O27" s="25">
        <f>VLOOKUP(O$22,ovrcst!$A$5:$W$36,VLOOKUP('ELC_Gen-sdj'!$B27,'ELC_Gen-sdj'!$AA$4:$AC$19,3,FALSE))</f>
        <v>538.182154176005</v>
      </c>
      <c r="P27" s="25">
        <f>VLOOKUP(P$22,ovrcst!$A$5:$W$36,VLOOKUP('ELC_Gen-sdj'!$B27,'ELC_Gen-sdj'!$AA$4:$AC$19,3,FALSE))</f>
        <v>530.051094842715</v>
      </c>
      <c r="Q27" s="25">
        <f>VLOOKUP(Q$22,ovrcst!$A$5:$W$36,VLOOKUP('ELC_Gen-sdj'!$B27,'ELC_Gen-sdj'!$AA$4:$AC$19,3,FALSE))</f>
        <v>523.251718409148</v>
      </c>
      <c r="R27" s="25">
        <f>VLOOKUP(R$22,ovrcst!$A$5:$W$36,VLOOKUP('ELC_Gen-sdj'!$B27,'ELC_Gen-sdj'!$AA$4:$AC$19,3,FALSE))</f>
        <v>515.810879578527</v>
      </c>
      <c r="S27" s="21">
        <f>VLOOKUP(S$22,ovrcst!$A$5:$W$36,VLOOKUP('ELC_Gen-sdj'!$B27,'ELC_Gen-sdj'!$AA$4:$AC$19,3,FALSE))</f>
        <v>508.979757944719</v>
      </c>
      <c r="T27" s="21">
        <f>VLOOKUP(T$22,ovrcst!$A$5:$W$36,VLOOKUP('ELC_Gen-sdj'!$B27,'ELC_Gen-sdj'!$AA$4:$AC$19,3,FALSE))</f>
        <v>501.934129832032</v>
      </c>
      <c r="U27" s="21">
        <f>VLOOKUP(U$22,ovrcst!$A$5:$W$36,VLOOKUP('ELC_Gen-sdj'!$B27,'ELC_Gen-sdj'!$AA$4:$AC$19,3,FALSE))</f>
        <v>496.130374588873</v>
      </c>
      <c r="V27" s="21">
        <f>VLOOKUP(V$22,ovrcst!$A$5:$W$36,VLOOKUP('ELC_Gen-sdj'!$B27,'ELC_Gen-sdj'!$AA$4:$AC$19,3,FALSE))</f>
        <v>491.604288819957</v>
      </c>
      <c r="W27" s="21">
        <f>VLOOKUP(W$22,ovrcst!$A$5:$W$36,VLOOKUP('ELC_Gen-sdj'!$B27,'ELC_Gen-sdj'!$AA$4:$AC$19,3,FALSE))</f>
        <v>487.002323640894</v>
      </c>
      <c r="X27" s="21">
        <f>VLOOKUP(X$22,ovrcst!$A$5:$W$36,VLOOKUP('ELC_Gen-sdj'!$B27,'ELC_Gen-sdj'!$AA$4:$AC$19,3,FALSE))</f>
        <v>482.585346095273</v>
      </c>
      <c r="Y27" s="21">
        <f>VLOOKUP(Y$22,ovrcst!$A$5:$W$36,VLOOKUP('ELC_Gen-sdj'!$B27,'ELC_Gen-sdj'!$AA$4:$AC$19,3,FALSE))</f>
        <v>478.288981788792</v>
      </c>
      <c r="Z27" s="21">
        <f>VLOOKUP(Z$22,ovrcst!$A$5:$W$36,VLOOKUP('ELC_Gen-sdj'!$B27,'ELC_Gen-sdj'!$AA$4:$AC$19,3,FALSE))</f>
        <v>473.621929407715</v>
      </c>
      <c r="AA27" s="21">
        <f>VLOOKUP(AA$22,ovrcst!$A$5:$W$36,VLOOKUP('ELC_Gen-sdj'!$B27,'ELC_Gen-sdj'!$AA$4:$AC$19,3,FALSE))</f>
        <v>469.655174123396</v>
      </c>
      <c r="AB27" s="21">
        <f>VLOOKUP(AB$22,ovrcst!$A$5:$W$36,VLOOKUP('ELC_Gen-sdj'!$B27,'ELC_Gen-sdj'!$AA$4:$AC$19,3,FALSE))</f>
        <v>465.075075864443</v>
      </c>
      <c r="AC27" s="21">
        <f>VLOOKUP(AC$22,ovrcst!$A$5:$W$36,VLOOKUP('ELC_Gen-sdj'!$B27,'ELC_Gen-sdj'!$AA$4:$AC$19,3,FALSE))</f>
        <v>461.08628247391</v>
      </c>
      <c r="AD27" s="21">
        <f>VLOOKUP(AD$22,ovrcst!$A$5:$W$36,VLOOKUP('ELC_Gen-sdj'!$B27,'ELC_Gen-sdj'!$AA$4:$AC$19,3,FALSE))</f>
        <v>456.594510632247</v>
      </c>
      <c r="AE27" s="21">
        <f>VLOOKUP(AE$22,ovrcst!$A$5:$W$36,VLOOKUP('ELC_Gen-sdj'!$B27,'ELC_Gen-sdj'!$AA$4:$AC$19,3,FALSE))</f>
        <v>452.508084100085</v>
      </c>
      <c r="AF27" s="21">
        <f>VLOOKUP(AF$22,ovrcst!$A$5:$W$36,VLOOKUP('ELC_Gen-sdj'!$B27,'ELC_Gen-sdj'!$AA$4:$AC$19,3,FALSE))</f>
        <v>448.399676523743</v>
      </c>
      <c r="AG27" s="21">
        <f>VLOOKUP(AG$22,ovrcst!$A$5:$W$36,VLOOKUP('ELC_Gen-sdj'!$B27,'ELC_Gen-sdj'!$AA$4:$AC$19,3,FALSE))</f>
        <v>444.277622702084</v>
      </c>
      <c r="AH27" s="21">
        <f>VLOOKUP(AH$22,ovrcst!$A$5:$W$36,VLOOKUP('ELC_Gen-sdj'!$B27,'ELC_Gen-sdj'!$AA$4:$AC$19,3,FALSE))</f>
        <v>440.182261751973</v>
      </c>
    </row>
    <row r="28" spans="2:34">
      <c r="B28" t="str">
        <f t="shared" si="2"/>
        <v>EN_GasCT</v>
      </c>
      <c r="C28" s="21">
        <f>VLOOKUP(C$22,ovrcst!$A$5:$W$36,VLOOKUP('ELC_Gen-sdj'!$B28,'ELC_Gen-sdj'!$AA$4:$AC$19,3,FALSE))</f>
        <v>1126.00240868118</v>
      </c>
      <c r="D28" s="21">
        <f>VLOOKUP(D$22,ovrcst!$A$5:$W$36,VLOOKUP('ELC_Gen-sdj'!$B28,'ELC_Gen-sdj'!$AA$4:$AC$19,3,FALSE))</f>
        <v>1115.51531642354</v>
      </c>
      <c r="E28" s="21">
        <f>VLOOKUP(E$22,ovrcst!$A$5:$W$36,VLOOKUP('ELC_Gen-sdj'!$B28,'ELC_Gen-sdj'!$AA$4:$AC$19,3,FALSE))</f>
        <v>1090.34743554724</v>
      </c>
      <c r="F28" s="21">
        <f>VLOOKUP(F$22,ovrcst!$A$5:$W$36,VLOOKUP('ELC_Gen-sdj'!$B28,'ELC_Gen-sdj'!$AA$4:$AC$19,3,FALSE))</f>
        <v>1075.45842589533</v>
      </c>
      <c r="G28" s="21">
        <f>VLOOKUP(G$22,ovrcst!$A$5:$W$36,VLOOKUP('ELC_Gen-sdj'!$B28,'ELC_Gen-sdj'!$AA$4:$AC$19,3,FALSE))</f>
        <v>1065.50995753768</v>
      </c>
      <c r="H28" s="21">
        <f>VLOOKUP(H$22,ovrcst!$A$5:$W$36,VLOOKUP('ELC_Gen-sdj'!$B28,'ELC_Gen-sdj'!$AA$4:$AC$19,3,FALSE))</f>
        <v>1057.88235569402</v>
      </c>
      <c r="I28" s="21">
        <f>VLOOKUP(I$22,ovrcst!$A$5:$W$36,VLOOKUP('ELC_Gen-sdj'!$B28,'ELC_Gen-sdj'!$AA$4:$AC$19,3,FALSE))</f>
        <v>1052.04678877528</v>
      </c>
      <c r="J28" s="21">
        <f>VLOOKUP(J$22,ovrcst!$A$5:$W$36,VLOOKUP('ELC_Gen-sdj'!$B28,'ELC_Gen-sdj'!$AA$4:$AC$19,3,FALSE))</f>
        <v>1043.66744345521</v>
      </c>
      <c r="K28" s="21">
        <f>VLOOKUP(K$22,ovrcst!$A$5:$W$36,VLOOKUP('ELC_Gen-sdj'!$B28,'ELC_Gen-sdj'!$AA$4:$AC$19,3,FALSE))</f>
        <v>1033.20273512339</v>
      </c>
      <c r="L28" s="21">
        <f>VLOOKUP(L$22,ovrcst!$A$5:$W$36,VLOOKUP('ELC_Gen-sdj'!$B28,'ELC_Gen-sdj'!$AA$4:$AC$19,3,FALSE))</f>
        <v>1021.23943742682</v>
      </c>
      <c r="M28" s="21">
        <f>VLOOKUP(M$22,ovrcst!$A$5:$W$36,VLOOKUP('ELC_Gen-sdj'!$B28,'ELC_Gen-sdj'!$AA$4:$AC$19,3,FALSE))</f>
        <v>1008.87135522222</v>
      </c>
      <c r="N28" s="21">
        <f>VLOOKUP(N$22,ovrcst!$A$5:$W$36,VLOOKUP('ELC_Gen-sdj'!$B28,'ELC_Gen-sdj'!$AA$4:$AC$19,3,FALSE))</f>
        <v>998.187232461611</v>
      </c>
      <c r="O28" s="21">
        <f>VLOOKUP(O$22,ovrcst!$A$5:$W$36,VLOOKUP('ELC_Gen-sdj'!$B28,'ELC_Gen-sdj'!$AA$4:$AC$19,3,FALSE))</f>
        <v>987.534472219941</v>
      </c>
      <c r="P28" s="21">
        <f>VLOOKUP(P$22,ovrcst!$A$5:$W$36,VLOOKUP('ELC_Gen-sdj'!$B28,'ELC_Gen-sdj'!$AA$4:$AC$19,3,FALSE))</f>
        <v>976.888065089786</v>
      </c>
      <c r="Q28" s="21">
        <f>VLOOKUP(Q$22,ovrcst!$A$5:$W$36,VLOOKUP('ELC_Gen-sdj'!$B28,'ELC_Gen-sdj'!$AA$4:$AC$19,3,FALSE))</f>
        <v>966.780399332981</v>
      </c>
      <c r="R28" s="21">
        <f>VLOOKUP(R$22,ovrcst!$A$5:$W$36,VLOOKUP('ELC_Gen-sdj'!$B28,'ELC_Gen-sdj'!$AA$4:$AC$19,3,FALSE))</f>
        <v>956.797188471185</v>
      </c>
      <c r="S28" s="21">
        <f>VLOOKUP(S$22,ovrcst!$A$5:$W$36,VLOOKUP('ELC_Gen-sdj'!$B28,'ELC_Gen-sdj'!$AA$4:$AC$19,3,FALSE))</f>
        <v>946.190303959903</v>
      </c>
      <c r="T28" s="21">
        <f>VLOOKUP(T$22,ovrcst!$A$5:$W$36,VLOOKUP('ELC_Gen-sdj'!$B28,'ELC_Gen-sdj'!$AA$4:$AC$19,3,FALSE))</f>
        <v>936.158885091964</v>
      </c>
      <c r="U28" s="21">
        <f>VLOOKUP(U$22,ovrcst!$A$5:$W$36,VLOOKUP('ELC_Gen-sdj'!$B28,'ELC_Gen-sdj'!$AA$4:$AC$19,3,FALSE))</f>
        <v>926.29330898547</v>
      </c>
      <c r="V28" s="21">
        <f>VLOOKUP(V$22,ovrcst!$A$5:$W$36,VLOOKUP('ELC_Gen-sdj'!$B28,'ELC_Gen-sdj'!$AA$4:$AC$19,3,FALSE))</f>
        <v>916.812523041013</v>
      </c>
      <c r="W28" s="21">
        <f>VLOOKUP(W$22,ovrcst!$A$5:$W$36,VLOOKUP('ELC_Gen-sdj'!$B28,'ELC_Gen-sdj'!$AA$4:$AC$19,3,FALSE))</f>
        <v>907.206117018737</v>
      </c>
      <c r="X28" s="21">
        <f>VLOOKUP(X$22,ovrcst!$A$5:$W$36,VLOOKUP('ELC_Gen-sdj'!$B28,'ELC_Gen-sdj'!$AA$4:$AC$19,3,FALSE))</f>
        <v>897.960133556692</v>
      </c>
      <c r="Y28" s="21">
        <f>VLOOKUP(Y$22,ovrcst!$A$5:$W$36,VLOOKUP('ELC_Gen-sdj'!$B28,'ELC_Gen-sdj'!$AA$4:$AC$19,3,FALSE))</f>
        <v>888.95396763848</v>
      </c>
      <c r="Z28" s="21">
        <f>VLOOKUP(Z$22,ovrcst!$A$5:$W$36,VLOOKUP('ELC_Gen-sdj'!$B28,'ELC_Gen-sdj'!$AA$4:$AC$19,3,FALSE))</f>
        <v>879.274869489975</v>
      </c>
      <c r="AA28" s="21">
        <f>VLOOKUP(AA$22,ovrcst!$A$5:$W$36,VLOOKUP('ELC_Gen-sdj'!$B28,'ELC_Gen-sdj'!$AA$4:$AC$19,3,FALSE))</f>
        <v>870.910855874527</v>
      </c>
      <c r="AB28" s="21">
        <f>VLOOKUP(AB$22,ovrcst!$A$5:$W$36,VLOOKUP('ELC_Gen-sdj'!$B28,'ELC_Gen-sdj'!$AA$4:$AC$19,3,FALSE))</f>
        <v>861.424765483083</v>
      </c>
      <c r="AC28" s="21">
        <f>VLOOKUP(AC$22,ovrcst!$A$5:$W$36,VLOOKUP('ELC_Gen-sdj'!$B28,'ELC_Gen-sdj'!$AA$4:$AC$19,3,FALSE))</f>
        <v>853.049093354065</v>
      </c>
      <c r="AD28" s="21">
        <f>VLOOKUP(AD$22,ovrcst!$A$5:$W$36,VLOOKUP('ELC_Gen-sdj'!$B28,'ELC_Gen-sdj'!$AA$4:$AC$19,3,FALSE))</f>
        <v>843.758282826161</v>
      </c>
      <c r="AE28" s="21">
        <f>VLOOKUP(AE$22,ovrcst!$A$5:$W$36,VLOOKUP('ELC_Gen-sdj'!$B28,'ELC_Gen-sdj'!$AA$4:$AC$19,3,FALSE))</f>
        <v>835.23163261213</v>
      </c>
      <c r="AF28" s="21">
        <f>VLOOKUP(AF$22,ovrcst!$A$5:$W$36,VLOOKUP('ELC_Gen-sdj'!$B28,'ELC_Gen-sdj'!$AA$4:$AC$19,3,FALSE))</f>
        <v>826.679391354344</v>
      </c>
      <c r="AG28" s="21">
        <f>VLOOKUP(AG$22,ovrcst!$A$5:$W$36,VLOOKUP('ELC_Gen-sdj'!$B28,'ELC_Gen-sdj'!$AA$4:$AC$19,3,FALSE))</f>
        <v>818.116541202583</v>
      </c>
      <c r="AH28" s="21">
        <f>VLOOKUP(AH$22,ovrcst!$A$5:$W$36,VLOOKUP('ELC_Gen-sdj'!$B28,'ELC_Gen-sdj'!$AA$4:$AC$19,3,FALSE))</f>
        <v>809.617928916208</v>
      </c>
    </row>
    <row r="29" spans="2:34">
      <c r="B29" t="str">
        <f t="shared" si="2"/>
        <v>EN_Biomass</v>
      </c>
      <c r="C29" s="21">
        <f>VLOOKUP(C$22,ovrcst!$A$5:$W$36,VLOOKUP('ELC_Gen-sdj'!$B29,'ELC_Gen-sdj'!$AA$4:$AC$19,3,FALSE))</f>
        <v>3899.57828443114</v>
      </c>
      <c r="D29" s="21">
        <f>VLOOKUP(D$22,ovrcst!$A$5:$W$36,VLOOKUP('ELC_Gen-sdj'!$B29,'ELC_Gen-sdj'!$AA$4:$AC$19,3,FALSE))</f>
        <v>3858.23884431138</v>
      </c>
      <c r="E29" s="21">
        <f>VLOOKUP(E$22,ovrcst!$A$5:$W$36,VLOOKUP('ELC_Gen-sdj'!$B29,'ELC_Gen-sdj'!$AA$4:$AC$19,3,FALSE))</f>
        <v>3756.43707684631</v>
      </c>
      <c r="F29" s="21">
        <f>VLOOKUP(F$22,ovrcst!$A$5:$W$36,VLOOKUP('ELC_Gen-sdj'!$B29,'ELC_Gen-sdj'!$AA$4:$AC$19,3,FALSE))</f>
        <v>3698.73997105788</v>
      </c>
      <c r="G29" s="21">
        <f>VLOOKUP(G$22,ovrcst!$A$5:$W$36,VLOOKUP('ELC_Gen-sdj'!$B29,'ELC_Gen-sdj'!$AA$4:$AC$19,3,FALSE))</f>
        <v>3659.72181636727</v>
      </c>
      <c r="H29" s="21">
        <f>VLOOKUP(H$22,ovrcst!$A$5:$W$36,VLOOKUP('ELC_Gen-sdj'!$B29,'ELC_Gen-sdj'!$AA$4:$AC$19,3,FALSE))</f>
        <v>3628.72984530938</v>
      </c>
      <c r="I29" s="21">
        <f>VLOOKUP(I$22,ovrcst!$A$5:$W$36,VLOOKUP('ELC_Gen-sdj'!$B29,'ELC_Gen-sdj'!$AA$4:$AC$19,3,FALSE))</f>
        <v>3603.92155189621</v>
      </c>
      <c r="J29" s="21">
        <f>VLOOKUP(J$22,ovrcst!$A$5:$W$36,VLOOKUP('ELC_Gen-sdj'!$B29,'ELC_Gen-sdj'!$AA$4:$AC$19,3,FALSE))</f>
        <v>3570.4401746507</v>
      </c>
      <c r="K29" s="21">
        <f>VLOOKUP(K$22,ovrcst!$A$5:$W$36,VLOOKUP('ELC_Gen-sdj'!$B29,'ELC_Gen-sdj'!$AA$4:$AC$19,3,FALSE))</f>
        <v>3529.88627245509</v>
      </c>
      <c r="L29" s="21">
        <f>VLOOKUP(L$22,ovrcst!$A$5:$W$36,VLOOKUP('ELC_Gen-sdj'!$B29,'ELC_Gen-sdj'!$AA$4:$AC$19,3,FALSE))</f>
        <v>3484.29142714571</v>
      </c>
      <c r="M29" s="21">
        <f>VLOOKUP(M$22,ovrcst!$A$5:$W$36,VLOOKUP('ELC_Gen-sdj'!$B29,'ELC_Gen-sdj'!$AA$4:$AC$19,3,FALSE))</f>
        <v>3437.404000998</v>
      </c>
      <c r="N29" s="21">
        <f>VLOOKUP(N$22,ovrcst!$A$5:$W$36,VLOOKUP('ELC_Gen-sdj'!$B29,'ELC_Gen-sdj'!$AA$4:$AC$19,3,FALSE))</f>
        <v>3396.33672155689</v>
      </c>
      <c r="O29" s="21">
        <f>VLOOKUP(O$22,ovrcst!$A$5:$W$36,VLOOKUP('ELC_Gen-sdj'!$B29,'ELC_Gen-sdj'!$AA$4:$AC$19,3,FALSE))</f>
        <v>3355.45291217565</v>
      </c>
      <c r="P29" s="21">
        <f>VLOOKUP(P$22,ovrcst!$A$5:$W$36,VLOOKUP('ELC_Gen-sdj'!$B29,'ELC_Gen-sdj'!$AA$4:$AC$19,3,FALSE))</f>
        <v>3314.66607784431</v>
      </c>
      <c r="Q29" s="21">
        <f>VLOOKUP(Q$22,ovrcst!$A$5:$W$36,VLOOKUP('ELC_Gen-sdj'!$B29,'ELC_Gen-sdj'!$AA$4:$AC$19,3,FALSE))</f>
        <v>3275.78144510978</v>
      </c>
      <c r="R29" s="21">
        <f>VLOOKUP(R$22,ovrcst!$A$5:$W$36,VLOOKUP('ELC_Gen-sdj'!$B29,'ELC_Gen-sdj'!$AA$4:$AC$19,3,FALSE))</f>
        <v>3237.39020958084</v>
      </c>
      <c r="S29" s="21">
        <f>VLOOKUP(S$22,ovrcst!$A$5:$W$36,VLOOKUP('ELC_Gen-sdj'!$B29,'ELC_Gen-sdj'!$AA$4:$AC$19,3,FALSE))</f>
        <v>3196.96325149701</v>
      </c>
      <c r="T29" s="21">
        <f>VLOOKUP(T$22,ovrcst!$A$5:$W$36,VLOOKUP('ELC_Gen-sdj'!$B29,'ELC_Gen-sdj'!$AA$4:$AC$19,3,FALSE))</f>
        <v>3158.55593512974</v>
      </c>
      <c r="U29" s="21">
        <f>VLOOKUP(U$22,ovrcst!$A$5:$W$36,VLOOKUP('ELC_Gen-sdj'!$B29,'ELC_Gen-sdj'!$AA$4:$AC$19,3,FALSE))</f>
        <v>3120.78114271457</v>
      </c>
      <c r="V29" s="21">
        <f>VLOOKUP(V$22,ovrcst!$A$5:$W$36,VLOOKUP('ELC_Gen-sdj'!$B29,'ELC_Gen-sdj'!$AA$4:$AC$19,3,FALSE))</f>
        <v>3084.37227145709</v>
      </c>
      <c r="W29" s="21">
        <f>VLOOKUP(W$22,ovrcst!$A$5:$W$36,VLOOKUP('ELC_Gen-sdj'!$B29,'ELC_Gen-sdj'!$AA$4:$AC$19,3,FALSE))</f>
        <v>3047.61058982036</v>
      </c>
      <c r="X29" s="21">
        <f>VLOOKUP(X$22,ovrcst!$A$5:$W$36,VLOOKUP('ELC_Gen-sdj'!$B29,'ELC_Gen-sdj'!$AA$4:$AC$19,3,FALSE))</f>
        <v>3012.1285748503</v>
      </c>
      <c r="Y29" s="21">
        <f>VLOOKUP(Y$22,ovrcst!$A$5:$W$36,VLOOKUP('ELC_Gen-sdj'!$B29,'ELC_Gen-sdj'!$AA$4:$AC$19,3,FALSE))</f>
        <v>2977.51762075848</v>
      </c>
      <c r="Z29" s="21">
        <f>VLOOKUP(Z$22,ovrcst!$A$5:$W$36,VLOOKUP('ELC_Gen-sdj'!$B29,'ELC_Gen-sdj'!$AA$4:$AC$19,3,FALSE))</f>
        <v>2940.72134031936</v>
      </c>
      <c r="AA29" s="21">
        <f>VLOOKUP(AA$22,ovrcst!$A$5:$W$36,VLOOKUP('ELC_Gen-sdj'!$B29,'ELC_Gen-sdj'!$AA$4:$AC$19,3,FALSE))</f>
        <v>2908.39098203593</v>
      </c>
      <c r="AB29" s="21">
        <f>VLOOKUP(AB$22,ovrcst!$A$5:$W$36,VLOOKUP('ELC_Gen-sdj'!$B29,'ELC_Gen-sdj'!$AA$4:$AC$19,3,FALSE))</f>
        <v>2872.37902095808</v>
      </c>
      <c r="AC29" s="21">
        <f>VLOOKUP(AC$22,ovrcst!$A$5:$W$36,VLOOKUP('ELC_Gen-sdj'!$B29,'ELC_Gen-sdj'!$AA$4:$AC$19,3,FALSE))</f>
        <v>2840.13637724551</v>
      </c>
      <c r="AD29" s="21">
        <f>VLOOKUP(AD$22,ovrcst!$A$5:$W$36,VLOOKUP('ELC_Gen-sdj'!$B29,'ELC_Gen-sdj'!$AA$4:$AC$19,3,FALSE))</f>
        <v>2804.91263572854</v>
      </c>
      <c r="AE29" s="21">
        <f>VLOOKUP(AE$22,ovrcst!$A$5:$W$36,VLOOKUP('ELC_Gen-sdj'!$B29,'ELC_Gen-sdj'!$AA$4:$AC$19,3,FALSE))</f>
        <v>2772.29817664671</v>
      </c>
      <c r="AF29" s="21">
        <f>VLOOKUP(AF$22,ovrcst!$A$5:$W$36,VLOOKUP('ELC_Gen-sdj'!$B29,'ELC_Gen-sdj'!$AA$4:$AC$19,3,FALSE))</f>
        <v>2739.66203293413</v>
      </c>
      <c r="AG29" s="21">
        <f>VLOOKUP(AG$22,ovrcst!$A$5:$W$36,VLOOKUP('ELC_Gen-sdj'!$B29,'ELC_Gen-sdj'!$AA$4:$AC$19,3,FALSE))</f>
        <v>2707.05610279441</v>
      </c>
      <c r="AH29" s="21">
        <f>VLOOKUP(AH$22,ovrcst!$A$5:$W$36,VLOOKUP('ELC_Gen-sdj'!$B29,'ELC_Gen-sdj'!$AA$4:$AC$19,3,FALSE))</f>
        <v>2674.72793712575</v>
      </c>
    </row>
    <row r="30" spans="2:34">
      <c r="B30" t="str">
        <f t="shared" si="2"/>
        <v>EN_ZBiomass</v>
      </c>
      <c r="C30" s="21">
        <f>VLOOKUP(C$22,ovrcst!$A$5:$W$36,VLOOKUP('ELC_Gen-sdj'!$B30,'ELC_Gen-sdj'!$AA$4:$AC$19,3,FALSE))</f>
        <v>5715.78799287169</v>
      </c>
      <c r="D30" s="21">
        <f>VLOOKUP(D$22,ovrcst!$A$5:$W$36,VLOOKUP('ELC_Gen-sdj'!$B30,'ELC_Gen-sdj'!$AA$4:$AC$19,3,FALSE))</f>
        <v>5651.68641038696</v>
      </c>
      <c r="E30" s="21">
        <f>VLOOKUP(E$22,ovrcst!$A$5:$W$36,VLOOKUP('ELC_Gen-sdj'!$B30,'ELC_Gen-sdj'!$AA$4:$AC$19,3,FALSE))</f>
        <v>5513.49933604888</v>
      </c>
      <c r="F30" s="21">
        <f>VLOOKUP(F$22,ovrcst!$A$5:$W$36,VLOOKUP('ELC_Gen-sdj'!$B30,'ELC_Gen-sdj'!$AA$4:$AC$19,3,FALSE))</f>
        <v>5427.62747046843</v>
      </c>
      <c r="G30" s="21">
        <f>VLOOKUP(G$22,ovrcst!$A$5:$W$36,VLOOKUP('ELC_Gen-sdj'!$B30,'ELC_Gen-sdj'!$AA$4:$AC$19,3,FALSE))</f>
        <v>5366.88070773931</v>
      </c>
      <c r="H30" s="21">
        <f>VLOOKUP(H$22,ovrcst!$A$5:$W$36,VLOOKUP('ELC_Gen-sdj'!$B30,'ELC_Gen-sdj'!$AA$4:$AC$19,3,FALSE))</f>
        <v>5317.94418635438</v>
      </c>
      <c r="I30" s="21">
        <f>VLOOKUP(I$22,ovrcst!$A$5:$W$36,VLOOKUP('ELC_Gen-sdj'!$B30,'ELC_Gen-sdj'!$AA$4:$AC$19,3,FALSE))</f>
        <v>5278.09655804481</v>
      </c>
      <c r="J30" s="21">
        <f>VLOOKUP(J$22,ovrcst!$A$5:$W$36,VLOOKUP('ELC_Gen-sdj'!$B30,'ELC_Gen-sdj'!$AA$4:$AC$19,3,FALSE))</f>
        <v>5225.57549592668</v>
      </c>
      <c r="K30" s="21">
        <f>VLOOKUP(K$22,ovrcst!$A$5:$W$36,VLOOKUP('ELC_Gen-sdj'!$B30,'ELC_Gen-sdj'!$AA$4:$AC$19,3,FALSE))</f>
        <v>5162.74931160896</v>
      </c>
      <c r="L30" s="21">
        <f>VLOOKUP(L$22,ovrcst!$A$5:$W$36,VLOOKUP('ELC_Gen-sdj'!$B30,'ELC_Gen-sdj'!$AA$4:$AC$19,3,FALSE))</f>
        <v>5092.60736252546</v>
      </c>
      <c r="M30" s="21">
        <f>VLOOKUP(M$22,ovrcst!$A$5:$W$36,VLOOKUP('ELC_Gen-sdj'!$B30,'ELC_Gen-sdj'!$AA$4:$AC$19,3,FALSE))</f>
        <v>5020.64206517312</v>
      </c>
      <c r="N30" s="21">
        <f>VLOOKUP(N$22,ovrcst!$A$5:$W$36,VLOOKUP('ELC_Gen-sdj'!$B30,'ELC_Gen-sdj'!$AA$4:$AC$19,3,FALSE))</f>
        <v>4957.23809775967</v>
      </c>
      <c r="O30" s="21">
        <f>VLOOKUP(O$22,ovrcst!$A$5:$W$36,VLOOKUP('ELC_Gen-sdj'!$B30,'ELC_Gen-sdj'!$AA$4:$AC$19,3,FALSE))</f>
        <v>4894.15733197556</v>
      </c>
      <c r="P30" s="21">
        <f>VLOOKUP(P$22,ovrcst!$A$5:$W$36,VLOOKUP('ELC_Gen-sdj'!$B30,'ELC_Gen-sdj'!$AA$4:$AC$19,3,FALSE))</f>
        <v>4831.2734694501</v>
      </c>
      <c r="Q30" s="21">
        <f>VLOOKUP(Q$22,ovrcst!$A$5:$W$36,VLOOKUP('ELC_Gen-sdj'!$B30,'ELC_Gen-sdj'!$AA$4:$AC$19,3,FALSE))</f>
        <v>4771.21835641548</v>
      </c>
      <c r="R30" s="21">
        <f>VLOOKUP(R$22,ovrcst!$A$5:$W$36,VLOOKUP('ELC_Gen-sdj'!$B30,'ELC_Gen-sdj'!$AA$4:$AC$19,3,FALSE))</f>
        <v>4711.93395213849</v>
      </c>
      <c r="S30" s="21">
        <f>VLOOKUP(S$22,ovrcst!$A$5:$W$36,VLOOKUP('ELC_Gen-sdj'!$B30,'ELC_Gen-sdj'!$AA$4:$AC$19,3,FALSE))</f>
        <v>4649.74124032587</v>
      </c>
      <c r="T30" s="21">
        <f>VLOOKUP(T$22,ovrcst!$A$5:$W$36,VLOOKUP('ELC_Gen-sdj'!$B30,'ELC_Gen-sdj'!$AA$4:$AC$19,3,FALSE))</f>
        <v>4590.54186252546</v>
      </c>
      <c r="U30" s="21">
        <f>VLOOKUP(U$22,ovrcst!$A$5:$W$36,VLOOKUP('ELC_Gen-sdj'!$B30,'ELC_Gen-sdj'!$AA$4:$AC$19,3,FALSE))</f>
        <v>4532.31506924644</v>
      </c>
      <c r="V30" s="21">
        <f>VLOOKUP(V$22,ovrcst!$A$5:$W$36,VLOOKUP('ELC_Gen-sdj'!$B30,'ELC_Gen-sdj'!$AA$4:$AC$19,3,FALSE))</f>
        <v>4476.12543380855</v>
      </c>
      <c r="W30" s="21">
        <f>VLOOKUP(W$22,ovrcst!$A$5:$W$36,VLOOKUP('ELC_Gen-sdj'!$B30,'ELC_Gen-sdj'!$AA$4:$AC$19,3,FALSE))</f>
        <v>4419.47436659878</v>
      </c>
      <c r="X30" s="21">
        <f>VLOOKUP(X$22,ovrcst!$A$5:$W$36,VLOOKUP('ELC_Gen-sdj'!$B30,'ELC_Gen-sdj'!$AA$4:$AC$19,3,FALSE))</f>
        <v>4364.73067922607</v>
      </c>
      <c r="Y30" s="21">
        <f>VLOOKUP(Y$22,ovrcst!$A$5:$W$36,VLOOKUP('ELC_Gen-sdj'!$B30,'ELC_Gen-sdj'!$AA$4:$AC$19,3,FALSE))</f>
        <v>4311.29819144603</v>
      </c>
      <c r="Z30" s="21">
        <f>VLOOKUP(Z$22,ovrcst!$A$5:$W$36,VLOOKUP('ELC_Gen-sdj'!$B30,'ELC_Gen-sdj'!$AA$4:$AC$19,3,FALSE))</f>
        <v>4254.75452647658</v>
      </c>
      <c r="AA30" s="21">
        <f>VLOOKUP(AA$22,ovrcst!$A$5:$W$36,VLOOKUP('ELC_Gen-sdj'!$B30,'ELC_Gen-sdj'!$AA$4:$AC$19,3,FALSE))</f>
        <v>4204.72011812627</v>
      </c>
      <c r="AB30" s="21">
        <f>VLOOKUP(AB$22,ovrcst!$A$5:$W$36,VLOOKUP('ELC_Gen-sdj'!$B30,'ELC_Gen-sdj'!$AA$4:$AC$19,3,FALSE))</f>
        <v>4149.41306822811</v>
      </c>
      <c r="AC30" s="21">
        <f>VLOOKUP(AC$22,ovrcst!$A$5:$W$36,VLOOKUP('ELC_Gen-sdj'!$B30,'ELC_Gen-sdj'!$AA$4:$AC$19,3,FALSE))</f>
        <v>4099.60241344195</v>
      </c>
      <c r="AD30" s="21">
        <f>VLOOKUP(AD$22,ovrcst!$A$5:$W$36,VLOOKUP('ELC_Gen-sdj'!$B30,'ELC_Gen-sdj'!$AA$4:$AC$19,3,FALSE))</f>
        <v>4045.53744704684</v>
      </c>
      <c r="AE30" s="21">
        <f>VLOOKUP(AE$22,ovrcst!$A$5:$W$36,VLOOKUP('ELC_Gen-sdj'!$B30,'ELC_Gen-sdj'!$AA$4:$AC$19,3,FALSE))</f>
        <v>3995.28674338086</v>
      </c>
      <c r="AF30" s="21">
        <f>VLOOKUP(AF$22,ovrcst!$A$5:$W$36,VLOOKUP('ELC_Gen-sdj'!$B30,'ELC_Gen-sdj'!$AA$4:$AC$19,3,FALSE))</f>
        <v>3945.05319348269</v>
      </c>
      <c r="AG30" s="21">
        <f>VLOOKUP(AG$22,ovrcst!$A$5:$W$36,VLOOKUP('ELC_Gen-sdj'!$B30,'ELC_Gen-sdj'!$AA$4:$AC$19,3,FALSE))</f>
        <v>3894.91287474542</v>
      </c>
      <c r="AH30" s="21">
        <f>VLOOKUP(AH$22,ovrcst!$A$5:$W$36,VLOOKUP('ELC_Gen-sdj'!$B30,'ELC_Gen-sdj'!$AA$4:$AC$19,3,FALSE))</f>
        <v>3845.22130753564</v>
      </c>
    </row>
    <row r="31" spans="2:34">
      <c r="B31" s="24" t="str">
        <f t="shared" si="2"/>
        <v>EN_OilCCAdv</v>
      </c>
      <c r="C31" s="25">
        <f>VLOOKUP(C$22,ovrcst!$A$5:$W$36,VLOOKUP('ELC_Gen-sdj'!$B31,'ELC_Gen-sdj'!$AA$4:$AC$19,3,FALSE))</f>
        <v>691.076815788784</v>
      </c>
      <c r="D31" s="25">
        <f>VLOOKUP(D$22,ovrcst!$A$5:$W$36,VLOOKUP('ELC_Gen-sdj'!$B31,'ELC_Gen-sdj'!$AA$4:$AC$19,3,FALSE))</f>
        <v>683.766211230557</v>
      </c>
      <c r="E31" s="25">
        <f>VLOOKUP(E$22,ovrcst!$A$5:$W$36,VLOOKUP('ELC_Gen-sdj'!$B31,'ELC_Gen-sdj'!$AA$4:$AC$19,3,FALSE))</f>
        <v>667.480398723307</v>
      </c>
      <c r="F31" s="25">
        <f>VLOOKUP(F$22,ovrcst!$A$5:$W$36,VLOOKUP('ELC_Gen-sdj'!$B31,'ELC_Gen-sdj'!$AA$4:$AC$19,3,FALSE))</f>
        <v>657.514365601135</v>
      </c>
      <c r="G31" s="25">
        <f>VLOOKUP(G$22,ovrcst!$A$5:$W$36,VLOOKUP('ELC_Gen-sdj'!$B31,'ELC_Gen-sdj'!$AA$4:$AC$19,3,FALSE))</f>
        <v>625.445632976992</v>
      </c>
      <c r="H31" s="25">
        <f>VLOOKUP(H$22,ovrcst!$A$5:$W$36,VLOOKUP('ELC_Gen-sdj'!$B31,'ELC_Gen-sdj'!$AA$4:$AC$19,3,FALSE))</f>
        <v>612.365128735692</v>
      </c>
      <c r="I31" s="25">
        <f>VLOOKUP(I$22,ovrcst!$A$5:$W$36,VLOOKUP('ELC_Gen-sdj'!$B31,'ELC_Gen-sdj'!$AA$4:$AC$19,3,FALSE))</f>
        <v>599.880182823018</v>
      </c>
      <c r="J31" s="25">
        <f>VLOOKUP(J$22,ovrcst!$A$5:$W$36,VLOOKUP('ELC_Gen-sdj'!$B31,'ELC_Gen-sdj'!$AA$4:$AC$19,3,FALSE))</f>
        <v>586.796653358428</v>
      </c>
      <c r="K31" s="25">
        <f>VLOOKUP(K$22,ovrcst!$A$5:$W$36,VLOOKUP('ELC_Gen-sdj'!$B31,'ELC_Gen-sdj'!$AA$4:$AC$19,3,FALSE))</f>
        <v>573.386882467175</v>
      </c>
      <c r="L31" s="25">
        <f>VLOOKUP(L$22,ovrcst!$A$5:$W$36,VLOOKUP('ELC_Gen-sdj'!$B31,'ELC_Gen-sdj'!$AA$4:$AC$19,3,FALSE))</f>
        <v>563.084218886224</v>
      </c>
      <c r="M31" s="25">
        <f>VLOOKUP(M$22,ovrcst!$A$5:$W$36,VLOOKUP('ELC_Gen-sdj'!$B31,'ELC_Gen-sdj'!$AA$4:$AC$19,3,FALSE))</f>
        <v>552.689402925318</v>
      </c>
      <c r="N31" s="25">
        <f>VLOOKUP(N$22,ovrcst!$A$5:$W$36,VLOOKUP('ELC_Gen-sdj'!$B31,'ELC_Gen-sdj'!$AA$4:$AC$19,3,FALSE))</f>
        <v>545.18176316075</v>
      </c>
      <c r="O31" s="25">
        <f>VLOOKUP(O$22,ovrcst!$A$5:$W$36,VLOOKUP('ELC_Gen-sdj'!$B31,'ELC_Gen-sdj'!$AA$4:$AC$19,3,FALSE))</f>
        <v>538.182154176005</v>
      </c>
      <c r="P31" s="25">
        <f>VLOOKUP(P$22,ovrcst!$A$5:$W$36,VLOOKUP('ELC_Gen-sdj'!$B31,'ELC_Gen-sdj'!$AA$4:$AC$19,3,FALSE))</f>
        <v>530.051094842715</v>
      </c>
      <c r="Q31" s="25">
        <f>VLOOKUP(Q$22,ovrcst!$A$5:$W$36,VLOOKUP('ELC_Gen-sdj'!$B31,'ELC_Gen-sdj'!$AA$4:$AC$19,3,FALSE))</f>
        <v>523.251718409148</v>
      </c>
      <c r="R31" s="25">
        <f>VLOOKUP(R$22,ovrcst!$A$5:$W$36,VLOOKUP('ELC_Gen-sdj'!$B31,'ELC_Gen-sdj'!$AA$4:$AC$19,3,FALSE))</f>
        <v>515.810879578527</v>
      </c>
      <c r="S31" s="21">
        <f>VLOOKUP(S$22,ovrcst!$A$5:$W$36,VLOOKUP('ELC_Gen-sdj'!$B31,'ELC_Gen-sdj'!$AA$4:$AC$19,3,FALSE))</f>
        <v>508.979757944719</v>
      </c>
      <c r="T31" s="21">
        <f>VLOOKUP(T$22,ovrcst!$A$5:$W$36,VLOOKUP('ELC_Gen-sdj'!$B31,'ELC_Gen-sdj'!$AA$4:$AC$19,3,FALSE))</f>
        <v>501.934129832032</v>
      </c>
      <c r="U31" s="21">
        <f>VLOOKUP(U$22,ovrcst!$A$5:$W$36,VLOOKUP('ELC_Gen-sdj'!$B31,'ELC_Gen-sdj'!$AA$4:$AC$19,3,FALSE))</f>
        <v>496.130374588873</v>
      </c>
      <c r="V31" s="21">
        <f>VLOOKUP(V$22,ovrcst!$A$5:$W$36,VLOOKUP('ELC_Gen-sdj'!$B31,'ELC_Gen-sdj'!$AA$4:$AC$19,3,FALSE))</f>
        <v>491.604288819957</v>
      </c>
      <c r="W31" s="21">
        <f>VLOOKUP(W$22,ovrcst!$A$5:$W$36,VLOOKUP('ELC_Gen-sdj'!$B31,'ELC_Gen-sdj'!$AA$4:$AC$19,3,FALSE))</f>
        <v>487.002323640894</v>
      </c>
      <c r="X31" s="21">
        <f>VLOOKUP(X$22,ovrcst!$A$5:$W$36,VLOOKUP('ELC_Gen-sdj'!$B31,'ELC_Gen-sdj'!$AA$4:$AC$19,3,FALSE))</f>
        <v>482.585346095273</v>
      </c>
      <c r="Y31" s="21">
        <f>VLOOKUP(Y$22,ovrcst!$A$5:$W$36,VLOOKUP('ELC_Gen-sdj'!$B31,'ELC_Gen-sdj'!$AA$4:$AC$19,3,FALSE))</f>
        <v>478.288981788792</v>
      </c>
      <c r="Z31" s="21">
        <f>VLOOKUP(Z$22,ovrcst!$A$5:$W$36,VLOOKUP('ELC_Gen-sdj'!$B31,'ELC_Gen-sdj'!$AA$4:$AC$19,3,FALSE))</f>
        <v>473.621929407715</v>
      </c>
      <c r="AA31" s="21">
        <f>VLOOKUP(AA$22,ovrcst!$A$5:$W$36,VLOOKUP('ELC_Gen-sdj'!$B31,'ELC_Gen-sdj'!$AA$4:$AC$19,3,FALSE))</f>
        <v>469.655174123396</v>
      </c>
      <c r="AB31" s="21">
        <f>VLOOKUP(AB$22,ovrcst!$A$5:$W$36,VLOOKUP('ELC_Gen-sdj'!$B31,'ELC_Gen-sdj'!$AA$4:$AC$19,3,FALSE))</f>
        <v>465.075075864443</v>
      </c>
      <c r="AC31" s="21">
        <f>VLOOKUP(AC$22,ovrcst!$A$5:$W$36,VLOOKUP('ELC_Gen-sdj'!$B31,'ELC_Gen-sdj'!$AA$4:$AC$19,3,FALSE))</f>
        <v>461.08628247391</v>
      </c>
      <c r="AD31" s="21">
        <f>VLOOKUP(AD$22,ovrcst!$A$5:$W$36,VLOOKUP('ELC_Gen-sdj'!$B31,'ELC_Gen-sdj'!$AA$4:$AC$19,3,FALSE))</f>
        <v>456.594510632247</v>
      </c>
      <c r="AE31" s="21">
        <f>VLOOKUP(AE$22,ovrcst!$A$5:$W$36,VLOOKUP('ELC_Gen-sdj'!$B31,'ELC_Gen-sdj'!$AA$4:$AC$19,3,FALSE))</f>
        <v>452.508084100085</v>
      </c>
      <c r="AF31" s="21">
        <f>VLOOKUP(AF$22,ovrcst!$A$5:$W$36,VLOOKUP('ELC_Gen-sdj'!$B31,'ELC_Gen-sdj'!$AA$4:$AC$19,3,FALSE))</f>
        <v>448.399676523743</v>
      </c>
      <c r="AG31" s="21">
        <f>VLOOKUP(AG$22,ovrcst!$A$5:$W$36,VLOOKUP('ELC_Gen-sdj'!$B31,'ELC_Gen-sdj'!$AA$4:$AC$19,3,FALSE))</f>
        <v>444.277622702084</v>
      </c>
      <c r="AH31" s="21">
        <f>VLOOKUP(AH$22,ovrcst!$A$5:$W$36,VLOOKUP('ELC_Gen-sdj'!$B31,'ELC_Gen-sdj'!$AA$4:$AC$19,3,FALSE))</f>
        <v>440.182261751973</v>
      </c>
    </row>
    <row r="32" spans="2:34">
      <c r="B32" t="str">
        <f t="shared" si="2"/>
        <v>EN_NuclearAdv</v>
      </c>
      <c r="C32" s="21">
        <f>VLOOKUP(C$22,ovrcst!$A$5:$W$36,VLOOKUP('ELC_Gen-sdj'!$B32,'ELC_Gen-sdj'!$AA$4:$AC$19,3,FALSE))</f>
        <v>6034.26585443669</v>
      </c>
      <c r="D32" s="21">
        <f>VLOOKUP(D$22,ovrcst!$A$5:$W$36,VLOOKUP('ELC_Gen-sdj'!$B32,'ELC_Gen-sdj'!$AA$4:$AC$19,3,FALSE))</f>
        <v>5962.73873678963</v>
      </c>
      <c r="E32" s="21">
        <f>VLOOKUP(E$22,ovrcst!$A$5:$W$36,VLOOKUP('ELC_Gen-sdj'!$B32,'ELC_Gen-sdj'!$AA$4:$AC$19,3,FALSE))</f>
        <v>5813.15380059821</v>
      </c>
      <c r="F32" s="21">
        <f>VLOOKUP(F$22,ovrcst!$A$5:$W$36,VLOOKUP('ELC_Gen-sdj'!$B32,'ELC_Gen-sdj'!$AA$4:$AC$19,3,FALSE))</f>
        <v>5718.84833798604</v>
      </c>
      <c r="G32" s="21">
        <f>VLOOKUP(G$22,ovrcst!$A$5:$W$36,VLOOKUP('ELC_Gen-sdj'!$B32,'ELC_Gen-sdj'!$AA$4:$AC$19,3,FALSE))</f>
        <v>5651.08385742772</v>
      </c>
      <c r="H32" s="21">
        <f>VLOOKUP(H$22,ovrcst!$A$5:$W$36,VLOOKUP('ELC_Gen-sdj'!$B32,'ELC_Gen-sdj'!$AA$4:$AC$19,3,FALSE))</f>
        <v>5595.79708175474</v>
      </c>
      <c r="I32" s="21">
        <f>VLOOKUP(I$22,ovrcst!$A$5:$W$36,VLOOKUP('ELC_Gen-sdj'!$B32,'ELC_Gen-sdj'!$AA$4:$AC$19,3,FALSE))</f>
        <v>5550.10310867398</v>
      </c>
      <c r="J32" s="21">
        <f>VLOOKUP(J$22,ovrcst!$A$5:$W$36,VLOOKUP('ELC_Gen-sdj'!$B32,'ELC_Gen-sdj'!$AA$4:$AC$19,3,FALSE))</f>
        <v>5491.11552043869</v>
      </c>
      <c r="K32" s="21">
        <f>VLOOKUP(K$22,ovrcst!$A$5:$W$36,VLOOKUP('ELC_Gen-sdj'!$B32,'ELC_Gen-sdj'!$AA$4:$AC$19,3,FALSE))</f>
        <v>5421.3467996012</v>
      </c>
      <c r="L32" s="21">
        <f>VLOOKUP(L$22,ovrcst!$A$5:$W$36,VLOOKUP('ELC_Gen-sdj'!$B32,'ELC_Gen-sdj'!$AA$4:$AC$19,3,FALSE))</f>
        <v>5343.95884646062</v>
      </c>
      <c r="M32" s="21">
        <f>VLOOKUP(M$22,ovrcst!$A$5:$W$36,VLOOKUP('ELC_Gen-sdj'!$B32,'ELC_Gen-sdj'!$AA$4:$AC$19,3,FALSE))</f>
        <v>5264.72730209372</v>
      </c>
      <c r="N32" s="21">
        <f>VLOOKUP(N$22,ovrcst!$A$5:$W$36,VLOOKUP('ELC_Gen-sdj'!$B32,'ELC_Gen-sdj'!$AA$4:$AC$19,3,FALSE))</f>
        <v>5194.53991525424</v>
      </c>
      <c r="O32" s="21">
        <f>VLOOKUP(O$22,ovrcst!$A$5:$W$36,VLOOKUP('ELC_Gen-sdj'!$B32,'ELC_Gen-sdj'!$AA$4:$AC$19,3,FALSE))</f>
        <v>5124.75026121635</v>
      </c>
      <c r="P32" s="21">
        <f>VLOOKUP(P$22,ovrcst!$A$5:$W$36,VLOOKUP('ELC_Gen-sdj'!$B32,'ELC_Gen-sdj'!$AA$4:$AC$19,3,FALSE))</f>
        <v>5055.2288444666</v>
      </c>
      <c r="Q32" s="21">
        <f>VLOOKUP(Q$22,ovrcst!$A$5:$W$36,VLOOKUP('ELC_Gen-sdj'!$B32,'ELC_Gen-sdj'!$AA$4:$AC$19,3,FALSE))</f>
        <v>4988.72474376869</v>
      </c>
      <c r="R32" s="21">
        <f>VLOOKUP(R$22,ovrcst!$A$5:$W$36,VLOOKUP('ELC_Gen-sdj'!$B32,'ELC_Gen-sdj'!$AA$4:$AC$19,3,FALSE))</f>
        <v>4923.08474975075</v>
      </c>
      <c r="S32" s="21">
        <f>VLOOKUP(S$22,ovrcst!$A$5:$W$36,VLOOKUP('ELC_Gen-sdj'!$B32,'ELC_Gen-sdj'!$AA$4:$AC$19,3,FALSE))</f>
        <v>4854.46638584247</v>
      </c>
      <c r="T32" s="21">
        <f>VLOOKUP(T$22,ovrcst!$A$5:$W$36,VLOOKUP('ELC_Gen-sdj'!$B32,'ELC_Gen-sdj'!$AA$4:$AC$19,3,FALSE))</f>
        <v>4789.033777667</v>
      </c>
      <c r="U32" s="21">
        <f>VLOOKUP(U$22,ovrcst!$A$5:$W$36,VLOOKUP('ELC_Gen-sdj'!$B32,'ELC_Gen-sdj'!$AA$4:$AC$19,3,FALSE))</f>
        <v>4724.67363509472</v>
      </c>
      <c r="V32" s="21">
        <f>VLOOKUP(V$22,ovrcst!$A$5:$W$36,VLOOKUP('ELC_Gen-sdj'!$B32,'ELC_Gen-sdj'!$AA$4:$AC$19,3,FALSE))</f>
        <v>4662.49299002991</v>
      </c>
      <c r="W32" s="21">
        <f>VLOOKUP(W$22,ovrcst!$A$5:$W$36,VLOOKUP('ELC_Gen-sdj'!$B32,'ELC_Gen-sdj'!$AA$4:$AC$19,3,FALSE))</f>
        <v>4599.88832303091</v>
      </c>
      <c r="X32" s="21">
        <f>VLOOKUP(X$22,ovrcst!$A$5:$W$36,VLOOKUP('ELC_Gen-sdj'!$B32,'ELC_Gen-sdj'!$AA$4:$AC$19,3,FALSE))</f>
        <v>4539.32538285145</v>
      </c>
      <c r="Y32" s="21">
        <f>VLOOKUP(Y$22,ovrcst!$A$5:$W$36,VLOOKUP('ELC_Gen-sdj'!$B32,'ELC_Gen-sdj'!$AA$4:$AC$19,3,FALSE))</f>
        <v>4480.18006480558</v>
      </c>
      <c r="Z32" s="21">
        <f>VLOOKUP(Z$22,ovrcst!$A$5:$W$36,VLOOKUP('ELC_Gen-sdj'!$B32,'ELC_Gen-sdj'!$AA$4:$AC$19,3,FALSE))</f>
        <v>4417.85775473579</v>
      </c>
      <c r="AA32" s="21">
        <f>VLOOKUP(AA$22,ovrcst!$A$5:$W$36,VLOOKUP('ELC_Gen-sdj'!$B32,'ELC_Gen-sdj'!$AA$4:$AC$19,3,FALSE))</f>
        <v>4362.34947457627</v>
      </c>
      <c r="AB32" s="21">
        <f>VLOOKUP(AB$22,ovrcst!$A$5:$W$36,VLOOKUP('ELC_Gen-sdj'!$B32,'ELC_Gen-sdj'!$AA$4:$AC$19,3,FALSE))</f>
        <v>4301.42433998006</v>
      </c>
      <c r="AC32" s="21">
        <f>VLOOKUP(AC$22,ovrcst!$A$5:$W$36,VLOOKUP('ELC_Gen-sdj'!$B32,'ELC_Gen-sdj'!$AA$4:$AC$19,3,FALSE))</f>
        <v>4246.25099302094</v>
      </c>
      <c r="AD32" s="21">
        <f>VLOOKUP(AD$22,ovrcst!$A$5:$W$36,VLOOKUP('ELC_Gen-sdj'!$B32,'ELC_Gen-sdj'!$AA$4:$AC$19,3,FALSE))</f>
        <v>4186.72692821535</v>
      </c>
      <c r="AE32" s="21">
        <f>VLOOKUP(AE$22,ovrcst!$A$5:$W$36,VLOOKUP('ELC_Gen-sdj'!$B32,'ELC_Gen-sdj'!$AA$4:$AC$19,3,FALSE))</f>
        <v>4131.20550448654</v>
      </c>
      <c r="AF32" s="21">
        <f>VLOOKUP(AF$22,ovrcst!$A$5:$W$36,VLOOKUP('ELC_Gen-sdj'!$B32,'ELC_Gen-sdj'!$AA$4:$AC$19,3,FALSE))</f>
        <v>4075.75442572283</v>
      </c>
      <c r="AG32" s="21">
        <f>VLOOKUP(AG$22,ovrcst!$A$5:$W$36,VLOOKUP('ELC_Gen-sdj'!$B32,'ELC_Gen-sdj'!$AA$4:$AC$19,3,FALSE))</f>
        <v>4020.45328813559</v>
      </c>
      <c r="AH32" s="21">
        <f>VLOOKUP(AH$22,ovrcst!$A$5:$W$36,VLOOKUP('ELC_Gen-sdj'!$B32,'ELC_Gen-sdj'!$AA$4:$AC$19,3,FALSE))</f>
        <v>3965.67012861416</v>
      </c>
    </row>
    <row r="35" spans="2:2">
      <c r="B35" t="s">
        <v>145</v>
      </c>
    </row>
    <row r="36" spans="2:34">
      <c r="B36" t="s">
        <v>2</v>
      </c>
      <c r="C36">
        <v>2019</v>
      </c>
      <c r="D36">
        <v>2020</v>
      </c>
      <c r="E36">
        <v>2021</v>
      </c>
      <c r="F36">
        <v>2022</v>
      </c>
      <c r="G36">
        <v>2023</v>
      </c>
      <c r="H36">
        <v>2024</v>
      </c>
      <c r="I36">
        <v>2025</v>
      </c>
      <c r="J36">
        <v>2026</v>
      </c>
      <c r="K36">
        <v>2027</v>
      </c>
      <c r="L36">
        <v>2028</v>
      </c>
      <c r="M36">
        <v>2029</v>
      </c>
      <c r="N36">
        <v>2030</v>
      </c>
      <c r="O36">
        <v>2031</v>
      </c>
      <c r="P36">
        <v>2032</v>
      </c>
      <c r="Q36">
        <v>2033</v>
      </c>
      <c r="R36">
        <v>2034</v>
      </c>
      <c r="S36">
        <v>2035</v>
      </c>
      <c r="T36">
        <v>2036</v>
      </c>
      <c r="U36">
        <v>2037</v>
      </c>
      <c r="V36">
        <v>2038</v>
      </c>
      <c r="W36">
        <v>2039</v>
      </c>
      <c r="X36">
        <v>2040</v>
      </c>
      <c r="Y36">
        <v>2041</v>
      </c>
      <c r="Z36">
        <v>2042</v>
      </c>
      <c r="AA36">
        <v>2043</v>
      </c>
      <c r="AB36">
        <v>2044</v>
      </c>
      <c r="AC36">
        <v>2045</v>
      </c>
      <c r="AD36">
        <v>2046</v>
      </c>
      <c r="AE36">
        <v>2047</v>
      </c>
      <c r="AF36">
        <v>2048</v>
      </c>
      <c r="AG36">
        <v>2049</v>
      </c>
      <c r="AH36">
        <v>2050</v>
      </c>
    </row>
    <row r="37" spans="2:34">
      <c r="B37" t="str">
        <f>B23</f>
        <v>EN_ZCOAIGCC</v>
      </c>
      <c r="C37" s="19">
        <f>VLOOKUP(C$22,heatrate!$K$5:$T$36,VLOOKUP('ELC_Gen-sdj'!$B37,'ELC_Gen-sdj'!$AA$4:$AD$19,4,FALSE))</f>
        <v>0.292903199560645</v>
      </c>
      <c r="D37" s="19">
        <f>VLOOKUP(D$22,heatrate!$K$5:$T$36,VLOOKUP('ELC_Gen-sdj'!$B37,'ELC_Gen-sdj'!$AA$4:$AD$19,4,FALSE))</f>
        <v>0.292903199560645</v>
      </c>
      <c r="E37" s="19">
        <f>VLOOKUP(E$22,heatrate!$K$5:$T$36,VLOOKUP('ELC_Gen-sdj'!$B37,'ELC_Gen-sdj'!$AA$4:$AD$19,4,FALSE))</f>
        <v>0.292903199560645</v>
      </c>
      <c r="F37" s="19">
        <f>VLOOKUP(F$22,heatrate!$K$5:$T$36,VLOOKUP('ELC_Gen-sdj'!$B37,'ELC_Gen-sdj'!$AA$4:$AD$19,4,FALSE))</f>
        <v>0.292903199560645</v>
      </c>
      <c r="G37" s="19">
        <f>VLOOKUP(G$22,heatrate!$K$5:$T$36,VLOOKUP('ELC_Gen-sdj'!$B37,'ELC_Gen-sdj'!$AA$4:$AD$19,4,FALSE))</f>
        <v>0.314432129033971</v>
      </c>
      <c r="H37" s="19">
        <f>VLOOKUP(H$22,heatrate!$K$5:$T$36,VLOOKUP('ELC_Gen-sdj'!$B37,'ELC_Gen-sdj'!$AA$4:$AD$19,4,FALSE))</f>
        <v>0.339376966725407</v>
      </c>
      <c r="I37" s="19">
        <f>VLOOKUP(I$22,heatrate!$K$5:$T$36,VLOOKUP('ELC_Gen-sdj'!$B37,'ELC_Gen-sdj'!$AA$4:$AD$19,4,FALSE))</f>
        <v>0.368620749149996</v>
      </c>
      <c r="J37" s="19">
        <f>VLOOKUP(J$22,heatrate!$K$5:$T$36,VLOOKUP('ELC_Gen-sdj'!$B37,'ELC_Gen-sdj'!$AA$4:$AD$19,4,FALSE))</f>
        <v>0.368620749149996</v>
      </c>
      <c r="K37" s="19">
        <f>VLOOKUP(K$22,heatrate!$K$5:$T$36,VLOOKUP('ELC_Gen-sdj'!$B37,'ELC_Gen-sdj'!$AA$4:$AD$19,4,FALSE))</f>
        <v>0.368620749149996</v>
      </c>
      <c r="L37" s="19">
        <f>VLOOKUP(L$22,heatrate!$K$5:$T$36,VLOOKUP('ELC_Gen-sdj'!$B37,'ELC_Gen-sdj'!$AA$4:$AD$19,4,FALSE))</f>
        <v>0.368620749149996</v>
      </c>
      <c r="M37" s="19">
        <f>VLOOKUP(M$22,heatrate!$K$5:$T$36,VLOOKUP('ELC_Gen-sdj'!$B37,'ELC_Gen-sdj'!$AA$4:$AD$19,4,FALSE))</f>
        <v>0.368620749149996</v>
      </c>
      <c r="N37" s="19">
        <f>VLOOKUP(N$22,heatrate!$K$5:$T$36,VLOOKUP('ELC_Gen-sdj'!$B37,'ELC_Gen-sdj'!$AA$4:$AD$19,4,FALSE))</f>
        <v>0.368620749149996</v>
      </c>
      <c r="O37" s="19">
        <f>VLOOKUP(O$22,heatrate!$K$5:$T$36,VLOOKUP('ELC_Gen-sdj'!$B37,'ELC_Gen-sdj'!$AA$4:$AD$19,4,FALSE))</f>
        <v>0.368620749149996</v>
      </c>
      <c r="P37" s="19">
        <f>VLOOKUP(P$22,heatrate!$K$5:$T$36,VLOOKUP('ELC_Gen-sdj'!$B37,'ELC_Gen-sdj'!$AA$4:$AD$19,4,FALSE))</f>
        <v>0.368620749149996</v>
      </c>
      <c r="Q37" s="19">
        <f>VLOOKUP(Q$22,heatrate!$K$5:$T$36,VLOOKUP('ELC_Gen-sdj'!$B37,'ELC_Gen-sdj'!$AA$4:$AD$19,4,FALSE))</f>
        <v>0.368620749149996</v>
      </c>
      <c r="R37" s="19">
        <f>VLOOKUP(R$22,heatrate!$K$5:$T$36,VLOOKUP('ELC_Gen-sdj'!$B37,'ELC_Gen-sdj'!$AA$4:$AD$19,4,FALSE))</f>
        <v>0.368620749149996</v>
      </c>
      <c r="S37" s="19">
        <f>VLOOKUP(S$22,heatrate!$K$5:$T$36,VLOOKUP('ELC_Gen-sdj'!$B37,'ELC_Gen-sdj'!$AA$4:$AD$19,4,FALSE))</f>
        <v>0.368620749149996</v>
      </c>
      <c r="T37" s="19">
        <f>VLOOKUP(T$22,heatrate!$K$5:$T$36,VLOOKUP('ELC_Gen-sdj'!$B37,'ELC_Gen-sdj'!$AA$4:$AD$19,4,FALSE))</f>
        <v>0.368620749149996</v>
      </c>
      <c r="U37" s="19">
        <f>VLOOKUP(U$22,heatrate!$K$5:$T$36,VLOOKUP('ELC_Gen-sdj'!$B37,'ELC_Gen-sdj'!$AA$4:$AD$19,4,FALSE))</f>
        <v>0.368620749149996</v>
      </c>
      <c r="V37" s="19">
        <f>VLOOKUP(V$22,heatrate!$K$5:$T$36,VLOOKUP('ELC_Gen-sdj'!$B37,'ELC_Gen-sdj'!$AA$4:$AD$19,4,FALSE))</f>
        <v>0.368620749149996</v>
      </c>
      <c r="W37" s="19">
        <f>VLOOKUP(W$22,heatrate!$K$5:$T$36,VLOOKUP('ELC_Gen-sdj'!$B37,'ELC_Gen-sdj'!$AA$4:$AD$19,4,FALSE))</f>
        <v>0.368620749149996</v>
      </c>
      <c r="X37" s="19">
        <f>VLOOKUP(X$22,heatrate!$K$5:$T$36,VLOOKUP('ELC_Gen-sdj'!$B37,'ELC_Gen-sdj'!$AA$4:$AD$19,4,FALSE))</f>
        <v>0.368620749149996</v>
      </c>
      <c r="Y37" s="19">
        <f>VLOOKUP(Y$22,heatrate!$K$5:$T$36,VLOOKUP('ELC_Gen-sdj'!$B37,'ELC_Gen-sdj'!$AA$4:$AD$19,4,FALSE))</f>
        <v>0.368620749149996</v>
      </c>
      <c r="Z37" s="19">
        <f>VLOOKUP(Z$22,heatrate!$K$5:$T$36,VLOOKUP('ELC_Gen-sdj'!$B37,'ELC_Gen-sdj'!$AA$4:$AD$19,4,FALSE))</f>
        <v>0.368620749149996</v>
      </c>
      <c r="AA37" s="19">
        <f>VLOOKUP(AA$22,heatrate!$K$5:$T$36,VLOOKUP('ELC_Gen-sdj'!$B37,'ELC_Gen-sdj'!$AA$4:$AD$19,4,FALSE))</f>
        <v>0.368620749149996</v>
      </c>
      <c r="AB37" s="19">
        <f>VLOOKUP(AB$22,heatrate!$K$5:$T$36,VLOOKUP('ELC_Gen-sdj'!$B37,'ELC_Gen-sdj'!$AA$4:$AD$19,4,FALSE))</f>
        <v>0.368620749149996</v>
      </c>
      <c r="AC37" s="19">
        <f>VLOOKUP(AC$22,heatrate!$K$5:$T$36,VLOOKUP('ELC_Gen-sdj'!$B37,'ELC_Gen-sdj'!$AA$4:$AD$19,4,FALSE))</f>
        <v>0.368620749149996</v>
      </c>
      <c r="AD37" s="19">
        <f>VLOOKUP(AD$22,heatrate!$K$5:$T$36,VLOOKUP('ELC_Gen-sdj'!$B37,'ELC_Gen-sdj'!$AA$4:$AD$19,4,FALSE))</f>
        <v>0.368620749149996</v>
      </c>
      <c r="AE37" s="19">
        <f>VLOOKUP(AE$22,heatrate!$K$5:$T$36,VLOOKUP('ELC_Gen-sdj'!$B37,'ELC_Gen-sdj'!$AA$4:$AD$19,4,FALSE))</f>
        <v>0.368620749149996</v>
      </c>
      <c r="AF37" s="19">
        <f>VLOOKUP(AF$22,heatrate!$K$5:$T$36,VLOOKUP('ELC_Gen-sdj'!$B37,'ELC_Gen-sdj'!$AA$4:$AD$19,4,FALSE))</f>
        <v>0.368620749149996</v>
      </c>
      <c r="AG37" s="19">
        <f>VLOOKUP(AG$22,heatrate!$K$5:$T$36,VLOOKUP('ELC_Gen-sdj'!$B37,'ELC_Gen-sdj'!$AA$4:$AD$19,4,FALSE))</f>
        <v>0.368620749149996</v>
      </c>
      <c r="AH37" s="19">
        <f>VLOOKUP(AH$22,heatrate!$K$5:$T$36,VLOOKUP('ELC_Gen-sdj'!$B37,'ELC_Gen-sdj'!$AA$4:$AD$19,4,FALSE))</f>
        <v>0.368620749149996</v>
      </c>
    </row>
    <row r="38" spans="2:34">
      <c r="B38" t="str">
        <f t="shared" ref="B38:B42" si="3">B24</f>
        <v>EN_ZGasCCAdv</v>
      </c>
      <c r="C38" s="19">
        <f>VLOOKUP(C$22,heatrate!$K$5:$T$36,VLOOKUP('ELC_Gen-sdj'!$B38,'ELC_Gen-sdj'!$AA$4:$AD$19,4,FALSE))</f>
        <v>0.453464754137079</v>
      </c>
      <c r="D38" s="19">
        <f>VLOOKUP(D$22,heatrate!$K$5:$T$36,VLOOKUP('ELC_Gen-sdj'!$B38,'ELC_Gen-sdj'!$AA$4:$AD$19,4,FALSE))</f>
        <v>0.453464754137079</v>
      </c>
      <c r="E38" s="19">
        <f>VLOOKUP(E$22,heatrate!$K$5:$T$36,VLOOKUP('ELC_Gen-sdj'!$B38,'ELC_Gen-sdj'!$AA$4:$AD$19,4,FALSE))</f>
        <v>0.453464754137079</v>
      </c>
      <c r="F38" s="19">
        <f>VLOOKUP(F$22,heatrate!$K$5:$T$36,VLOOKUP('ELC_Gen-sdj'!$B38,'ELC_Gen-sdj'!$AA$4:$AD$19,4,FALSE))</f>
        <v>0.45394735597732</v>
      </c>
      <c r="G38" s="19">
        <f>VLOOKUP(G$22,heatrate!$K$5:$T$36,VLOOKUP('ELC_Gen-sdj'!$B38,'ELC_Gen-sdj'!$AA$4:$AD$19,4,FALSE))</f>
        <v>0.454430986134174</v>
      </c>
      <c r="H38" s="19">
        <f>VLOOKUP(H$22,heatrate!$K$5:$T$36,VLOOKUP('ELC_Gen-sdj'!$B38,'ELC_Gen-sdj'!$AA$4:$AD$19,4,FALSE))</f>
        <v>0.454915647897816</v>
      </c>
      <c r="I38" s="19">
        <f>VLOOKUP(I$22,heatrate!$K$5:$T$36,VLOOKUP('ELC_Gen-sdj'!$B38,'ELC_Gen-sdj'!$AA$4:$AD$19,4,FALSE))</f>
        <v>0.45540134457247</v>
      </c>
      <c r="J38" s="19">
        <f>VLOOKUP(J$22,heatrate!$K$5:$T$36,VLOOKUP('ELC_Gen-sdj'!$B38,'ELC_Gen-sdj'!$AA$4:$AD$19,4,FALSE))</f>
        <v>0.45540134457247</v>
      </c>
      <c r="K38" s="19">
        <f>VLOOKUP(K$22,heatrate!$K$5:$T$36,VLOOKUP('ELC_Gen-sdj'!$B38,'ELC_Gen-sdj'!$AA$4:$AD$19,4,FALSE))</f>
        <v>0.45540134457247</v>
      </c>
      <c r="L38" s="19">
        <f>VLOOKUP(L$22,heatrate!$K$5:$T$36,VLOOKUP('ELC_Gen-sdj'!$B38,'ELC_Gen-sdj'!$AA$4:$AD$19,4,FALSE))</f>
        <v>0.45540134457247</v>
      </c>
      <c r="M38" s="19">
        <f>VLOOKUP(M$22,heatrate!$K$5:$T$36,VLOOKUP('ELC_Gen-sdj'!$B38,'ELC_Gen-sdj'!$AA$4:$AD$19,4,FALSE))</f>
        <v>0.45540134457247</v>
      </c>
      <c r="N38" s="19">
        <f>VLOOKUP(N$22,heatrate!$K$5:$T$36,VLOOKUP('ELC_Gen-sdj'!$B38,'ELC_Gen-sdj'!$AA$4:$AD$19,4,FALSE))</f>
        <v>0.45540134457247</v>
      </c>
      <c r="O38" s="19">
        <f>VLOOKUP(O$22,heatrate!$K$5:$T$36,VLOOKUP('ELC_Gen-sdj'!$B38,'ELC_Gen-sdj'!$AA$4:$AD$19,4,FALSE))</f>
        <v>0.45540134457247</v>
      </c>
      <c r="P38" s="19">
        <f>VLOOKUP(P$22,heatrate!$K$5:$T$36,VLOOKUP('ELC_Gen-sdj'!$B38,'ELC_Gen-sdj'!$AA$4:$AD$19,4,FALSE))</f>
        <v>0.45540134457247</v>
      </c>
      <c r="Q38" s="19">
        <f>VLOOKUP(Q$22,heatrate!$K$5:$T$36,VLOOKUP('ELC_Gen-sdj'!$B38,'ELC_Gen-sdj'!$AA$4:$AD$19,4,FALSE))</f>
        <v>0.45540134457247</v>
      </c>
      <c r="R38" s="19">
        <f>VLOOKUP(R$22,heatrate!$K$5:$T$36,VLOOKUP('ELC_Gen-sdj'!$B38,'ELC_Gen-sdj'!$AA$4:$AD$19,4,FALSE))</f>
        <v>0.45540134457247</v>
      </c>
      <c r="S38" s="19">
        <f>VLOOKUP(S$22,heatrate!$K$5:$T$36,VLOOKUP('ELC_Gen-sdj'!$B38,'ELC_Gen-sdj'!$AA$4:$AD$19,4,FALSE))</f>
        <v>0.45540134457247</v>
      </c>
      <c r="T38" s="19">
        <f>VLOOKUP(T$22,heatrate!$K$5:$T$36,VLOOKUP('ELC_Gen-sdj'!$B38,'ELC_Gen-sdj'!$AA$4:$AD$19,4,FALSE))</f>
        <v>0.45540134457247</v>
      </c>
      <c r="U38" s="19">
        <f>VLOOKUP(U$22,heatrate!$K$5:$T$36,VLOOKUP('ELC_Gen-sdj'!$B38,'ELC_Gen-sdj'!$AA$4:$AD$19,4,FALSE))</f>
        <v>0.45540134457247</v>
      </c>
      <c r="V38" s="19">
        <f>VLOOKUP(V$22,heatrate!$K$5:$T$36,VLOOKUP('ELC_Gen-sdj'!$B38,'ELC_Gen-sdj'!$AA$4:$AD$19,4,FALSE))</f>
        <v>0.45540134457247</v>
      </c>
      <c r="W38" s="19">
        <f>VLOOKUP(W$22,heatrate!$K$5:$T$36,VLOOKUP('ELC_Gen-sdj'!$B38,'ELC_Gen-sdj'!$AA$4:$AD$19,4,FALSE))</f>
        <v>0.45540134457247</v>
      </c>
      <c r="X38" s="19">
        <f>VLOOKUP(X$22,heatrate!$K$5:$T$36,VLOOKUP('ELC_Gen-sdj'!$B38,'ELC_Gen-sdj'!$AA$4:$AD$19,4,FALSE))</f>
        <v>0.45540134457247</v>
      </c>
      <c r="Y38" s="19">
        <f>VLOOKUP(Y$22,heatrate!$K$5:$T$36,VLOOKUP('ELC_Gen-sdj'!$B38,'ELC_Gen-sdj'!$AA$4:$AD$19,4,FALSE))</f>
        <v>0.45540134457247</v>
      </c>
      <c r="Z38" s="19">
        <f>VLOOKUP(Z$22,heatrate!$K$5:$T$36,VLOOKUP('ELC_Gen-sdj'!$B38,'ELC_Gen-sdj'!$AA$4:$AD$19,4,FALSE))</f>
        <v>0.45540134457247</v>
      </c>
      <c r="AA38" s="19">
        <f>VLOOKUP(AA$22,heatrate!$K$5:$T$36,VLOOKUP('ELC_Gen-sdj'!$B38,'ELC_Gen-sdj'!$AA$4:$AD$19,4,FALSE))</f>
        <v>0.45540134457247</v>
      </c>
      <c r="AB38" s="19">
        <f>VLOOKUP(AB$22,heatrate!$K$5:$T$36,VLOOKUP('ELC_Gen-sdj'!$B38,'ELC_Gen-sdj'!$AA$4:$AD$19,4,FALSE))</f>
        <v>0.45540134457247</v>
      </c>
      <c r="AC38" s="19">
        <f>VLOOKUP(AC$22,heatrate!$K$5:$T$36,VLOOKUP('ELC_Gen-sdj'!$B38,'ELC_Gen-sdj'!$AA$4:$AD$19,4,FALSE))</f>
        <v>0.45540134457247</v>
      </c>
      <c r="AD38" s="19">
        <f>VLOOKUP(AD$22,heatrate!$K$5:$T$36,VLOOKUP('ELC_Gen-sdj'!$B38,'ELC_Gen-sdj'!$AA$4:$AD$19,4,FALSE))</f>
        <v>0.45540134457247</v>
      </c>
      <c r="AE38" s="19">
        <f>VLOOKUP(AE$22,heatrate!$K$5:$T$36,VLOOKUP('ELC_Gen-sdj'!$B38,'ELC_Gen-sdj'!$AA$4:$AD$19,4,FALSE))</f>
        <v>0.45540134457247</v>
      </c>
      <c r="AF38" s="19">
        <f>VLOOKUP(AF$22,heatrate!$K$5:$T$36,VLOOKUP('ELC_Gen-sdj'!$B38,'ELC_Gen-sdj'!$AA$4:$AD$19,4,FALSE))</f>
        <v>0.45540134457247</v>
      </c>
      <c r="AG38" s="19">
        <f>VLOOKUP(AG$22,heatrate!$K$5:$T$36,VLOOKUP('ELC_Gen-sdj'!$B38,'ELC_Gen-sdj'!$AA$4:$AD$19,4,FALSE))</f>
        <v>0.45540134457247</v>
      </c>
      <c r="AH38" s="19">
        <f>VLOOKUP(AH$22,heatrate!$K$5:$T$36,VLOOKUP('ELC_Gen-sdj'!$B38,'ELC_Gen-sdj'!$AA$4:$AD$19,4,FALSE))</f>
        <v>0.45540134457247</v>
      </c>
    </row>
    <row r="39" spans="2:34">
      <c r="B39" t="str">
        <f t="shared" si="3"/>
        <v>EN_GasCCAdv</v>
      </c>
      <c r="C39" s="19">
        <f>VLOOKUP(C$22,heatrate!$K$5:$T$36,VLOOKUP('ELC_Gen-sdj'!$B39,'ELC_Gen-sdj'!$AA$4:$AD$19,4,FALSE))</f>
        <v>0.541638456330399</v>
      </c>
      <c r="D39" s="19">
        <f>VLOOKUP(D$22,heatrate!$K$5:$T$36,VLOOKUP('ELC_Gen-sdj'!$B39,'ELC_Gen-sdj'!$AA$4:$AD$19,4,FALSE))</f>
        <v>0.541638456330399</v>
      </c>
      <c r="E39" s="19">
        <f>VLOOKUP(E$22,heatrate!$K$5:$T$36,VLOOKUP('ELC_Gen-sdj'!$B39,'ELC_Gen-sdj'!$AA$4:$AD$19,4,FALSE))</f>
        <v>0.541638456330399</v>
      </c>
      <c r="F39" s="19">
        <f>VLOOKUP(F$22,heatrate!$K$5:$T$36,VLOOKUP('ELC_Gen-sdj'!$B39,'ELC_Gen-sdj'!$AA$4:$AD$19,4,FALSE))</f>
        <v>0.543796378467174</v>
      </c>
      <c r="G39" s="19">
        <f>VLOOKUP(G$22,heatrate!$K$5:$T$36,VLOOKUP('ELC_Gen-sdj'!$B39,'ELC_Gen-sdj'!$AA$4:$AD$19,4,FALSE))</f>
        <v>0.545971563981043</v>
      </c>
      <c r="H39" s="19">
        <f>VLOOKUP(H$22,heatrate!$K$5:$T$36,VLOOKUP('ELC_Gen-sdj'!$B39,'ELC_Gen-sdj'!$AA$4:$AD$19,4,FALSE))</f>
        <v>0.548164220864501</v>
      </c>
      <c r="I39" s="19">
        <f>VLOOKUP(I$22,heatrate!$K$5:$T$36,VLOOKUP('ELC_Gen-sdj'!$B39,'ELC_Gen-sdj'!$AA$4:$AD$19,4,FALSE))</f>
        <v>0.550374560464761</v>
      </c>
      <c r="J39" s="19">
        <f>VLOOKUP(J$22,heatrate!$K$5:$T$36,VLOOKUP('ELC_Gen-sdj'!$B39,'ELC_Gen-sdj'!$AA$4:$AD$19,4,FALSE))</f>
        <v>0.550374560464761</v>
      </c>
      <c r="K39" s="19">
        <f>VLOOKUP(K$22,heatrate!$K$5:$T$36,VLOOKUP('ELC_Gen-sdj'!$B39,'ELC_Gen-sdj'!$AA$4:$AD$19,4,FALSE))</f>
        <v>0.550374560464761</v>
      </c>
      <c r="L39" s="19">
        <f>VLOOKUP(L$22,heatrate!$K$5:$T$36,VLOOKUP('ELC_Gen-sdj'!$B39,'ELC_Gen-sdj'!$AA$4:$AD$19,4,FALSE))</f>
        <v>0.550374560464761</v>
      </c>
      <c r="M39" s="19">
        <f>VLOOKUP(M$22,heatrate!$K$5:$T$36,VLOOKUP('ELC_Gen-sdj'!$B39,'ELC_Gen-sdj'!$AA$4:$AD$19,4,FALSE))</f>
        <v>0.550374560464761</v>
      </c>
      <c r="N39" s="19">
        <f>VLOOKUP(N$22,heatrate!$K$5:$T$36,VLOOKUP('ELC_Gen-sdj'!$B39,'ELC_Gen-sdj'!$AA$4:$AD$19,4,FALSE))</f>
        <v>0.550374560464761</v>
      </c>
      <c r="O39" s="19">
        <f>VLOOKUP(O$22,heatrate!$K$5:$T$36,VLOOKUP('ELC_Gen-sdj'!$B39,'ELC_Gen-sdj'!$AA$4:$AD$19,4,FALSE))</f>
        <v>0.550374560464761</v>
      </c>
      <c r="P39" s="19">
        <f>VLOOKUP(P$22,heatrate!$K$5:$T$36,VLOOKUP('ELC_Gen-sdj'!$B39,'ELC_Gen-sdj'!$AA$4:$AD$19,4,FALSE))</f>
        <v>0.550374560464761</v>
      </c>
      <c r="Q39" s="19">
        <f>VLOOKUP(Q$22,heatrate!$K$5:$T$36,VLOOKUP('ELC_Gen-sdj'!$B39,'ELC_Gen-sdj'!$AA$4:$AD$19,4,FALSE))</f>
        <v>0.550374560464761</v>
      </c>
      <c r="R39" s="19">
        <f>VLOOKUP(R$22,heatrate!$K$5:$T$36,VLOOKUP('ELC_Gen-sdj'!$B39,'ELC_Gen-sdj'!$AA$4:$AD$19,4,FALSE))</f>
        <v>0.550374560464761</v>
      </c>
      <c r="S39" s="19">
        <f>VLOOKUP(S$22,heatrate!$K$5:$T$36,VLOOKUP('ELC_Gen-sdj'!$B39,'ELC_Gen-sdj'!$AA$4:$AD$19,4,FALSE))</f>
        <v>0.550374560464761</v>
      </c>
      <c r="T39" s="19">
        <f>VLOOKUP(T$22,heatrate!$K$5:$T$36,VLOOKUP('ELC_Gen-sdj'!$B39,'ELC_Gen-sdj'!$AA$4:$AD$19,4,FALSE))</f>
        <v>0.550374560464761</v>
      </c>
      <c r="U39" s="19">
        <f>VLOOKUP(U$22,heatrate!$K$5:$T$36,VLOOKUP('ELC_Gen-sdj'!$B39,'ELC_Gen-sdj'!$AA$4:$AD$19,4,FALSE))</f>
        <v>0.550374560464761</v>
      </c>
      <c r="V39" s="19">
        <f>VLOOKUP(V$22,heatrate!$K$5:$T$36,VLOOKUP('ELC_Gen-sdj'!$B39,'ELC_Gen-sdj'!$AA$4:$AD$19,4,FALSE))</f>
        <v>0.550374560464761</v>
      </c>
      <c r="W39" s="19">
        <f>VLOOKUP(W$22,heatrate!$K$5:$T$36,VLOOKUP('ELC_Gen-sdj'!$B39,'ELC_Gen-sdj'!$AA$4:$AD$19,4,FALSE))</f>
        <v>0.550374560464761</v>
      </c>
      <c r="X39" s="19">
        <f>VLOOKUP(X$22,heatrate!$K$5:$T$36,VLOOKUP('ELC_Gen-sdj'!$B39,'ELC_Gen-sdj'!$AA$4:$AD$19,4,FALSE))</f>
        <v>0.550374560464761</v>
      </c>
      <c r="Y39" s="19">
        <f>VLOOKUP(Y$22,heatrate!$K$5:$T$36,VLOOKUP('ELC_Gen-sdj'!$B39,'ELC_Gen-sdj'!$AA$4:$AD$19,4,FALSE))</f>
        <v>0.550374560464761</v>
      </c>
      <c r="Z39" s="19">
        <f>VLOOKUP(Z$22,heatrate!$K$5:$T$36,VLOOKUP('ELC_Gen-sdj'!$B39,'ELC_Gen-sdj'!$AA$4:$AD$19,4,FALSE))</f>
        <v>0.550374560464761</v>
      </c>
      <c r="AA39" s="19">
        <f>VLOOKUP(AA$22,heatrate!$K$5:$T$36,VLOOKUP('ELC_Gen-sdj'!$B39,'ELC_Gen-sdj'!$AA$4:$AD$19,4,FALSE))</f>
        <v>0.550374560464761</v>
      </c>
      <c r="AB39" s="19">
        <f>VLOOKUP(AB$22,heatrate!$K$5:$T$36,VLOOKUP('ELC_Gen-sdj'!$B39,'ELC_Gen-sdj'!$AA$4:$AD$19,4,FALSE))</f>
        <v>0.550374560464761</v>
      </c>
      <c r="AC39" s="19">
        <f>VLOOKUP(AC$22,heatrate!$K$5:$T$36,VLOOKUP('ELC_Gen-sdj'!$B39,'ELC_Gen-sdj'!$AA$4:$AD$19,4,FALSE))</f>
        <v>0.550374560464761</v>
      </c>
      <c r="AD39" s="19">
        <f>VLOOKUP(AD$22,heatrate!$K$5:$T$36,VLOOKUP('ELC_Gen-sdj'!$B39,'ELC_Gen-sdj'!$AA$4:$AD$19,4,FALSE))</f>
        <v>0.550374560464761</v>
      </c>
      <c r="AE39" s="19">
        <f>VLOOKUP(AE$22,heatrate!$K$5:$T$36,VLOOKUP('ELC_Gen-sdj'!$B39,'ELC_Gen-sdj'!$AA$4:$AD$19,4,FALSE))</f>
        <v>0.550374560464761</v>
      </c>
      <c r="AF39" s="19">
        <f>VLOOKUP(AF$22,heatrate!$K$5:$T$36,VLOOKUP('ELC_Gen-sdj'!$B39,'ELC_Gen-sdj'!$AA$4:$AD$19,4,FALSE))</f>
        <v>0.550374560464761</v>
      </c>
      <c r="AG39" s="19">
        <f>VLOOKUP(AG$22,heatrate!$K$5:$T$36,VLOOKUP('ELC_Gen-sdj'!$B39,'ELC_Gen-sdj'!$AA$4:$AD$19,4,FALSE))</f>
        <v>0.550374560464761</v>
      </c>
      <c r="AH39" s="19">
        <f>VLOOKUP(AH$22,heatrate!$K$5:$T$36,VLOOKUP('ELC_Gen-sdj'!$B39,'ELC_Gen-sdj'!$AA$4:$AD$19,4,FALSE))</f>
        <v>0.550374560464761</v>
      </c>
    </row>
    <row r="40" spans="2:34">
      <c r="B40" t="str">
        <f t="shared" si="3"/>
        <v>EN_GasCC</v>
      </c>
      <c r="C40" s="19">
        <f>VLOOKUP(C$22,heatrate!$K$5:$T$36,VLOOKUP('ELC_Gen-sdj'!$B40,'ELC_Gen-sdj'!$AA$4:$AD$19,4,FALSE))</f>
        <v>0.517018526497199</v>
      </c>
      <c r="D40" s="19">
        <f>VLOOKUP(D$22,heatrate!$K$5:$T$36,VLOOKUP('ELC_Gen-sdj'!$B40,'ELC_Gen-sdj'!$AA$4:$AD$19,4,FALSE))</f>
        <v>0.517018526497199</v>
      </c>
      <c r="E40" s="19">
        <f>VLOOKUP(E$22,heatrate!$K$5:$T$36,VLOOKUP('ELC_Gen-sdj'!$B40,'ELC_Gen-sdj'!$AA$4:$AD$19,4,FALSE))</f>
        <v>0.517018526497199</v>
      </c>
      <c r="F40" s="19">
        <f>VLOOKUP(F$22,heatrate!$K$5:$T$36,VLOOKUP('ELC_Gen-sdj'!$B40,'ELC_Gen-sdj'!$AA$4:$AD$19,4,FALSE))</f>
        <v>0.521961342238091</v>
      </c>
      <c r="G40" s="19">
        <f>VLOOKUP(G$22,heatrate!$K$5:$T$36,VLOOKUP('ELC_Gen-sdj'!$B40,'ELC_Gen-sdj'!$AA$4:$AD$19,4,FALSE))</f>
        <v>0.526999579132281</v>
      </c>
      <c r="H40" s="19">
        <f>VLOOKUP(H$22,heatrate!$K$5:$T$36,VLOOKUP('ELC_Gen-sdj'!$B40,'ELC_Gen-sdj'!$AA$4:$AD$19,4,FALSE))</f>
        <v>0.532136027271971</v>
      </c>
      <c r="I40" s="19">
        <f>VLOOKUP(I$22,heatrate!$K$5:$T$36,VLOOKUP('ELC_Gen-sdj'!$B40,'ELC_Gen-sdj'!$AA$4:$AD$19,4,FALSE))</f>
        <v>0.537373586595514</v>
      </c>
      <c r="J40" s="19">
        <f>VLOOKUP(J$22,heatrate!$K$5:$T$36,VLOOKUP('ELC_Gen-sdj'!$B40,'ELC_Gen-sdj'!$AA$4:$AD$19,4,FALSE))</f>
        <v>0.537373586595514</v>
      </c>
      <c r="K40" s="19">
        <f>VLOOKUP(K$22,heatrate!$K$5:$T$36,VLOOKUP('ELC_Gen-sdj'!$B40,'ELC_Gen-sdj'!$AA$4:$AD$19,4,FALSE))</f>
        <v>0.537373586595514</v>
      </c>
      <c r="L40" s="19">
        <f>VLOOKUP(L$22,heatrate!$K$5:$T$36,VLOOKUP('ELC_Gen-sdj'!$B40,'ELC_Gen-sdj'!$AA$4:$AD$19,4,FALSE))</f>
        <v>0.537373586595514</v>
      </c>
      <c r="M40" s="19">
        <f>VLOOKUP(M$22,heatrate!$K$5:$T$36,VLOOKUP('ELC_Gen-sdj'!$B40,'ELC_Gen-sdj'!$AA$4:$AD$19,4,FALSE))</f>
        <v>0.537373586595514</v>
      </c>
      <c r="N40" s="19">
        <f>VLOOKUP(N$22,heatrate!$K$5:$T$36,VLOOKUP('ELC_Gen-sdj'!$B40,'ELC_Gen-sdj'!$AA$4:$AD$19,4,FALSE))</f>
        <v>0.537373586595514</v>
      </c>
      <c r="O40" s="19">
        <f>VLOOKUP(O$22,heatrate!$K$5:$T$36,VLOOKUP('ELC_Gen-sdj'!$B40,'ELC_Gen-sdj'!$AA$4:$AD$19,4,FALSE))</f>
        <v>0.537373586595514</v>
      </c>
      <c r="P40" s="19">
        <f>VLOOKUP(P$22,heatrate!$K$5:$T$36,VLOOKUP('ELC_Gen-sdj'!$B40,'ELC_Gen-sdj'!$AA$4:$AD$19,4,FALSE))</f>
        <v>0.537373586595514</v>
      </c>
      <c r="Q40" s="19">
        <f>VLOOKUP(Q$22,heatrate!$K$5:$T$36,VLOOKUP('ELC_Gen-sdj'!$B40,'ELC_Gen-sdj'!$AA$4:$AD$19,4,FALSE))</f>
        <v>0.537373586595514</v>
      </c>
      <c r="R40" s="19">
        <f>VLOOKUP(R$22,heatrate!$K$5:$T$36,VLOOKUP('ELC_Gen-sdj'!$B40,'ELC_Gen-sdj'!$AA$4:$AD$19,4,FALSE))</f>
        <v>0.537373586595514</v>
      </c>
      <c r="S40" s="19">
        <f>VLOOKUP(S$22,heatrate!$K$5:$T$36,VLOOKUP('ELC_Gen-sdj'!$B40,'ELC_Gen-sdj'!$AA$4:$AD$19,4,FALSE))</f>
        <v>0.537373586595514</v>
      </c>
      <c r="T40" s="19">
        <f>VLOOKUP(T$22,heatrate!$K$5:$T$36,VLOOKUP('ELC_Gen-sdj'!$B40,'ELC_Gen-sdj'!$AA$4:$AD$19,4,FALSE))</f>
        <v>0.537373586595514</v>
      </c>
      <c r="U40" s="19">
        <f>VLOOKUP(U$22,heatrate!$K$5:$T$36,VLOOKUP('ELC_Gen-sdj'!$B40,'ELC_Gen-sdj'!$AA$4:$AD$19,4,FALSE))</f>
        <v>0.537373586595514</v>
      </c>
      <c r="V40" s="19">
        <f>VLOOKUP(V$22,heatrate!$K$5:$T$36,VLOOKUP('ELC_Gen-sdj'!$B40,'ELC_Gen-sdj'!$AA$4:$AD$19,4,FALSE))</f>
        <v>0.537373586595514</v>
      </c>
      <c r="W40" s="19">
        <f>VLOOKUP(W$22,heatrate!$K$5:$T$36,VLOOKUP('ELC_Gen-sdj'!$B40,'ELC_Gen-sdj'!$AA$4:$AD$19,4,FALSE))</f>
        <v>0.537373586595514</v>
      </c>
      <c r="X40" s="19">
        <f>VLOOKUP(X$22,heatrate!$K$5:$T$36,VLOOKUP('ELC_Gen-sdj'!$B40,'ELC_Gen-sdj'!$AA$4:$AD$19,4,FALSE))</f>
        <v>0.537373586595514</v>
      </c>
      <c r="Y40" s="19">
        <f>VLOOKUP(Y$22,heatrate!$K$5:$T$36,VLOOKUP('ELC_Gen-sdj'!$B40,'ELC_Gen-sdj'!$AA$4:$AD$19,4,FALSE))</f>
        <v>0.537373586595514</v>
      </c>
      <c r="Z40" s="19">
        <f>VLOOKUP(Z$22,heatrate!$K$5:$T$36,VLOOKUP('ELC_Gen-sdj'!$B40,'ELC_Gen-sdj'!$AA$4:$AD$19,4,FALSE))</f>
        <v>0.537373586595514</v>
      </c>
      <c r="AA40" s="19">
        <f>VLOOKUP(AA$22,heatrate!$K$5:$T$36,VLOOKUP('ELC_Gen-sdj'!$B40,'ELC_Gen-sdj'!$AA$4:$AD$19,4,FALSE))</f>
        <v>0.537373586595514</v>
      </c>
      <c r="AB40" s="19">
        <f>VLOOKUP(AB$22,heatrate!$K$5:$T$36,VLOOKUP('ELC_Gen-sdj'!$B40,'ELC_Gen-sdj'!$AA$4:$AD$19,4,FALSE))</f>
        <v>0.537373586595514</v>
      </c>
      <c r="AC40" s="19">
        <f>VLOOKUP(AC$22,heatrate!$K$5:$T$36,VLOOKUP('ELC_Gen-sdj'!$B40,'ELC_Gen-sdj'!$AA$4:$AD$19,4,FALSE))</f>
        <v>0.537373586595514</v>
      </c>
      <c r="AD40" s="19">
        <f>VLOOKUP(AD$22,heatrate!$K$5:$T$36,VLOOKUP('ELC_Gen-sdj'!$B40,'ELC_Gen-sdj'!$AA$4:$AD$19,4,FALSE))</f>
        <v>0.537373586595514</v>
      </c>
      <c r="AE40" s="19">
        <f>VLOOKUP(AE$22,heatrate!$K$5:$T$36,VLOOKUP('ELC_Gen-sdj'!$B40,'ELC_Gen-sdj'!$AA$4:$AD$19,4,FALSE))</f>
        <v>0.537373586595514</v>
      </c>
      <c r="AF40" s="19">
        <f>VLOOKUP(AF$22,heatrate!$K$5:$T$36,VLOOKUP('ELC_Gen-sdj'!$B40,'ELC_Gen-sdj'!$AA$4:$AD$19,4,FALSE))</f>
        <v>0.537373586595514</v>
      </c>
      <c r="AG40" s="19">
        <f>VLOOKUP(AG$22,heatrate!$K$5:$T$36,VLOOKUP('ELC_Gen-sdj'!$B40,'ELC_Gen-sdj'!$AA$4:$AD$19,4,FALSE))</f>
        <v>0.537373586595514</v>
      </c>
      <c r="AH40" s="19">
        <f>VLOOKUP(AH$22,heatrate!$K$5:$T$36,VLOOKUP('ELC_Gen-sdj'!$B40,'ELC_Gen-sdj'!$AA$4:$AD$19,4,FALSE))</f>
        <v>0.537373586595514</v>
      </c>
    </row>
    <row r="41" spans="2:34">
      <c r="B41" t="str">
        <f t="shared" si="3"/>
        <v>EN_GasCTAdv</v>
      </c>
      <c r="C41" s="19">
        <f>VLOOKUP(C$22,heatrate!$K$5:$T$36,VLOOKUP('ELC_Gen-sdj'!$B41,'ELC_Gen-sdj'!$AA$4:$AD$19,4,FALSE))</f>
        <v>0.348196150498114</v>
      </c>
      <c r="D41" s="19">
        <f>VLOOKUP(D$22,heatrate!$K$5:$T$36,VLOOKUP('ELC_Gen-sdj'!$B41,'ELC_Gen-sdj'!$AA$4:$AD$19,4,FALSE))</f>
        <v>0.348196150498114</v>
      </c>
      <c r="E41" s="19">
        <f>VLOOKUP(E$22,heatrate!$K$5:$T$36,VLOOKUP('ELC_Gen-sdj'!$B41,'ELC_Gen-sdj'!$AA$4:$AD$19,4,FALSE))</f>
        <v>0.357311232971887</v>
      </c>
      <c r="F41" s="19">
        <f>VLOOKUP(F$22,heatrate!$K$5:$T$36,VLOOKUP('ELC_Gen-sdj'!$B41,'ELC_Gen-sdj'!$AA$4:$AD$19,4,FALSE))</f>
        <v>0.366916373643174</v>
      </c>
      <c r="G41" s="19">
        <f>VLOOKUP(G$22,heatrate!$K$5:$T$36,VLOOKUP('ELC_Gen-sdj'!$B41,'ELC_Gen-sdj'!$AA$4:$AD$19,4,FALSE))</f>
        <v>0.377052185069781</v>
      </c>
      <c r="H41" s="19">
        <f>VLOOKUP(H$22,heatrate!$K$5:$T$36,VLOOKUP('ELC_Gen-sdj'!$B41,'ELC_Gen-sdj'!$AA$4:$AD$19,4,FALSE))</f>
        <v>0.3877638948729</v>
      </c>
      <c r="I41" s="19">
        <f>VLOOKUP(I$22,heatrate!$K$5:$T$36,VLOOKUP('ELC_Gen-sdj'!$B41,'ELC_Gen-sdj'!$AA$4:$AD$19,4,FALSE))</f>
        <v>0.399102020453979</v>
      </c>
      <c r="J41" s="19">
        <f>VLOOKUP(J$22,heatrate!$K$5:$T$36,VLOOKUP('ELC_Gen-sdj'!$B41,'ELC_Gen-sdj'!$AA$4:$AD$19,4,FALSE))</f>
        <v>0.399102020453979</v>
      </c>
      <c r="K41" s="19">
        <f>VLOOKUP(K$22,heatrate!$K$5:$T$36,VLOOKUP('ELC_Gen-sdj'!$B41,'ELC_Gen-sdj'!$AA$4:$AD$19,4,FALSE))</f>
        <v>0.399102020453979</v>
      </c>
      <c r="L41" s="19">
        <f>VLOOKUP(L$22,heatrate!$K$5:$T$36,VLOOKUP('ELC_Gen-sdj'!$B41,'ELC_Gen-sdj'!$AA$4:$AD$19,4,FALSE))</f>
        <v>0.399102020453979</v>
      </c>
      <c r="M41" s="19">
        <f>VLOOKUP(M$22,heatrate!$K$5:$T$36,VLOOKUP('ELC_Gen-sdj'!$B41,'ELC_Gen-sdj'!$AA$4:$AD$19,4,FALSE))</f>
        <v>0.399102020453979</v>
      </c>
      <c r="N41" s="19">
        <f>VLOOKUP(N$22,heatrate!$K$5:$T$36,VLOOKUP('ELC_Gen-sdj'!$B41,'ELC_Gen-sdj'!$AA$4:$AD$19,4,FALSE))</f>
        <v>0.399102020453979</v>
      </c>
      <c r="O41" s="19">
        <f>VLOOKUP(O$22,heatrate!$K$5:$T$36,VLOOKUP('ELC_Gen-sdj'!$B41,'ELC_Gen-sdj'!$AA$4:$AD$19,4,FALSE))</f>
        <v>0.399102020453979</v>
      </c>
      <c r="P41" s="19">
        <f>VLOOKUP(P$22,heatrate!$K$5:$T$36,VLOOKUP('ELC_Gen-sdj'!$B41,'ELC_Gen-sdj'!$AA$4:$AD$19,4,FALSE))</f>
        <v>0.399102020453979</v>
      </c>
      <c r="Q41" s="19">
        <f>VLOOKUP(Q$22,heatrate!$K$5:$T$36,VLOOKUP('ELC_Gen-sdj'!$B41,'ELC_Gen-sdj'!$AA$4:$AD$19,4,FALSE))</f>
        <v>0.399102020453979</v>
      </c>
      <c r="R41" s="19">
        <f>VLOOKUP(R$22,heatrate!$K$5:$T$36,VLOOKUP('ELC_Gen-sdj'!$B41,'ELC_Gen-sdj'!$AA$4:$AD$19,4,FALSE))</f>
        <v>0.399102020453979</v>
      </c>
      <c r="S41" s="19">
        <f>VLOOKUP(S$22,heatrate!$K$5:$T$36,VLOOKUP('ELC_Gen-sdj'!$B41,'ELC_Gen-sdj'!$AA$4:$AD$19,4,FALSE))</f>
        <v>0.399102020453979</v>
      </c>
      <c r="T41" s="19">
        <f>VLOOKUP(T$22,heatrate!$K$5:$T$36,VLOOKUP('ELC_Gen-sdj'!$B41,'ELC_Gen-sdj'!$AA$4:$AD$19,4,FALSE))</f>
        <v>0.399102020453979</v>
      </c>
      <c r="U41" s="19">
        <f>VLOOKUP(U$22,heatrate!$K$5:$T$36,VLOOKUP('ELC_Gen-sdj'!$B41,'ELC_Gen-sdj'!$AA$4:$AD$19,4,FALSE))</f>
        <v>0.399102020453979</v>
      </c>
      <c r="V41" s="19">
        <f>VLOOKUP(V$22,heatrate!$K$5:$T$36,VLOOKUP('ELC_Gen-sdj'!$B41,'ELC_Gen-sdj'!$AA$4:$AD$19,4,FALSE))</f>
        <v>0.399102020453979</v>
      </c>
      <c r="W41" s="19">
        <f>VLOOKUP(W$22,heatrate!$K$5:$T$36,VLOOKUP('ELC_Gen-sdj'!$B41,'ELC_Gen-sdj'!$AA$4:$AD$19,4,FALSE))</f>
        <v>0.399102020453979</v>
      </c>
      <c r="X41" s="19">
        <f>VLOOKUP(X$22,heatrate!$K$5:$T$36,VLOOKUP('ELC_Gen-sdj'!$B41,'ELC_Gen-sdj'!$AA$4:$AD$19,4,FALSE))</f>
        <v>0.399102020453979</v>
      </c>
      <c r="Y41" s="19">
        <f>VLOOKUP(Y$22,heatrate!$K$5:$T$36,VLOOKUP('ELC_Gen-sdj'!$B41,'ELC_Gen-sdj'!$AA$4:$AD$19,4,FALSE))</f>
        <v>0.399102020453979</v>
      </c>
      <c r="Z41" s="19">
        <f>VLOOKUP(Z$22,heatrate!$K$5:$T$36,VLOOKUP('ELC_Gen-sdj'!$B41,'ELC_Gen-sdj'!$AA$4:$AD$19,4,FALSE))</f>
        <v>0.399102020453979</v>
      </c>
      <c r="AA41" s="19">
        <f>VLOOKUP(AA$22,heatrate!$K$5:$T$36,VLOOKUP('ELC_Gen-sdj'!$B41,'ELC_Gen-sdj'!$AA$4:$AD$19,4,FALSE))</f>
        <v>0.399102020453979</v>
      </c>
      <c r="AB41" s="19">
        <f>VLOOKUP(AB$22,heatrate!$K$5:$T$36,VLOOKUP('ELC_Gen-sdj'!$B41,'ELC_Gen-sdj'!$AA$4:$AD$19,4,FALSE))</f>
        <v>0.399102020453979</v>
      </c>
      <c r="AC41" s="19">
        <f>VLOOKUP(AC$22,heatrate!$K$5:$T$36,VLOOKUP('ELC_Gen-sdj'!$B41,'ELC_Gen-sdj'!$AA$4:$AD$19,4,FALSE))</f>
        <v>0.399102020453979</v>
      </c>
      <c r="AD41" s="19">
        <f>VLOOKUP(AD$22,heatrate!$K$5:$T$36,VLOOKUP('ELC_Gen-sdj'!$B41,'ELC_Gen-sdj'!$AA$4:$AD$19,4,FALSE))</f>
        <v>0.399102020453979</v>
      </c>
      <c r="AE41" s="19">
        <f>VLOOKUP(AE$22,heatrate!$K$5:$T$36,VLOOKUP('ELC_Gen-sdj'!$B41,'ELC_Gen-sdj'!$AA$4:$AD$19,4,FALSE))</f>
        <v>0.399102020453979</v>
      </c>
      <c r="AF41" s="19">
        <f>VLOOKUP(AF$22,heatrate!$K$5:$T$36,VLOOKUP('ELC_Gen-sdj'!$B41,'ELC_Gen-sdj'!$AA$4:$AD$19,4,FALSE))</f>
        <v>0.399102020453979</v>
      </c>
      <c r="AG41" s="19">
        <f>VLOOKUP(AG$22,heatrate!$K$5:$T$36,VLOOKUP('ELC_Gen-sdj'!$B41,'ELC_Gen-sdj'!$AA$4:$AD$19,4,FALSE))</f>
        <v>0.399102020453979</v>
      </c>
      <c r="AH41" s="19">
        <f>VLOOKUP(AH$22,heatrate!$K$5:$T$36,VLOOKUP('ELC_Gen-sdj'!$B41,'ELC_Gen-sdj'!$AA$4:$AD$19,4,FALSE))</f>
        <v>0.399102020453979</v>
      </c>
    </row>
    <row r="42" spans="2:34">
      <c r="B42" t="str">
        <f t="shared" si="3"/>
        <v>EN_GasCT</v>
      </c>
      <c r="C42" s="19">
        <f>VLOOKUP(C$22,heatrate!$K$5:$T$36,VLOOKUP('ELC_Gen-sdj'!$B42,'ELC_Gen-sdj'!$AA$4:$AD$19,4,FALSE))</f>
        <v>0.346780718992024</v>
      </c>
      <c r="D42" s="19">
        <f>VLOOKUP(D$22,heatrate!$K$5:$T$36,VLOOKUP('ELC_Gen-sdj'!$B42,'ELC_Gen-sdj'!$AA$4:$AD$19,4,FALSE))</f>
        <v>0.348196150498114</v>
      </c>
      <c r="E42" s="19">
        <f>VLOOKUP(E$22,heatrate!$K$5:$T$36,VLOOKUP('ELC_Gen-sdj'!$B42,'ELC_Gen-sdj'!$AA$4:$AD$19,4,FALSE))</f>
        <v>0.349623183901795</v>
      </c>
      <c r="F42" s="19">
        <f>VLOOKUP(F$22,heatrate!$K$5:$T$36,VLOOKUP('ELC_Gen-sdj'!$B42,'ELC_Gen-sdj'!$AA$4:$AD$19,4,FALSE))</f>
        <v>0.35106196243637</v>
      </c>
      <c r="G42" s="19">
        <f>VLOOKUP(G$22,heatrate!$K$5:$T$36,VLOOKUP('ELC_Gen-sdj'!$B42,'ELC_Gen-sdj'!$AA$4:$AD$19,4,FALSE))</f>
        <v>0.352512631702636</v>
      </c>
      <c r="H42" s="19">
        <f>VLOOKUP(H$22,heatrate!$K$5:$T$36,VLOOKUP('ELC_Gen-sdj'!$B42,'ELC_Gen-sdj'!$AA$4:$AD$19,4,FALSE))</f>
        <v>0.353975339718</v>
      </c>
      <c r="I42" s="19">
        <f>VLOOKUP(I$22,heatrate!$K$5:$T$36,VLOOKUP('ELC_Gen-sdj'!$B42,'ELC_Gen-sdj'!$AA$4:$AD$19,4,FALSE))</f>
        <v>0.355450236966825</v>
      </c>
      <c r="J42" s="19">
        <f>VLOOKUP(J$22,heatrate!$K$5:$T$36,VLOOKUP('ELC_Gen-sdj'!$B42,'ELC_Gen-sdj'!$AA$4:$AD$19,4,FALSE))</f>
        <v>0.355450236966825</v>
      </c>
      <c r="K42" s="19">
        <f>VLOOKUP(K$22,heatrate!$K$5:$T$36,VLOOKUP('ELC_Gen-sdj'!$B42,'ELC_Gen-sdj'!$AA$4:$AD$19,4,FALSE))</f>
        <v>0.355450236966825</v>
      </c>
      <c r="L42" s="19">
        <f>VLOOKUP(L$22,heatrate!$K$5:$T$36,VLOOKUP('ELC_Gen-sdj'!$B42,'ELC_Gen-sdj'!$AA$4:$AD$19,4,FALSE))</f>
        <v>0.355450236966825</v>
      </c>
      <c r="M42" s="19">
        <f>VLOOKUP(M$22,heatrate!$K$5:$T$36,VLOOKUP('ELC_Gen-sdj'!$B42,'ELC_Gen-sdj'!$AA$4:$AD$19,4,FALSE))</f>
        <v>0.355450236966825</v>
      </c>
      <c r="N42" s="19">
        <f>VLOOKUP(N$22,heatrate!$K$5:$T$36,VLOOKUP('ELC_Gen-sdj'!$B42,'ELC_Gen-sdj'!$AA$4:$AD$19,4,FALSE))</f>
        <v>0.355450236966825</v>
      </c>
      <c r="O42" s="19">
        <f>VLOOKUP(O$22,heatrate!$K$5:$T$36,VLOOKUP('ELC_Gen-sdj'!$B42,'ELC_Gen-sdj'!$AA$4:$AD$19,4,FALSE))</f>
        <v>0.355450236966825</v>
      </c>
      <c r="P42" s="19">
        <f>VLOOKUP(P$22,heatrate!$K$5:$T$36,VLOOKUP('ELC_Gen-sdj'!$B42,'ELC_Gen-sdj'!$AA$4:$AD$19,4,FALSE))</f>
        <v>0.355450236966825</v>
      </c>
      <c r="Q42" s="19">
        <f>VLOOKUP(Q$22,heatrate!$K$5:$T$36,VLOOKUP('ELC_Gen-sdj'!$B42,'ELC_Gen-sdj'!$AA$4:$AD$19,4,FALSE))</f>
        <v>0.355450236966825</v>
      </c>
      <c r="R42" s="19">
        <f>VLOOKUP(R$22,heatrate!$K$5:$T$36,VLOOKUP('ELC_Gen-sdj'!$B42,'ELC_Gen-sdj'!$AA$4:$AD$19,4,FALSE))</f>
        <v>0.355450236966825</v>
      </c>
      <c r="S42" s="19">
        <f>VLOOKUP(S$22,heatrate!$K$5:$T$36,VLOOKUP('ELC_Gen-sdj'!$B42,'ELC_Gen-sdj'!$AA$4:$AD$19,4,FALSE))</f>
        <v>0.355450236966825</v>
      </c>
      <c r="T42" s="19">
        <f>VLOOKUP(T$22,heatrate!$K$5:$T$36,VLOOKUP('ELC_Gen-sdj'!$B42,'ELC_Gen-sdj'!$AA$4:$AD$19,4,FALSE))</f>
        <v>0.355450236966825</v>
      </c>
      <c r="U42" s="19">
        <f>VLOOKUP(U$22,heatrate!$K$5:$T$36,VLOOKUP('ELC_Gen-sdj'!$B42,'ELC_Gen-sdj'!$AA$4:$AD$19,4,FALSE))</f>
        <v>0.355450236966825</v>
      </c>
      <c r="V42" s="19">
        <f>VLOOKUP(V$22,heatrate!$K$5:$T$36,VLOOKUP('ELC_Gen-sdj'!$B42,'ELC_Gen-sdj'!$AA$4:$AD$19,4,FALSE))</f>
        <v>0.355450236966825</v>
      </c>
      <c r="W42" s="19">
        <f>VLOOKUP(W$22,heatrate!$K$5:$T$36,VLOOKUP('ELC_Gen-sdj'!$B42,'ELC_Gen-sdj'!$AA$4:$AD$19,4,FALSE))</f>
        <v>0.355450236966825</v>
      </c>
      <c r="X42" s="19">
        <f>VLOOKUP(X$22,heatrate!$K$5:$T$36,VLOOKUP('ELC_Gen-sdj'!$B42,'ELC_Gen-sdj'!$AA$4:$AD$19,4,FALSE))</f>
        <v>0.355450236966825</v>
      </c>
      <c r="Y42" s="19">
        <f>VLOOKUP(Y$22,heatrate!$K$5:$T$36,VLOOKUP('ELC_Gen-sdj'!$B42,'ELC_Gen-sdj'!$AA$4:$AD$19,4,FALSE))</f>
        <v>0.355450236966825</v>
      </c>
      <c r="Z42" s="19">
        <f>VLOOKUP(Z$22,heatrate!$K$5:$T$36,VLOOKUP('ELC_Gen-sdj'!$B42,'ELC_Gen-sdj'!$AA$4:$AD$19,4,FALSE))</f>
        <v>0.355450236966825</v>
      </c>
      <c r="AA42" s="19">
        <f>VLOOKUP(AA$22,heatrate!$K$5:$T$36,VLOOKUP('ELC_Gen-sdj'!$B42,'ELC_Gen-sdj'!$AA$4:$AD$19,4,FALSE))</f>
        <v>0.355450236966825</v>
      </c>
      <c r="AB42" s="19">
        <f>VLOOKUP(AB$22,heatrate!$K$5:$T$36,VLOOKUP('ELC_Gen-sdj'!$B42,'ELC_Gen-sdj'!$AA$4:$AD$19,4,FALSE))</f>
        <v>0.355450236966825</v>
      </c>
      <c r="AC42" s="19">
        <f>VLOOKUP(AC$22,heatrate!$K$5:$T$36,VLOOKUP('ELC_Gen-sdj'!$B42,'ELC_Gen-sdj'!$AA$4:$AD$19,4,FALSE))</f>
        <v>0.355450236966825</v>
      </c>
      <c r="AD42" s="19">
        <f>VLOOKUP(AD$22,heatrate!$K$5:$T$36,VLOOKUP('ELC_Gen-sdj'!$B42,'ELC_Gen-sdj'!$AA$4:$AD$19,4,FALSE))</f>
        <v>0.355450236966825</v>
      </c>
      <c r="AE42" s="19">
        <f>VLOOKUP(AE$22,heatrate!$K$5:$T$36,VLOOKUP('ELC_Gen-sdj'!$B42,'ELC_Gen-sdj'!$AA$4:$AD$19,4,FALSE))</f>
        <v>0.355450236966825</v>
      </c>
      <c r="AF42" s="19">
        <f>VLOOKUP(AF$22,heatrate!$K$5:$T$36,VLOOKUP('ELC_Gen-sdj'!$B42,'ELC_Gen-sdj'!$AA$4:$AD$19,4,FALSE))</f>
        <v>0.355450236966825</v>
      </c>
      <c r="AG42" s="19">
        <f>VLOOKUP(AG$22,heatrate!$K$5:$T$36,VLOOKUP('ELC_Gen-sdj'!$B42,'ELC_Gen-sdj'!$AA$4:$AD$19,4,FALSE))</f>
        <v>0.355450236966825</v>
      </c>
      <c r="AH42" s="19">
        <f>VLOOKUP(AH$22,heatrate!$K$5:$T$36,VLOOKUP('ELC_Gen-sdj'!$B42,'ELC_Gen-sdj'!$AA$4:$AD$19,4,FALSE))</f>
        <v>0.355450236966825</v>
      </c>
    </row>
    <row r="43" spans="2:34">
      <c r="B43" t="str">
        <f>B30</f>
        <v>EN_ZBiomass</v>
      </c>
      <c r="C43" s="19">
        <f>VLOOKUP(C$22,heatrate!$K$5:$T$36,VLOOKUP('ELC_Gen-sdj'!$B43,'ELC_Gen-sdj'!$AA$4:$AD$19,4,FALSE))</f>
        <v>0.292903199560645</v>
      </c>
      <c r="D43" s="19">
        <f>VLOOKUP(D$22,heatrate!$K$5:$T$36,VLOOKUP('ELC_Gen-sdj'!$B43,'ELC_Gen-sdj'!$AA$4:$AD$19,4,FALSE))</f>
        <v>0.292903199560645</v>
      </c>
      <c r="E43" s="19">
        <f>VLOOKUP(E$22,heatrate!$K$5:$T$36,VLOOKUP('ELC_Gen-sdj'!$B43,'ELC_Gen-sdj'!$AA$4:$AD$19,4,FALSE))</f>
        <v>0.292903199560645</v>
      </c>
      <c r="F43" s="19">
        <f>VLOOKUP(F$22,heatrate!$K$5:$T$36,VLOOKUP('ELC_Gen-sdj'!$B43,'ELC_Gen-sdj'!$AA$4:$AD$19,4,FALSE))</f>
        <v>0.292903199560645</v>
      </c>
      <c r="G43" s="19">
        <f>VLOOKUP(G$22,heatrate!$K$5:$T$36,VLOOKUP('ELC_Gen-sdj'!$B43,'ELC_Gen-sdj'!$AA$4:$AD$19,4,FALSE))</f>
        <v>0.314432129033971</v>
      </c>
      <c r="H43" s="19">
        <f>VLOOKUP(H$22,heatrate!$K$5:$T$36,VLOOKUP('ELC_Gen-sdj'!$B43,'ELC_Gen-sdj'!$AA$4:$AD$19,4,FALSE))</f>
        <v>0.339376966725407</v>
      </c>
      <c r="I43" s="19">
        <f>VLOOKUP(I$22,heatrate!$K$5:$T$36,VLOOKUP('ELC_Gen-sdj'!$B43,'ELC_Gen-sdj'!$AA$4:$AD$19,4,FALSE))</f>
        <v>0.368620749149996</v>
      </c>
      <c r="J43" s="19">
        <f>VLOOKUP(J$22,heatrate!$K$5:$T$36,VLOOKUP('ELC_Gen-sdj'!$B43,'ELC_Gen-sdj'!$AA$4:$AD$19,4,FALSE))</f>
        <v>0.368620749149996</v>
      </c>
      <c r="K43" s="19">
        <f>VLOOKUP(K$22,heatrate!$K$5:$T$36,VLOOKUP('ELC_Gen-sdj'!$B43,'ELC_Gen-sdj'!$AA$4:$AD$19,4,FALSE))</f>
        <v>0.368620749149996</v>
      </c>
      <c r="L43" s="19">
        <f>VLOOKUP(L$22,heatrate!$K$5:$T$36,VLOOKUP('ELC_Gen-sdj'!$B43,'ELC_Gen-sdj'!$AA$4:$AD$19,4,FALSE))</f>
        <v>0.368620749149996</v>
      </c>
      <c r="M43" s="19">
        <f>VLOOKUP(M$22,heatrate!$K$5:$T$36,VLOOKUP('ELC_Gen-sdj'!$B43,'ELC_Gen-sdj'!$AA$4:$AD$19,4,FALSE))</f>
        <v>0.368620749149996</v>
      </c>
      <c r="N43" s="19">
        <f>VLOOKUP(N$22,heatrate!$K$5:$T$36,VLOOKUP('ELC_Gen-sdj'!$B43,'ELC_Gen-sdj'!$AA$4:$AD$19,4,FALSE))</f>
        <v>0.368620749149996</v>
      </c>
      <c r="O43" s="19">
        <f>VLOOKUP(O$22,heatrate!$K$5:$T$36,VLOOKUP('ELC_Gen-sdj'!$B43,'ELC_Gen-sdj'!$AA$4:$AD$19,4,FALSE))</f>
        <v>0.368620749149996</v>
      </c>
      <c r="P43" s="19">
        <f>VLOOKUP(P$22,heatrate!$K$5:$T$36,VLOOKUP('ELC_Gen-sdj'!$B43,'ELC_Gen-sdj'!$AA$4:$AD$19,4,FALSE))</f>
        <v>0.368620749149996</v>
      </c>
      <c r="Q43" s="19">
        <f>VLOOKUP(Q$22,heatrate!$K$5:$T$36,VLOOKUP('ELC_Gen-sdj'!$B43,'ELC_Gen-sdj'!$AA$4:$AD$19,4,FALSE))</f>
        <v>0.368620749149996</v>
      </c>
      <c r="R43" s="19">
        <f>VLOOKUP(R$22,heatrate!$K$5:$T$36,VLOOKUP('ELC_Gen-sdj'!$B43,'ELC_Gen-sdj'!$AA$4:$AD$19,4,FALSE))</f>
        <v>0.368620749149996</v>
      </c>
      <c r="S43" s="19">
        <f>VLOOKUP(S$22,heatrate!$K$5:$T$36,VLOOKUP('ELC_Gen-sdj'!$B43,'ELC_Gen-sdj'!$AA$4:$AD$19,4,FALSE))</f>
        <v>0.368620749149996</v>
      </c>
      <c r="T43" s="19">
        <f>VLOOKUP(T$22,heatrate!$K$5:$T$36,VLOOKUP('ELC_Gen-sdj'!$B43,'ELC_Gen-sdj'!$AA$4:$AD$19,4,FALSE))</f>
        <v>0.368620749149996</v>
      </c>
      <c r="U43" s="19">
        <f>VLOOKUP(U$22,heatrate!$K$5:$T$36,VLOOKUP('ELC_Gen-sdj'!$B43,'ELC_Gen-sdj'!$AA$4:$AD$19,4,FALSE))</f>
        <v>0.368620749149996</v>
      </c>
      <c r="V43" s="19">
        <f>VLOOKUP(V$22,heatrate!$K$5:$T$36,VLOOKUP('ELC_Gen-sdj'!$B43,'ELC_Gen-sdj'!$AA$4:$AD$19,4,FALSE))</f>
        <v>0.368620749149996</v>
      </c>
      <c r="W43" s="19">
        <f>VLOOKUP(W$22,heatrate!$K$5:$T$36,VLOOKUP('ELC_Gen-sdj'!$B43,'ELC_Gen-sdj'!$AA$4:$AD$19,4,FALSE))</f>
        <v>0.368620749149996</v>
      </c>
      <c r="X43" s="19">
        <f>VLOOKUP(X$22,heatrate!$K$5:$T$36,VLOOKUP('ELC_Gen-sdj'!$B43,'ELC_Gen-sdj'!$AA$4:$AD$19,4,FALSE))</f>
        <v>0.368620749149996</v>
      </c>
      <c r="Y43" s="19">
        <f>VLOOKUP(Y$22,heatrate!$K$5:$T$36,VLOOKUP('ELC_Gen-sdj'!$B43,'ELC_Gen-sdj'!$AA$4:$AD$19,4,FALSE))</f>
        <v>0.368620749149996</v>
      </c>
      <c r="Z43" s="19">
        <f>VLOOKUP(Z$22,heatrate!$K$5:$T$36,VLOOKUP('ELC_Gen-sdj'!$B43,'ELC_Gen-sdj'!$AA$4:$AD$19,4,FALSE))</f>
        <v>0.368620749149996</v>
      </c>
      <c r="AA43" s="19">
        <f>VLOOKUP(AA$22,heatrate!$K$5:$T$36,VLOOKUP('ELC_Gen-sdj'!$B43,'ELC_Gen-sdj'!$AA$4:$AD$19,4,FALSE))</f>
        <v>0.368620749149996</v>
      </c>
      <c r="AB43" s="19">
        <f>VLOOKUP(AB$22,heatrate!$K$5:$T$36,VLOOKUP('ELC_Gen-sdj'!$B43,'ELC_Gen-sdj'!$AA$4:$AD$19,4,FALSE))</f>
        <v>0.368620749149996</v>
      </c>
      <c r="AC43" s="19">
        <f>VLOOKUP(AC$22,heatrate!$K$5:$T$36,VLOOKUP('ELC_Gen-sdj'!$B43,'ELC_Gen-sdj'!$AA$4:$AD$19,4,FALSE))</f>
        <v>0.368620749149996</v>
      </c>
      <c r="AD43" s="19">
        <f>VLOOKUP(AD$22,heatrate!$K$5:$T$36,VLOOKUP('ELC_Gen-sdj'!$B43,'ELC_Gen-sdj'!$AA$4:$AD$19,4,FALSE))</f>
        <v>0.368620749149996</v>
      </c>
      <c r="AE43" s="19">
        <f>VLOOKUP(AE$22,heatrate!$K$5:$T$36,VLOOKUP('ELC_Gen-sdj'!$B43,'ELC_Gen-sdj'!$AA$4:$AD$19,4,FALSE))</f>
        <v>0.368620749149996</v>
      </c>
      <c r="AF43" s="19">
        <f>VLOOKUP(AF$22,heatrate!$K$5:$T$36,VLOOKUP('ELC_Gen-sdj'!$B43,'ELC_Gen-sdj'!$AA$4:$AD$19,4,FALSE))</f>
        <v>0.368620749149996</v>
      </c>
      <c r="AG43" s="19">
        <f>VLOOKUP(AG$22,heatrate!$K$5:$T$36,VLOOKUP('ELC_Gen-sdj'!$B43,'ELC_Gen-sdj'!$AA$4:$AD$19,4,FALSE))</f>
        <v>0.368620749149996</v>
      </c>
      <c r="AH43" s="19">
        <f>VLOOKUP(AH$22,heatrate!$K$5:$T$36,VLOOKUP('ELC_Gen-sdj'!$B43,'ELC_Gen-sdj'!$AA$4:$AD$19,4,FALSE))</f>
        <v>0.368620749149996</v>
      </c>
    </row>
    <row r="44" spans="2:34">
      <c r="B44" t="str">
        <f>B31</f>
        <v>EN_OilCCAdv</v>
      </c>
      <c r="C44" s="19">
        <v>0.3</v>
      </c>
      <c r="D44" s="19">
        <v>0.3</v>
      </c>
      <c r="E44" s="19">
        <v>0.3</v>
      </c>
      <c r="F44" s="19">
        <v>0.3</v>
      </c>
      <c r="G44" s="19">
        <v>0.3</v>
      </c>
      <c r="H44" s="19">
        <v>0.3</v>
      </c>
      <c r="I44" s="19">
        <v>0.3</v>
      </c>
      <c r="J44" s="19">
        <v>0.3</v>
      </c>
      <c r="K44" s="19">
        <v>0.3</v>
      </c>
      <c r="L44" s="19">
        <v>0.3</v>
      </c>
      <c r="M44" s="19">
        <v>0.3</v>
      </c>
      <c r="N44" s="19">
        <v>0.3</v>
      </c>
      <c r="O44" s="19">
        <v>0.3</v>
      </c>
      <c r="P44" s="19">
        <v>0.3</v>
      </c>
      <c r="Q44" s="19">
        <v>0.3</v>
      </c>
      <c r="R44" s="19">
        <v>0.3</v>
      </c>
      <c r="S44" s="19">
        <v>0.3</v>
      </c>
      <c r="T44" s="19">
        <v>0.3</v>
      </c>
      <c r="U44" s="19">
        <v>0.3</v>
      </c>
      <c r="V44" s="19">
        <v>0.3</v>
      </c>
      <c r="W44" s="19">
        <v>0.3</v>
      </c>
      <c r="X44" s="19">
        <v>0.3</v>
      </c>
      <c r="Y44" s="19">
        <v>0.3</v>
      </c>
      <c r="Z44" s="19">
        <v>0.3</v>
      </c>
      <c r="AA44" s="19">
        <v>0.3</v>
      </c>
      <c r="AB44" s="19">
        <v>0.3</v>
      </c>
      <c r="AC44" s="19">
        <v>0.3</v>
      </c>
      <c r="AD44" s="19">
        <v>0.3</v>
      </c>
      <c r="AE44" s="19">
        <v>0.3</v>
      </c>
      <c r="AF44" s="19">
        <v>0.3</v>
      </c>
      <c r="AG44" s="19">
        <v>0.3</v>
      </c>
      <c r="AH44" s="19">
        <v>0.3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J16" sqref="J16"/>
    </sheetView>
  </sheetViews>
  <sheetFormatPr defaultColWidth="8.81818181818182" defaultRowHeight="14.5"/>
  <sheetData>
    <row r="1" spans="1:1">
      <c r="A1" s="9" t="s">
        <v>146</v>
      </c>
    </row>
    <row r="2" spans="1:1">
      <c r="A2" t="s">
        <v>147</v>
      </c>
    </row>
    <row r="4" ht="43.5" spans="1:23">
      <c r="A4" s="10" t="s">
        <v>148</v>
      </c>
      <c r="B4" s="10" t="s">
        <v>43</v>
      </c>
      <c r="C4" s="10" t="s">
        <v>48</v>
      </c>
      <c r="D4" s="10" t="s">
        <v>149</v>
      </c>
      <c r="E4" s="10" t="s">
        <v>65</v>
      </c>
      <c r="F4" s="10" t="s">
        <v>61</v>
      </c>
      <c r="G4" s="10" t="s">
        <v>58</v>
      </c>
      <c r="H4" s="10" t="s">
        <v>54</v>
      </c>
      <c r="I4" s="10" t="s">
        <v>51</v>
      </c>
      <c r="J4" s="10" t="s">
        <v>150</v>
      </c>
      <c r="K4" s="10" t="s">
        <v>75</v>
      </c>
      <c r="L4" s="10" t="s">
        <v>69</v>
      </c>
      <c r="M4" s="10" t="s">
        <v>151</v>
      </c>
      <c r="N4" s="10" t="s">
        <v>152</v>
      </c>
      <c r="O4" s="10" t="s">
        <v>74</v>
      </c>
      <c r="P4" s="10" t="s">
        <v>153</v>
      </c>
      <c r="Q4" s="10" t="s">
        <v>34</v>
      </c>
      <c r="R4" s="10" t="s">
        <v>38</v>
      </c>
      <c r="S4" s="10" t="s">
        <v>154</v>
      </c>
      <c r="T4" s="10" t="s">
        <v>155</v>
      </c>
      <c r="U4" s="10" t="s">
        <v>30</v>
      </c>
      <c r="V4" s="10" t="s">
        <v>156</v>
      </c>
      <c r="W4" s="10" t="s">
        <v>157</v>
      </c>
    </row>
    <row r="5" spans="1:23">
      <c r="A5" s="12">
        <v>2019</v>
      </c>
      <c r="B5" s="18">
        <v>5168.64261788618</v>
      </c>
      <c r="C5" s="18">
        <v>5715.78799287169</v>
      </c>
      <c r="D5" s="18">
        <v>1371.30944547262</v>
      </c>
      <c r="E5" s="18">
        <v>1126.00240868118</v>
      </c>
      <c r="F5" s="18">
        <v>691.076815788784</v>
      </c>
      <c r="G5" s="18">
        <v>999.327221030146</v>
      </c>
      <c r="H5" s="18">
        <v>794.439515921459</v>
      </c>
      <c r="I5" s="18">
        <v>2204.75272645371</v>
      </c>
      <c r="J5" s="18">
        <v>7197.34758139535</v>
      </c>
      <c r="K5" s="18">
        <v>6034.26585443669</v>
      </c>
      <c r="L5" s="18">
        <v>3899.57828443114</v>
      </c>
      <c r="M5" s="18">
        <v>2786.55029333333</v>
      </c>
      <c r="N5" s="18">
        <v>8894.78682688391</v>
      </c>
      <c r="O5" s="18">
        <v>2947.759277</v>
      </c>
      <c r="P5" s="18">
        <v>1950.33656797278</v>
      </c>
      <c r="Q5" s="18">
        <v>1919.93047890391</v>
      </c>
      <c r="R5" s="18">
        <v>6541.937537964</v>
      </c>
      <c r="S5" s="18">
        <v>4291.33453296703</v>
      </c>
      <c r="T5" s="18">
        <v>2160.20965227049</v>
      </c>
      <c r="U5" s="18">
        <v>2024.46332663926</v>
      </c>
      <c r="V5" s="18">
        <v>1576.46416650149</v>
      </c>
      <c r="W5" s="18">
        <v>1893.75258489121</v>
      </c>
    </row>
    <row r="6" spans="1:23">
      <c r="A6" s="12">
        <v>2020</v>
      </c>
      <c r="B6" s="18">
        <v>5110.67708333333</v>
      </c>
      <c r="C6" s="18">
        <v>5651.68641038696</v>
      </c>
      <c r="D6" s="18">
        <v>1358.53777019753</v>
      </c>
      <c r="E6" s="18">
        <v>1115.51531642354</v>
      </c>
      <c r="F6" s="18">
        <v>683.766211230557</v>
      </c>
      <c r="G6" s="18">
        <v>990.019633973847</v>
      </c>
      <c r="H6" s="18">
        <v>786.438414656567</v>
      </c>
      <c r="I6" s="18">
        <v>2176.35507794149</v>
      </c>
      <c r="J6" s="18">
        <v>7055.68677350859</v>
      </c>
      <c r="K6" s="18">
        <v>5962.73873678963</v>
      </c>
      <c r="L6" s="18">
        <v>3858.23884431138</v>
      </c>
      <c r="M6" s="18">
        <v>2753.51996555556</v>
      </c>
      <c r="N6" s="18">
        <v>8811.94508961304</v>
      </c>
      <c r="O6" s="18">
        <v>2920.303711</v>
      </c>
      <c r="P6" s="18">
        <v>1858.29251806464</v>
      </c>
      <c r="Q6" s="18">
        <v>1902.04902252188</v>
      </c>
      <c r="R6" s="18">
        <v>6455.98987626547</v>
      </c>
      <c r="S6" s="18">
        <v>4240.30610613071</v>
      </c>
      <c r="T6" s="18">
        <v>2065.76200662678</v>
      </c>
      <c r="U6" s="18">
        <v>1935.95055449479</v>
      </c>
      <c r="V6" s="18">
        <v>1557.77772943508</v>
      </c>
      <c r="W6" s="18">
        <v>1871.30510884909</v>
      </c>
    </row>
    <row r="7" spans="1:23">
      <c r="A7" s="12">
        <v>2021</v>
      </c>
      <c r="B7" s="18">
        <v>4985.71777337398</v>
      </c>
      <c r="C7" s="18">
        <v>5513.49933604888</v>
      </c>
      <c r="D7" s="18">
        <v>1327.88693133021</v>
      </c>
      <c r="E7" s="18">
        <v>1090.34743554724</v>
      </c>
      <c r="F7" s="18">
        <v>667.480398723307</v>
      </c>
      <c r="G7" s="18">
        <v>967.683340229199</v>
      </c>
      <c r="H7" s="18">
        <v>768.10346098691</v>
      </c>
      <c r="I7" s="18">
        <v>2119.52768406583</v>
      </c>
      <c r="J7" s="18">
        <v>6629.84380889788</v>
      </c>
      <c r="K7" s="18">
        <v>5813.15380059821</v>
      </c>
      <c r="L7" s="18">
        <v>3756.43707684631</v>
      </c>
      <c r="M7" s="18">
        <v>2684.44335888889</v>
      </c>
      <c r="N7" s="18">
        <v>8613.13307535642</v>
      </c>
      <c r="O7" s="18">
        <v>2854.415527</v>
      </c>
      <c r="P7" s="18">
        <v>1795.51021079482</v>
      </c>
      <c r="Q7" s="18">
        <v>1859.13567290509</v>
      </c>
      <c r="R7" s="18">
        <v>6285.75413126813</v>
      </c>
      <c r="S7" s="18">
        <v>4133.77275303644</v>
      </c>
      <c r="T7" s="18">
        <v>1979.52318369193</v>
      </c>
      <c r="U7" s="18">
        <v>1855.13099703043</v>
      </c>
      <c r="V7" s="18">
        <v>1518.69829236868</v>
      </c>
      <c r="W7" s="18">
        <v>1824.36046840349</v>
      </c>
    </row>
    <row r="8" spans="1:23">
      <c r="A8" s="12">
        <v>2022</v>
      </c>
      <c r="B8" s="18">
        <v>4908.06666463415</v>
      </c>
      <c r="C8" s="18">
        <v>5427.62747046843</v>
      </c>
      <c r="D8" s="18">
        <v>1309.75428707366</v>
      </c>
      <c r="E8" s="18">
        <v>1075.45842589533</v>
      </c>
      <c r="F8" s="18">
        <v>657.514365601135</v>
      </c>
      <c r="G8" s="18">
        <v>954.469402561413</v>
      </c>
      <c r="H8" s="18">
        <v>757.02855199294</v>
      </c>
      <c r="I8" s="18">
        <v>2082.92714602501</v>
      </c>
      <c r="J8" s="18">
        <v>6485.35106875632</v>
      </c>
      <c r="K8" s="18">
        <v>5718.84833798604</v>
      </c>
      <c r="L8" s="18">
        <v>3698.73997105788</v>
      </c>
      <c r="M8" s="18">
        <v>2607.03721777778</v>
      </c>
      <c r="N8" s="18">
        <v>8495.51895010183</v>
      </c>
      <c r="O8" s="18">
        <v>2815.436279</v>
      </c>
      <c r="P8" s="18">
        <v>1746.75426708253</v>
      </c>
      <c r="Q8" s="18">
        <v>1833.74877700786</v>
      </c>
      <c r="R8" s="18">
        <v>6175.55574707125</v>
      </c>
      <c r="S8" s="18">
        <v>4066.55324320416</v>
      </c>
      <c r="T8" s="18">
        <v>1890.44943317161</v>
      </c>
      <c r="U8" s="18">
        <v>1771.65465653762</v>
      </c>
      <c r="V8" s="18">
        <v>1494.06077700694</v>
      </c>
      <c r="W8" s="18">
        <v>1757.75859131308</v>
      </c>
    </row>
    <row r="9" spans="1:23">
      <c r="A9" s="12">
        <v>2023</v>
      </c>
      <c r="B9" s="18">
        <v>4853.13452743902</v>
      </c>
      <c r="C9" s="18">
        <v>5366.88070773931</v>
      </c>
      <c r="D9" s="18">
        <v>1297.63845947591</v>
      </c>
      <c r="E9" s="18">
        <v>1065.50995753768</v>
      </c>
      <c r="F9" s="18">
        <v>625.445632976992</v>
      </c>
      <c r="G9" s="18">
        <v>945.639986721449</v>
      </c>
      <c r="H9" s="18">
        <v>732.128885681718</v>
      </c>
      <c r="I9" s="18">
        <v>2023.7324353742</v>
      </c>
      <c r="J9" s="18">
        <v>6369.86687563195</v>
      </c>
      <c r="K9" s="18">
        <v>5651.08385742772</v>
      </c>
      <c r="L9" s="18">
        <v>3659.72181636727</v>
      </c>
      <c r="M9" s="18">
        <v>2561.76730666667</v>
      </c>
      <c r="N9" s="18">
        <v>8416.9305305499</v>
      </c>
      <c r="O9" s="18">
        <v>2789.390869</v>
      </c>
      <c r="P9" s="18">
        <v>1672.83672796034</v>
      </c>
      <c r="Q9" s="18">
        <v>1816.7858302685</v>
      </c>
      <c r="R9" s="18">
        <v>6094.16647615426</v>
      </c>
      <c r="S9" s="18">
        <v>4018.20979757085</v>
      </c>
      <c r="T9" s="18">
        <v>1819.63506469123</v>
      </c>
      <c r="U9" s="18">
        <v>1705.29021879688</v>
      </c>
      <c r="V9" s="18">
        <v>1476.35707333994</v>
      </c>
      <c r="W9" s="18">
        <v>1658.63322432825</v>
      </c>
    </row>
    <row r="10" spans="1:23">
      <c r="A10" s="12">
        <v>2024</v>
      </c>
      <c r="B10" s="18">
        <v>4808.88255081301</v>
      </c>
      <c r="C10" s="18">
        <v>5317.94418635438</v>
      </c>
      <c r="D10" s="18">
        <v>1288.34905125941</v>
      </c>
      <c r="E10" s="18">
        <v>1057.88235569402</v>
      </c>
      <c r="F10" s="18">
        <v>612.365128735692</v>
      </c>
      <c r="G10" s="18">
        <v>938.870543747053</v>
      </c>
      <c r="H10" s="18">
        <v>720.962914583027</v>
      </c>
      <c r="I10" s="18">
        <v>1991.66805414048</v>
      </c>
      <c r="J10" s="18">
        <v>6268.89238624874</v>
      </c>
      <c r="K10" s="18">
        <v>5595.79708175474</v>
      </c>
      <c r="L10" s="18">
        <v>3628.72984530938</v>
      </c>
      <c r="M10" s="18">
        <v>2498.31326</v>
      </c>
      <c r="N10" s="18">
        <v>8356.67702240326</v>
      </c>
      <c r="O10" s="18">
        <v>2769.421143</v>
      </c>
      <c r="P10" s="18">
        <v>1616.85429668771</v>
      </c>
      <c r="Q10" s="18">
        <v>1803.77994035285</v>
      </c>
      <c r="R10" s="18">
        <v>6026.32874015748</v>
      </c>
      <c r="S10" s="18">
        <v>3978.74043634728</v>
      </c>
      <c r="T10" s="18">
        <v>1798.82330959279</v>
      </c>
      <c r="U10" s="18">
        <v>1685.78605222789</v>
      </c>
      <c r="V10" s="18">
        <v>1461.9132160555</v>
      </c>
      <c r="W10" s="18">
        <v>1568.41242027571</v>
      </c>
    </row>
    <row r="11" spans="1:23">
      <c r="A11" s="12">
        <v>2025</v>
      </c>
      <c r="B11" s="18">
        <v>4772.84947865854</v>
      </c>
      <c r="C11" s="18">
        <v>5278.09655804481</v>
      </c>
      <c r="D11" s="18">
        <v>1281.24215061307</v>
      </c>
      <c r="E11" s="18">
        <v>1052.04678877528</v>
      </c>
      <c r="F11" s="18">
        <v>599.880182823018</v>
      </c>
      <c r="G11" s="18">
        <v>933.69142090121</v>
      </c>
      <c r="H11" s="18">
        <v>710.713896345051</v>
      </c>
      <c r="I11" s="18">
        <v>1962.45998140154</v>
      </c>
      <c r="J11" s="18">
        <v>6178.96371789687</v>
      </c>
      <c r="K11" s="18">
        <v>5550.10310867398</v>
      </c>
      <c r="L11" s="18">
        <v>3603.92155189621</v>
      </c>
      <c r="M11" s="18">
        <v>2445.85883222222</v>
      </c>
      <c r="N11" s="18">
        <v>8310.57869755601</v>
      </c>
      <c r="O11" s="18">
        <v>2754.142334</v>
      </c>
      <c r="P11" s="18">
        <v>1572.9773784568</v>
      </c>
      <c r="Q11" s="18">
        <v>1793.82964631228</v>
      </c>
      <c r="R11" s="18">
        <v>5968.88360433071</v>
      </c>
      <c r="S11" s="18">
        <v>3946.09335470085</v>
      </c>
      <c r="T11" s="18">
        <v>1782.1759090208</v>
      </c>
      <c r="U11" s="18">
        <v>1670.18482901403</v>
      </c>
      <c r="V11" s="18">
        <v>1449.97561050545</v>
      </c>
      <c r="W11" s="18">
        <v>1485.56226374008</v>
      </c>
    </row>
    <row r="12" spans="1:23">
      <c r="A12" s="12">
        <v>2026</v>
      </c>
      <c r="B12" s="18">
        <v>4725.35668394309</v>
      </c>
      <c r="C12" s="18">
        <v>5225.57549592668</v>
      </c>
      <c r="D12" s="18">
        <v>1271.03750912251</v>
      </c>
      <c r="E12" s="18">
        <v>1043.66744345521</v>
      </c>
      <c r="F12" s="18">
        <v>586.796653358428</v>
      </c>
      <c r="G12" s="18">
        <v>926.254818285912</v>
      </c>
      <c r="H12" s="18">
        <v>699.333261325195</v>
      </c>
      <c r="I12" s="18">
        <v>1929.65633053454</v>
      </c>
      <c r="J12" s="18">
        <v>6074.56434883721</v>
      </c>
      <c r="K12" s="18">
        <v>5491.11552043869</v>
      </c>
      <c r="L12" s="18">
        <v>3570.4401746507</v>
      </c>
      <c r="M12" s="18">
        <v>2378.49365222222</v>
      </c>
      <c r="N12" s="18">
        <v>8244.38725152749</v>
      </c>
      <c r="O12" s="18">
        <v>2732.205078</v>
      </c>
      <c r="P12" s="18">
        <v>1531.63470105253</v>
      </c>
      <c r="Q12" s="18">
        <v>1779.54241445883</v>
      </c>
      <c r="R12" s="18">
        <v>5897.21151082677</v>
      </c>
      <c r="S12" s="18">
        <v>3903.99529577148</v>
      </c>
      <c r="T12" s="18">
        <v>1768.2436562248</v>
      </c>
      <c r="U12" s="18">
        <v>1657.12831705267</v>
      </c>
      <c r="V12" s="18">
        <v>1434.56498909812</v>
      </c>
      <c r="W12" s="18">
        <v>1403.63359871486</v>
      </c>
    </row>
    <row r="13" spans="1:23">
      <c r="A13" s="12">
        <v>2027</v>
      </c>
      <c r="B13" s="18">
        <v>4668.54337398374</v>
      </c>
      <c r="C13" s="18">
        <v>5162.74931160896</v>
      </c>
      <c r="D13" s="18">
        <v>1258.29278102358</v>
      </c>
      <c r="E13" s="18">
        <v>1033.20273512339</v>
      </c>
      <c r="F13" s="18">
        <v>573.386882467175</v>
      </c>
      <c r="G13" s="18">
        <v>916.967434834066</v>
      </c>
      <c r="H13" s="18">
        <v>687.137956868657</v>
      </c>
      <c r="I13" s="18">
        <v>1894.16829580452</v>
      </c>
      <c r="J13" s="18">
        <v>5958.74541860465</v>
      </c>
      <c r="K13" s="18">
        <v>5421.3467996012</v>
      </c>
      <c r="L13" s="18">
        <v>3529.88627245509</v>
      </c>
      <c r="M13" s="18">
        <v>2256.52140333333</v>
      </c>
      <c r="N13" s="18">
        <v>8161.72153462322</v>
      </c>
      <c r="O13" s="18">
        <v>2704.80835</v>
      </c>
      <c r="P13" s="18">
        <v>1495.68259564615</v>
      </c>
      <c r="Q13" s="18">
        <v>1761.69909649888</v>
      </c>
      <c r="R13" s="18">
        <v>5814.06913188976</v>
      </c>
      <c r="S13" s="18">
        <v>3854.23475820963</v>
      </c>
      <c r="T13" s="18">
        <v>1750.87641430202</v>
      </c>
      <c r="U13" s="18">
        <v>1640.8524684304</v>
      </c>
      <c r="V13" s="18">
        <v>1416.33767789891</v>
      </c>
      <c r="W13" s="18">
        <v>1384.12943843919</v>
      </c>
    </row>
    <row r="14" spans="1:23">
      <c r="A14" s="12">
        <v>2028</v>
      </c>
      <c r="B14" s="18">
        <v>4605.11593699187</v>
      </c>
      <c r="C14" s="18">
        <v>5092.60736252546</v>
      </c>
      <c r="D14" s="18">
        <v>1243.7232473701</v>
      </c>
      <c r="E14" s="18">
        <v>1021.23943742682</v>
      </c>
      <c r="F14" s="18">
        <v>563.084218886224</v>
      </c>
      <c r="G14" s="18">
        <v>906.349900410865</v>
      </c>
      <c r="H14" s="18">
        <v>676.658619833799</v>
      </c>
      <c r="I14" s="18">
        <v>1861.10162262903</v>
      </c>
      <c r="J14" s="18">
        <v>5835.19791911021</v>
      </c>
      <c r="K14" s="18">
        <v>5343.95884646062</v>
      </c>
      <c r="L14" s="18">
        <v>3484.29142714571</v>
      </c>
      <c r="M14" s="18">
        <v>2199.79749888889</v>
      </c>
      <c r="N14" s="18">
        <v>8067.21822912424</v>
      </c>
      <c r="O14" s="18">
        <v>2673.488037</v>
      </c>
      <c r="P14" s="18">
        <v>1457.90309040144</v>
      </c>
      <c r="Q14" s="18">
        <v>1741.30054667762</v>
      </c>
      <c r="R14" s="18">
        <v>5722.89077854331</v>
      </c>
      <c r="S14" s="18">
        <v>3799.05985492578</v>
      </c>
      <c r="T14" s="18">
        <v>1731.42844893729</v>
      </c>
      <c r="U14" s="18">
        <v>1622.62652932532</v>
      </c>
      <c r="V14" s="18">
        <v>1396.12010009911</v>
      </c>
      <c r="W14" s="18">
        <v>1362.70803097476</v>
      </c>
    </row>
    <row r="15" spans="1:23">
      <c r="A15" s="12">
        <v>2029</v>
      </c>
      <c r="B15" s="18">
        <v>4540.04005487805</v>
      </c>
      <c r="C15" s="18">
        <v>5020.64206517312</v>
      </c>
      <c r="D15" s="18">
        <v>1228.6607818945</v>
      </c>
      <c r="E15" s="18">
        <v>1008.87135522222</v>
      </c>
      <c r="F15" s="18">
        <v>552.689402925318</v>
      </c>
      <c r="G15" s="18">
        <v>895.373356298171</v>
      </c>
      <c r="H15" s="18">
        <v>666.001425761141</v>
      </c>
      <c r="I15" s="18">
        <v>1827.58595893258</v>
      </c>
      <c r="J15" s="18">
        <v>5710.3623255814</v>
      </c>
      <c r="K15" s="18">
        <v>5264.72730209372</v>
      </c>
      <c r="L15" s="18">
        <v>3437.404000998</v>
      </c>
      <c r="M15" s="18">
        <v>2141.37817333333</v>
      </c>
      <c r="N15" s="18">
        <v>7969.51822301426</v>
      </c>
      <c r="O15" s="18">
        <v>2641.108643</v>
      </c>
      <c r="P15" s="18">
        <v>1419.92913996469</v>
      </c>
      <c r="Q15" s="18">
        <v>1720.21207048366</v>
      </c>
      <c r="R15" s="18">
        <v>5629.89194389764</v>
      </c>
      <c r="S15" s="18">
        <v>3742.57721322537</v>
      </c>
      <c r="T15" s="18">
        <v>1711.27888661717</v>
      </c>
      <c r="U15" s="18">
        <v>1603.74320721918</v>
      </c>
      <c r="V15" s="18">
        <v>1375.42065213082</v>
      </c>
      <c r="W15" s="18">
        <v>1340.84756257127</v>
      </c>
    </row>
    <row r="16" spans="1:23">
      <c r="A16" s="12">
        <v>2030</v>
      </c>
      <c r="B16" s="18">
        <v>4482.70571341463</v>
      </c>
      <c r="C16" s="18">
        <v>4957.23809775967</v>
      </c>
      <c r="D16" s="18">
        <v>1215.64891558104</v>
      </c>
      <c r="E16" s="18">
        <v>998.187232461611</v>
      </c>
      <c r="F16" s="18">
        <v>545.18176316075</v>
      </c>
      <c r="G16" s="18">
        <v>885.891110106132</v>
      </c>
      <c r="H16" s="18">
        <v>657.808775187527</v>
      </c>
      <c r="I16" s="18">
        <v>1799.75824992702</v>
      </c>
      <c r="J16" s="18">
        <v>5596.01910111224</v>
      </c>
      <c r="K16" s="18">
        <v>5194.53991525424</v>
      </c>
      <c r="L16" s="18">
        <v>3396.33672155689</v>
      </c>
      <c r="M16" s="18">
        <v>2094.63080555556</v>
      </c>
      <c r="N16" s="18">
        <v>7885.11865885947</v>
      </c>
      <c r="O16" s="18">
        <v>2613.137207</v>
      </c>
      <c r="P16" s="18">
        <v>1384.68484942728</v>
      </c>
      <c r="Q16" s="18">
        <v>1701.99455546712</v>
      </c>
      <c r="R16" s="18">
        <v>5546.71015748031</v>
      </c>
      <c r="S16" s="18">
        <v>3692.52673751687</v>
      </c>
      <c r="T16" s="18">
        <v>1693.9711972788</v>
      </c>
      <c r="U16" s="18">
        <v>1587.52289994394</v>
      </c>
      <c r="V16" s="18">
        <v>1357.08385232904</v>
      </c>
      <c r="W16" s="18">
        <v>1321.31996875018</v>
      </c>
    </row>
    <row r="17" spans="1:23">
      <c r="A17" s="12">
        <v>2031</v>
      </c>
      <c r="B17" s="18">
        <v>4425.66265345528</v>
      </c>
      <c r="C17" s="18">
        <v>4894.15733197556</v>
      </c>
      <c r="D17" s="18">
        <v>1202.67544140831</v>
      </c>
      <c r="E17" s="18">
        <v>987.534472219941</v>
      </c>
      <c r="F17" s="18">
        <v>538.182154176005</v>
      </c>
      <c r="G17" s="18">
        <v>876.436935541293</v>
      </c>
      <c r="H17" s="18">
        <v>649.975040447124</v>
      </c>
      <c r="I17" s="18">
        <v>1772.72055130334</v>
      </c>
      <c r="J17" s="18">
        <v>5482.73044489383</v>
      </c>
      <c r="K17" s="18">
        <v>5124.75026121635</v>
      </c>
      <c r="L17" s="18">
        <v>3355.45291217565</v>
      </c>
      <c r="M17" s="18">
        <v>2048.73440222222</v>
      </c>
      <c r="N17" s="18">
        <v>7800.96820875764</v>
      </c>
      <c r="O17" s="18">
        <v>2585.248291</v>
      </c>
      <c r="P17" s="18">
        <v>1349.81241483528</v>
      </c>
      <c r="Q17" s="18">
        <v>1683.83096539019</v>
      </c>
      <c r="R17" s="18">
        <v>5464.08585629921</v>
      </c>
      <c r="S17" s="18">
        <v>3642.76180724246</v>
      </c>
      <c r="T17" s="18">
        <v>1675.24317346368</v>
      </c>
      <c r="U17" s="18">
        <v>1569.97158788987</v>
      </c>
      <c r="V17" s="18">
        <v>1338.85145986125</v>
      </c>
      <c r="W17" s="18">
        <v>1301.92061857836</v>
      </c>
    </row>
    <row r="18" spans="1:23">
      <c r="A18" s="12">
        <v>2032</v>
      </c>
      <c r="B18" s="18">
        <v>4368.79872865854</v>
      </c>
      <c r="C18" s="18">
        <v>4831.2734694501</v>
      </c>
      <c r="D18" s="18">
        <v>1189.70959586796</v>
      </c>
      <c r="E18" s="18">
        <v>976.888065089786</v>
      </c>
      <c r="F18" s="18">
        <v>530.051094842715</v>
      </c>
      <c r="G18" s="18">
        <v>866.988047379411</v>
      </c>
      <c r="H18" s="18">
        <v>641.363721687013</v>
      </c>
      <c r="I18" s="18">
        <v>1744.33989467314</v>
      </c>
      <c r="J18" s="18">
        <v>5370.35762487361</v>
      </c>
      <c r="K18" s="18">
        <v>5055.2288444666</v>
      </c>
      <c r="L18" s="18">
        <v>3314.66607784431</v>
      </c>
      <c r="M18" s="18">
        <v>2004.63731555556</v>
      </c>
      <c r="N18" s="18">
        <v>7716.86698472505</v>
      </c>
      <c r="O18" s="18">
        <v>2557.375488</v>
      </c>
      <c r="P18" s="18">
        <v>1315.27849597738</v>
      </c>
      <c r="Q18" s="18">
        <v>1665.67760515043</v>
      </c>
      <c r="R18" s="18">
        <v>5381.87919094488</v>
      </c>
      <c r="S18" s="18">
        <v>3593.18961875843</v>
      </c>
      <c r="T18" s="18">
        <v>1657.98450926486</v>
      </c>
      <c r="U18" s="18">
        <v>1553.79749854506</v>
      </c>
      <c r="V18" s="18">
        <v>1320.68863131814</v>
      </c>
      <c r="W18" s="18">
        <v>1282.61628619946</v>
      </c>
    </row>
    <row r="19" spans="1:23">
      <c r="A19" s="12">
        <v>2033</v>
      </c>
      <c r="B19" s="18">
        <v>4314.49183028455</v>
      </c>
      <c r="C19" s="18">
        <v>4771.21835641548</v>
      </c>
      <c r="D19" s="18">
        <v>1177.39996693722</v>
      </c>
      <c r="E19" s="18">
        <v>966.780399332981</v>
      </c>
      <c r="F19" s="18">
        <v>523.251718409148</v>
      </c>
      <c r="G19" s="18">
        <v>858.017564251831</v>
      </c>
      <c r="H19" s="18">
        <v>633.822021620827</v>
      </c>
      <c r="I19" s="18">
        <v>1718.35770627959</v>
      </c>
      <c r="J19" s="18">
        <v>5261.80613751264</v>
      </c>
      <c r="K19" s="18">
        <v>4988.72474376869</v>
      </c>
      <c r="L19" s="18">
        <v>3275.78144510978</v>
      </c>
      <c r="M19" s="18">
        <v>1963.29047333333</v>
      </c>
      <c r="N19" s="18">
        <v>7637.02255804481</v>
      </c>
      <c r="O19" s="18">
        <v>2530.913818</v>
      </c>
      <c r="P19" s="18">
        <v>1281.79102933305</v>
      </c>
      <c r="Q19" s="18">
        <v>1648.4432604585</v>
      </c>
      <c r="R19" s="18">
        <v>5303.01696259843</v>
      </c>
      <c r="S19" s="18">
        <v>3545.76505510571</v>
      </c>
      <c r="T19" s="18">
        <v>1641.62785277083</v>
      </c>
      <c r="U19" s="18">
        <v>1538.46877337117</v>
      </c>
      <c r="V19" s="18">
        <v>1303.31448166501</v>
      </c>
      <c r="W19" s="18">
        <v>1264.1042676253</v>
      </c>
    </row>
    <row r="20" spans="1:23">
      <c r="A20" s="12">
        <v>2034</v>
      </c>
      <c r="B20" s="18">
        <v>4260.88311382114</v>
      </c>
      <c r="C20" s="18">
        <v>4711.93395213849</v>
      </c>
      <c r="D20" s="18">
        <v>1165.24193389056</v>
      </c>
      <c r="E20" s="18">
        <v>956.797188471185</v>
      </c>
      <c r="F20" s="18">
        <v>515.810879578527</v>
      </c>
      <c r="G20" s="18">
        <v>849.15749131602</v>
      </c>
      <c r="H20" s="18">
        <v>625.87377279747</v>
      </c>
      <c r="I20" s="18">
        <v>1691.78351251916</v>
      </c>
      <c r="J20" s="18">
        <v>5154.76047017189</v>
      </c>
      <c r="K20" s="18">
        <v>4923.08474975075</v>
      </c>
      <c r="L20" s="18">
        <v>3237.39020958084</v>
      </c>
      <c r="M20" s="18">
        <v>1926.58582888889</v>
      </c>
      <c r="N20" s="18">
        <v>7558.16066191446</v>
      </c>
      <c r="O20" s="18">
        <v>2504.777344</v>
      </c>
      <c r="P20" s="18">
        <v>1245.68974375077</v>
      </c>
      <c r="Q20" s="18">
        <v>1631.42108349991</v>
      </c>
      <c r="R20" s="18">
        <v>5225.19858070866</v>
      </c>
      <c r="S20" s="18">
        <v>3498.9568837157</v>
      </c>
      <c r="T20" s="18">
        <v>1625.47000548794</v>
      </c>
      <c r="U20" s="18">
        <v>1523.32622414604</v>
      </c>
      <c r="V20" s="18">
        <v>1286.16596134787</v>
      </c>
      <c r="W20" s="18">
        <v>1245.83672923635</v>
      </c>
    </row>
    <row r="21" spans="1:23">
      <c r="A21" s="12">
        <v>2035</v>
      </c>
      <c r="B21" s="18">
        <v>4204.64343597561</v>
      </c>
      <c r="C21" s="18">
        <v>4649.74124032587</v>
      </c>
      <c r="D21" s="18">
        <v>1152.32407676211</v>
      </c>
      <c r="E21" s="18">
        <v>946.190303959903</v>
      </c>
      <c r="F21" s="18">
        <v>508.979757944719</v>
      </c>
      <c r="G21" s="18">
        <v>839.743840387965</v>
      </c>
      <c r="H21" s="18">
        <v>618.168914546257</v>
      </c>
      <c r="I21" s="18">
        <v>1665.42301550323</v>
      </c>
      <c r="J21" s="18">
        <v>5045.21760869565</v>
      </c>
      <c r="K21" s="18">
        <v>4854.46638584247</v>
      </c>
      <c r="L21" s="18">
        <v>3196.96325149701</v>
      </c>
      <c r="M21" s="18">
        <v>1894.37377888889</v>
      </c>
      <c r="N21" s="18">
        <v>7474.37120162933</v>
      </c>
      <c r="O21" s="18">
        <v>2477.008301</v>
      </c>
      <c r="P21" s="18">
        <v>1212.21249836773</v>
      </c>
      <c r="Q21" s="18">
        <v>1613.33528901721</v>
      </c>
      <c r="R21" s="18">
        <v>5144.35006692913</v>
      </c>
      <c r="S21" s="18">
        <v>3450.03403508772</v>
      </c>
      <c r="T21" s="18">
        <v>1608.23921298274</v>
      </c>
      <c r="U21" s="18">
        <v>1507.17830147258</v>
      </c>
      <c r="V21" s="18">
        <v>1268.23904658077</v>
      </c>
      <c r="W21" s="18">
        <v>1226.84204800935</v>
      </c>
    </row>
    <row r="22" spans="1:23">
      <c r="A22" s="12">
        <v>2036</v>
      </c>
      <c r="B22" s="18">
        <v>4151.11088922764</v>
      </c>
      <c r="C22" s="18">
        <v>4590.54186252546</v>
      </c>
      <c r="D22" s="18">
        <v>1140.10722623411</v>
      </c>
      <c r="E22" s="18">
        <v>936.158885091964</v>
      </c>
      <c r="F22" s="18">
        <v>501.934129832032</v>
      </c>
      <c r="G22" s="18">
        <v>830.840954708594</v>
      </c>
      <c r="H22" s="18">
        <v>610.47914950728</v>
      </c>
      <c r="I22" s="18">
        <v>1639.50490094674</v>
      </c>
      <c r="J22" s="18">
        <v>4939.64419110212</v>
      </c>
      <c r="K22" s="18">
        <v>4789.033777667</v>
      </c>
      <c r="L22" s="18">
        <v>3158.55593512974</v>
      </c>
      <c r="M22" s="18">
        <v>2902.07546666667</v>
      </c>
      <c r="N22" s="18">
        <v>7395.12941955193</v>
      </c>
      <c r="O22" s="18">
        <v>2450.746094</v>
      </c>
      <c r="P22" s="18">
        <v>1179.79934968297</v>
      </c>
      <c r="Q22" s="18">
        <v>1596.23077055979</v>
      </c>
      <c r="R22" s="18">
        <v>5067.01179527559</v>
      </c>
      <c r="S22" s="18">
        <v>3403.37797008547</v>
      </c>
      <c r="T22" s="18">
        <v>1591.97389016273</v>
      </c>
      <c r="U22" s="18">
        <v>1491.93489475922</v>
      </c>
      <c r="V22" s="18">
        <v>1251.14460555005</v>
      </c>
      <c r="W22" s="18">
        <v>1208.67955276081</v>
      </c>
    </row>
    <row r="23" spans="1:23">
      <c r="A23" s="12">
        <v>2037</v>
      </c>
      <c r="B23" s="18">
        <v>4098.45863922764</v>
      </c>
      <c r="C23" s="18">
        <v>4532.31506924644</v>
      </c>
      <c r="D23" s="18">
        <v>1128.09254454404</v>
      </c>
      <c r="E23" s="18">
        <v>926.29330898547</v>
      </c>
      <c r="F23" s="18">
        <v>496.130374588873</v>
      </c>
      <c r="G23" s="18">
        <v>822.085359916095</v>
      </c>
      <c r="H23" s="18">
        <v>603.691580563318</v>
      </c>
      <c r="I23" s="18">
        <v>1615.45708723299</v>
      </c>
      <c r="J23" s="18">
        <v>4835.81703437816</v>
      </c>
      <c r="K23" s="18">
        <v>4724.67363509472</v>
      </c>
      <c r="L23" s="18">
        <v>3120.78114271457</v>
      </c>
      <c r="M23" s="18">
        <v>2855.86724222222</v>
      </c>
      <c r="N23" s="18">
        <v>7317.19784215886</v>
      </c>
      <c r="O23" s="18">
        <v>2424.917969</v>
      </c>
      <c r="P23" s="18">
        <v>1146.04795838928</v>
      </c>
      <c r="Q23" s="18">
        <v>1579.40939450392</v>
      </c>
      <c r="R23" s="18">
        <v>4990.93651968504</v>
      </c>
      <c r="S23" s="18">
        <v>3357.48711088619</v>
      </c>
      <c r="T23" s="18">
        <v>1575.97815797475</v>
      </c>
      <c r="U23" s="18">
        <v>1476.94453601958</v>
      </c>
      <c r="V23" s="18">
        <v>1234.33047869177</v>
      </c>
      <c r="W23" s="18">
        <v>1190.81435008586</v>
      </c>
    </row>
    <row r="24" spans="1:23">
      <c r="A24" s="12">
        <v>2038</v>
      </c>
      <c r="B24" s="18">
        <v>4047.64662296748</v>
      </c>
      <c r="C24" s="18">
        <v>4476.12543380855</v>
      </c>
      <c r="D24" s="18">
        <v>1116.54630704842</v>
      </c>
      <c r="E24" s="18">
        <v>916.812523041013</v>
      </c>
      <c r="F24" s="18">
        <v>491.604288819957</v>
      </c>
      <c r="G24" s="18">
        <v>813.671039287192</v>
      </c>
      <c r="H24" s="18">
        <v>597.892836262686</v>
      </c>
      <c r="I24" s="18">
        <v>1593.55262572813</v>
      </c>
      <c r="J24" s="18">
        <v>4734.82477148635</v>
      </c>
      <c r="K24" s="18">
        <v>4662.49299002991</v>
      </c>
      <c r="L24" s="18">
        <v>3084.37227145709</v>
      </c>
      <c r="M24" s="18">
        <v>2809.47374111111</v>
      </c>
      <c r="N24" s="18">
        <v>7242.30385234216</v>
      </c>
      <c r="O24" s="18">
        <v>2400.097168</v>
      </c>
      <c r="P24" s="18">
        <v>1118.29639265433</v>
      </c>
      <c r="Q24" s="18">
        <v>1563.24384536351</v>
      </c>
      <c r="R24" s="18">
        <v>4917.28919291339</v>
      </c>
      <c r="S24" s="18">
        <v>3313.14697818264</v>
      </c>
      <c r="T24" s="18">
        <v>1563.18923102674</v>
      </c>
      <c r="U24" s="18">
        <v>1464.95926590085</v>
      </c>
      <c r="V24" s="18">
        <v>1218.08569078295</v>
      </c>
      <c r="W24" s="18">
        <v>1173.52356438972</v>
      </c>
    </row>
    <row r="25" spans="1:23">
      <c r="A25" s="12">
        <v>2039</v>
      </c>
      <c r="B25" s="18">
        <v>3996.41902235772</v>
      </c>
      <c r="C25" s="18">
        <v>4419.47436659878</v>
      </c>
      <c r="D25" s="18">
        <v>1104.84699793962</v>
      </c>
      <c r="E25" s="18">
        <v>907.206117018737</v>
      </c>
      <c r="F25" s="18">
        <v>487.002323640894</v>
      </c>
      <c r="G25" s="18">
        <v>805.145428040836</v>
      </c>
      <c r="H25" s="18">
        <v>592.006173702015</v>
      </c>
      <c r="I25" s="18">
        <v>1571.51376228378</v>
      </c>
      <c r="J25" s="18">
        <v>4633.99197775531</v>
      </c>
      <c r="K25" s="18">
        <v>4599.88832303091</v>
      </c>
      <c r="L25" s="18">
        <v>3047.61058982036</v>
      </c>
      <c r="M25" s="18">
        <v>2769.20545777778</v>
      </c>
      <c r="N25" s="18">
        <v>7166.41987372709</v>
      </c>
      <c r="O25" s="18">
        <v>2374.94751</v>
      </c>
      <c r="P25" s="18">
        <v>1109.5140973462</v>
      </c>
      <c r="Q25" s="18">
        <v>1546.86410797279</v>
      </c>
      <c r="R25" s="18">
        <v>4843.31987007874</v>
      </c>
      <c r="S25" s="18">
        <v>3268.50839631129</v>
      </c>
      <c r="T25" s="18">
        <v>1550.91301807504</v>
      </c>
      <c r="U25" s="18">
        <v>1453.45452625102</v>
      </c>
      <c r="V25" s="18">
        <v>1201.73020416254</v>
      </c>
      <c r="W25" s="18">
        <v>1156.15163517171</v>
      </c>
    </row>
    <row r="26" spans="1:23">
      <c r="A26" s="12">
        <v>2040</v>
      </c>
      <c r="B26" s="18">
        <v>3946.91529268293</v>
      </c>
      <c r="C26" s="18">
        <v>4364.73067922607</v>
      </c>
      <c r="D26" s="18">
        <v>1093.58672428461</v>
      </c>
      <c r="E26" s="18">
        <v>897.960133556692</v>
      </c>
      <c r="F26" s="18">
        <v>482.585346095273</v>
      </c>
      <c r="G26" s="18">
        <v>796.939536405362</v>
      </c>
      <c r="H26" s="18">
        <v>586.348874834534</v>
      </c>
      <c r="I26" s="18">
        <v>1550.18195465609</v>
      </c>
      <c r="J26" s="18">
        <v>4535.79412639029</v>
      </c>
      <c r="K26" s="18">
        <v>4539.32538285145</v>
      </c>
      <c r="L26" s="18">
        <v>3012.1285748503</v>
      </c>
      <c r="M26" s="18">
        <v>2730.20534888889</v>
      </c>
      <c r="N26" s="18">
        <v>7093.38105397149</v>
      </c>
      <c r="O26" s="18">
        <v>2350.741211</v>
      </c>
      <c r="P26" s="18">
        <v>1101.12702115125</v>
      </c>
      <c r="Q26" s="18">
        <v>1531.09889846131</v>
      </c>
      <c r="R26" s="18">
        <v>4771.62230511811</v>
      </c>
      <c r="S26" s="18">
        <v>3225.32224808817</v>
      </c>
      <c r="T26" s="18">
        <v>1539.18921755739</v>
      </c>
      <c r="U26" s="18">
        <v>1442.46741033891</v>
      </c>
      <c r="V26" s="18">
        <v>1185.9080049554</v>
      </c>
      <c r="W26" s="18">
        <v>1139.31774821737</v>
      </c>
    </row>
    <row r="27" spans="1:23">
      <c r="A27" s="12">
        <v>2041</v>
      </c>
      <c r="B27" s="18">
        <v>3898.59777947154</v>
      </c>
      <c r="C27" s="18">
        <v>4311.29819144603</v>
      </c>
      <c r="D27" s="18">
        <v>1082.61844540407</v>
      </c>
      <c r="E27" s="18">
        <v>888.95396763848</v>
      </c>
      <c r="F27" s="18">
        <v>478.288981788792</v>
      </c>
      <c r="G27" s="18">
        <v>788.946595206251</v>
      </c>
      <c r="H27" s="18">
        <v>580.842559567583</v>
      </c>
      <c r="I27" s="18">
        <v>1529.34397686212</v>
      </c>
      <c r="J27" s="18">
        <v>4439.58050252781</v>
      </c>
      <c r="K27" s="18">
        <v>4480.18006480558</v>
      </c>
      <c r="L27" s="18">
        <v>2977.51762075848</v>
      </c>
      <c r="M27" s="18">
        <v>2692.09662555556</v>
      </c>
      <c r="N27" s="18">
        <v>7022.2376802444</v>
      </c>
      <c r="O27" s="18">
        <v>2327.163086</v>
      </c>
      <c r="P27" s="18">
        <v>1092.98999803629</v>
      </c>
      <c r="Q27" s="18">
        <v>1515.74261862106</v>
      </c>
      <c r="R27" s="18">
        <v>4701.53520275591</v>
      </c>
      <c r="S27" s="18">
        <v>3183.14621345029</v>
      </c>
      <c r="T27" s="18">
        <v>1527.8152110655</v>
      </c>
      <c r="U27" s="18">
        <v>1431.80813341619</v>
      </c>
      <c r="V27" s="18">
        <v>1170.45612884044</v>
      </c>
      <c r="W27" s="18">
        <v>1124.82314721607</v>
      </c>
    </row>
    <row r="28" spans="1:23">
      <c r="A28" s="12">
        <v>2042</v>
      </c>
      <c r="B28" s="18">
        <v>3847.46694207317</v>
      </c>
      <c r="C28" s="18">
        <v>4254.75452647658</v>
      </c>
      <c r="D28" s="18">
        <v>1070.83066411841</v>
      </c>
      <c r="E28" s="18">
        <v>879.274869489975</v>
      </c>
      <c r="F28" s="18">
        <v>473.621929407715</v>
      </c>
      <c r="G28" s="18">
        <v>780.356381883438</v>
      </c>
      <c r="H28" s="18">
        <v>574.890643844683</v>
      </c>
      <c r="I28" s="18">
        <v>1507.43160907651</v>
      </c>
      <c r="J28" s="18">
        <v>4340.80303235592</v>
      </c>
      <c r="K28" s="18">
        <v>4417.85775473579</v>
      </c>
      <c r="L28" s="18">
        <v>2940.72134031936</v>
      </c>
      <c r="M28" s="18">
        <v>2652.11832666667</v>
      </c>
      <c r="N28" s="18">
        <v>6945.7774114053</v>
      </c>
      <c r="O28" s="18">
        <v>2301.822754</v>
      </c>
      <c r="P28" s="18">
        <v>1083.97979471752</v>
      </c>
      <c r="Q28" s="18">
        <v>1499.23873685927</v>
      </c>
      <c r="R28" s="18">
        <v>4628.23918897638</v>
      </c>
      <c r="S28" s="18">
        <v>3138.71492577598</v>
      </c>
      <c r="T28" s="18">
        <v>1515.22058273982</v>
      </c>
      <c r="U28" s="18">
        <v>1420.00492945265</v>
      </c>
      <c r="V28" s="18">
        <v>1154.17420019822</v>
      </c>
      <c r="W28" s="18">
        <v>1115.55040848253</v>
      </c>
    </row>
    <row r="29" spans="1:23">
      <c r="A29" s="12">
        <v>2043</v>
      </c>
      <c r="B29" s="18">
        <v>3802.22202743902</v>
      </c>
      <c r="C29" s="18">
        <v>4204.72011812627</v>
      </c>
      <c r="D29" s="18">
        <v>1060.64460330708</v>
      </c>
      <c r="E29" s="18">
        <v>870.910855874527</v>
      </c>
      <c r="F29" s="18">
        <v>469.655174123396</v>
      </c>
      <c r="G29" s="18">
        <v>772.93328682633</v>
      </c>
      <c r="H29" s="18">
        <v>569.792897852625</v>
      </c>
      <c r="I29" s="18">
        <v>1487.85422631741</v>
      </c>
      <c r="J29" s="18">
        <v>4249.28658645096</v>
      </c>
      <c r="K29" s="18">
        <v>4362.34947457627</v>
      </c>
      <c r="L29" s="18">
        <v>2908.39098203593</v>
      </c>
      <c r="M29" s="18">
        <v>2616.26953111111</v>
      </c>
      <c r="N29" s="18">
        <v>6879.70729022403</v>
      </c>
      <c r="O29" s="18">
        <v>2279.926025</v>
      </c>
      <c r="P29" s="18">
        <v>1076.54730199172</v>
      </c>
      <c r="Q29" s="18">
        <v>1484.97752032596</v>
      </c>
      <c r="R29" s="18">
        <v>4562.20203346457</v>
      </c>
      <c r="S29" s="18">
        <v>3099.12718848403</v>
      </c>
      <c r="T29" s="18">
        <v>1504.83089480653</v>
      </c>
      <c r="U29" s="18">
        <v>1410.26811393163</v>
      </c>
      <c r="V29" s="18">
        <v>1139.67239147671</v>
      </c>
      <c r="W29" s="18">
        <v>1107.90135485929</v>
      </c>
    </row>
    <row r="30" spans="1:23">
      <c r="A30" s="12">
        <v>2044</v>
      </c>
      <c r="B30" s="18">
        <v>3752.20967073171</v>
      </c>
      <c r="C30" s="18">
        <v>4149.41306822811</v>
      </c>
      <c r="D30" s="18">
        <v>1049.09196695335</v>
      </c>
      <c r="E30" s="18">
        <v>861.424765483083</v>
      </c>
      <c r="F30" s="18">
        <v>465.075075864443</v>
      </c>
      <c r="G30" s="18">
        <v>764.514502487323</v>
      </c>
      <c r="H30" s="18">
        <v>563.955384063833</v>
      </c>
      <c r="I30" s="18">
        <v>1466.43899239628</v>
      </c>
      <c r="J30" s="18">
        <v>4153.05617694641</v>
      </c>
      <c r="K30" s="18">
        <v>4301.42433998006</v>
      </c>
      <c r="L30" s="18">
        <v>2872.37902095808</v>
      </c>
      <c r="M30" s="18">
        <v>2577.21055777778</v>
      </c>
      <c r="N30" s="18">
        <v>6804.77202953157</v>
      </c>
      <c r="O30" s="18">
        <v>2255.091309</v>
      </c>
      <c r="P30" s="18">
        <v>1067.68360341825</v>
      </c>
      <c r="Q30" s="18">
        <v>1468.80287834181</v>
      </c>
      <c r="R30" s="18">
        <v>4490.61981003937</v>
      </c>
      <c r="S30" s="18">
        <v>3055.69393499775</v>
      </c>
      <c r="T30" s="18">
        <v>1492.44119110425</v>
      </c>
      <c r="U30" s="18">
        <v>1398.65700093152</v>
      </c>
      <c r="V30" s="18">
        <v>1123.75582656095</v>
      </c>
      <c r="W30" s="18">
        <v>1098.77970977397</v>
      </c>
    </row>
    <row r="31" spans="1:23">
      <c r="A31" s="12">
        <v>2045</v>
      </c>
      <c r="B31" s="18">
        <v>3707.16671849593</v>
      </c>
      <c r="C31" s="18">
        <v>4099.60241344195</v>
      </c>
      <c r="D31" s="18">
        <v>1038.89150871124</v>
      </c>
      <c r="E31" s="18">
        <v>853.049093354065</v>
      </c>
      <c r="F31" s="18">
        <v>461.08628247391</v>
      </c>
      <c r="G31" s="18">
        <v>757.081012633868</v>
      </c>
      <c r="H31" s="18">
        <v>558.839234630093</v>
      </c>
      <c r="I31" s="18">
        <v>1446.99435859464</v>
      </c>
      <c r="J31" s="18">
        <v>4062.94927805865</v>
      </c>
      <c r="K31" s="18">
        <v>4246.25099302094</v>
      </c>
      <c r="L31" s="18">
        <v>2840.13637724551</v>
      </c>
      <c r="M31" s="18">
        <v>2541.63709888889</v>
      </c>
      <c r="N31" s="18">
        <v>6738.60942260692</v>
      </c>
      <c r="O31" s="18">
        <v>2233.163574</v>
      </c>
      <c r="P31" s="18">
        <v>1060.15242777384</v>
      </c>
      <c r="Q31" s="18">
        <v>1454.52183425698</v>
      </c>
      <c r="R31" s="18">
        <v>4425.16417027559</v>
      </c>
      <c r="S31" s="18">
        <v>3016.34863585245</v>
      </c>
      <c r="T31" s="18">
        <v>1481.91385136772</v>
      </c>
      <c r="U31" s="18">
        <v>1388.79115398963</v>
      </c>
      <c r="V31" s="18">
        <v>1109.34173042616</v>
      </c>
      <c r="W31" s="18">
        <v>1091.0289939506</v>
      </c>
    </row>
    <row r="32" spans="1:23">
      <c r="A32" s="12">
        <v>2046</v>
      </c>
      <c r="B32" s="18">
        <v>3658.27730995935</v>
      </c>
      <c r="C32" s="18">
        <v>4045.53744704684</v>
      </c>
      <c r="D32" s="18">
        <v>1027.57666432808</v>
      </c>
      <c r="E32" s="18">
        <v>843.758282826161</v>
      </c>
      <c r="F32" s="18">
        <v>456.594510632247</v>
      </c>
      <c r="G32" s="18">
        <v>748.83530266437</v>
      </c>
      <c r="H32" s="18">
        <v>553.117693778497</v>
      </c>
      <c r="I32" s="18">
        <v>1426.07696709696</v>
      </c>
      <c r="J32" s="18">
        <v>3969.24716784631</v>
      </c>
      <c r="K32" s="18">
        <v>4186.72692821535</v>
      </c>
      <c r="L32" s="18">
        <v>2804.91263572854</v>
      </c>
      <c r="M32" s="18">
        <v>2503.49772111111</v>
      </c>
      <c r="N32" s="18">
        <v>6665.21607739308</v>
      </c>
      <c r="O32" s="18">
        <v>2208.840088</v>
      </c>
      <c r="P32" s="18">
        <v>1051.43997675446</v>
      </c>
      <c r="Q32" s="18">
        <v>1438.67984096162</v>
      </c>
      <c r="R32" s="18">
        <v>4355.29525590551</v>
      </c>
      <c r="S32" s="18">
        <v>2973.91478744939</v>
      </c>
      <c r="T32" s="18">
        <v>1469.73518770111</v>
      </c>
      <c r="U32" s="18">
        <v>1377.37774801381</v>
      </c>
      <c r="V32" s="18">
        <v>1093.79089197225</v>
      </c>
      <c r="W32" s="18">
        <v>1082.06275751018</v>
      </c>
    </row>
    <row r="33" spans="1:23">
      <c r="A33" s="12">
        <v>2047</v>
      </c>
      <c r="B33" s="18">
        <v>3612.83663617886</v>
      </c>
      <c r="C33" s="18">
        <v>3995.28674338086</v>
      </c>
      <c r="D33" s="18">
        <v>1017.19237197244</v>
      </c>
      <c r="E33" s="18">
        <v>835.23163261213</v>
      </c>
      <c r="F33" s="18">
        <v>452.508084100085</v>
      </c>
      <c r="G33" s="18">
        <v>741.268088177278</v>
      </c>
      <c r="H33" s="18">
        <v>547.891688115899</v>
      </c>
      <c r="I33" s="18">
        <v>1406.53286050958</v>
      </c>
      <c r="J33" s="18">
        <v>3879.91984125379</v>
      </c>
      <c r="K33" s="18">
        <v>4131.20550448654</v>
      </c>
      <c r="L33" s="18">
        <v>2772.29817664671</v>
      </c>
      <c r="M33" s="18">
        <v>2467.79107</v>
      </c>
      <c r="N33" s="18">
        <v>6597.86160692464</v>
      </c>
      <c r="O33" s="18">
        <v>2186.517578</v>
      </c>
      <c r="P33" s="18">
        <v>1043.63538486229</v>
      </c>
      <c r="Q33" s="18">
        <v>1424.14154254316</v>
      </c>
      <c r="R33" s="18">
        <v>4289.71322145669</v>
      </c>
      <c r="S33" s="18">
        <v>2934.32650134953</v>
      </c>
      <c r="T33" s="18">
        <v>1458.8256700138</v>
      </c>
      <c r="U33" s="18">
        <v>1367.1538858164</v>
      </c>
      <c r="V33" s="18">
        <v>1079.28557581764</v>
      </c>
      <c r="W33" s="18">
        <v>1074.03095374988</v>
      </c>
    </row>
    <row r="34" spans="1:23">
      <c r="A34" s="12">
        <v>2048</v>
      </c>
      <c r="B34" s="18">
        <v>3567.41258536585</v>
      </c>
      <c r="C34" s="18">
        <v>3945.05319348269</v>
      </c>
      <c r="D34" s="18">
        <v>1006.7770721696</v>
      </c>
      <c r="E34" s="18">
        <v>826.679391354344</v>
      </c>
      <c r="F34" s="18">
        <v>448.399676523743</v>
      </c>
      <c r="G34" s="18">
        <v>733.677909494164</v>
      </c>
      <c r="H34" s="18">
        <v>542.643182821003</v>
      </c>
      <c r="I34" s="18">
        <v>1387.02238292344</v>
      </c>
      <c r="J34" s="18">
        <v>3789.20888574317</v>
      </c>
      <c r="K34" s="18">
        <v>4075.75442572283</v>
      </c>
      <c r="L34" s="18">
        <v>2739.66203293413</v>
      </c>
      <c r="M34" s="18">
        <v>2432.16525555556</v>
      </c>
      <c r="N34" s="18">
        <v>6530.30327087576</v>
      </c>
      <c r="O34" s="18">
        <v>2164.127441</v>
      </c>
      <c r="P34" s="18">
        <v>1035.75608127169</v>
      </c>
      <c r="Q34" s="18">
        <v>1409.55895497165</v>
      </c>
      <c r="R34" s="18">
        <v>4224.32438385827</v>
      </c>
      <c r="S34" s="18">
        <v>2894.79120557805</v>
      </c>
      <c r="T34" s="18">
        <v>1447.81178623751</v>
      </c>
      <c r="U34" s="18">
        <v>1356.83207353869</v>
      </c>
      <c r="V34" s="18">
        <v>1064.79913181368</v>
      </c>
      <c r="W34" s="18">
        <v>1065.92208747276</v>
      </c>
    </row>
    <row r="35" spans="1:23">
      <c r="A35" s="12">
        <v>2049</v>
      </c>
      <c r="B35" s="18">
        <v>3522.07115650407</v>
      </c>
      <c r="C35" s="18">
        <v>3894.91287474542</v>
      </c>
      <c r="D35" s="18">
        <v>996.348604710237</v>
      </c>
      <c r="E35" s="18">
        <v>818.116541202583</v>
      </c>
      <c r="F35" s="18">
        <v>444.277622702084</v>
      </c>
      <c r="G35" s="18">
        <v>726.078452182782</v>
      </c>
      <c r="H35" s="18">
        <v>537.382221650243</v>
      </c>
      <c r="I35" s="18">
        <v>1367.57267611025</v>
      </c>
      <c r="J35" s="18">
        <v>3699.53694742164</v>
      </c>
      <c r="K35" s="18">
        <v>4020.45328813559</v>
      </c>
      <c r="L35" s="18">
        <v>2707.05610279441</v>
      </c>
      <c r="M35" s="18">
        <v>2396.66666666667</v>
      </c>
      <c r="N35" s="18">
        <v>6462.661401222</v>
      </c>
      <c r="O35" s="18">
        <v>2141.709961</v>
      </c>
      <c r="P35" s="18">
        <v>1027.82056174074</v>
      </c>
      <c r="Q35" s="18">
        <v>1394.95866227084</v>
      </c>
      <c r="R35" s="18">
        <v>4159.20948425197</v>
      </c>
      <c r="S35" s="18">
        <v>2855.36436122357</v>
      </c>
      <c r="T35" s="18">
        <v>1436.71930060578</v>
      </c>
      <c r="U35" s="18">
        <v>1346.43657078955</v>
      </c>
      <c r="V35" s="18">
        <v>1050.35152428147</v>
      </c>
      <c r="W35" s="18">
        <v>1057.75551121918</v>
      </c>
    </row>
    <row r="36" spans="1:23">
      <c r="A36" s="12">
        <v>2050</v>
      </c>
      <c r="B36" s="18">
        <v>3477.13637906504</v>
      </c>
      <c r="C36" s="18">
        <v>3845.22130753564</v>
      </c>
      <c r="D36" s="18">
        <v>985.998581727571</v>
      </c>
      <c r="E36" s="18">
        <v>809.617928916208</v>
      </c>
      <c r="F36" s="18">
        <v>440.182261751973</v>
      </c>
      <c r="G36" s="18">
        <v>718.535844390774</v>
      </c>
      <c r="H36" s="18">
        <v>532.157899139579</v>
      </c>
      <c r="I36" s="18">
        <v>1348.30881861084</v>
      </c>
      <c r="J36" s="18">
        <v>3612.66336905966</v>
      </c>
      <c r="K36" s="18">
        <v>3965.67012861416</v>
      </c>
      <c r="L36" s="18">
        <v>2674.72793712575</v>
      </c>
      <c r="M36" s="18">
        <v>2690.83333333333</v>
      </c>
      <c r="N36" s="18">
        <v>6395.52720468432</v>
      </c>
      <c r="O36" s="18">
        <v>2119.460693</v>
      </c>
      <c r="P36" s="18">
        <v>1019.92257997634</v>
      </c>
      <c r="Q36" s="18">
        <v>1380.46783648358</v>
      </c>
      <c r="R36" s="18">
        <v>4094.75155314961</v>
      </c>
      <c r="S36" s="18">
        <v>2816.30735267656</v>
      </c>
      <c r="T36" s="18">
        <v>1425.67925015814</v>
      </c>
      <c r="U36" s="18">
        <v>1336.09039541898</v>
      </c>
      <c r="V36" s="18">
        <v>1036.03929335976</v>
      </c>
      <c r="W36" s="18">
        <v>1049.62752448317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workbookViewId="0">
      <selection activeCell="H15" sqref="H15"/>
    </sheetView>
  </sheetViews>
  <sheetFormatPr defaultColWidth="8.81818181818182" defaultRowHeight="14.5"/>
  <sheetData>
    <row r="1" spans="1:1">
      <c r="A1" s="9" t="s">
        <v>158</v>
      </c>
    </row>
    <row r="2" spans="1:1">
      <c r="A2" s="2" t="s">
        <v>159</v>
      </c>
    </row>
    <row r="3" spans="12:12">
      <c r="L3" s="14">
        <f>3.6/1.055</f>
        <v>3.41232227488152</v>
      </c>
    </row>
    <row r="4" ht="43.5" spans="1:20">
      <c r="A4" s="10" t="s">
        <v>148</v>
      </c>
      <c r="B4" s="10" t="s">
        <v>43</v>
      </c>
      <c r="C4" s="11" t="s">
        <v>48</v>
      </c>
      <c r="D4" s="11" t="s">
        <v>149</v>
      </c>
      <c r="E4" s="11" t="s">
        <v>65</v>
      </c>
      <c r="F4" s="11" t="s">
        <v>61</v>
      </c>
      <c r="G4" s="11" t="s">
        <v>58</v>
      </c>
      <c r="H4" s="11" t="s">
        <v>54</v>
      </c>
      <c r="I4" s="11" t="s">
        <v>51</v>
      </c>
      <c r="J4" s="11" t="s">
        <v>150</v>
      </c>
      <c r="K4" s="15" t="str">
        <f>A4</f>
        <v>Online Year</v>
      </c>
      <c r="L4" t="str">
        <f>B4</f>
        <v>Coal with 30% CCS</v>
      </c>
      <c r="M4" t="str">
        <f t="shared" ref="M4:T4" si="0">C4</f>
        <v>Coal with 90% CCS</v>
      </c>
      <c r="N4" t="str">
        <f t="shared" si="0"/>
        <v>Internal Combustion</v>
      </c>
      <c r="O4" t="str">
        <f t="shared" si="0"/>
        <v>Comb. Turb</v>
      </c>
      <c r="P4" t="str">
        <f t="shared" si="0"/>
        <v>Adv. CT</v>
      </c>
      <c r="Q4" t="str">
        <f t="shared" si="0"/>
        <v>Comb. Cyc</v>
      </c>
      <c r="R4" t="str">
        <f t="shared" si="0"/>
        <v>Adv CC</v>
      </c>
      <c r="S4" t="str">
        <f t="shared" si="0"/>
        <v>Adv CC w/seq</v>
      </c>
      <c r="T4" t="str">
        <f t="shared" si="0"/>
        <v>Fuel Cell</v>
      </c>
    </row>
    <row r="5" spans="1:20">
      <c r="A5" s="12">
        <v>2019</v>
      </c>
      <c r="B5" s="13">
        <v>9750</v>
      </c>
      <c r="C5" s="13">
        <v>11650</v>
      </c>
      <c r="D5" s="13">
        <v>8500</v>
      </c>
      <c r="E5" s="13">
        <v>9840</v>
      </c>
      <c r="F5" s="13">
        <v>9800</v>
      </c>
      <c r="G5" s="13">
        <v>6600</v>
      </c>
      <c r="H5" s="13">
        <v>6300</v>
      </c>
      <c r="I5" s="13">
        <v>7525</v>
      </c>
      <c r="J5" s="13">
        <v>9500</v>
      </c>
      <c r="K5" s="16">
        <f>A5</f>
        <v>2019</v>
      </c>
      <c r="L5" s="17">
        <f>1000/(B5/$L$3)</f>
        <v>0.34998177178272</v>
      </c>
      <c r="M5" s="17">
        <f t="shared" ref="M5:S5" si="1">1000/(C5/$L$3)</f>
        <v>0.292903199560645</v>
      </c>
      <c r="N5" s="17">
        <f t="shared" si="1"/>
        <v>0.401449679397825</v>
      </c>
      <c r="O5" s="17">
        <f t="shared" si="1"/>
        <v>0.346780718992024</v>
      </c>
      <c r="P5" s="17">
        <f t="shared" si="1"/>
        <v>0.348196150498114</v>
      </c>
      <c r="Q5" s="17">
        <f t="shared" si="1"/>
        <v>0.517018526497199</v>
      </c>
      <c r="R5" s="17">
        <f t="shared" si="1"/>
        <v>0.541638456330399</v>
      </c>
      <c r="S5" s="17">
        <f t="shared" si="1"/>
        <v>0.453464754137079</v>
      </c>
      <c r="T5" s="17">
        <f t="shared" ref="T5" si="2">1000/(J5/$L$3)</f>
        <v>0.359191818408581</v>
      </c>
    </row>
    <row r="6" spans="1:20">
      <c r="A6" s="12">
        <v>2020</v>
      </c>
      <c r="B6" s="13">
        <v>9750</v>
      </c>
      <c r="C6" s="13">
        <v>11650</v>
      </c>
      <c r="D6" s="13">
        <v>8500</v>
      </c>
      <c r="E6" s="13">
        <v>9800</v>
      </c>
      <c r="F6" s="13">
        <v>9800</v>
      </c>
      <c r="G6" s="13">
        <v>6600</v>
      </c>
      <c r="H6" s="13">
        <v>6300</v>
      </c>
      <c r="I6" s="13">
        <v>7525</v>
      </c>
      <c r="J6" s="13">
        <v>9500</v>
      </c>
      <c r="K6" s="16">
        <f t="shared" ref="K6:K36" si="3">A6</f>
        <v>2020</v>
      </c>
      <c r="L6" s="17">
        <f t="shared" ref="L6:L36" si="4">1000/(B6/$L$3)</f>
        <v>0.34998177178272</v>
      </c>
      <c r="M6" s="17">
        <f t="shared" ref="M6:M36" si="5">1000/(C6/$L$3)</f>
        <v>0.292903199560645</v>
      </c>
      <c r="N6" s="17">
        <f t="shared" ref="N6:N36" si="6">1000/(D6/$L$3)</f>
        <v>0.401449679397825</v>
      </c>
      <c r="O6" s="17">
        <f t="shared" ref="O6:O36" si="7">1000/(E6/$L$3)</f>
        <v>0.348196150498114</v>
      </c>
      <c r="P6" s="17">
        <f t="shared" ref="P6:P36" si="8">1000/(F6/$L$3)</f>
        <v>0.348196150498114</v>
      </c>
      <c r="Q6" s="17">
        <f t="shared" ref="Q6:Q36" si="9">1000/(G6/$L$3)</f>
        <v>0.517018526497199</v>
      </c>
      <c r="R6" s="17">
        <f t="shared" ref="R6:R36" si="10">1000/(H6/$L$3)</f>
        <v>0.541638456330399</v>
      </c>
      <c r="S6" s="17">
        <f t="shared" ref="S6:S36" si="11">1000/(I6/$L$3)</f>
        <v>0.453464754137079</v>
      </c>
      <c r="T6" s="17">
        <f t="shared" ref="T6:T36" si="12">1000/(J6/$L$3)</f>
        <v>0.359191818408581</v>
      </c>
    </row>
    <row r="7" spans="1:20">
      <c r="A7" s="12">
        <v>2021</v>
      </c>
      <c r="B7" s="13">
        <v>9750</v>
      </c>
      <c r="C7" s="13">
        <v>11650</v>
      </c>
      <c r="D7" s="13">
        <v>8432</v>
      </c>
      <c r="E7" s="13">
        <v>9760</v>
      </c>
      <c r="F7" s="13">
        <v>9550</v>
      </c>
      <c r="G7" s="13">
        <v>6600</v>
      </c>
      <c r="H7" s="13">
        <v>6300</v>
      </c>
      <c r="I7" s="13">
        <v>7525</v>
      </c>
      <c r="J7" s="13">
        <v>9500</v>
      </c>
      <c r="K7" s="16">
        <f t="shared" si="3"/>
        <v>2021</v>
      </c>
      <c r="L7" s="17">
        <f t="shared" si="4"/>
        <v>0.34998177178272</v>
      </c>
      <c r="M7" s="17">
        <f t="shared" si="5"/>
        <v>0.292903199560645</v>
      </c>
      <c r="N7" s="17">
        <f t="shared" si="6"/>
        <v>0.404687176812324</v>
      </c>
      <c r="O7" s="17">
        <f t="shared" si="7"/>
        <v>0.349623183901795</v>
      </c>
      <c r="P7" s="17">
        <f t="shared" si="8"/>
        <v>0.357311232971887</v>
      </c>
      <c r="Q7" s="17">
        <f t="shared" si="9"/>
        <v>0.517018526497199</v>
      </c>
      <c r="R7" s="17">
        <f t="shared" si="10"/>
        <v>0.541638456330399</v>
      </c>
      <c r="S7" s="17">
        <f t="shared" si="11"/>
        <v>0.453464754137079</v>
      </c>
      <c r="T7" s="17">
        <f t="shared" si="12"/>
        <v>0.359191818408581</v>
      </c>
    </row>
    <row r="8" spans="1:20">
      <c r="A8" s="12">
        <v>2022</v>
      </c>
      <c r="B8" s="13">
        <v>9750</v>
      </c>
      <c r="C8" s="13">
        <v>11650</v>
      </c>
      <c r="D8" s="13">
        <v>8364</v>
      </c>
      <c r="E8" s="13">
        <v>9720</v>
      </c>
      <c r="F8" s="13">
        <v>9300</v>
      </c>
      <c r="G8" s="13">
        <v>6537.5</v>
      </c>
      <c r="H8" s="13">
        <v>6275</v>
      </c>
      <c r="I8" s="13">
        <v>7517</v>
      </c>
      <c r="J8" s="13">
        <v>8865</v>
      </c>
      <c r="K8" s="16">
        <f t="shared" si="3"/>
        <v>2022</v>
      </c>
      <c r="L8" s="17">
        <f t="shared" si="4"/>
        <v>0.34998177178272</v>
      </c>
      <c r="M8" s="17">
        <f t="shared" si="5"/>
        <v>0.292903199560645</v>
      </c>
      <c r="N8" s="17">
        <f t="shared" si="6"/>
        <v>0.407977316461205</v>
      </c>
      <c r="O8" s="17">
        <f t="shared" si="7"/>
        <v>0.35106196243637</v>
      </c>
      <c r="P8" s="17">
        <f t="shared" si="8"/>
        <v>0.366916373643174</v>
      </c>
      <c r="Q8" s="17">
        <f t="shared" si="9"/>
        <v>0.521961342238091</v>
      </c>
      <c r="R8" s="17">
        <f t="shared" si="10"/>
        <v>0.543796378467174</v>
      </c>
      <c r="S8" s="17">
        <f t="shared" si="11"/>
        <v>0.45394735597732</v>
      </c>
      <c r="T8" s="17">
        <f t="shared" si="12"/>
        <v>0.384920730387086</v>
      </c>
    </row>
    <row r="9" spans="1:20">
      <c r="A9" s="12">
        <v>2023</v>
      </c>
      <c r="B9" s="13">
        <v>9573.666667</v>
      </c>
      <c r="C9" s="13">
        <v>10852.333333</v>
      </c>
      <c r="D9" s="13">
        <v>8296</v>
      </c>
      <c r="E9" s="13">
        <v>9680</v>
      </c>
      <c r="F9" s="13">
        <v>9050</v>
      </c>
      <c r="G9" s="13">
        <v>6475</v>
      </c>
      <c r="H9" s="13">
        <v>6250</v>
      </c>
      <c r="I9" s="13">
        <v>7509</v>
      </c>
      <c r="J9" s="13">
        <v>8230</v>
      </c>
      <c r="K9" s="16">
        <f t="shared" si="3"/>
        <v>2023</v>
      </c>
      <c r="L9" s="17">
        <f t="shared" si="4"/>
        <v>0.356427938591558</v>
      </c>
      <c r="M9" s="17">
        <f t="shared" si="5"/>
        <v>0.314432129033971</v>
      </c>
      <c r="N9" s="17">
        <f t="shared" si="6"/>
        <v>0.411321392825641</v>
      </c>
      <c r="O9" s="17">
        <f t="shared" si="7"/>
        <v>0.352512631702636</v>
      </c>
      <c r="P9" s="17">
        <f t="shared" si="8"/>
        <v>0.377052185069781</v>
      </c>
      <c r="Q9" s="17">
        <f t="shared" si="9"/>
        <v>0.526999579132281</v>
      </c>
      <c r="R9" s="17">
        <f t="shared" si="10"/>
        <v>0.545971563981043</v>
      </c>
      <c r="S9" s="17">
        <f t="shared" si="11"/>
        <v>0.454430986134174</v>
      </c>
      <c r="T9" s="17">
        <f t="shared" si="12"/>
        <v>0.414619960495932</v>
      </c>
    </row>
    <row r="10" spans="1:20">
      <c r="A10" s="12">
        <v>2024</v>
      </c>
      <c r="B10" s="13">
        <v>9397.333333</v>
      </c>
      <c r="C10" s="13">
        <v>10054.666667</v>
      </c>
      <c r="D10" s="13">
        <v>8228</v>
      </c>
      <c r="E10" s="13">
        <v>9640</v>
      </c>
      <c r="F10" s="13">
        <v>8800</v>
      </c>
      <c r="G10" s="13">
        <v>6412.5</v>
      </c>
      <c r="H10" s="13">
        <v>6225</v>
      </c>
      <c r="I10" s="13">
        <v>7501</v>
      </c>
      <c r="J10" s="13">
        <v>7595</v>
      </c>
      <c r="K10" s="16">
        <f t="shared" si="3"/>
        <v>2024</v>
      </c>
      <c r="L10" s="17">
        <f t="shared" si="4"/>
        <v>0.363116019615766</v>
      </c>
      <c r="M10" s="17">
        <f t="shared" si="5"/>
        <v>0.339376966725407</v>
      </c>
      <c r="N10" s="17">
        <f t="shared" si="6"/>
        <v>0.414720743179572</v>
      </c>
      <c r="O10" s="17">
        <f t="shared" si="7"/>
        <v>0.353975339718</v>
      </c>
      <c r="P10" s="17">
        <f t="shared" si="8"/>
        <v>0.3877638948729</v>
      </c>
      <c r="Q10" s="17">
        <f t="shared" si="9"/>
        <v>0.532136027271971</v>
      </c>
      <c r="R10" s="17">
        <f t="shared" si="10"/>
        <v>0.548164220864501</v>
      </c>
      <c r="S10" s="17">
        <f t="shared" si="11"/>
        <v>0.454915647897816</v>
      </c>
      <c r="T10" s="17">
        <f t="shared" si="12"/>
        <v>0.449285355481437</v>
      </c>
    </row>
    <row r="11" spans="1:20">
      <c r="A11" s="12">
        <v>2025</v>
      </c>
      <c r="B11" s="13">
        <v>9221</v>
      </c>
      <c r="C11" s="13">
        <v>9257</v>
      </c>
      <c r="D11" s="13">
        <v>8160</v>
      </c>
      <c r="E11" s="13">
        <v>9600</v>
      </c>
      <c r="F11" s="13">
        <v>8550</v>
      </c>
      <c r="G11" s="13">
        <v>6350</v>
      </c>
      <c r="H11" s="13">
        <v>6200</v>
      </c>
      <c r="I11" s="13">
        <v>7493</v>
      </c>
      <c r="J11" s="13">
        <v>6960</v>
      </c>
      <c r="K11" s="16">
        <f t="shared" si="3"/>
        <v>2025</v>
      </c>
      <c r="L11" s="17">
        <f t="shared" si="4"/>
        <v>0.370059893165765</v>
      </c>
      <c r="M11" s="17">
        <f t="shared" si="5"/>
        <v>0.368620749149996</v>
      </c>
      <c r="N11" s="17">
        <f t="shared" si="6"/>
        <v>0.418176749372735</v>
      </c>
      <c r="O11" s="17">
        <f t="shared" si="7"/>
        <v>0.355450236966825</v>
      </c>
      <c r="P11" s="17">
        <f t="shared" si="8"/>
        <v>0.399102020453979</v>
      </c>
      <c r="Q11" s="17">
        <f t="shared" si="9"/>
        <v>0.537373586595514</v>
      </c>
      <c r="R11" s="17">
        <f t="shared" si="10"/>
        <v>0.550374560464761</v>
      </c>
      <c r="S11" s="17">
        <f t="shared" si="11"/>
        <v>0.45540134457247</v>
      </c>
      <c r="T11" s="17">
        <f t="shared" si="12"/>
        <v>0.490276188919758</v>
      </c>
    </row>
    <row r="12" spans="1:20">
      <c r="A12" s="12">
        <v>2026</v>
      </c>
      <c r="B12" s="13">
        <v>9221</v>
      </c>
      <c r="C12" s="13">
        <v>9257</v>
      </c>
      <c r="D12" s="13">
        <v>8160</v>
      </c>
      <c r="E12" s="13">
        <v>9600</v>
      </c>
      <c r="F12" s="13">
        <v>8550</v>
      </c>
      <c r="G12" s="13">
        <v>6350</v>
      </c>
      <c r="H12" s="13">
        <v>6200</v>
      </c>
      <c r="I12" s="13">
        <v>7493</v>
      </c>
      <c r="J12" s="13">
        <v>6960</v>
      </c>
      <c r="K12" s="16">
        <f t="shared" si="3"/>
        <v>2026</v>
      </c>
      <c r="L12" s="17">
        <f t="shared" si="4"/>
        <v>0.370059893165765</v>
      </c>
      <c r="M12" s="17">
        <f t="shared" si="5"/>
        <v>0.368620749149996</v>
      </c>
      <c r="N12" s="17">
        <f t="shared" si="6"/>
        <v>0.418176749372735</v>
      </c>
      <c r="O12" s="17">
        <f t="shared" si="7"/>
        <v>0.355450236966825</v>
      </c>
      <c r="P12" s="17">
        <f t="shared" si="8"/>
        <v>0.399102020453979</v>
      </c>
      <c r="Q12" s="17">
        <f t="shared" si="9"/>
        <v>0.537373586595514</v>
      </c>
      <c r="R12" s="17">
        <f t="shared" si="10"/>
        <v>0.550374560464761</v>
      </c>
      <c r="S12" s="17">
        <f t="shared" si="11"/>
        <v>0.45540134457247</v>
      </c>
      <c r="T12" s="17">
        <f t="shared" si="12"/>
        <v>0.490276188919758</v>
      </c>
    </row>
    <row r="13" spans="1:20">
      <c r="A13" s="12">
        <v>2027</v>
      </c>
      <c r="B13" s="13">
        <v>9221</v>
      </c>
      <c r="C13" s="13">
        <v>9257</v>
      </c>
      <c r="D13" s="13">
        <v>8160</v>
      </c>
      <c r="E13" s="13">
        <v>9600</v>
      </c>
      <c r="F13" s="13">
        <v>8550</v>
      </c>
      <c r="G13" s="13">
        <v>6350</v>
      </c>
      <c r="H13" s="13">
        <v>6200</v>
      </c>
      <c r="I13" s="13">
        <v>7493</v>
      </c>
      <c r="J13" s="13">
        <v>6960</v>
      </c>
      <c r="K13" s="16">
        <f t="shared" si="3"/>
        <v>2027</v>
      </c>
      <c r="L13" s="17">
        <f t="shared" si="4"/>
        <v>0.370059893165765</v>
      </c>
      <c r="M13" s="17">
        <f t="shared" si="5"/>
        <v>0.368620749149996</v>
      </c>
      <c r="N13" s="17">
        <f t="shared" si="6"/>
        <v>0.418176749372735</v>
      </c>
      <c r="O13" s="17">
        <f t="shared" si="7"/>
        <v>0.355450236966825</v>
      </c>
      <c r="P13" s="17">
        <f t="shared" si="8"/>
        <v>0.399102020453979</v>
      </c>
      <c r="Q13" s="17">
        <f t="shared" si="9"/>
        <v>0.537373586595514</v>
      </c>
      <c r="R13" s="17">
        <f t="shared" si="10"/>
        <v>0.550374560464761</v>
      </c>
      <c r="S13" s="17">
        <f t="shared" si="11"/>
        <v>0.45540134457247</v>
      </c>
      <c r="T13" s="17">
        <f t="shared" si="12"/>
        <v>0.490276188919758</v>
      </c>
    </row>
    <row r="14" spans="1:20">
      <c r="A14" s="12">
        <v>2028</v>
      </c>
      <c r="B14" s="13">
        <v>9221</v>
      </c>
      <c r="C14" s="13">
        <v>9257</v>
      </c>
      <c r="D14" s="13">
        <v>8160</v>
      </c>
      <c r="E14" s="13">
        <v>9600</v>
      </c>
      <c r="F14" s="13">
        <v>8550</v>
      </c>
      <c r="G14" s="13">
        <v>6350</v>
      </c>
      <c r="H14" s="13">
        <v>6200</v>
      </c>
      <c r="I14" s="13">
        <v>7493</v>
      </c>
      <c r="J14" s="13">
        <v>6960</v>
      </c>
      <c r="K14" s="16">
        <f t="shared" si="3"/>
        <v>2028</v>
      </c>
      <c r="L14" s="17">
        <f t="shared" si="4"/>
        <v>0.370059893165765</v>
      </c>
      <c r="M14" s="17">
        <f t="shared" si="5"/>
        <v>0.368620749149996</v>
      </c>
      <c r="N14" s="17">
        <f t="shared" si="6"/>
        <v>0.418176749372735</v>
      </c>
      <c r="O14" s="17">
        <f t="shared" si="7"/>
        <v>0.355450236966825</v>
      </c>
      <c r="P14" s="17">
        <f t="shared" si="8"/>
        <v>0.399102020453979</v>
      </c>
      <c r="Q14" s="17">
        <f t="shared" si="9"/>
        <v>0.537373586595514</v>
      </c>
      <c r="R14" s="17">
        <f t="shared" si="10"/>
        <v>0.550374560464761</v>
      </c>
      <c r="S14" s="17">
        <f t="shared" si="11"/>
        <v>0.45540134457247</v>
      </c>
      <c r="T14" s="17">
        <f t="shared" si="12"/>
        <v>0.490276188919758</v>
      </c>
    </row>
    <row r="15" spans="1:20">
      <c r="A15" s="12">
        <v>2029</v>
      </c>
      <c r="B15" s="13">
        <v>9221</v>
      </c>
      <c r="C15" s="13">
        <v>9257</v>
      </c>
      <c r="D15" s="13">
        <v>8160</v>
      </c>
      <c r="E15" s="13">
        <v>9600</v>
      </c>
      <c r="F15" s="13">
        <v>8550</v>
      </c>
      <c r="G15" s="13">
        <v>6350</v>
      </c>
      <c r="H15" s="13">
        <v>6200</v>
      </c>
      <c r="I15" s="13">
        <v>7493</v>
      </c>
      <c r="J15" s="13">
        <v>6960</v>
      </c>
      <c r="K15" s="16">
        <f t="shared" si="3"/>
        <v>2029</v>
      </c>
      <c r="L15" s="17">
        <f t="shared" si="4"/>
        <v>0.370059893165765</v>
      </c>
      <c r="M15" s="17">
        <f t="shared" si="5"/>
        <v>0.368620749149996</v>
      </c>
      <c r="N15" s="17">
        <f t="shared" si="6"/>
        <v>0.418176749372735</v>
      </c>
      <c r="O15" s="17">
        <f t="shared" si="7"/>
        <v>0.355450236966825</v>
      </c>
      <c r="P15" s="17">
        <f t="shared" si="8"/>
        <v>0.399102020453979</v>
      </c>
      <c r="Q15" s="17">
        <f t="shared" si="9"/>
        <v>0.537373586595514</v>
      </c>
      <c r="R15" s="17">
        <f t="shared" si="10"/>
        <v>0.550374560464761</v>
      </c>
      <c r="S15" s="17">
        <f t="shared" si="11"/>
        <v>0.45540134457247</v>
      </c>
      <c r="T15" s="17">
        <f t="shared" si="12"/>
        <v>0.490276188919758</v>
      </c>
    </row>
    <row r="16" spans="1:20">
      <c r="A16" s="12">
        <v>2030</v>
      </c>
      <c r="B16" s="13">
        <v>9221</v>
      </c>
      <c r="C16" s="13">
        <v>9257</v>
      </c>
      <c r="D16" s="13">
        <v>8160</v>
      </c>
      <c r="E16" s="13">
        <v>9600</v>
      </c>
      <c r="F16" s="13">
        <v>8550</v>
      </c>
      <c r="G16" s="13">
        <v>6350</v>
      </c>
      <c r="H16" s="13">
        <v>6200</v>
      </c>
      <c r="I16" s="13">
        <v>7493</v>
      </c>
      <c r="J16" s="13">
        <v>6960</v>
      </c>
      <c r="K16" s="16">
        <f t="shared" si="3"/>
        <v>2030</v>
      </c>
      <c r="L16" s="17">
        <f t="shared" si="4"/>
        <v>0.370059893165765</v>
      </c>
      <c r="M16" s="17">
        <f t="shared" si="5"/>
        <v>0.368620749149996</v>
      </c>
      <c r="N16" s="17">
        <f t="shared" si="6"/>
        <v>0.418176749372735</v>
      </c>
      <c r="O16" s="17">
        <f t="shared" si="7"/>
        <v>0.355450236966825</v>
      </c>
      <c r="P16" s="17">
        <f t="shared" si="8"/>
        <v>0.399102020453979</v>
      </c>
      <c r="Q16" s="17">
        <f t="shared" si="9"/>
        <v>0.537373586595514</v>
      </c>
      <c r="R16" s="17">
        <f t="shared" si="10"/>
        <v>0.550374560464761</v>
      </c>
      <c r="S16" s="17">
        <f t="shared" si="11"/>
        <v>0.45540134457247</v>
      </c>
      <c r="T16" s="17">
        <f t="shared" si="12"/>
        <v>0.490276188919758</v>
      </c>
    </row>
    <row r="17" spans="1:20">
      <c r="A17" s="12">
        <v>2031</v>
      </c>
      <c r="B17" s="13">
        <v>9221</v>
      </c>
      <c r="C17" s="13">
        <v>9257</v>
      </c>
      <c r="D17" s="13">
        <v>8160</v>
      </c>
      <c r="E17" s="13">
        <v>9600</v>
      </c>
      <c r="F17" s="13">
        <v>8550</v>
      </c>
      <c r="G17" s="13">
        <v>6350</v>
      </c>
      <c r="H17" s="13">
        <v>6200</v>
      </c>
      <c r="I17" s="13">
        <v>7493</v>
      </c>
      <c r="J17" s="13">
        <v>6960</v>
      </c>
      <c r="K17" s="16">
        <f t="shared" si="3"/>
        <v>2031</v>
      </c>
      <c r="L17" s="17">
        <f t="shared" si="4"/>
        <v>0.370059893165765</v>
      </c>
      <c r="M17" s="17">
        <f t="shared" si="5"/>
        <v>0.368620749149996</v>
      </c>
      <c r="N17" s="17">
        <f t="shared" si="6"/>
        <v>0.418176749372735</v>
      </c>
      <c r="O17" s="17">
        <f t="shared" si="7"/>
        <v>0.355450236966825</v>
      </c>
      <c r="P17" s="17">
        <f t="shared" si="8"/>
        <v>0.399102020453979</v>
      </c>
      <c r="Q17" s="17">
        <f t="shared" si="9"/>
        <v>0.537373586595514</v>
      </c>
      <c r="R17" s="17">
        <f t="shared" si="10"/>
        <v>0.550374560464761</v>
      </c>
      <c r="S17" s="17">
        <f t="shared" si="11"/>
        <v>0.45540134457247</v>
      </c>
      <c r="T17" s="17">
        <f t="shared" si="12"/>
        <v>0.490276188919758</v>
      </c>
    </row>
    <row r="18" spans="1:20">
      <c r="A18" s="12">
        <v>2032</v>
      </c>
      <c r="B18" s="13">
        <v>9221</v>
      </c>
      <c r="C18" s="13">
        <v>9257</v>
      </c>
      <c r="D18" s="13">
        <v>8160</v>
      </c>
      <c r="E18" s="13">
        <v>9600</v>
      </c>
      <c r="F18" s="13">
        <v>8550</v>
      </c>
      <c r="G18" s="13">
        <v>6350</v>
      </c>
      <c r="H18" s="13">
        <v>6200</v>
      </c>
      <c r="I18" s="13">
        <v>7493</v>
      </c>
      <c r="J18" s="13">
        <v>6960</v>
      </c>
      <c r="K18" s="16">
        <f t="shared" si="3"/>
        <v>2032</v>
      </c>
      <c r="L18" s="17">
        <f t="shared" si="4"/>
        <v>0.370059893165765</v>
      </c>
      <c r="M18" s="17">
        <f t="shared" si="5"/>
        <v>0.368620749149996</v>
      </c>
      <c r="N18" s="17">
        <f t="shared" si="6"/>
        <v>0.418176749372735</v>
      </c>
      <c r="O18" s="17">
        <f t="shared" si="7"/>
        <v>0.355450236966825</v>
      </c>
      <c r="P18" s="17">
        <f t="shared" si="8"/>
        <v>0.399102020453979</v>
      </c>
      <c r="Q18" s="17">
        <f t="shared" si="9"/>
        <v>0.537373586595514</v>
      </c>
      <c r="R18" s="17">
        <f t="shared" si="10"/>
        <v>0.550374560464761</v>
      </c>
      <c r="S18" s="17">
        <f t="shared" si="11"/>
        <v>0.45540134457247</v>
      </c>
      <c r="T18" s="17">
        <f t="shared" si="12"/>
        <v>0.490276188919758</v>
      </c>
    </row>
    <row r="19" spans="1:20">
      <c r="A19" s="12">
        <v>2033</v>
      </c>
      <c r="B19" s="13">
        <v>9221</v>
      </c>
      <c r="C19" s="13">
        <v>9257</v>
      </c>
      <c r="D19" s="13">
        <v>8160</v>
      </c>
      <c r="E19" s="13">
        <v>9600</v>
      </c>
      <c r="F19" s="13">
        <v>8550</v>
      </c>
      <c r="G19" s="13">
        <v>6350</v>
      </c>
      <c r="H19" s="13">
        <v>6200</v>
      </c>
      <c r="I19" s="13">
        <v>7493</v>
      </c>
      <c r="J19" s="13">
        <v>6960</v>
      </c>
      <c r="K19" s="16">
        <f t="shared" si="3"/>
        <v>2033</v>
      </c>
      <c r="L19" s="17">
        <f t="shared" si="4"/>
        <v>0.370059893165765</v>
      </c>
      <c r="M19" s="17">
        <f t="shared" si="5"/>
        <v>0.368620749149996</v>
      </c>
      <c r="N19" s="17">
        <f t="shared" si="6"/>
        <v>0.418176749372735</v>
      </c>
      <c r="O19" s="17">
        <f t="shared" si="7"/>
        <v>0.355450236966825</v>
      </c>
      <c r="P19" s="17">
        <f t="shared" si="8"/>
        <v>0.399102020453979</v>
      </c>
      <c r="Q19" s="17">
        <f t="shared" si="9"/>
        <v>0.537373586595514</v>
      </c>
      <c r="R19" s="17">
        <f t="shared" si="10"/>
        <v>0.550374560464761</v>
      </c>
      <c r="S19" s="17">
        <f t="shared" si="11"/>
        <v>0.45540134457247</v>
      </c>
      <c r="T19" s="17">
        <f t="shared" si="12"/>
        <v>0.490276188919758</v>
      </c>
    </row>
    <row r="20" spans="1:20">
      <c r="A20" s="12">
        <v>2034</v>
      </c>
      <c r="B20" s="13">
        <v>9221</v>
      </c>
      <c r="C20" s="13">
        <v>9257</v>
      </c>
      <c r="D20" s="13">
        <v>8160</v>
      </c>
      <c r="E20" s="13">
        <v>9600</v>
      </c>
      <c r="F20" s="13">
        <v>8550</v>
      </c>
      <c r="G20" s="13">
        <v>6350</v>
      </c>
      <c r="H20" s="13">
        <v>6200</v>
      </c>
      <c r="I20" s="13">
        <v>7493</v>
      </c>
      <c r="J20" s="13">
        <v>6960</v>
      </c>
      <c r="K20" s="16">
        <f t="shared" si="3"/>
        <v>2034</v>
      </c>
      <c r="L20" s="17">
        <f t="shared" si="4"/>
        <v>0.370059893165765</v>
      </c>
      <c r="M20" s="17">
        <f t="shared" si="5"/>
        <v>0.368620749149996</v>
      </c>
      <c r="N20" s="17">
        <f t="shared" si="6"/>
        <v>0.418176749372735</v>
      </c>
      <c r="O20" s="17">
        <f t="shared" si="7"/>
        <v>0.355450236966825</v>
      </c>
      <c r="P20" s="17">
        <f t="shared" si="8"/>
        <v>0.399102020453979</v>
      </c>
      <c r="Q20" s="17">
        <f t="shared" si="9"/>
        <v>0.537373586595514</v>
      </c>
      <c r="R20" s="17">
        <f t="shared" si="10"/>
        <v>0.550374560464761</v>
      </c>
      <c r="S20" s="17">
        <f t="shared" si="11"/>
        <v>0.45540134457247</v>
      </c>
      <c r="T20" s="17">
        <f t="shared" si="12"/>
        <v>0.490276188919758</v>
      </c>
    </row>
    <row r="21" spans="1:20">
      <c r="A21" s="12">
        <v>2035</v>
      </c>
      <c r="B21" s="13">
        <v>9221</v>
      </c>
      <c r="C21" s="13">
        <v>9257</v>
      </c>
      <c r="D21" s="13">
        <v>8160</v>
      </c>
      <c r="E21" s="13">
        <v>9600</v>
      </c>
      <c r="F21" s="13">
        <v>8550</v>
      </c>
      <c r="G21" s="13">
        <v>6350</v>
      </c>
      <c r="H21" s="13">
        <v>6200</v>
      </c>
      <c r="I21" s="13">
        <v>7493</v>
      </c>
      <c r="J21" s="13">
        <v>6960</v>
      </c>
      <c r="K21" s="16">
        <f t="shared" si="3"/>
        <v>2035</v>
      </c>
      <c r="L21" s="17">
        <f t="shared" si="4"/>
        <v>0.370059893165765</v>
      </c>
      <c r="M21" s="17">
        <f t="shared" si="5"/>
        <v>0.368620749149996</v>
      </c>
      <c r="N21" s="17">
        <f t="shared" si="6"/>
        <v>0.418176749372735</v>
      </c>
      <c r="O21" s="17">
        <f t="shared" si="7"/>
        <v>0.355450236966825</v>
      </c>
      <c r="P21" s="17">
        <f t="shared" si="8"/>
        <v>0.399102020453979</v>
      </c>
      <c r="Q21" s="17">
        <f t="shared" si="9"/>
        <v>0.537373586595514</v>
      </c>
      <c r="R21" s="17">
        <f t="shared" si="10"/>
        <v>0.550374560464761</v>
      </c>
      <c r="S21" s="17">
        <f t="shared" si="11"/>
        <v>0.45540134457247</v>
      </c>
      <c r="T21" s="17">
        <f t="shared" si="12"/>
        <v>0.490276188919758</v>
      </c>
    </row>
    <row r="22" spans="1:20">
      <c r="A22" s="12">
        <v>2036</v>
      </c>
      <c r="B22" s="13">
        <v>9221</v>
      </c>
      <c r="C22" s="13">
        <v>9257</v>
      </c>
      <c r="D22" s="13">
        <v>8160</v>
      </c>
      <c r="E22" s="13">
        <v>9600</v>
      </c>
      <c r="F22" s="13">
        <v>8550</v>
      </c>
      <c r="G22" s="13">
        <v>6350</v>
      </c>
      <c r="H22" s="13">
        <v>6200</v>
      </c>
      <c r="I22" s="13">
        <v>7493</v>
      </c>
      <c r="J22" s="13">
        <v>6960</v>
      </c>
      <c r="K22" s="16">
        <f t="shared" si="3"/>
        <v>2036</v>
      </c>
      <c r="L22" s="17">
        <f t="shared" si="4"/>
        <v>0.370059893165765</v>
      </c>
      <c r="M22" s="17">
        <f t="shared" si="5"/>
        <v>0.368620749149996</v>
      </c>
      <c r="N22" s="17">
        <f t="shared" si="6"/>
        <v>0.418176749372735</v>
      </c>
      <c r="O22" s="17">
        <f t="shared" si="7"/>
        <v>0.355450236966825</v>
      </c>
      <c r="P22" s="17">
        <f t="shared" si="8"/>
        <v>0.399102020453979</v>
      </c>
      <c r="Q22" s="17">
        <f t="shared" si="9"/>
        <v>0.537373586595514</v>
      </c>
      <c r="R22" s="17">
        <f t="shared" si="10"/>
        <v>0.550374560464761</v>
      </c>
      <c r="S22" s="17">
        <f t="shared" si="11"/>
        <v>0.45540134457247</v>
      </c>
      <c r="T22" s="17">
        <f t="shared" si="12"/>
        <v>0.490276188919758</v>
      </c>
    </row>
    <row r="23" spans="1:20">
      <c r="A23" s="12">
        <v>2037</v>
      </c>
      <c r="B23" s="13">
        <v>9221</v>
      </c>
      <c r="C23" s="13">
        <v>9257</v>
      </c>
      <c r="D23" s="13">
        <v>8160</v>
      </c>
      <c r="E23" s="13">
        <v>9600</v>
      </c>
      <c r="F23" s="13">
        <v>8550</v>
      </c>
      <c r="G23" s="13">
        <v>6350</v>
      </c>
      <c r="H23" s="13">
        <v>6200</v>
      </c>
      <c r="I23" s="13">
        <v>7493</v>
      </c>
      <c r="J23" s="13">
        <v>6960</v>
      </c>
      <c r="K23" s="16">
        <f t="shared" si="3"/>
        <v>2037</v>
      </c>
      <c r="L23" s="17">
        <f t="shared" si="4"/>
        <v>0.370059893165765</v>
      </c>
      <c r="M23" s="17">
        <f t="shared" si="5"/>
        <v>0.368620749149996</v>
      </c>
      <c r="N23" s="17">
        <f t="shared" si="6"/>
        <v>0.418176749372735</v>
      </c>
      <c r="O23" s="17">
        <f t="shared" si="7"/>
        <v>0.355450236966825</v>
      </c>
      <c r="P23" s="17">
        <f t="shared" si="8"/>
        <v>0.399102020453979</v>
      </c>
      <c r="Q23" s="17">
        <f t="shared" si="9"/>
        <v>0.537373586595514</v>
      </c>
      <c r="R23" s="17">
        <f t="shared" si="10"/>
        <v>0.550374560464761</v>
      </c>
      <c r="S23" s="17">
        <f t="shared" si="11"/>
        <v>0.45540134457247</v>
      </c>
      <c r="T23" s="17">
        <f t="shared" si="12"/>
        <v>0.490276188919758</v>
      </c>
    </row>
    <row r="24" spans="1:20">
      <c r="A24" s="12">
        <v>2038</v>
      </c>
      <c r="B24" s="13">
        <v>9221</v>
      </c>
      <c r="C24" s="13">
        <v>9257</v>
      </c>
      <c r="D24" s="13">
        <v>8160</v>
      </c>
      <c r="E24" s="13">
        <v>9600</v>
      </c>
      <c r="F24" s="13">
        <v>8550</v>
      </c>
      <c r="G24" s="13">
        <v>6350</v>
      </c>
      <c r="H24" s="13">
        <v>6200</v>
      </c>
      <c r="I24" s="13">
        <v>7493</v>
      </c>
      <c r="J24" s="13">
        <v>6960</v>
      </c>
      <c r="K24" s="16">
        <f t="shared" si="3"/>
        <v>2038</v>
      </c>
      <c r="L24" s="17">
        <f t="shared" si="4"/>
        <v>0.370059893165765</v>
      </c>
      <c r="M24" s="17">
        <f t="shared" si="5"/>
        <v>0.368620749149996</v>
      </c>
      <c r="N24" s="17">
        <f t="shared" si="6"/>
        <v>0.418176749372735</v>
      </c>
      <c r="O24" s="17">
        <f t="shared" si="7"/>
        <v>0.355450236966825</v>
      </c>
      <c r="P24" s="17">
        <f t="shared" si="8"/>
        <v>0.399102020453979</v>
      </c>
      <c r="Q24" s="17">
        <f t="shared" si="9"/>
        <v>0.537373586595514</v>
      </c>
      <c r="R24" s="17">
        <f t="shared" si="10"/>
        <v>0.550374560464761</v>
      </c>
      <c r="S24" s="17">
        <f t="shared" si="11"/>
        <v>0.45540134457247</v>
      </c>
      <c r="T24" s="17">
        <f t="shared" si="12"/>
        <v>0.490276188919758</v>
      </c>
    </row>
    <row r="25" spans="1:20">
      <c r="A25" s="12">
        <v>2039</v>
      </c>
      <c r="B25" s="13">
        <v>9221</v>
      </c>
      <c r="C25" s="13">
        <v>9257</v>
      </c>
      <c r="D25" s="13">
        <v>8160</v>
      </c>
      <c r="E25" s="13">
        <v>9600</v>
      </c>
      <c r="F25" s="13">
        <v>8550</v>
      </c>
      <c r="G25" s="13">
        <v>6350</v>
      </c>
      <c r="H25" s="13">
        <v>6200</v>
      </c>
      <c r="I25" s="13">
        <v>7493</v>
      </c>
      <c r="J25" s="13">
        <v>6960</v>
      </c>
      <c r="K25" s="16">
        <f t="shared" si="3"/>
        <v>2039</v>
      </c>
      <c r="L25" s="17">
        <f t="shared" si="4"/>
        <v>0.370059893165765</v>
      </c>
      <c r="M25" s="17">
        <f t="shared" si="5"/>
        <v>0.368620749149996</v>
      </c>
      <c r="N25" s="17">
        <f t="shared" si="6"/>
        <v>0.418176749372735</v>
      </c>
      <c r="O25" s="17">
        <f t="shared" si="7"/>
        <v>0.355450236966825</v>
      </c>
      <c r="P25" s="17">
        <f t="shared" si="8"/>
        <v>0.399102020453979</v>
      </c>
      <c r="Q25" s="17">
        <f t="shared" si="9"/>
        <v>0.537373586595514</v>
      </c>
      <c r="R25" s="17">
        <f t="shared" si="10"/>
        <v>0.550374560464761</v>
      </c>
      <c r="S25" s="17">
        <f t="shared" si="11"/>
        <v>0.45540134457247</v>
      </c>
      <c r="T25" s="17">
        <f t="shared" si="12"/>
        <v>0.490276188919758</v>
      </c>
    </row>
    <row r="26" spans="1:20">
      <c r="A26" s="12">
        <v>2040</v>
      </c>
      <c r="B26" s="13">
        <v>9221</v>
      </c>
      <c r="C26" s="13">
        <v>9257</v>
      </c>
      <c r="D26" s="13">
        <v>8160</v>
      </c>
      <c r="E26" s="13">
        <v>9600</v>
      </c>
      <c r="F26" s="13">
        <v>8550</v>
      </c>
      <c r="G26" s="13">
        <v>6350</v>
      </c>
      <c r="H26" s="13">
        <v>6200</v>
      </c>
      <c r="I26" s="13">
        <v>7493</v>
      </c>
      <c r="J26" s="13">
        <v>6960</v>
      </c>
      <c r="K26" s="16">
        <f t="shared" si="3"/>
        <v>2040</v>
      </c>
      <c r="L26" s="17">
        <f t="shared" si="4"/>
        <v>0.370059893165765</v>
      </c>
      <c r="M26" s="17">
        <f t="shared" si="5"/>
        <v>0.368620749149996</v>
      </c>
      <c r="N26" s="17">
        <f t="shared" si="6"/>
        <v>0.418176749372735</v>
      </c>
      <c r="O26" s="17">
        <f t="shared" si="7"/>
        <v>0.355450236966825</v>
      </c>
      <c r="P26" s="17">
        <f t="shared" si="8"/>
        <v>0.399102020453979</v>
      </c>
      <c r="Q26" s="17">
        <f t="shared" si="9"/>
        <v>0.537373586595514</v>
      </c>
      <c r="R26" s="17">
        <f t="shared" si="10"/>
        <v>0.550374560464761</v>
      </c>
      <c r="S26" s="17">
        <f t="shared" si="11"/>
        <v>0.45540134457247</v>
      </c>
      <c r="T26" s="17">
        <f t="shared" si="12"/>
        <v>0.490276188919758</v>
      </c>
    </row>
    <row r="27" spans="1:20">
      <c r="A27" s="12">
        <v>2041</v>
      </c>
      <c r="B27" s="13">
        <v>9221</v>
      </c>
      <c r="C27" s="13">
        <v>9257</v>
      </c>
      <c r="D27" s="13">
        <v>8160</v>
      </c>
      <c r="E27" s="13">
        <v>9600</v>
      </c>
      <c r="F27" s="13">
        <v>8550</v>
      </c>
      <c r="G27" s="13">
        <v>6350</v>
      </c>
      <c r="H27" s="13">
        <v>6200</v>
      </c>
      <c r="I27" s="13">
        <v>7493</v>
      </c>
      <c r="J27" s="13">
        <v>6960</v>
      </c>
      <c r="K27" s="16">
        <f t="shared" si="3"/>
        <v>2041</v>
      </c>
      <c r="L27" s="17">
        <f t="shared" si="4"/>
        <v>0.370059893165765</v>
      </c>
      <c r="M27" s="17">
        <f t="shared" si="5"/>
        <v>0.368620749149996</v>
      </c>
      <c r="N27" s="17">
        <f t="shared" si="6"/>
        <v>0.418176749372735</v>
      </c>
      <c r="O27" s="17">
        <f t="shared" si="7"/>
        <v>0.355450236966825</v>
      </c>
      <c r="P27" s="17">
        <f t="shared" si="8"/>
        <v>0.399102020453979</v>
      </c>
      <c r="Q27" s="17">
        <f t="shared" si="9"/>
        <v>0.537373586595514</v>
      </c>
      <c r="R27" s="17">
        <f t="shared" si="10"/>
        <v>0.550374560464761</v>
      </c>
      <c r="S27" s="17">
        <f t="shared" si="11"/>
        <v>0.45540134457247</v>
      </c>
      <c r="T27" s="17">
        <f t="shared" si="12"/>
        <v>0.490276188919758</v>
      </c>
    </row>
    <row r="28" spans="1:20">
      <c r="A28" s="12">
        <v>2042</v>
      </c>
      <c r="B28" s="13">
        <v>9221</v>
      </c>
      <c r="C28" s="13">
        <v>9257</v>
      </c>
      <c r="D28" s="13">
        <v>8160</v>
      </c>
      <c r="E28" s="13">
        <v>9600</v>
      </c>
      <c r="F28" s="13">
        <v>8550</v>
      </c>
      <c r="G28" s="13">
        <v>6350</v>
      </c>
      <c r="H28" s="13">
        <v>6200</v>
      </c>
      <c r="I28" s="13">
        <v>7493</v>
      </c>
      <c r="J28" s="13">
        <v>6960</v>
      </c>
      <c r="K28" s="16">
        <f t="shared" si="3"/>
        <v>2042</v>
      </c>
      <c r="L28" s="17">
        <f t="shared" si="4"/>
        <v>0.370059893165765</v>
      </c>
      <c r="M28" s="17">
        <f t="shared" si="5"/>
        <v>0.368620749149996</v>
      </c>
      <c r="N28" s="17">
        <f t="shared" si="6"/>
        <v>0.418176749372735</v>
      </c>
      <c r="O28" s="17">
        <f t="shared" si="7"/>
        <v>0.355450236966825</v>
      </c>
      <c r="P28" s="17">
        <f t="shared" si="8"/>
        <v>0.399102020453979</v>
      </c>
      <c r="Q28" s="17">
        <f t="shared" si="9"/>
        <v>0.537373586595514</v>
      </c>
      <c r="R28" s="17">
        <f t="shared" si="10"/>
        <v>0.550374560464761</v>
      </c>
      <c r="S28" s="17">
        <f t="shared" si="11"/>
        <v>0.45540134457247</v>
      </c>
      <c r="T28" s="17">
        <f t="shared" si="12"/>
        <v>0.490276188919758</v>
      </c>
    </row>
    <row r="29" spans="1:20">
      <c r="A29" s="12">
        <v>2043</v>
      </c>
      <c r="B29" s="13">
        <v>9221</v>
      </c>
      <c r="C29" s="13">
        <v>9257</v>
      </c>
      <c r="D29" s="13">
        <v>8160</v>
      </c>
      <c r="E29" s="13">
        <v>9600</v>
      </c>
      <c r="F29" s="13">
        <v>8550</v>
      </c>
      <c r="G29" s="13">
        <v>6350</v>
      </c>
      <c r="H29" s="13">
        <v>6200</v>
      </c>
      <c r="I29" s="13">
        <v>7493</v>
      </c>
      <c r="J29" s="13">
        <v>6960</v>
      </c>
      <c r="K29" s="16">
        <f t="shared" si="3"/>
        <v>2043</v>
      </c>
      <c r="L29" s="17">
        <f t="shared" si="4"/>
        <v>0.370059893165765</v>
      </c>
      <c r="M29" s="17">
        <f t="shared" si="5"/>
        <v>0.368620749149996</v>
      </c>
      <c r="N29" s="17">
        <f t="shared" si="6"/>
        <v>0.418176749372735</v>
      </c>
      <c r="O29" s="17">
        <f t="shared" si="7"/>
        <v>0.355450236966825</v>
      </c>
      <c r="P29" s="17">
        <f t="shared" si="8"/>
        <v>0.399102020453979</v>
      </c>
      <c r="Q29" s="17">
        <f t="shared" si="9"/>
        <v>0.537373586595514</v>
      </c>
      <c r="R29" s="17">
        <f t="shared" si="10"/>
        <v>0.550374560464761</v>
      </c>
      <c r="S29" s="17">
        <f t="shared" si="11"/>
        <v>0.45540134457247</v>
      </c>
      <c r="T29" s="17">
        <f t="shared" si="12"/>
        <v>0.490276188919758</v>
      </c>
    </row>
    <row r="30" spans="1:20">
      <c r="A30" s="12">
        <v>2044</v>
      </c>
      <c r="B30" s="13">
        <v>9221</v>
      </c>
      <c r="C30" s="13">
        <v>9257</v>
      </c>
      <c r="D30" s="13">
        <v>8160</v>
      </c>
      <c r="E30" s="13">
        <v>9600</v>
      </c>
      <c r="F30" s="13">
        <v>8550</v>
      </c>
      <c r="G30" s="13">
        <v>6350</v>
      </c>
      <c r="H30" s="13">
        <v>6200</v>
      </c>
      <c r="I30" s="13">
        <v>7493</v>
      </c>
      <c r="J30" s="13">
        <v>6960</v>
      </c>
      <c r="K30" s="16">
        <f t="shared" si="3"/>
        <v>2044</v>
      </c>
      <c r="L30" s="17">
        <f t="shared" si="4"/>
        <v>0.370059893165765</v>
      </c>
      <c r="M30" s="17">
        <f t="shared" si="5"/>
        <v>0.368620749149996</v>
      </c>
      <c r="N30" s="17">
        <f t="shared" si="6"/>
        <v>0.418176749372735</v>
      </c>
      <c r="O30" s="17">
        <f t="shared" si="7"/>
        <v>0.355450236966825</v>
      </c>
      <c r="P30" s="17">
        <f t="shared" si="8"/>
        <v>0.399102020453979</v>
      </c>
      <c r="Q30" s="17">
        <f t="shared" si="9"/>
        <v>0.537373586595514</v>
      </c>
      <c r="R30" s="17">
        <f t="shared" si="10"/>
        <v>0.550374560464761</v>
      </c>
      <c r="S30" s="17">
        <f t="shared" si="11"/>
        <v>0.45540134457247</v>
      </c>
      <c r="T30" s="17">
        <f t="shared" si="12"/>
        <v>0.490276188919758</v>
      </c>
    </row>
    <row r="31" spans="1:20">
      <c r="A31" s="12">
        <v>2045</v>
      </c>
      <c r="B31" s="13">
        <v>9221</v>
      </c>
      <c r="C31" s="13">
        <v>9257</v>
      </c>
      <c r="D31" s="13">
        <v>8160</v>
      </c>
      <c r="E31" s="13">
        <v>9600</v>
      </c>
      <c r="F31" s="13">
        <v>8550</v>
      </c>
      <c r="G31" s="13">
        <v>6350</v>
      </c>
      <c r="H31" s="13">
        <v>6200</v>
      </c>
      <c r="I31" s="13">
        <v>7493</v>
      </c>
      <c r="J31" s="13">
        <v>6960</v>
      </c>
      <c r="K31" s="16">
        <f t="shared" si="3"/>
        <v>2045</v>
      </c>
      <c r="L31" s="17">
        <f t="shared" si="4"/>
        <v>0.370059893165765</v>
      </c>
      <c r="M31" s="17">
        <f t="shared" si="5"/>
        <v>0.368620749149996</v>
      </c>
      <c r="N31" s="17">
        <f t="shared" si="6"/>
        <v>0.418176749372735</v>
      </c>
      <c r="O31" s="17">
        <f t="shared" si="7"/>
        <v>0.355450236966825</v>
      </c>
      <c r="P31" s="17">
        <f t="shared" si="8"/>
        <v>0.399102020453979</v>
      </c>
      <c r="Q31" s="17">
        <f t="shared" si="9"/>
        <v>0.537373586595514</v>
      </c>
      <c r="R31" s="17">
        <f t="shared" si="10"/>
        <v>0.550374560464761</v>
      </c>
      <c r="S31" s="17">
        <f t="shared" si="11"/>
        <v>0.45540134457247</v>
      </c>
      <c r="T31" s="17">
        <f t="shared" si="12"/>
        <v>0.490276188919758</v>
      </c>
    </row>
    <row r="32" spans="1:20">
      <c r="A32" s="12">
        <v>2046</v>
      </c>
      <c r="B32" s="13">
        <v>9221</v>
      </c>
      <c r="C32" s="13">
        <v>9257</v>
      </c>
      <c r="D32" s="13">
        <v>8160</v>
      </c>
      <c r="E32" s="13">
        <v>9600</v>
      </c>
      <c r="F32" s="13">
        <v>8550</v>
      </c>
      <c r="G32" s="13">
        <v>6350</v>
      </c>
      <c r="H32" s="13">
        <v>6200</v>
      </c>
      <c r="I32" s="13">
        <v>7493</v>
      </c>
      <c r="J32" s="13">
        <v>6960</v>
      </c>
      <c r="K32" s="16">
        <f t="shared" si="3"/>
        <v>2046</v>
      </c>
      <c r="L32" s="17">
        <f t="shared" si="4"/>
        <v>0.370059893165765</v>
      </c>
      <c r="M32" s="17">
        <f t="shared" si="5"/>
        <v>0.368620749149996</v>
      </c>
      <c r="N32" s="17">
        <f t="shared" si="6"/>
        <v>0.418176749372735</v>
      </c>
      <c r="O32" s="17">
        <f t="shared" si="7"/>
        <v>0.355450236966825</v>
      </c>
      <c r="P32" s="17">
        <f t="shared" si="8"/>
        <v>0.399102020453979</v>
      </c>
      <c r="Q32" s="17">
        <f t="shared" si="9"/>
        <v>0.537373586595514</v>
      </c>
      <c r="R32" s="17">
        <f t="shared" si="10"/>
        <v>0.550374560464761</v>
      </c>
      <c r="S32" s="17">
        <f t="shared" si="11"/>
        <v>0.45540134457247</v>
      </c>
      <c r="T32" s="17">
        <f t="shared" si="12"/>
        <v>0.490276188919758</v>
      </c>
    </row>
    <row r="33" spans="1:20">
      <c r="A33" s="12">
        <v>2047</v>
      </c>
      <c r="B33" s="13">
        <v>9221</v>
      </c>
      <c r="C33" s="13">
        <v>9257</v>
      </c>
      <c r="D33" s="13">
        <v>8160</v>
      </c>
      <c r="E33" s="13">
        <v>9600</v>
      </c>
      <c r="F33" s="13">
        <v>8550</v>
      </c>
      <c r="G33" s="13">
        <v>6350</v>
      </c>
      <c r="H33" s="13">
        <v>6200</v>
      </c>
      <c r="I33" s="13">
        <v>7493</v>
      </c>
      <c r="J33" s="13">
        <v>6960</v>
      </c>
      <c r="K33" s="16">
        <f t="shared" si="3"/>
        <v>2047</v>
      </c>
      <c r="L33" s="17">
        <f t="shared" si="4"/>
        <v>0.370059893165765</v>
      </c>
      <c r="M33" s="17">
        <f t="shared" si="5"/>
        <v>0.368620749149996</v>
      </c>
      <c r="N33" s="17">
        <f t="shared" si="6"/>
        <v>0.418176749372735</v>
      </c>
      <c r="O33" s="17">
        <f t="shared" si="7"/>
        <v>0.355450236966825</v>
      </c>
      <c r="P33" s="17">
        <f t="shared" si="8"/>
        <v>0.399102020453979</v>
      </c>
      <c r="Q33" s="17">
        <f t="shared" si="9"/>
        <v>0.537373586595514</v>
      </c>
      <c r="R33" s="17">
        <f t="shared" si="10"/>
        <v>0.550374560464761</v>
      </c>
      <c r="S33" s="17">
        <f t="shared" si="11"/>
        <v>0.45540134457247</v>
      </c>
      <c r="T33" s="17">
        <f t="shared" si="12"/>
        <v>0.490276188919758</v>
      </c>
    </row>
    <row r="34" spans="1:20">
      <c r="A34" s="12">
        <v>2048</v>
      </c>
      <c r="B34" s="13">
        <v>9221</v>
      </c>
      <c r="C34" s="13">
        <v>9257</v>
      </c>
      <c r="D34" s="13">
        <v>8160</v>
      </c>
      <c r="E34" s="13">
        <v>9600</v>
      </c>
      <c r="F34" s="13">
        <v>8550</v>
      </c>
      <c r="G34" s="13">
        <v>6350</v>
      </c>
      <c r="H34" s="13">
        <v>6200</v>
      </c>
      <c r="I34" s="13">
        <v>7493</v>
      </c>
      <c r="J34" s="13">
        <v>6960</v>
      </c>
      <c r="K34" s="16">
        <f t="shared" si="3"/>
        <v>2048</v>
      </c>
      <c r="L34" s="17">
        <f t="shared" si="4"/>
        <v>0.370059893165765</v>
      </c>
      <c r="M34" s="17">
        <f t="shared" si="5"/>
        <v>0.368620749149996</v>
      </c>
      <c r="N34" s="17">
        <f t="shared" si="6"/>
        <v>0.418176749372735</v>
      </c>
      <c r="O34" s="17">
        <f t="shared" si="7"/>
        <v>0.355450236966825</v>
      </c>
      <c r="P34" s="17">
        <f t="shared" si="8"/>
        <v>0.399102020453979</v>
      </c>
      <c r="Q34" s="17">
        <f t="shared" si="9"/>
        <v>0.537373586595514</v>
      </c>
      <c r="R34" s="17">
        <f t="shared" si="10"/>
        <v>0.550374560464761</v>
      </c>
      <c r="S34" s="17">
        <f t="shared" si="11"/>
        <v>0.45540134457247</v>
      </c>
      <c r="T34" s="17">
        <f t="shared" si="12"/>
        <v>0.490276188919758</v>
      </c>
    </row>
    <row r="35" spans="1:20">
      <c r="A35" s="12">
        <v>2049</v>
      </c>
      <c r="B35" s="13">
        <v>9221</v>
      </c>
      <c r="C35" s="13">
        <v>9257</v>
      </c>
      <c r="D35" s="13">
        <v>8160</v>
      </c>
      <c r="E35" s="13">
        <v>9600</v>
      </c>
      <c r="F35" s="13">
        <v>8550</v>
      </c>
      <c r="G35" s="13">
        <v>6350</v>
      </c>
      <c r="H35" s="13">
        <v>6200</v>
      </c>
      <c r="I35" s="13">
        <v>7493</v>
      </c>
      <c r="J35" s="13">
        <v>6960</v>
      </c>
      <c r="K35" s="16">
        <f t="shared" si="3"/>
        <v>2049</v>
      </c>
      <c r="L35" s="17">
        <f t="shared" si="4"/>
        <v>0.370059893165765</v>
      </c>
      <c r="M35" s="17">
        <f t="shared" si="5"/>
        <v>0.368620749149996</v>
      </c>
      <c r="N35" s="17">
        <f t="shared" si="6"/>
        <v>0.418176749372735</v>
      </c>
      <c r="O35" s="17">
        <f t="shared" si="7"/>
        <v>0.355450236966825</v>
      </c>
      <c r="P35" s="17">
        <f t="shared" si="8"/>
        <v>0.399102020453979</v>
      </c>
      <c r="Q35" s="17">
        <f t="shared" si="9"/>
        <v>0.537373586595514</v>
      </c>
      <c r="R35" s="17">
        <f t="shared" si="10"/>
        <v>0.550374560464761</v>
      </c>
      <c r="S35" s="17">
        <f t="shared" si="11"/>
        <v>0.45540134457247</v>
      </c>
      <c r="T35" s="17">
        <f t="shared" si="12"/>
        <v>0.490276188919758</v>
      </c>
    </row>
    <row r="36" spans="1:20">
      <c r="A36" s="12">
        <v>2050</v>
      </c>
      <c r="B36" s="13">
        <v>9221</v>
      </c>
      <c r="C36" s="13">
        <v>9257</v>
      </c>
      <c r="D36" s="13">
        <v>8160</v>
      </c>
      <c r="E36" s="13">
        <v>9600</v>
      </c>
      <c r="F36" s="13">
        <v>8550</v>
      </c>
      <c r="G36" s="13">
        <v>6350</v>
      </c>
      <c r="H36" s="13">
        <v>6200</v>
      </c>
      <c r="I36" s="13">
        <v>7493</v>
      </c>
      <c r="J36" s="13">
        <v>6960</v>
      </c>
      <c r="K36" s="16">
        <f t="shared" si="3"/>
        <v>2050</v>
      </c>
      <c r="L36" s="17">
        <f t="shared" si="4"/>
        <v>0.370059893165765</v>
      </c>
      <c r="M36" s="17">
        <f t="shared" si="5"/>
        <v>0.368620749149996</v>
      </c>
      <c r="N36" s="17">
        <f t="shared" si="6"/>
        <v>0.418176749372735</v>
      </c>
      <c r="O36" s="17">
        <f t="shared" si="7"/>
        <v>0.355450236966825</v>
      </c>
      <c r="P36" s="17">
        <f t="shared" si="8"/>
        <v>0.399102020453979</v>
      </c>
      <c r="Q36" s="17">
        <f t="shared" si="9"/>
        <v>0.537373586595514</v>
      </c>
      <c r="R36" s="17">
        <f t="shared" si="10"/>
        <v>0.550374560464761</v>
      </c>
      <c r="S36" s="17">
        <f t="shared" si="11"/>
        <v>0.45540134457247</v>
      </c>
      <c r="T36" s="17">
        <f t="shared" si="12"/>
        <v>0.490276188919758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23"/>
  <sheetViews>
    <sheetView tabSelected="1" workbookViewId="0">
      <selection activeCell="H11" sqref="H11"/>
    </sheetView>
  </sheetViews>
  <sheetFormatPr defaultColWidth="8.81818181818182" defaultRowHeight="14.5"/>
  <cols>
    <col min="1" max="1" width="2.27272727272727" customWidth="1"/>
    <col min="2" max="2" width="13.4545454545455" customWidth="1"/>
    <col min="3" max="3" width="22.6363636363636" customWidth="1"/>
    <col min="4" max="4" width="14.2727272727273" customWidth="1"/>
    <col min="5" max="5" width="8" customWidth="1"/>
    <col min="6" max="6" width="4" customWidth="1"/>
    <col min="7" max="7" width="9.54545454545454" customWidth="1"/>
    <col min="8" max="8" width="10.4545454545455" customWidth="1"/>
    <col min="9" max="9" width="11.2727272727273" customWidth="1"/>
    <col min="10" max="10" width="13.4545454545455" customWidth="1"/>
    <col min="11" max="11" width="31.4545454545455" customWidth="1"/>
    <col min="12" max="12" width="5" customWidth="1"/>
    <col min="13" max="13" width="4.45454545454545" customWidth="1"/>
    <col min="14" max="14" width="5.09090909090909" customWidth="1"/>
    <col min="15" max="15" width="10.2727272727273" customWidth="1"/>
    <col min="16" max="16" width="7.81818181818182" customWidth="1"/>
  </cols>
  <sheetData>
    <row r="3" spans="1:15">
      <c r="A3" s="1"/>
      <c r="B3" s="1"/>
      <c r="D3" s="2" t="s">
        <v>160</v>
      </c>
      <c r="I3" s="4" t="s">
        <v>1</v>
      </c>
      <c r="J3" s="4"/>
      <c r="K3" s="4"/>
      <c r="L3" s="4"/>
      <c r="M3" s="4"/>
      <c r="N3" s="4"/>
      <c r="O3" s="4"/>
    </row>
    <row r="4" spans="1:16">
      <c r="A4" s="3"/>
      <c r="B4" s="2" t="s">
        <v>2</v>
      </c>
      <c r="C4" s="2" t="s">
        <v>3</v>
      </c>
      <c r="D4" s="2" t="s">
        <v>4</v>
      </c>
      <c r="E4" t="s">
        <v>7</v>
      </c>
      <c r="F4" t="s">
        <v>161</v>
      </c>
      <c r="G4" s="2" t="s">
        <v>162</v>
      </c>
      <c r="H4" s="1"/>
      <c r="I4" s="4" t="s">
        <v>11</v>
      </c>
      <c r="J4" s="4" t="s">
        <v>2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2:16">
      <c r="B5" s="4" t="str">
        <f>J5</f>
        <v>Sto-CO2_CB1</v>
      </c>
      <c r="C5" t="s">
        <v>163</v>
      </c>
      <c r="E5" s="5">
        <v>0.001</v>
      </c>
      <c r="F5" s="6"/>
      <c r="G5" s="7"/>
      <c r="I5" s="4" t="s">
        <v>164</v>
      </c>
      <c r="J5" s="4" t="s">
        <v>165</v>
      </c>
      <c r="K5" t="s">
        <v>166</v>
      </c>
      <c r="L5" s="4"/>
      <c r="M5" s="4" t="s">
        <v>167</v>
      </c>
      <c r="N5" s="4" t="s">
        <v>168</v>
      </c>
      <c r="O5" s="4"/>
      <c r="P5" s="4"/>
    </row>
    <row r="6" spans="2:16">
      <c r="B6" s="4" t="str">
        <f t="shared" ref="B6:B14" si="0">J6</f>
        <v>Sto-CO2_CB2</v>
      </c>
      <c r="C6" t="s">
        <v>163</v>
      </c>
      <c r="E6" s="5">
        <v>0.001</v>
      </c>
      <c r="F6" s="6"/>
      <c r="G6" s="7"/>
      <c r="I6" s="4"/>
      <c r="J6" s="4" t="s">
        <v>169</v>
      </c>
      <c r="K6" t="s">
        <v>170</v>
      </c>
      <c r="L6" s="4"/>
      <c r="M6" s="4" t="s">
        <v>167</v>
      </c>
      <c r="N6" s="4" t="s">
        <v>168</v>
      </c>
      <c r="O6" s="4"/>
      <c r="P6" s="4"/>
    </row>
    <row r="7" spans="2:16">
      <c r="B7" s="4" t="str">
        <f t="shared" si="0"/>
        <v>Sto-CO2_DGF</v>
      </c>
      <c r="C7" t="s">
        <v>163</v>
      </c>
      <c r="E7" s="5">
        <v>0.001</v>
      </c>
      <c r="F7" s="6"/>
      <c r="G7" s="7"/>
      <c r="I7" s="4"/>
      <c r="J7" s="4" t="s">
        <v>171</v>
      </c>
      <c r="K7" t="s">
        <v>172</v>
      </c>
      <c r="L7" s="4"/>
      <c r="M7" s="4" t="s">
        <v>167</v>
      </c>
      <c r="N7" s="4" t="s">
        <v>168</v>
      </c>
      <c r="O7" s="4"/>
      <c r="P7" s="4"/>
    </row>
    <row r="8" spans="2:16">
      <c r="B8" s="4" t="str">
        <f t="shared" si="0"/>
        <v>Sto-CO2_DGO</v>
      </c>
      <c r="C8" t="s">
        <v>163</v>
      </c>
      <c r="E8" s="5">
        <v>0.001</v>
      </c>
      <c r="F8" s="6"/>
      <c r="G8" s="7"/>
      <c r="I8" s="4"/>
      <c r="J8" s="4" t="s">
        <v>173</v>
      </c>
      <c r="K8" t="s">
        <v>174</v>
      </c>
      <c r="L8" s="4"/>
      <c r="M8" s="4" t="s">
        <v>167</v>
      </c>
      <c r="N8" s="4" t="s">
        <v>168</v>
      </c>
      <c r="O8" s="4"/>
      <c r="P8" s="4"/>
    </row>
    <row r="9" spans="2:16">
      <c r="B9" s="4" t="str">
        <f t="shared" si="0"/>
        <v>Sto-CO2_DOF</v>
      </c>
      <c r="C9" t="s">
        <v>163</v>
      </c>
      <c r="E9" s="5">
        <v>0.001</v>
      </c>
      <c r="F9" s="6"/>
      <c r="G9" s="7"/>
      <c r="I9" s="4"/>
      <c r="J9" s="4" t="s">
        <v>175</v>
      </c>
      <c r="K9" t="s">
        <v>176</v>
      </c>
      <c r="L9" s="4"/>
      <c r="M9" s="4" t="s">
        <v>167</v>
      </c>
      <c r="N9" s="4" t="s">
        <v>168</v>
      </c>
      <c r="O9" s="4"/>
      <c r="P9" s="4"/>
    </row>
    <row r="10" spans="2:16">
      <c r="B10" s="4" t="str">
        <f t="shared" si="0"/>
        <v>Sto-CO2_DOO</v>
      </c>
      <c r="C10" t="s">
        <v>163</v>
      </c>
      <c r="E10" s="5">
        <v>0.001</v>
      </c>
      <c r="F10" s="6"/>
      <c r="G10" s="7"/>
      <c r="I10" s="4"/>
      <c r="J10" s="4" t="s">
        <v>177</v>
      </c>
      <c r="K10" t="s">
        <v>178</v>
      </c>
      <c r="L10" s="4"/>
      <c r="M10" s="4" t="s">
        <v>167</v>
      </c>
      <c r="N10" s="4" t="s">
        <v>168</v>
      </c>
      <c r="O10" s="4"/>
      <c r="P10" s="4"/>
    </row>
    <row r="11" spans="2:16">
      <c r="B11" s="4" t="str">
        <f t="shared" si="0"/>
        <v>Sto-CO2_DSA</v>
      </c>
      <c r="C11" t="s">
        <v>163</v>
      </c>
      <c r="E11" s="5">
        <v>0.001</v>
      </c>
      <c r="F11" s="6"/>
      <c r="G11" s="7"/>
      <c r="I11" s="4"/>
      <c r="J11" s="4" t="s">
        <v>179</v>
      </c>
      <c r="K11" t="s">
        <v>180</v>
      </c>
      <c r="L11" s="4"/>
      <c r="M11" s="4" t="s">
        <v>167</v>
      </c>
      <c r="N11" s="4" t="s">
        <v>168</v>
      </c>
      <c r="O11" s="4"/>
      <c r="P11" s="4"/>
    </row>
    <row r="12" spans="2:16">
      <c r="B12" s="4" t="str">
        <f t="shared" si="0"/>
        <v>Sto-CO2_DSO</v>
      </c>
      <c r="C12" t="s">
        <v>163</v>
      </c>
      <c r="E12" s="5">
        <v>0.001</v>
      </c>
      <c r="F12" s="6"/>
      <c r="G12" s="7"/>
      <c r="I12" s="4"/>
      <c r="J12" s="4" t="s">
        <v>181</v>
      </c>
      <c r="K12" t="s">
        <v>182</v>
      </c>
      <c r="L12" s="4"/>
      <c r="M12" s="4" t="s">
        <v>167</v>
      </c>
      <c r="N12" s="4" t="s">
        <v>168</v>
      </c>
      <c r="O12" s="4"/>
      <c r="P12" s="4"/>
    </row>
    <row r="13" spans="2:16">
      <c r="B13" s="4" t="str">
        <f t="shared" si="0"/>
        <v>Sto-CO2_EOF</v>
      </c>
      <c r="C13" t="s">
        <v>163</v>
      </c>
      <c r="E13" s="5">
        <v>0.001</v>
      </c>
      <c r="F13" s="6"/>
      <c r="G13" s="7"/>
      <c r="I13" s="4"/>
      <c r="J13" s="4" t="s">
        <v>183</v>
      </c>
      <c r="K13" t="s">
        <v>184</v>
      </c>
      <c r="L13" s="4"/>
      <c r="M13" s="4" t="s">
        <v>167</v>
      </c>
      <c r="N13" s="4" t="s">
        <v>168</v>
      </c>
      <c r="O13" s="4"/>
      <c r="P13" s="4"/>
    </row>
    <row r="14" spans="2:16">
      <c r="B14" s="4" t="str">
        <f t="shared" si="0"/>
        <v>Sto-CO2_EOR</v>
      </c>
      <c r="C14" t="s">
        <v>163</v>
      </c>
      <c r="E14" s="5">
        <v>0.001</v>
      </c>
      <c r="F14" s="6"/>
      <c r="G14" s="7"/>
      <c r="I14" s="4"/>
      <c r="J14" s="4" t="s">
        <v>185</v>
      </c>
      <c r="K14" t="s">
        <v>186</v>
      </c>
      <c r="L14" s="4"/>
      <c r="M14" s="4" t="s">
        <v>167</v>
      </c>
      <c r="N14" s="4" t="s">
        <v>168</v>
      </c>
      <c r="O14" s="4"/>
      <c r="P14" s="4"/>
    </row>
    <row r="15" spans="2:9">
      <c r="B15" t="s">
        <v>187</v>
      </c>
      <c r="G15" s="7"/>
      <c r="I15" t="s">
        <v>187</v>
      </c>
    </row>
    <row r="16" spans="2:14">
      <c r="B16" s="4" t="str">
        <f>J16</f>
        <v>Pipeline-CO2</v>
      </c>
      <c r="C16" t="s">
        <v>188</v>
      </c>
      <c r="D16" t="str">
        <f>C8</f>
        <v>CO2ForStorage</v>
      </c>
      <c r="F16">
        <v>1</v>
      </c>
      <c r="G16" s="7"/>
      <c r="I16" t="s">
        <v>164</v>
      </c>
      <c r="J16" s="4" t="s">
        <v>189</v>
      </c>
      <c r="K16" s="4" t="s">
        <v>190</v>
      </c>
      <c r="M16" s="4" t="s">
        <v>167</v>
      </c>
      <c r="N16" s="4" t="s">
        <v>168</v>
      </c>
    </row>
    <row r="23" spans="5:5">
      <c r="E23" s="8">
        <v>0.01</v>
      </c>
    </row>
  </sheetData>
  <pageMargins left="0.7" right="0.7" top="0.75" bottom="0.75" header="0.3" footer="0.3"/>
  <pageSetup paperSize="1" orientation="portrait" horizontalDpi="1200" verticalDpi="12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ELC_Gen-tjh</vt:lpstr>
      <vt:lpstr>ELC_Storage</vt:lpstr>
      <vt:lpstr>Readme</vt:lpstr>
      <vt:lpstr>notes</vt:lpstr>
      <vt:lpstr>ELC_Gen-sdj</vt:lpstr>
      <vt:lpstr>ovrcst</vt:lpstr>
      <vt:lpstr>heatrate</vt:lpstr>
      <vt:lpstr>ELC_CO2 Transport and 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2008-03-25T10:08:00Z</dcterms:created>
  <cp:lastPrinted>2008-07-01T10:28:00Z</cp:lastPrinted>
  <dcterms:modified xsi:type="dcterms:W3CDTF">2026-02-12T21:17:52Z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905498693992448</vt:r8>
  </property>
  <property fmtid="{D5CDD505-2E9C-101B-9397-08002B2CF9AE}" pid="3" name="ICV">
    <vt:lpwstr>D762759819EE45F99E4C5B5F52CF802A_12</vt:lpwstr>
  </property>
  <property fmtid="{D5CDD505-2E9C-101B-9397-08002B2CF9AE}" pid="4" name="KSOProductBuildVer">
    <vt:lpwstr>1033-12.2.0.23196</vt:lpwstr>
  </property>
</Properties>
</file>