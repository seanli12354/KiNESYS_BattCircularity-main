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1" activeTab="7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<sst xmlns="http://schemas.openxmlformats.org/spreadsheetml/2006/main" count="538" uniqueCount="191">
  <si>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</si>
  <si>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</si>
  <si>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</si>
  <si>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</si>
  <si>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</si>
  <si>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</si>
  <si>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</si>
  <si>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</si>
  <si>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</si>
  <si>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</si>
  <si>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</si>
  <si>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</si>
  <si>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</si>
  <si>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</si>
  <si>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</si>
  <si>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</si>
  <si>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</si>
  <si>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</si>
  <si>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</si>
  <si>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</si>
  <si>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</si>
  <si>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</si>
  <si>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</si>
  <si>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</si>
  <si>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</si>
  <si>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</si>
  <si>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</si>
  <si>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</si>
  <si>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</si>
  <si>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</si>
  <si>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</si>
  <si>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</si>
  <si>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</si>
  <si>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</si>
  <si>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</si>
  <si>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</si>
  <si>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</si>
  <si>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</si>
  <si>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</si>
  <si>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</si>
  <si>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</si>
  <si>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</si>
  <si>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</si>
  <si>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</si>
  <si>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</si>
  <si>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</si>
  <si>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</si>
  <si>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</si>
  <si>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</si>
  <si>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</si>
  <si>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</si>
  <si>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</si>
  <si>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</si>
  <si>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</si>
  <si>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</si>
  <si>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</si>
  <si>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</si>
  <si>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</si>
  <si>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</si>
  <si>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</si>
  <si>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</si>
  <si>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</si>
  <si>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</si>
  <si>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</si>
  <si>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</si>
  <si>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</si>
  <si>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</si>
  <si>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</si>
  <si>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</si>
  <si>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</si>
  <si>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</si>
  <si>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</si>
  <si>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</si>
  <si>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</si>
  <si>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</si>
  <si>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</si>
  <si>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</si>
  <si>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</si>
  <si>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</si>
  <si>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</si>
  <si>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</si>
  <si>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</si>
  <si>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</si>
  <si>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</si>
  <si>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</si>
  <si>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</si>
  <si>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</si>
  <si>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</si>
  <si>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</si>
  <si>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</si>
  <si>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</si>
  <si>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</si>
  <si>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</si>
  <si>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</si>
  <si>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</si>
  <si>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</si>
  <si>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</si>
  <si>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</si>
  <si>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</si>
  <si>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</si>
  <si>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</si>
  <si>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</si>
  <si>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</si>
  <si>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</si>
  <si>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</si>
  <si>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</si>
  <si>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</si>
  <si>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START</t>
  </si>
  <si>
    <t>PKNO</t>
  </si>
  <si>
    <t>NRG</t>
  </si>
  <si>
    <t>AuxStoOUT</t>
  </si>
  <si>
    <t>MultiR-LFP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</si>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</sst>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ahoma"/>
      <charset val="1"/>
    </font>
    <font>
      <sz val="9"/>
      <name val="Times New Roman"/>
      <charset val="134"/>
    </font>
    <font>
      <b/>
      <sz val="9"/>
      <name val="Tahoma"/>
      <charset val="1"/>
    </font>
    <font>
      <b/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2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6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0" xfId="76" applyFill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1" fillId="0" borderId="0" xfId="76" applyAlignment="1">
      <alignment horizontal="center"/>
    </xf>
    <xf numFmtId="0" fontId="11" fillId="0" borderId="0" xfId="76"/>
    <xf numFmtId="0" fontId="11" fillId="0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0" fillId="0" borderId="0" xfId="0" applyFill="1" applyBorder="1"/>
    <xf numFmtId="0" fontId="0" fillId="0" borderId="0" xfId="0" applyBorder="1"/>
    <xf numFmtId="0" fontId="15" fillId="0" borderId="0" xfId="0" applyFont="1" applyFill="1" applyBorder="1"/>
    <xf numFmtId="0" fontId="14" fillId="0" borderId="0" xfId="0" applyFont="1"/>
    <xf numFmtId="0" fontId="16" fillId="7" borderId="3" xfId="76" applyFont="1" applyFill="1" applyBorder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H48" sqref="H48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8">
        <v>9999</v>
      </c>
      <c r="H16" s="58">
        <v>500</v>
      </c>
      <c r="I16" s="58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9">
        <f>C25*1.3</f>
        <v>1032.7713706979</v>
      </c>
      <c r="D31" s="59">
        <f t="shared" ref="D31:Z31" si="3">D25*1.3</f>
        <v>1022.36993905354</v>
      </c>
      <c r="E31" s="59">
        <f t="shared" si="3"/>
        <v>998.534499282983</v>
      </c>
      <c r="F31" s="59">
        <f t="shared" si="3"/>
        <v>984.137117590822</v>
      </c>
      <c r="G31" s="59">
        <f t="shared" si="3"/>
        <v>951.767551386233</v>
      </c>
      <c r="H31" s="59">
        <f t="shared" si="3"/>
        <v>937.251788957935</v>
      </c>
      <c r="I31" s="59">
        <f t="shared" si="3"/>
        <v>923.928065248566</v>
      </c>
      <c r="J31" s="59">
        <f t="shared" si="3"/>
        <v>909.133239722753</v>
      </c>
      <c r="K31" s="59">
        <f t="shared" si="3"/>
        <v>893.279343929254</v>
      </c>
      <c r="L31" s="59">
        <f t="shared" si="3"/>
        <v>879.656205783939</v>
      </c>
      <c r="M31" s="59">
        <f t="shared" si="3"/>
        <v>865.801853489484</v>
      </c>
      <c r="N31" s="59">
        <f t="shared" si="3"/>
        <v>855.151407743786</v>
      </c>
      <c r="O31" s="59">
        <f t="shared" si="3"/>
        <v>844.967552581262</v>
      </c>
      <c r="P31" s="59">
        <f t="shared" si="3"/>
        <v>833.772838193117</v>
      </c>
      <c r="Q31" s="59">
        <f t="shared" si="3"/>
        <v>823.968628107075</v>
      </c>
      <c r="R31" s="59">
        <f t="shared" si="3"/>
        <v>813.635904636711</v>
      </c>
      <c r="S31" s="59">
        <f t="shared" si="3"/>
        <v>803.619588910134</v>
      </c>
      <c r="T31" s="59">
        <f t="shared" si="3"/>
        <v>793.622894359465</v>
      </c>
      <c r="U31" s="59">
        <f t="shared" si="3"/>
        <v>784.799054732314</v>
      </c>
      <c r="V31" s="59">
        <f t="shared" si="3"/>
        <v>777.260687141491</v>
      </c>
      <c r="W31" s="59">
        <f t="shared" si="3"/>
        <v>769.60802581262</v>
      </c>
      <c r="X31" s="59">
        <f t="shared" si="3"/>
        <v>762.253537284895</v>
      </c>
      <c r="Y31" s="59">
        <f t="shared" si="3"/>
        <v>755.095327437858</v>
      </c>
      <c r="Z31" s="59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zoomScale="68" zoomScaleNormal="68" topLeftCell="A3" workbookViewId="0">
      <selection activeCell="I32" sqref="I32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 t="s">
        <v>79</v>
      </c>
      <c r="Y3" s="49" t="s">
        <v>80</v>
      </c>
      <c r="Z3" s="49" t="s">
        <v>81</v>
      </c>
      <c r="AA3" s="49" t="s">
        <v>82</v>
      </c>
      <c r="AB3" s="49" t="s">
        <v>83</v>
      </c>
      <c r="AC3" s="49" t="s">
        <v>84</v>
      </c>
      <c r="AD3" s="49" t="s">
        <v>85</v>
      </c>
      <c r="AE3" s="49" t="s">
        <v>86</v>
      </c>
      <c r="AF3" s="49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 t="s">
        <v>93</v>
      </c>
      <c r="Y4" s="49" t="s">
        <v>89</v>
      </c>
      <c r="Z4" s="49">
        <v>0.095</v>
      </c>
      <c r="AA4" s="49">
        <v>0</v>
      </c>
      <c r="AB4" s="49">
        <v>0</v>
      </c>
      <c r="AC4" s="49">
        <v>0</v>
      </c>
      <c r="AD4" s="49">
        <v>3.528</v>
      </c>
      <c r="AE4" s="49">
        <v>0.946</v>
      </c>
      <c r="AF4" s="49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R9" s="43"/>
      <c r="V9" s="27" t="s">
        <v>108</v>
      </c>
      <c r="W9" s="51"/>
      <c r="X9" s="51"/>
      <c r="Y9" s="51"/>
      <c r="Z9" s="51"/>
      <c r="AA9" s="51"/>
      <c r="AB9" s="51"/>
      <c r="AC9" s="51"/>
      <c r="AD9" s="48"/>
      <c r="AE9" s="48"/>
      <c r="AF9" s="48"/>
    </row>
    <row r="10" spans="2:32">
      <c r="B10" t="s">
        <v>89</v>
      </c>
      <c r="C10" t="s">
        <v>22</v>
      </c>
      <c r="E10" t="s">
        <v>22</v>
      </c>
      <c r="G10" t="s">
        <v>109</v>
      </c>
      <c r="H10">
        <v>0.92</v>
      </c>
      <c r="I10" s="19">
        <v>1.31</v>
      </c>
      <c r="J10">
        <v>1</v>
      </c>
      <c r="L10" s="24">
        <v>20</v>
      </c>
      <c r="Q10">
        <v>2020</v>
      </c>
      <c r="V10" s="27">
        <v>1</v>
      </c>
      <c r="W10" s="51"/>
      <c r="X10" s="51"/>
      <c r="Y10" s="51"/>
      <c r="Z10" s="51"/>
      <c r="AA10" s="51"/>
      <c r="AB10" s="51"/>
      <c r="AC10" s="51"/>
      <c r="AD10" s="48"/>
      <c r="AE10" s="48"/>
      <c r="AF10" s="48"/>
    </row>
    <row r="11" s="27" customFormat="1" ht="16" spans="4:32">
      <c r="D11" s="28"/>
      <c r="F11" s="27" t="s">
        <v>110</v>
      </c>
      <c r="G11" s="27" t="str">
        <f>F11</f>
        <v>AuxStoOUT</v>
      </c>
      <c r="I11" s="45"/>
      <c r="K11" s="45">
        <f>1/H10</f>
        <v>1.08695652173913</v>
      </c>
      <c r="W11" s="53"/>
      <c r="Y11" s="56" t="s">
        <v>111</v>
      </c>
      <c r="Z11" s="55"/>
      <c r="AA11" s="53"/>
      <c r="AB11" s="53"/>
      <c r="AC11" s="53"/>
      <c r="AD11" s="37"/>
      <c r="AE11" s="37"/>
      <c r="AF11" s="37"/>
    </row>
    <row r="12" spans="4:32">
      <c r="D12" s="4"/>
      <c r="F12" s="4" t="str">
        <f>C19</f>
        <v>AuxStoIN</v>
      </c>
      <c r="G12" t="s">
        <v>22</v>
      </c>
      <c r="I12" s="19"/>
      <c r="O12">
        <v>1</v>
      </c>
      <c r="V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2:32">
      <c r="B13" t="s">
        <v>94</v>
      </c>
      <c r="E13" t="s">
        <v>112</v>
      </c>
      <c r="I13" s="19">
        <v>29.89194313</v>
      </c>
      <c r="L13">
        <v>1</v>
      </c>
      <c r="M13">
        <v>0</v>
      </c>
      <c r="P13">
        <v>3</v>
      </c>
      <c r="V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4"/>
      <c r="AB14" s="54"/>
      <c r="AC14" s="54"/>
    </row>
    <row r="15" spans="23:29">
      <c r="W15" s="53"/>
      <c r="X15" s="53"/>
      <c r="Y15" s="53"/>
      <c r="Z15" s="53"/>
      <c r="AA15" s="53"/>
      <c r="AB15" s="54"/>
      <c r="AC15" s="54"/>
    </row>
    <row r="16" spans="23:29">
      <c r="W16" s="53"/>
      <c r="X16" s="51"/>
      <c r="Y16" s="51"/>
      <c r="Z16" s="51"/>
      <c r="AA16" s="53"/>
      <c r="AB16" s="54"/>
      <c r="AC16" s="54"/>
    </row>
    <row r="17" spans="2:29">
      <c r="B17" s="4" t="s">
        <v>113</v>
      </c>
      <c r="C17" s="4"/>
      <c r="D17" s="4"/>
      <c r="E17" s="4"/>
      <c r="F17" s="4"/>
      <c r="G17" s="4"/>
      <c r="H17" s="4"/>
      <c r="I17" s="4"/>
      <c r="W17" s="54"/>
      <c r="X17" s="43"/>
      <c r="Y17" s="43"/>
      <c r="Z17" s="51"/>
      <c r="AA17" s="53"/>
      <c r="AB17" s="54"/>
      <c r="AC17" s="54"/>
    </row>
    <row r="18" spans="2:29">
      <c r="B18" s="4" t="s">
        <v>114</v>
      </c>
      <c r="C18" s="4" t="s">
        <v>115</v>
      </c>
      <c r="D18" s="4" t="s">
        <v>116</v>
      </c>
      <c r="E18" s="4" t="s">
        <v>117</v>
      </c>
      <c r="F18" s="4" t="s">
        <v>118</v>
      </c>
      <c r="G18" s="4" t="s">
        <v>119</v>
      </c>
      <c r="H18" s="4" t="s">
        <v>120</v>
      </c>
      <c r="I18" s="4" t="s">
        <v>121</v>
      </c>
      <c r="W18" s="54"/>
      <c r="X18" s="43"/>
      <c r="Y18" s="57"/>
      <c r="Z18" s="55"/>
      <c r="AA18" s="53"/>
      <c r="AB18" s="54"/>
      <c r="AC18" s="54"/>
    </row>
    <row r="19" spans="2:29">
      <c r="B19" s="4" t="s">
        <v>122</v>
      </c>
      <c r="C19" s="4" t="s">
        <v>123</v>
      </c>
      <c r="D19" s="4" t="s">
        <v>124</v>
      </c>
      <c r="E19" s="4" t="s">
        <v>91</v>
      </c>
      <c r="F19" s="4"/>
      <c r="G19" s="4" t="s">
        <v>42</v>
      </c>
      <c r="H19" s="4"/>
      <c r="I19" s="4"/>
      <c r="W19" s="54"/>
      <c r="X19" s="55"/>
      <c r="Y19" s="43"/>
      <c r="Z19" s="53"/>
      <c r="AA19" s="53"/>
      <c r="AB19" s="54"/>
      <c r="AC19" s="54"/>
    </row>
    <row r="20" spans="3:29">
      <c r="C20" s="4" t="s">
        <v>110</v>
      </c>
      <c r="D20" s="4" t="s">
        <v>125</v>
      </c>
      <c r="E20" s="4" t="s">
        <v>91</v>
      </c>
      <c r="F20" s="4"/>
      <c r="G20" s="4" t="s">
        <v>42</v>
      </c>
      <c r="W20" s="51"/>
      <c r="X20" s="43"/>
      <c r="Y20" s="43"/>
      <c r="Z20" s="53"/>
      <c r="AA20" s="53"/>
      <c r="AB20" s="54"/>
      <c r="AC20" s="54"/>
    </row>
    <row r="21" spans="23:29">
      <c r="W21" s="51"/>
      <c r="X21" s="51"/>
      <c r="Y21" s="51"/>
      <c r="Z21" s="53"/>
      <c r="AA21" s="53"/>
      <c r="AB21" s="54"/>
      <c r="AC21" s="54"/>
    </row>
    <row r="22" spans="23:29">
      <c r="W22" s="51"/>
      <c r="X22" s="51"/>
      <c r="Y22" s="51"/>
      <c r="Z22" s="53"/>
      <c r="AA22" s="53"/>
      <c r="AB22" s="54"/>
      <c r="AC22" s="54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4"/>
      <c r="AC23" s="54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4"/>
      <c r="AC24" s="54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126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127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128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129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130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131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">
        <v>89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5" t="s">
        <v>132</v>
      </c>
    </row>
    <row r="2" spans="1:1">
      <c r="A2" t="s">
        <v>133</v>
      </c>
    </row>
    <row r="4" spans="1:1">
      <c r="A4" s="15" t="s">
        <v>134</v>
      </c>
    </row>
    <row r="5" spans="1:1">
      <c r="A5" t="s">
        <v>135</v>
      </c>
    </row>
    <row r="7" spans="1:1">
      <c r="A7" s="15" t="s">
        <v>136</v>
      </c>
    </row>
    <row r="8" spans="1:1">
      <c r="A8" t="s">
        <v>137</v>
      </c>
    </row>
    <row r="9" spans="1:1">
      <c r="A9" t="s">
        <v>138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H13" sqref="H13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139</v>
      </c>
      <c r="B1" t="s">
        <v>140</v>
      </c>
    </row>
    <row r="2" spans="1:2">
      <c r="A2" s="26">
        <v>43598</v>
      </c>
      <c r="B2" t="s">
        <v>141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AP24" sqref="AP24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142</v>
      </c>
      <c r="E2" s="2"/>
      <c r="F2" s="2"/>
      <c r="G2" s="2"/>
      <c r="P2" s="4" t="s">
        <v>143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144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145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146</v>
      </c>
    </row>
    <row r="2" spans="1:1">
      <c r="A2" t="s">
        <v>147</v>
      </c>
    </row>
    <row r="4" ht="43.5" spans="1:23">
      <c r="A4" s="10" t="s">
        <v>148</v>
      </c>
      <c r="B4" s="10" t="s">
        <v>43</v>
      </c>
      <c r="C4" s="10" t="s">
        <v>48</v>
      </c>
      <c r="D4" s="10" t="s">
        <v>149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150</v>
      </c>
      <c r="K4" s="10" t="s">
        <v>75</v>
      </c>
      <c r="L4" s="10" t="s">
        <v>69</v>
      </c>
      <c r="M4" s="10" t="s">
        <v>151</v>
      </c>
      <c r="N4" s="10" t="s">
        <v>152</v>
      </c>
      <c r="O4" s="10" t="s">
        <v>74</v>
      </c>
      <c r="P4" s="10" t="s">
        <v>153</v>
      </c>
      <c r="Q4" s="10" t="s">
        <v>34</v>
      </c>
      <c r="R4" s="10" t="s">
        <v>38</v>
      </c>
      <c r="S4" s="10" t="s">
        <v>154</v>
      </c>
      <c r="T4" s="10" t="s">
        <v>155</v>
      </c>
      <c r="U4" s="10" t="s">
        <v>30</v>
      </c>
      <c r="V4" s="10" t="s">
        <v>156</v>
      </c>
      <c r="W4" s="10" t="s">
        <v>157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Y10" sqref="Y10"/>
    </sheetView>
  </sheetViews>
  <sheetFormatPr defaultColWidth="8.81818181818182" defaultRowHeight="14.5"/>
  <sheetData>
    <row r="1" spans="1:1">
      <c r="A1" s="9" t="s">
        <v>158</v>
      </c>
    </row>
    <row r="2" spans="1:1">
      <c r="A2" s="2" t="s">
        <v>159</v>
      </c>
    </row>
    <row r="3" spans="12:12">
      <c r="L3" s="14">
        <f>3.6/1.055</f>
        <v>3.41232227488152</v>
      </c>
    </row>
    <row r="4" ht="43.5" spans="1:20">
      <c r="A4" s="10" t="s">
        <v>148</v>
      </c>
      <c r="B4" s="10" t="s">
        <v>43</v>
      </c>
      <c r="C4" s="11" t="s">
        <v>48</v>
      </c>
      <c r="D4" s="11" t="s">
        <v>149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150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tabSelected="1" workbookViewId="0">
      <selection activeCell="P19" sqref="P19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160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161</v>
      </c>
      <c r="G4" s="2" t="s">
        <v>162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163</v>
      </c>
      <c r="E5" s="5">
        <v>0.001</v>
      </c>
      <c r="F5" s="6"/>
      <c r="G5" s="7"/>
      <c r="I5" s="4" t="s">
        <v>164</v>
      </c>
      <c r="J5" s="4" t="s">
        <v>165</v>
      </c>
      <c r="K5" t="s">
        <v>166</v>
      </c>
      <c r="L5" s="4"/>
      <c r="M5" s="4" t="s">
        <v>167</v>
      </c>
      <c r="N5" s="4" t="s">
        <v>168</v>
      </c>
      <c r="O5" s="4"/>
      <c r="P5" s="4"/>
    </row>
    <row r="6" spans="2:16">
      <c r="B6" s="4" t="str">
        <f t="shared" ref="B6:B14" si="0">J6</f>
        <v>Sto-CO2_CB2</v>
      </c>
      <c r="C6" t="s">
        <v>163</v>
      </c>
      <c r="E6" s="5">
        <v>0.001</v>
      </c>
      <c r="F6" s="6"/>
      <c r="G6" s="7"/>
      <c r="I6" s="4"/>
      <c r="J6" s="4" t="s">
        <v>169</v>
      </c>
      <c r="K6" t="s">
        <v>170</v>
      </c>
      <c r="L6" s="4"/>
      <c r="M6" s="4" t="s">
        <v>167</v>
      </c>
      <c r="N6" s="4" t="s">
        <v>168</v>
      </c>
      <c r="O6" s="4"/>
      <c r="P6" s="4"/>
    </row>
    <row r="7" spans="2:16">
      <c r="B7" s="4" t="str">
        <f t="shared" si="0"/>
        <v>Sto-CO2_DGF</v>
      </c>
      <c r="C7" t="s">
        <v>163</v>
      </c>
      <c r="E7" s="5">
        <v>0.001</v>
      </c>
      <c r="F7" s="6"/>
      <c r="G7" s="7"/>
      <c r="I7" s="4"/>
      <c r="J7" s="4" t="s">
        <v>171</v>
      </c>
      <c r="K7" t="s">
        <v>172</v>
      </c>
      <c r="L7" s="4"/>
      <c r="M7" s="4" t="s">
        <v>167</v>
      </c>
      <c r="N7" s="4" t="s">
        <v>168</v>
      </c>
      <c r="O7" s="4"/>
      <c r="P7" s="4"/>
    </row>
    <row r="8" spans="2:16">
      <c r="B8" s="4" t="str">
        <f t="shared" si="0"/>
        <v>Sto-CO2_DGO</v>
      </c>
      <c r="C8" t="s">
        <v>163</v>
      </c>
      <c r="E8" s="5">
        <v>0.001</v>
      </c>
      <c r="F8" s="6"/>
      <c r="G8" s="7"/>
      <c r="I8" s="4"/>
      <c r="J8" s="4" t="s">
        <v>173</v>
      </c>
      <c r="K8" t="s">
        <v>174</v>
      </c>
      <c r="L8" s="4"/>
      <c r="M8" s="4" t="s">
        <v>167</v>
      </c>
      <c r="N8" s="4" t="s">
        <v>168</v>
      </c>
      <c r="O8" s="4"/>
      <c r="P8" s="4"/>
    </row>
    <row r="9" spans="2:16">
      <c r="B9" s="4" t="str">
        <f t="shared" si="0"/>
        <v>Sto-CO2_DOF</v>
      </c>
      <c r="C9" t="s">
        <v>163</v>
      </c>
      <c r="E9" s="5">
        <v>0.001</v>
      </c>
      <c r="F9" s="6"/>
      <c r="G9" s="7"/>
      <c r="I9" s="4"/>
      <c r="J9" s="4" t="s">
        <v>175</v>
      </c>
      <c r="K9" t="s">
        <v>176</v>
      </c>
      <c r="L9" s="4"/>
      <c r="M9" s="4" t="s">
        <v>167</v>
      </c>
      <c r="N9" s="4" t="s">
        <v>168</v>
      </c>
      <c r="O9" s="4"/>
      <c r="P9" s="4"/>
    </row>
    <row r="10" spans="2:16">
      <c r="B10" s="4" t="str">
        <f t="shared" si="0"/>
        <v>Sto-CO2_DOO</v>
      </c>
      <c r="C10" t="s">
        <v>163</v>
      </c>
      <c r="E10" s="5">
        <v>0.001</v>
      </c>
      <c r="F10" s="6"/>
      <c r="G10" s="7"/>
      <c r="I10" s="4"/>
      <c r="J10" s="4" t="s">
        <v>177</v>
      </c>
      <c r="K10" t="s">
        <v>178</v>
      </c>
      <c r="L10" s="4"/>
      <c r="M10" s="4" t="s">
        <v>167</v>
      </c>
      <c r="N10" s="4" t="s">
        <v>168</v>
      </c>
      <c r="O10" s="4"/>
      <c r="P10" s="4"/>
    </row>
    <row r="11" spans="2:16">
      <c r="B11" s="4" t="str">
        <f t="shared" si="0"/>
        <v>Sto-CO2_DSA</v>
      </c>
      <c r="C11" t="s">
        <v>163</v>
      </c>
      <c r="E11" s="5">
        <v>0.001</v>
      </c>
      <c r="F11" s="6"/>
      <c r="G11" s="7"/>
      <c r="I11" s="4"/>
      <c r="J11" s="4" t="s">
        <v>179</v>
      </c>
      <c r="K11" t="s">
        <v>180</v>
      </c>
      <c r="L11" s="4"/>
      <c r="M11" s="4" t="s">
        <v>167</v>
      </c>
      <c r="N11" s="4" t="s">
        <v>168</v>
      </c>
      <c r="O11" s="4"/>
      <c r="P11" s="4"/>
    </row>
    <row r="12" spans="2:16">
      <c r="B12" s="4" t="str">
        <f t="shared" si="0"/>
        <v>Sto-CO2_DSO</v>
      </c>
      <c r="C12" t="s">
        <v>163</v>
      </c>
      <c r="E12" s="5">
        <v>0.001</v>
      </c>
      <c r="F12" s="6"/>
      <c r="G12" s="7"/>
      <c r="I12" s="4"/>
      <c r="J12" s="4" t="s">
        <v>181</v>
      </c>
      <c r="K12" t="s">
        <v>182</v>
      </c>
      <c r="L12" s="4"/>
      <c r="M12" s="4" t="s">
        <v>167</v>
      </c>
      <c r="N12" s="4" t="s">
        <v>168</v>
      </c>
      <c r="O12" s="4"/>
      <c r="P12" s="4"/>
    </row>
    <row r="13" spans="2:16">
      <c r="B13" s="4" t="str">
        <f t="shared" si="0"/>
        <v>Sto-CO2_EOF</v>
      </c>
      <c r="C13" t="s">
        <v>163</v>
      </c>
      <c r="E13" s="5">
        <v>0.001</v>
      </c>
      <c r="F13" s="6"/>
      <c r="G13" s="7"/>
      <c r="I13" s="4"/>
      <c r="J13" s="4" t="s">
        <v>183</v>
      </c>
      <c r="K13" t="s">
        <v>184</v>
      </c>
      <c r="L13" s="4"/>
      <c r="M13" s="4" t="s">
        <v>167</v>
      </c>
      <c r="N13" s="4" t="s">
        <v>168</v>
      </c>
      <c r="O13" s="4"/>
      <c r="P13" s="4"/>
    </row>
    <row r="14" spans="2:16">
      <c r="B14" s="4" t="str">
        <f t="shared" si="0"/>
        <v>Sto-CO2_EOR</v>
      </c>
      <c r="C14" t="s">
        <v>163</v>
      </c>
      <c r="E14" s="5">
        <v>0.001</v>
      </c>
      <c r="F14" s="6"/>
      <c r="G14" s="7"/>
      <c r="I14" s="4"/>
      <c r="J14" s="4" t="s">
        <v>185</v>
      </c>
      <c r="K14" t="s">
        <v>186</v>
      </c>
      <c r="L14" s="4"/>
      <c r="M14" s="4" t="s">
        <v>167</v>
      </c>
      <c r="N14" s="4" t="s">
        <v>168</v>
      </c>
      <c r="O14" s="4"/>
      <c r="P14" s="4"/>
    </row>
    <row r="15" spans="2:9">
      <c r="B15" t="s">
        <v>187</v>
      </c>
      <c r="G15" s="7"/>
      <c r="I15" t="s">
        <v>187</v>
      </c>
    </row>
    <row r="16" spans="2:14">
      <c r="B16" s="4" t="str">
        <f>J16</f>
        <v>Pipeline-CO2</v>
      </c>
      <c r="C16" t="s">
        <v>188</v>
      </c>
      <c r="D16" t="str">
        <f>C8</f>
        <v>CO2ForStorage</v>
      </c>
      <c r="F16">
        <v>1</v>
      </c>
      <c r="G16" s="7"/>
      <c r="I16" t="s">
        <v>164</v>
      </c>
      <c r="J16" s="4" t="s">
        <v>189</v>
      </c>
      <c r="K16" s="4" t="s">
        <v>190</v>
      </c>
      <c r="M16" s="4" t="s">
        <v>167</v>
      </c>
      <c r="N16" s="4" t="s">
        <v>168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2026-04-03T03:51:06Z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