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1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P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<sst xmlns="http://schemas.openxmlformats.org/spreadsheetml/2006/main" count="653" uniqueCount="213">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</sst>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ahoma"/>
      <charset val="1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sz val="9"/>
      <name val="Tahoma"/>
      <charset val="1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2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6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Border="1"/>
    <xf numFmtId="0" fontId="14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/>
    <xf numFmtId="0" fontId="11" fillId="0" borderId="0" xfId="76" applyFill="1"/>
    <xf numFmtId="0" fontId="0" fillId="7" borderId="0" xfId="0" applyFill="1"/>
    <xf numFmtId="0" fontId="11" fillId="7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15" fillId="0" borderId="0" xfId="0" applyFont="1" applyFill="1" applyBorder="1"/>
    <xf numFmtId="0" fontId="14" fillId="0" borderId="0" xfId="0" applyFont="1"/>
    <xf numFmtId="0" fontId="0" fillId="0" borderId="0" xfId="0" applyFill="1"/>
    <xf numFmtId="0" fontId="16" fillId="0" borderId="3" xfId="76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50" zoomScaleNormal="50" workbookViewId="0">
      <selection activeCell="AQ32" sqref="AQ32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6">
        <v>9999</v>
      </c>
      <c r="H16" s="66">
        <v>500</v>
      </c>
      <c r="I16" s="6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tabSelected="1" zoomScale="84" zoomScaleNormal="84" topLeftCell="A28" workbookViewId="0">
      <selection activeCell="F38" sqref="F38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4:32">
      <c r="X1" s="29"/>
      <c r="Y1" s="53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52"/>
      <c r="X2" s="53"/>
      <c r="Y2" s="29"/>
      <c r="Z2" s="53"/>
      <c r="AA2" s="53"/>
      <c r="AB2" s="53"/>
      <c r="AC2" s="53"/>
      <c r="AD2" s="53"/>
      <c r="AE2" s="53"/>
      <c r="AF2" s="53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53" t="s">
        <v>80</v>
      </c>
      <c r="Z3" s="53" t="s">
        <v>81</v>
      </c>
      <c r="AA3" s="53" t="s">
        <v>82</v>
      </c>
      <c r="AB3" s="53" t="s">
        <v>83</v>
      </c>
      <c r="AC3" s="53" t="s">
        <v>84</v>
      </c>
      <c r="AD3" s="53" t="s">
        <v>85</v>
      </c>
      <c r="AE3" s="53" t="s">
        <v>86</v>
      </c>
      <c r="AF3" s="53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53" t="s">
        <v>89</v>
      </c>
      <c r="Z4" s="53">
        <v>0.095</v>
      </c>
      <c r="AA4" s="53">
        <v>0</v>
      </c>
      <c r="AB4" s="53">
        <v>0</v>
      </c>
      <c r="AC4" s="53">
        <v>0</v>
      </c>
      <c r="AD4" s="53">
        <v>3.528</v>
      </c>
      <c r="AE4" s="53">
        <v>0.946</v>
      </c>
      <c r="AF4" s="53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52"/>
      <c r="X5" s="54"/>
      <c r="Y5" s="52"/>
      <c r="Z5" s="52"/>
      <c r="AA5" s="52"/>
      <c r="AB5" s="52"/>
      <c r="AC5" s="52"/>
      <c r="AD5" s="52"/>
      <c r="AE5" s="52"/>
      <c r="AF5" s="52"/>
    </row>
    <row r="6" spans="2:32">
      <c r="B6" s="4" t="s">
        <v>88</v>
      </c>
      <c r="C6" s="4" t="s">
        <v>96</v>
      </c>
      <c r="D6" s="4" t="s">
        <v>97</v>
      </c>
      <c r="E6" s="4" t="s">
        <v>91</v>
      </c>
      <c r="F6" s="4" t="s">
        <v>92</v>
      </c>
      <c r="G6" s="4" t="s">
        <v>42</v>
      </c>
      <c r="W6" s="52"/>
      <c r="X6" s="54"/>
      <c r="Y6" s="52"/>
      <c r="Z6" s="52"/>
      <c r="AA6" s="52"/>
      <c r="AB6" s="52"/>
      <c r="AC6" s="52"/>
      <c r="AD6" s="52"/>
      <c r="AE6" s="52"/>
      <c r="AF6" s="52"/>
    </row>
    <row r="7" spans="2:32">
      <c r="B7" s="4"/>
      <c r="C7" s="4" t="s">
        <v>98</v>
      </c>
      <c r="E7" s="4" t="s">
        <v>91</v>
      </c>
      <c r="F7" s="4" t="s">
        <v>92</v>
      </c>
      <c r="G7" s="4" t="s">
        <v>42</v>
      </c>
      <c r="W7" s="52"/>
      <c r="X7" s="54"/>
      <c r="Y7" s="52"/>
      <c r="Z7" s="52"/>
      <c r="AA7" s="52"/>
      <c r="AB7" s="52"/>
      <c r="AC7" s="52"/>
      <c r="AD7" s="52"/>
      <c r="AE7" s="52"/>
      <c r="AF7" s="52"/>
    </row>
    <row r="8" spans="2:32">
      <c r="B8" s="4"/>
      <c r="C8" s="4" t="s">
        <v>99</v>
      </c>
      <c r="E8" s="4" t="s">
        <v>91</v>
      </c>
      <c r="F8" s="4" t="s">
        <v>92</v>
      </c>
      <c r="G8" s="4" t="s">
        <v>42</v>
      </c>
      <c r="W8" s="52"/>
      <c r="X8" s="54"/>
      <c r="Y8" s="52"/>
      <c r="Z8" s="52"/>
      <c r="AA8" s="52"/>
      <c r="AB8" s="52"/>
      <c r="AC8" s="52"/>
      <c r="AD8" s="52"/>
      <c r="AE8" s="52"/>
      <c r="AF8" s="52"/>
    </row>
    <row r="9" spans="2:32">
      <c r="B9" s="4"/>
      <c r="C9" s="4" t="s">
        <v>100</v>
      </c>
      <c r="E9" s="4" t="s">
        <v>91</v>
      </c>
      <c r="F9" s="4" t="s">
        <v>92</v>
      </c>
      <c r="G9" s="4" t="s">
        <v>42</v>
      </c>
      <c r="W9" s="52"/>
      <c r="X9" s="54"/>
      <c r="Y9" s="52"/>
      <c r="Z9" s="52"/>
      <c r="AA9" s="52"/>
      <c r="AB9" s="52"/>
      <c r="AC9" s="52"/>
      <c r="AD9" s="52"/>
      <c r="AE9" s="52"/>
      <c r="AF9" s="52"/>
    </row>
    <row r="10" spans="2:32">
      <c r="B10" s="4"/>
      <c r="C10" s="4" t="s">
        <v>101</v>
      </c>
      <c r="E10" s="4" t="s">
        <v>91</v>
      </c>
      <c r="F10" s="4" t="s">
        <v>92</v>
      </c>
      <c r="G10" s="4" t="s">
        <v>42</v>
      </c>
      <c r="W10" s="52"/>
      <c r="X10" s="54"/>
      <c r="Y10" s="52"/>
      <c r="Z10" s="52"/>
      <c r="AA10" s="52"/>
      <c r="AB10" s="52"/>
      <c r="AC10" s="52"/>
      <c r="AD10" s="52"/>
      <c r="AE10" s="52"/>
      <c r="AF10" s="52"/>
    </row>
    <row r="11" spans="2:32">
      <c r="B11" s="4"/>
      <c r="C11" s="4" t="s">
        <v>102</v>
      </c>
      <c r="E11" s="4" t="s">
        <v>91</v>
      </c>
      <c r="F11" s="4" t="s">
        <v>92</v>
      </c>
      <c r="G11" s="4" t="s">
        <v>42</v>
      </c>
      <c r="W11" s="52"/>
      <c r="X11" s="54"/>
      <c r="Y11" s="52"/>
      <c r="Z11" s="52"/>
      <c r="AA11" s="52"/>
      <c r="AB11" s="52"/>
      <c r="AC11" s="52"/>
      <c r="AD11" s="52"/>
      <c r="AE11" s="52"/>
      <c r="AF11" s="52"/>
    </row>
    <row r="12" spans="2:32">
      <c r="B12" s="4"/>
      <c r="E12" s="4"/>
      <c r="F12" s="4"/>
      <c r="G12" s="4"/>
      <c r="W12" s="52"/>
      <c r="X12" s="54"/>
      <c r="Y12" s="52"/>
      <c r="Z12" s="52"/>
      <c r="AA12" s="52"/>
      <c r="AB12" s="52"/>
      <c r="AC12" s="52"/>
      <c r="AD12" s="52"/>
      <c r="AE12" s="52"/>
      <c r="AF12" s="52"/>
    </row>
    <row r="13" spans="23:32">
      <c r="W13" s="52"/>
      <c r="X13" s="54"/>
      <c r="Y13" s="52"/>
      <c r="Z13" s="52"/>
      <c r="AA13" s="52"/>
      <c r="AB13" s="52"/>
      <c r="AC13" s="52"/>
      <c r="AD13" s="52"/>
      <c r="AE13" s="52"/>
      <c r="AF13" s="52"/>
    </row>
    <row r="14" spans="7:37">
      <c r="G14" t="s">
        <v>103</v>
      </c>
      <c r="W14" s="55"/>
      <c r="X14" s="56"/>
      <c r="Y14" s="55"/>
      <c r="Z14" s="55"/>
      <c r="AA14" s="55"/>
      <c r="AB14" s="55"/>
      <c r="AC14" s="55"/>
      <c r="AD14" s="52"/>
      <c r="AE14" s="52"/>
      <c r="AF14"/>
      <c r="AK14" t="s">
        <v>103</v>
      </c>
    </row>
    <row r="15" spans="2:48">
      <c r="B15" t="s">
        <v>2</v>
      </c>
      <c r="C15" t="s">
        <v>3</v>
      </c>
      <c r="D15" t="s">
        <v>104</v>
      </c>
      <c r="E15" t="s">
        <v>4</v>
      </c>
      <c r="F15" t="s">
        <v>105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9</v>
      </c>
      <c r="M15" t="s">
        <v>111</v>
      </c>
      <c r="N15" t="s">
        <v>6</v>
      </c>
      <c r="O15" t="s">
        <v>112</v>
      </c>
      <c r="P15" t="s">
        <v>113</v>
      </c>
      <c r="Q15" t="s">
        <v>114</v>
      </c>
      <c r="R15" s="57" t="s">
        <v>115</v>
      </c>
      <c r="V15" s="27" t="s">
        <v>116</v>
      </c>
      <c r="W15" s="55"/>
      <c r="X15" s="55"/>
      <c r="Y15" s="55"/>
      <c r="Z15" s="55"/>
      <c r="AA15" s="55"/>
      <c r="AB15" s="55"/>
      <c r="AC15" s="55"/>
      <c r="AD15" s="52"/>
      <c r="AE15" s="52"/>
      <c r="AF15" t="s">
        <v>2</v>
      </c>
      <c r="AG15" t="s">
        <v>3</v>
      </c>
      <c r="AH15" t="s">
        <v>104</v>
      </c>
      <c r="AI15" t="s">
        <v>4</v>
      </c>
      <c r="AJ15" t="s">
        <v>105</v>
      </c>
      <c r="AK15" t="s">
        <v>106</v>
      </c>
      <c r="AL15" t="s">
        <v>107</v>
      </c>
      <c r="AM15" t="s">
        <v>108</v>
      </c>
      <c r="AN15" t="s">
        <v>109</v>
      </c>
      <c r="AO15" t="s">
        <v>110</v>
      </c>
      <c r="AP15" t="s">
        <v>9</v>
      </c>
      <c r="AQ15" t="s">
        <v>111</v>
      </c>
      <c r="AR15" t="s">
        <v>6</v>
      </c>
      <c r="AS15" t="s">
        <v>112</v>
      </c>
      <c r="AT15" t="s">
        <v>113</v>
      </c>
      <c r="AU15" t="s">
        <v>114</v>
      </c>
      <c r="AV15" s="57" t="s">
        <v>115</v>
      </c>
    </row>
    <row r="16" spans="2:48">
      <c r="B16" t="s">
        <v>89</v>
      </c>
      <c r="C16" t="s">
        <v>22</v>
      </c>
      <c r="E16" t="s">
        <v>22</v>
      </c>
      <c r="G16" t="s">
        <v>117</v>
      </c>
      <c r="H16">
        <v>0.92</v>
      </c>
      <c r="I16" s="19">
        <v>1.314</v>
      </c>
      <c r="J16">
        <v>1</v>
      </c>
      <c r="L16" s="24">
        <v>20</v>
      </c>
      <c r="Q16">
        <v>2020</v>
      </c>
      <c r="R16">
        <v>7000</v>
      </c>
      <c r="V16" s="27">
        <v>1</v>
      </c>
      <c r="W16" s="55"/>
      <c r="X16" s="55"/>
      <c r="Y16" s="55"/>
      <c r="Z16" s="55"/>
      <c r="AA16" s="55"/>
      <c r="AB16" s="55"/>
      <c r="AC16" s="55"/>
      <c r="AD16" s="52"/>
      <c r="AE16" s="52"/>
      <c r="AF16" t="s">
        <v>96</v>
      </c>
      <c r="AG16" t="s">
        <v>22</v>
      </c>
      <c r="AI16" t="s">
        <v>22</v>
      </c>
      <c r="AK16" t="s">
        <v>117</v>
      </c>
      <c r="AL16" s="24">
        <v>0.9</v>
      </c>
      <c r="AM16" s="19">
        <v>1.314</v>
      </c>
      <c r="AN16">
        <v>1</v>
      </c>
      <c r="AP16" s="24">
        <v>10</v>
      </c>
      <c r="AU16">
        <v>2020</v>
      </c>
      <c r="AV16" s="24">
        <v>3000</v>
      </c>
    </row>
    <row r="17" s="27" customFormat="1" ht="16" spans="4:67">
      <c r="D17" s="28"/>
      <c r="F17" s="27" t="s">
        <v>118</v>
      </c>
      <c r="G17" s="27" t="str">
        <f>F17</f>
        <v>AuxStoOUT</v>
      </c>
      <c r="I17" s="49"/>
      <c r="K17" s="49">
        <f>1/H16</f>
        <v>1.08695652173913</v>
      </c>
      <c r="W17" s="58"/>
      <c r="Y17" s="61" t="s">
        <v>119</v>
      </c>
      <c r="Z17" s="60"/>
      <c r="AA17" s="58"/>
      <c r="AB17" s="58"/>
      <c r="AC17" s="58"/>
      <c r="AD17" s="37"/>
      <c r="AE17" s="37"/>
      <c r="AF17" s="62"/>
      <c r="AG17" s="62"/>
      <c r="AH17" s="64"/>
      <c r="AI17" s="62"/>
      <c r="AJ17" s="62" t="s">
        <v>118</v>
      </c>
      <c r="AK17" s="62" t="s">
        <v>118</v>
      </c>
      <c r="AL17" s="62"/>
      <c r="AM17" s="65"/>
      <c r="AN17" s="62"/>
      <c r="AO17" s="65">
        <v>1.08695652173913</v>
      </c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</row>
    <row r="18" spans="4:45">
      <c r="D18" s="4"/>
      <c r="F18" s="4" t="str">
        <f>C25</f>
        <v>AuxStoIN</v>
      </c>
      <c r="G18" t="s">
        <v>22</v>
      </c>
      <c r="I18" s="19"/>
      <c r="O18">
        <v>1</v>
      </c>
      <c r="V18" s="27"/>
      <c r="W18" s="58"/>
      <c r="X18" s="58"/>
      <c r="Y18" s="58"/>
      <c r="Z18" s="58"/>
      <c r="AA18" s="58"/>
      <c r="AB18" s="58"/>
      <c r="AC18" s="58"/>
      <c r="AD18" s="37"/>
      <c r="AE18" s="37"/>
      <c r="AH18" s="4"/>
      <c r="AJ18" s="4" t="s">
        <v>120</v>
      </c>
      <c r="AK18" t="s">
        <v>22</v>
      </c>
      <c r="AM18" s="19"/>
      <c r="AS18">
        <v>1</v>
      </c>
    </row>
    <row r="19" spans="2:48">
      <c r="B19" t="s">
        <v>94</v>
      </c>
      <c r="E19" t="s">
        <v>121</v>
      </c>
      <c r="I19" s="19">
        <v>29.89194313</v>
      </c>
      <c r="L19">
        <v>1</v>
      </c>
      <c r="M19">
        <v>0</v>
      </c>
      <c r="P19">
        <v>3</v>
      </c>
      <c r="V19" s="27"/>
      <c r="W19" s="58"/>
      <c r="X19" s="58"/>
      <c r="Y19" s="58"/>
      <c r="Z19" s="58"/>
      <c r="AA19" s="58"/>
      <c r="AB19" s="58"/>
      <c r="AC19" s="58"/>
      <c r="AD19" s="37"/>
      <c r="AE19" s="37"/>
      <c r="AF19" t="s">
        <v>98</v>
      </c>
      <c r="AG19" t="s">
        <v>22</v>
      </c>
      <c r="AI19" t="s">
        <v>22</v>
      </c>
      <c r="AK19" t="s">
        <v>117</v>
      </c>
      <c r="AL19" s="24">
        <v>0.94</v>
      </c>
      <c r="AM19" s="19">
        <f>AM16</f>
        <v>1.314</v>
      </c>
      <c r="AN19">
        <v>1</v>
      </c>
      <c r="AP19" s="24">
        <v>12</v>
      </c>
      <c r="AU19">
        <v>2020</v>
      </c>
      <c r="AV19" s="24">
        <v>3500</v>
      </c>
    </row>
    <row r="20" spans="23:48">
      <c r="W20" s="58"/>
      <c r="X20" s="58"/>
      <c r="Y20" s="58"/>
      <c r="Z20" s="58"/>
      <c r="AA20" s="59"/>
      <c r="AB20" s="59"/>
      <c r="AC20" s="59"/>
      <c r="AF20" s="62"/>
      <c r="AG20" s="62"/>
      <c r="AH20" s="64"/>
      <c r="AI20" s="62"/>
      <c r="AJ20" s="62" t="s">
        <v>118</v>
      </c>
      <c r="AK20" s="62" t="s">
        <v>118</v>
      </c>
      <c r="AL20" s="62"/>
      <c r="AM20" s="65"/>
      <c r="AN20" s="62"/>
      <c r="AO20" s="65">
        <v>1.08695652173913</v>
      </c>
      <c r="AP20" s="62"/>
      <c r="AQ20" s="62"/>
      <c r="AR20" s="62"/>
      <c r="AS20" s="62"/>
      <c r="AT20" s="62"/>
      <c r="AU20" s="62"/>
      <c r="AV20" s="62"/>
    </row>
    <row r="21" spans="23:45">
      <c r="W21" s="58"/>
      <c r="X21" s="58"/>
      <c r="Y21" s="58"/>
      <c r="Z21" s="58"/>
      <c r="AA21" s="58"/>
      <c r="AB21" s="59"/>
      <c r="AC21" s="59"/>
      <c r="AH21" s="4"/>
      <c r="AJ21" s="4" t="s">
        <v>120</v>
      </c>
      <c r="AK21" t="s">
        <v>22</v>
      </c>
      <c r="AM21" s="19"/>
      <c r="AS21">
        <v>1</v>
      </c>
    </row>
    <row r="22" spans="23:48">
      <c r="W22" s="58"/>
      <c r="X22" s="55"/>
      <c r="Y22" s="55"/>
      <c r="Z22" s="55"/>
      <c r="AA22" s="58"/>
      <c r="AB22" s="59"/>
      <c r="AC22" s="59"/>
      <c r="AF22" s="37" t="s">
        <v>99</v>
      </c>
      <c r="AG22" t="s">
        <v>22</v>
      </c>
      <c r="AI22" t="s">
        <v>22</v>
      </c>
      <c r="AK22" t="s">
        <v>117</v>
      </c>
      <c r="AL22" s="24">
        <v>0.94</v>
      </c>
      <c r="AM22" s="19">
        <f>AM19</f>
        <v>1.314</v>
      </c>
      <c r="AN22">
        <v>1</v>
      </c>
      <c r="AP22" s="24">
        <v>13</v>
      </c>
      <c r="AU22">
        <v>2020</v>
      </c>
      <c r="AV22" s="24">
        <v>4000</v>
      </c>
    </row>
    <row r="23" spans="2:48">
      <c r="B23" s="4" t="s">
        <v>122</v>
      </c>
      <c r="C23" s="4"/>
      <c r="D23" s="4"/>
      <c r="E23" s="4"/>
      <c r="F23" s="4"/>
      <c r="G23" s="4"/>
      <c r="H23" s="4"/>
      <c r="I23" s="4"/>
      <c r="W23" s="59"/>
      <c r="X23" s="45"/>
      <c r="Y23" s="45"/>
      <c r="Z23" s="55"/>
      <c r="AA23" s="58"/>
      <c r="AB23" s="59"/>
      <c r="AC23" s="59"/>
      <c r="AG23" s="62"/>
      <c r="AH23" s="64"/>
      <c r="AI23" s="62"/>
      <c r="AJ23" s="62" t="s">
        <v>118</v>
      </c>
      <c r="AK23" s="62" t="s">
        <v>118</v>
      </c>
      <c r="AL23" s="24"/>
      <c r="AM23" s="65"/>
      <c r="AN23" s="62"/>
      <c r="AO23" s="65">
        <v>1.08695652173913</v>
      </c>
      <c r="AP23" s="62"/>
      <c r="AQ23" s="62"/>
      <c r="AR23" s="62"/>
      <c r="AS23" s="62"/>
      <c r="AT23" s="62"/>
      <c r="AU23" s="62"/>
      <c r="AV23" s="62"/>
    </row>
    <row r="24" spans="2:45">
      <c r="B24" s="4" t="s">
        <v>123</v>
      </c>
      <c r="C24" s="4" t="s">
        <v>124</v>
      </c>
      <c r="D24" s="4" t="s">
        <v>125</v>
      </c>
      <c r="E24" s="4" t="s">
        <v>126</v>
      </c>
      <c r="F24" s="4" t="s">
        <v>127</v>
      </c>
      <c r="G24" s="4" t="s">
        <v>128</v>
      </c>
      <c r="H24" s="4" t="s">
        <v>129</v>
      </c>
      <c r="I24" s="4" t="s">
        <v>130</v>
      </c>
      <c r="W24" s="59"/>
      <c r="X24" s="45"/>
      <c r="Y24" s="63"/>
      <c r="Z24" s="60"/>
      <c r="AA24" s="58"/>
      <c r="AB24" s="59"/>
      <c r="AC24" s="59"/>
      <c r="AH24" s="4"/>
      <c r="AJ24" s="4" t="s">
        <v>120</v>
      </c>
      <c r="AK24" t="s">
        <v>22</v>
      </c>
      <c r="AL24" s="24"/>
      <c r="AM24" s="19"/>
      <c r="AS24">
        <v>1</v>
      </c>
    </row>
    <row r="25" spans="2:48">
      <c r="B25" s="4" t="s">
        <v>131</v>
      </c>
      <c r="C25" s="4" t="s">
        <v>120</v>
      </c>
      <c r="D25" s="4" t="s">
        <v>132</v>
      </c>
      <c r="E25" s="4" t="s">
        <v>91</v>
      </c>
      <c r="F25" s="4"/>
      <c r="G25" s="4" t="s">
        <v>42</v>
      </c>
      <c r="H25" s="4"/>
      <c r="I25" s="4"/>
      <c r="W25" s="59"/>
      <c r="X25" s="60"/>
      <c r="Y25" s="45"/>
      <c r="Z25" s="58"/>
      <c r="AA25" s="58"/>
      <c r="AB25" s="59"/>
      <c r="AC25" s="59"/>
      <c r="AF25" t="s">
        <v>100</v>
      </c>
      <c r="AG25" t="s">
        <v>22</v>
      </c>
      <c r="AI25" t="s">
        <v>22</v>
      </c>
      <c r="AK25" t="s">
        <v>117</v>
      </c>
      <c r="AL25" s="24">
        <v>0.94</v>
      </c>
      <c r="AM25" s="19">
        <f>AM22</f>
        <v>1.314</v>
      </c>
      <c r="AN25">
        <v>1</v>
      </c>
      <c r="AP25" s="24">
        <v>13</v>
      </c>
      <c r="AU25">
        <v>2020</v>
      </c>
      <c r="AV25" s="24">
        <v>4000</v>
      </c>
    </row>
    <row r="26" spans="3:48">
      <c r="C26" s="4" t="s">
        <v>118</v>
      </c>
      <c r="D26" s="4" t="s">
        <v>133</v>
      </c>
      <c r="E26" s="4" t="s">
        <v>91</v>
      </c>
      <c r="F26" s="4"/>
      <c r="G26" s="4" t="s">
        <v>42</v>
      </c>
      <c r="W26" s="55"/>
      <c r="X26" s="45"/>
      <c r="Y26" s="45"/>
      <c r="Z26" s="58"/>
      <c r="AA26" s="58"/>
      <c r="AB26" s="59"/>
      <c r="AC26" s="59"/>
      <c r="AG26" s="62"/>
      <c r="AH26" s="64"/>
      <c r="AI26" s="62"/>
      <c r="AJ26" s="62" t="s">
        <v>118</v>
      </c>
      <c r="AK26" s="62" t="s">
        <v>118</v>
      </c>
      <c r="AL26" s="24"/>
      <c r="AM26" s="65"/>
      <c r="AN26" s="62"/>
      <c r="AO26" s="65">
        <v>1.08695652173913</v>
      </c>
      <c r="AP26" s="62"/>
      <c r="AQ26" s="62"/>
      <c r="AR26" s="62"/>
      <c r="AS26" s="62"/>
      <c r="AT26" s="62"/>
      <c r="AU26" s="62"/>
      <c r="AV26" s="62"/>
    </row>
    <row r="27" spans="23:45">
      <c r="W27" s="55"/>
      <c r="X27" s="55"/>
      <c r="Y27" s="55"/>
      <c r="Z27" s="58"/>
      <c r="AA27" s="58"/>
      <c r="AB27" s="59"/>
      <c r="AC27" s="59"/>
      <c r="AH27" s="4"/>
      <c r="AJ27" s="4" t="s">
        <v>120</v>
      </c>
      <c r="AK27" t="s">
        <v>22</v>
      </c>
      <c r="AL27" s="24"/>
      <c r="AM27" s="19"/>
      <c r="AS27">
        <v>1</v>
      </c>
    </row>
    <row r="28" spans="23:48">
      <c r="W28" s="55"/>
      <c r="X28" s="55"/>
      <c r="Y28" s="55"/>
      <c r="Z28" s="58"/>
      <c r="AA28" s="58"/>
      <c r="AB28" s="59"/>
      <c r="AC28" s="59"/>
      <c r="AF28" t="s">
        <v>101</v>
      </c>
      <c r="AG28" t="s">
        <v>22</v>
      </c>
      <c r="AI28" t="s">
        <v>22</v>
      </c>
      <c r="AK28" t="s">
        <v>117</v>
      </c>
      <c r="AL28" s="24">
        <v>0.94</v>
      </c>
      <c r="AM28" s="19">
        <f>AM25</f>
        <v>1.314</v>
      </c>
      <c r="AN28">
        <v>1</v>
      </c>
      <c r="AP28" s="24">
        <v>13</v>
      </c>
      <c r="AU28">
        <v>2020</v>
      </c>
      <c r="AV28" s="24">
        <v>4000</v>
      </c>
    </row>
    <row r="29" spans="2:48">
      <c r="B29" s="29"/>
      <c r="C29" s="29"/>
      <c r="D29" s="29"/>
      <c r="E29" s="29"/>
      <c r="W29" s="55"/>
      <c r="X29" s="55"/>
      <c r="Y29" s="55"/>
      <c r="Z29" s="58"/>
      <c r="AA29" s="58"/>
      <c r="AB29" s="59"/>
      <c r="AC29" s="59"/>
      <c r="AG29" s="62"/>
      <c r="AH29" s="64"/>
      <c r="AI29" s="62"/>
      <c r="AJ29" s="62" t="s">
        <v>118</v>
      </c>
      <c r="AK29" s="62" t="s">
        <v>118</v>
      </c>
      <c r="AL29" s="24"/>
      <c r="AM29" s="65"/>
      <c r="AN29" s="62"/>
      <c r="AO29" s="65">
        <v>1.08695652173913</v>
      </c>
      <c r="AP29" s="62"/>
      <c r="AQ29" s="62"/>
      <c r="AR29" s="62"/>
      <c r="AS29" s="62"/>
      <c r="AT29" s="62"/>
      <c r="AU29" s="62"/>
      <c r="AV29" s="62"/>
    </row>
    <row r="30" spans="2:45">
      <c r="B30" s="29"/>
      <c r="C30" s="29"/>
      <c r="D30" s="30" t="s">
        <v>78</v>
      </c>
      <c r="E30" s="29"/>
      <c r="W30" s="55"/>
      <c r="X30" s="55"/>
      <c r="Y30" s="55"/>
      <c r="Z30" s="58"/>
      <c r="AA30" s="58"/>
      <c r="AB30" s="59"/>
      <c r="AC30" s="59"/>
      <c r="AH30" s="4"/>
      <c r="AJ30" s="4" t="s">
        <v>120</v>
      </c>
      <c r="AK30" t="s">
        <v>22</v>
      </c>
      <c r="AL30" s="24"/>
      <c r="AM30" s="19"/>
      <c r="AS30">
        <v>1</v>
      </c>
    </row>
    <row r="31" spans="2:48">
      <c r="B31" s="30"/>
      <c r="C31" s="30"/>
      <c r="D31" s="29"/>
      <c r="E31" s="30"/>
      <c r="W31" s="55"/>
      <c r="X31" s="55"/>
      <c r="Y31" s="55"/>
      <c r="Z31" s="37"/>
      <c r="AA31" s="37"/>
      <c r="AF31" t="s">
        <v>102</v>
      </c>
      <c r="AG31" t="s">
        <v>22</v>
      </c>
      <c r="AI31" t="s">
        <v>22</v>
      </c>
      <c r="AK31" t="s">
        <v>117</v>
      </c>
      <c r="AL31" s="24">
        <v>0.94</v>
      </c>
      <c r="AM31" s="19">
        <f>AM28</f>
        <v>1.314</v>
      </c>
      <c r="AN31">
        <v>1</v>
      </c>
      <c r="AP31" s="24">
        <v>13</v>
      </c>
      <c r="AU31">
        <v>2020</v>
      </c>
      <c r="AV31" s="24">
        <v>4000</v>
      </c>
    </row>
    <row r="32" spans="2:48">
      <c r="B32" s="31" t="s">
        <v>79</v>
      </c>
      <c r="C32" s="30" t="s">
        <v>2</v>
      </c>
      <c r="D32" s="30" t="s">
        <v>3</v>
      </c>
      <c r="E32" s="30">
        <v>2019</v>
      </c>
      <c r="W32" s="58"/>
      <c r="X32" s="58"/>
      <c r="Y32" s="58"/>
      <c r="Z32" s="37"/>
      <c r="AA32" s="37"/>
      <c r="AG32" s="62"/>
      <c r="AH32" s="64"/>
      <c r="AI32" s="62"/>
      <c r="AJ32" s="62" t="s">
        <v>118</v>
      </c>
      <c r="AK32" s="62" t="s">
        <v>118</v>
      </c>
      <c r="AL32" s="62"/>
      <c r="AM32" s="65"/>
      <c r="AN32" s="62"/>
      <c r="AO32" s="65">
        <v>1.08695652173913</v>
      </c>
      <c r="AP32" s="62"/>
      <c r="AQ32" s="62"/>
      <c r="AR32" s="62"/>
      <c r="AS32" s="62"/>
      <c r="AT32" s="62"/>
      <c r="AU32" s="62"/>
      <c r="AV32" s="62"/>
    </row>
    <row r="33" spans="2:45">
      <c r="B33" s="32" t="s">
        <v>93</v>
      </c>
      <c r="C33" s="33" t="s">
        <v>89</v>
      </c>
      <c r="D33" s="34" t="s">
        <v>134</v>
      </c>
      <c r="E33" s="35">
        <f>[2]EnergyUseFromEverBatt_Min_!$AW$6</f>
        <v>0.0473</v>
      </c>
      <c r="W33" s="37"/>
      <c r="X33" s="37"/>
      <c r="Y33" s="37"/>
      <c r="Z33" s="37"/>
      <c r="AA33" s="37"/>
      <c r="AH33" s="4"/>
      <c r="AJ33" s="4" t="s">
        <v>120</v>
      </c>
      <c r="AK33" t="s">
        <v>22</v>
      </c>
      <c r="AM33" s="19"/>
      <c r="AS33">
        <v>1</v>
      </c>
    </row>
    <row r="34" ht="16" spans="2:27">
      <c r="B34" s="32" t="s">
        <v>93</v>
      </c>
      <c r="C34" s="36" t="str">
        <f t="shared" ref="C34:C36" si="0">C33</f>
        <v>EN_STG_4hBatt</v>
      </c>
      <c r="D34" s="34" t="s">
        <v>135</v>
      </c>
      <c r="E34" s="35">
        <f>[2]EnergyUseFromEverBatt_Min_!$AW$7</f>
        <v>0.171166666666667</v>
      </c>
      <c r="W34" s="37"/>
      <c r="X34" s="37"/>
      <c r="Y34" s="37"/>
      <c r="Z34" s="37"/>
      <c r="AA34" s="37"/>
    </row>
    <row r="35" ht="16" spans="2:5">
      <c r="B35" s="32" t="s">
        <v>93</v>
      </c>
      <c r="C35" s="36" t="str">
        <f t="shared" si="0"/>
        <v>EN_STG_4hBatt</v>
      </c>
      <c r="D35" s="34" t="s">
        <v>136</v>
      </c>
      <c r="E35" s="35">
        <f>[2]EnergyUseFromEverBatt_Min_!$AW$8</f>
        <v>0.466366666666667</v>
      </c>
    </row>
    <row r="36" ht="16" spans="2:5">
      <c r="B36" s="32" t="s">
        <v>93</v>
      </c>
      <c r="C36" s="36" t="str">
        <f t="shared" si="0"/>
        <v>EN_STG_4hBatt</v>
      </c>
      <c r="D36" s="34" t="s">
        <v>137</v>
      </c>
      <c r="E36" s="35">
        <f>[2]EnergyUseFromEverBatt_Min_!$AW$9</f>
        <v>0.0956666666666667</v>
      </c>
    </row>
    <row r="42" spans="3:19"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</row>
    <row r="43" spans="2:19">
      <c r="B43" s="38" t="s">
        <v>138</v>
      </c>
      <c r="C43" s="38"/>
      <c r="D43" s="39"/>
      <c r="E43" s="39"/>
      <c r="F43" s="39"/>
      <c r="G43" s="39"/>
      <c r="H43" s="39"/>
      <c r="I43" s="39"/>
      <c r="J43" s="44"/>
      <c r="K43" s="44"/>
      <c r="L43" s="44"/>
      <c r="M43" s="44"/>
      <c r="N43" s="44"/>
      <c r="O43" s="44"/>
      <c r="P43" s="44"/>
      <c r="Q43" s="44"/>
      <c r="R43" s="44"/>
      <c r="S43" s="46"/>
    </row>
    <row r="44" ht="16" spans="2:19">
      <c r="B44" s="38" t="s">
        <v>80</v>
      </c>
      <c r="C44" s="40" t="s">
        <v>139</v>
      </c>
      <c r="D44" s="41" t="s">
        <v>140</v>
      </c>
      <c r="E44" s="41" t="s">
        <v>141</v>
      </c>
      <c r="F44" s="41" t="s">
        <v>142</v>
      </c>
      <c r="G44" s="41" t="s">
        <v>143</v>
      </c>
      <c r="H44" s="41" t="s">
        <v>144</v>
      </c>
      <c r="I44" s="41" t="s">
        <v>145</v>
      </c>
      <c r="J44" s="44"/>
      <c r="K44" s="44"/>
      <c r="L44" s="50"/>
      <c r="M44" s="50"/>
      <c r="N44" s="44"/>
      <c r="O44" s="44"/>
      <c r="P44" s="50"/>
      <c r="Q44" s="50"/>
      <c r="R44" s="44"/>
      <c r="S44" s="44"/>
    </row>
    <row r="45" ht="16" spans="2:19">
      <c r="B45" s="42" t="s">
        <v>89</v>
      </c>
      <c r="C45" s="38">
        <v>1</v>
      </c>
      <c r="D45" s="39"/>
      <c r="E45" s="39"/>
      <c r="F45" s="39"/>
      <c r="G45" s="39"/>
      <c r="H45" s="39"/>
      <c r="I45" s="39"/>
      <c r="J45" s="46"/>
      <c r="K45" s="44"/>
      <c r="L45" s="44"/>
      <c r="M45" s="44"/>
      <c r="N45" s="44"/>
      <c r="O45" s="44"/>
      <c r="P45" s="44"/>
      <c r="Q45" s="44"/>
      <c r="R45" s="44"/>
      <c r="S45" s="44"/>
    </row>
    <row r="46" spans="2:19">
      <c r="B46" s="43" t="str">
        <f>C6</f>
        <v>EN_STG_4hBatt_LMO</v>
      </c>
      <c r="C46" s="39"/>
      <c r="D46" s="39">
        <v>1</v>
      </c>
      <c r="E46" s="39"/>
      <c r="F46" s="39"/>
      <c r="G46" s="39"/>
      <c r="H46" s="39"/>
      <c r="I46" s="39"/>
      <c r="J46" s="46"/>
      <c r="K46" s="44"/>
      <c r="L46" s="44"/>
      <c r="M46" s="44"/>
      <c r="N46" s="44"/>
      <c r="O46" s="44"/>
      <c r="P46" s="44"/>
      <c r="Q46" s="44"/>
      <c r="R46" s="44"/>
      <c r="S46" s="44"/>
    </row>
    <row r="47" spans="2:19">
      <c r="B47" s="43" t="str">
        <f>C7</f>
        <v>EN_STG_4hBatt_NCA</v>
      </c>
      <c r="C47" s="39"/>
      <c r="D47" s="39"/>
      <c r="E47" s="39">
        <v>1</v>
      </c>
      <c r="F47" s="39"/>
      <c r="G47" s="39"/>
      <c r="H47" s="39"/>
      <c r="I47" s="39"/>
      <c r="J47" s="46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 t="str">
        <f>C8</f>
        <v>EN_STG_4hBatt_NMC111</v>
      </c>
      <c r="C48" s="39"/>
      <c r="D48" s="39"/>
      <c r="E48" s="39"/>
      <c r="F48" s="39">
        <v>1</v>
      </c>
      <c r="G48" s="39"/>
      <c r="H48" s="39"/>
      <c r="I48" s="39"/>
      <c r="J48" s="46"/>
      <c r="K48" s="44"/>
      <c r="L48" s="44"/>
      <c r="M48" s="44"/>
      <c r="N48" s="44"/>
      <c r="O48" s="44"/>
      <c r="P48" s="44"/>
      <c r="Q48" s="44"/>
      <c r="R48" s="44"/>
      <c r="S48" s="44"/>
    </row>
    <row r="49" spans="2:19">
      <c r="B49" s="43" t="str">
        <f>C9</f>
        <v>EN_STG_4hBatt_NMC532</v>
      </c>
      <c r="C49" s="39"/>
      <c r="D49" s="39"/>
      <c r="E49" s="39"/>
      <c r="F49" s="39"/>
      <c r="G49" s="39">
        <v>1</v>
      </c>
      <c r="H49" s="39"/>
      <c r="I49" s="39"/>
      <c r="J49" s="46"/>
      <c r="K49" s="44"/>
      <c r="L49" s="44"/>
      <c r="M49" s="44"/>
      <c r="N49" s="44"/>
      <c r="O49" s="44"/>
      <c r="P49" s="44"/>
      <c r="Q49" s="44"/>
      <c r="R49" s="44"/>
      <c r="S49" s="44"/>
    </row>
    <row r="50" spans="2:19">
      <c r="B50" s="43" t="str">
        <f>C10</f>
        <v>EN_STG_4hBatt_NMC622</v>
      </c>
      <c r="C50" s="39"/>
      <c r="D50" s="39"/>
      <c r="E50" s="39"/>
      <c r="F50" s="39"/>
      <c r="G50" s="39"/>
      <c r="H50" s="39">
        <v>1</v>
      </c>
      <c r="I50" s="39"/>
      <c r="J50" s="46"/>
      <c r="K50" s="44"/>
      <c r="L50" s="44"/>
      <c r="M50" s="44"/>
      <c r="N50" s="44"/>
      <c r="O50" s="44"/>
      <c r="P50" s="44"/>
      <c r="Q50" s="44"/>
      <c r="R50" s="44"/>
      <c r="S50" s="44"/>
    </row>
    <row r="51" spans="2:19">
      <c r="B51" s="43" t="str">
        <f>C11</f>
        <v>EN_STG_4hBatt_NMC811</v>
      </c>
      <c r="C51" s="39"/>
      <c r="D51" s="39"/>
      <c r="E51" s="39"/>
      <c r="F51" s="39"/>
      <c r="G51" s="39"/>
      <c r="H51" s="39"/>
      <c r="I51" s="39">
        <v>1</v>
      </c>
      <c r="J51" s="46"/>
      <c r="K51" s="44"/>
      <c r="L51" s="44"/>
      <c r="M51" s="44"/>
      <c r="N51" s="44"/>
      <c r="O51" s="44"/>
      <c r="P51" s="44"/>
      <c r="Q51" s="44"/>
      <c r="R51" s="44"/>
      <c r="S51" s="44"/>
    </row>
    <row r="52" spans="2:19">
      <c r="B52" s="44"/>
      <c r="C52" s="44"/>
      <c r="D52" s="44"/>
      <c r="E52" s="44"/>
      <c r="F52" s="44"/>
      <c r="G52" s="44"/>
      <c r="H52" s="44"/>
      <c r="I52" s="44"/>
      <c r="J52" s="51"/>
      <c r="K52" s="44"/>
      <c r="L52" s="44"/>
      <c r="M52" s="44"/>
      <c r="N52" s="44"/>
      <c r="O52" s="44"/>
      <c r="P52" s="44"/>
      <c r="Q52" s="44"/>
      <c r="R52" s="44"/>
      <c r="S52" s="44"/>
    </row>
    <row r="53" spans="2:19">
      <c r="B53" s="45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</row>
    <row r="54" spans="2:19">
      <c r="B54" s="45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</row>
    <row r="58" spans="2:9">
      <c r="B58" s="47" t="s">
        <v>146</v>
      </c>
      <c r="C58" s="47"/>
      <c r="D58" s="47"/>
      <c r="E58" s="47"/>
      <c r="F58" s="47"/>
      <c r="G58" s="47"/>
      <c r="H58" s="47"/>
      <c r="I58" s="47"/>
    </row>
    <row r="59" spans="2:9">
      <c r="B59" s="47" t="s">
        <v>80</v>
      </c>
      <c r="C59" s="48" t="s">
        <v>147</v>
      </c>
      <c r="D59" s="47" t="s">
        <v>148</v>
      </c>
      <c r="E59" s="47" t="s">
        <v>149</v>
      </c>
      <c r="F59" s="47" t="s">
        <v>150</v>
      </c>
      <c r="G59" s="47" t="s">
        <v>151</v>
      </c>
      <c r="H59" s="47" t="s">
        <v>152</v>
      </c>
      <c r="I59" s="47" t="s">
        <v>153</v>
      </c>
    </row>
    <row r="60" spans="2:9">
      <c r="B60" s="47" t="s">
        <v>89</v>
      </c>
      <c r="C60" s="47">
        <v>1</v>
      </c>
      <c r="D60" s="47"/>
      <c r="E60" s="47"/>
      <c r="F60" s="47"/>
      <c r="G60" s="47"/>
      <c r="H60" s="47"/>
      <c r="I60" s="47"/>
    </row>
    <row r="61" spans="2:9">
      <c r="B61" s="47" t="s">
        <v>96</v>
      </c>
      <c r="C61" s="47"/>
      <c r="D61" s="47">
        <v>1</v>
      </c>
      <c r="E61" s="47"/>
      <c r="F61" s="47"/>
      <c r="G61" s="47"/>
      <c r="H61" s="47"/>
      <c r="I61" s="47"/>
    </row>
    <row r="62" spans="2:9">
      <c r="B62" s="47" t="s">
        <v>98</v>
      </c>
      <c r="C62" s="47"/>
      <c r="D62" s="47"/>
      <c r="E62" s="47">
        <v>1</v>
      </c>
      <c r="F62" s="47"/>
      <c r="G62" s="47"/>
      <c r="H62" s="47"/>
      <c r="I62" s="47"/>
    </row>
    <row r="63" spans="2:9">
      <c r="B63" s="47" t="s">
        <v>99</v>
      </c>
      <c r="C63" s="47"/>
      <c r="D63" s="47"/>
      <c r="E63" s="47"/>
      <c r="F63" s="47">
        <v>1</v>
      </c>
      <c r="G63" s="47"/>
      <c r="H63" s="47"/>
      <c r="I63" s="47"/>
    </row>
    <row r="64" spans="2:9">
      <c r="B64" s="47" t="s">
        <v>100</v>
      </c>
      <c r="C64" s="47"/>
      <c r="D64" s="47"/>
      <c r="E64" s="47"/>
      <c r="F64" s="47"/>
      <c r="G64" s="47">
        <v>1</v>
      </c>
      <c r="H64" s="47"/>
      <c r="I64" s="47"/>
    </row>
    <row r="65" spans="2:9">
      <c r="B65" s="47" t="s">
        <v>101</v>
      </c>
      <c r="C65" s="47"/>
      <c r="D65" s="47"/>
      <c r="E65" s="47"/>
      <c r="F65" s="47"/>
      <c r="G65" s="47"/>
      <c r="H65" s="47">
        <v>1</v>
      </c>
      <c r="I65" s="47"/>
    </row>
    <row r="66" spans="2:9">
      <c r="B66" s="47" t="s">
        <v>102</v>
      </c>
      <c r="C66" s="47"/>
      <c r="D66" s="47"/>
      <c r="E66" s="47"/>
      <c r="F66" s="47"/>
      <c r="G66" s="47"/>
      <c r="H66" s="47"/>
      <c r="I66" s="47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5" t="s">
        <v>154</v>
      </c>
    </row>
    <row r="2" spans="1:1">
      <c r="A2" t="s">
        <v>155</v>
      </c>
    </row>
    <row r="4" spans="1:1">
      <c r="A4" s="15" t="s">
        <v>156</v>
      </c>
    </row>
    <row r="5" spans="1:1">
      <c r="A5" t="s">
        <v>157</v>
      </c>
    </row>
    <row r="7" spans="1:1">
      <c r="A7" s="15" t="s">
        <v>158</v>
      </c>
    </row>
    <row r="8" spans="1:1">
      <c r="A8" t="s">
        <v>159</v>
      </c>
    </row>
    <row r="9" spans="1:1">
      <c r="A9" t="s">
        <v>160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161</v>
      </c>
      <c r="B1" t="s">
        <v>162</v>
      </c>
    </row>
    <row r="2" spans="1:2">
      <c r="A2" s="26">
        <v>43598</v>
      </c>
      <c r="B2" t="s">
        <v>163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164</v>
      </c>
      <c r="E2" s="2"/>
      <c r="F2" s="2"/>
      <c r="G2" s="2"/>
      <c r="P2" s="4" t="s">
        <v>165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166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167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168</v>
      </c>
    </row>
    <row r="2" spans="1:1">
      <c r="A2" t="s">
        <v>169</v>
      </c>
    </row>
    <row r="4" ht="43.5" spans="1:23">
      <c r="A4" s="10" t="s">
        <v>170</v>
      </c>
      <c r="B4" s="10" t="s">
        <v>43</v>
      </c>
      <c r="C4" s="10" t="s">
        <v>48</v>
      </c>
      <c r="D4" s="10" t="s">
        <v>171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172</v>
      </c>
      <c r="K4" s="10" t="s">
        <v>75</v>
      </c>
      <c r="L4" s="10" t="s">
        <v>69</v>
      </c>
      <c r="M4" s="10" t="s">
        <v>173</v>
      </c>
      <c r="N4" s="10" t="s">
        <v>174</v>
      </c>
      <c r="O4" s="10" t="s">
        <v>74</v>
      </c>
      <c r="P4" s="10" t="s">
        <v>175</v>
      </c>
      <c r="Q4" s="10" t="s">
        <v>34</v>
      </c>
      <c r="R4" s="10" t="s">
        <v>38</v>
      </c>
      <c r="S4" s="10" t="s">
        <v>176</v>
      </c>
      <c r="T4" s="10" t="s">
        <v>177</v>
      </c>
      <c r="U4" s="10" t="s">
        <v>30</v>
      </c>
      <c r="V4" s="10" t="s">
        <v>178</v>
      </c>
      <c r="W4" s="10" t="s">
        <v>179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1">
      <c r="A1" s="9" t="s">
        <v>180</v>
      </c>
    </row>
    <row r="2" spans="1:1">
      <c r="A2" s="2" t="s">
        <v>181</v>
      </c>
    </row>
    <row r="3" spans="12:12">
      <c r="L3" s="14">
        <f>3.6/1.055</f>
        <v>3.41232227488152</v>
      </c>
    </row>
    <row r="4" ht="43.5" spans="1:20">
      <c r="A4" s="10" t="s">
        <v>170</v>
      </c>
      <c r="B4" s="10" t="s">
        <v>43</v>
      </c>
      <c r="C4" s="11" t="s">
        <v>48</v>
      </c>
      <c r="D4" s="11" t="s">
        <v>171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172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182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183</v>
      </c>
      <c r="G4" s="2" t="s">
        <v>184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185</v>
      </c>
      <c r="E5" s="5">
        <v>0.001</v>
      </c>
      <c r="F5" s="6"/>
      <c r="G5" s="7"/>
      <c r="I5" s="4" t="s">
        <v>186</v>
      </c>
      <c r="J5" s="4" t="s">
        <v>187</v>
      </c>
      <c r="K5" t="s">
        <v>188</v>
      </c>
      <c r="L5" s="4"/>
      <c r="M5" s="4" t="s">
        <v>189</v>
      </c>
      <c r="N5" s="4" t="s">
        <v>190</v>
      </c>
      <c r="O5" s="4"/>
      <c r="P5" s="4"/>
    </row>
    <row r="6" spans="2:16">
      <c r="B6" s="4" t="str">
        <f t="shared" ref="B6:B14" si="0">J6</f>
        <v>Sto-CO2_CB2</v>
      </c>
      <c r="C6" t="s">
        <v>185</v>
      </c>
      <c r="E6" s="5">
        <v>0.001</v>
      </c>
      <c r="F6" s="6"/>
      <c r="G6" s="7"/>
      <c r="I6" s="4"/>
      <c r="J6" s="4" t="s">
        <v>191</v>
      </c>
      <c r="K6" t="s">
        <v>192</v>
      </c>
      <c r="L6" s="4"/>
      <c r="M6" s="4" t="s">
        <v>189</v>
      </c>
      <c r="N6" s="4" t="s">
        <v>190</v>
      </c>
      <c r="O6" s="4"/>
      <c r="P6" s="4"/>
    </row>
    <row r="7" spans="2:16">
      <c r="B7" s="4" t="str">
        <f t="shared" si="0"/>
        <v>Sto-CO2_DGF</v>
      </c>
      <c r="C7" t="s">
        <v>185</v>
      </c>
      <c r="E7" s="5">
        <v>0.001</v>
      </c>
      <c r="F7" s="6"/>
      <c r="G7" s="7"/>
      <c r="I7" s="4"/>
      <c r="J7" s="4" t="s">
        <v>193</v>
      </c>
      <c r="K7" t="s">
        <v>194</v>
      </c>
      <c r="L7" s="4"/>
      <c r="M7" s="4" t="s">
        <v>189</v>
      </c>
      <c r="N7" s="4" t="s">
        <v>190</v>
      </c>
      <c r="O7" s="4"/>
      <c r="P7" s="4"/>
    </row>
    <row r="8" spans="2:16">
      <c r="B8" s="4" t="str">
        <f t="shared" si="0"/>
        <v>Sto-CO2_DGO</v>
      </c>
      <c r="C8" t="s">
        <v>185</v>
      </c>
      <c r="E8" s="5">
        <v>0.001</v>
      </c>
      <c r="F8" s="6"/>
      <c r="G8" s="7"/>
      <c r="I8" s="4"/>
      <c r="J8" s="4" t="s">
        <v>195</v>
      </c>
      <c r="K8" t="s">
        <v>196</v>
      </c>
      <c r="L8" s="4"/>
      <c r="M8" s="4" t="s">
        <v>189</v>
      </c>
      <c r="N8" s="4" t="s">
        <v>190</v>
      </c>
      <c r="O8" s="4"/>
      <c r="P8" s="4"/>
    </row>
    <row r="9" spans="2:16">
      <c r="B9" s="4" t="str">
        <f t="shared" si="0"/>
        <v>Sto-CO2_DOF</v>
      </c>
      <c r="C9" t="s">
        <v>185</v>
      </c>
      <c r="E9" s="5">
        <v>0.001</v>
      </c>
      <c r="F9" s="6"/>
      <c r="G9" s="7"/>
      <c r="I9" s="4"/>
      <c r="J9" s="4" t="s">
        <v>197</v>
      </c>
      <c r="K9" t="s">
        <v>198</v>
      </c>
      <c r="L9" s="4"/>
      <c r="M9" s="4" t="s">
        <v>189</v>
      </c>
      <c r="N9" s="4" t="s">
        <v>190</v>
      </c>
      <c r="O9" s="4"/>
      <c r="P9" s="4"/>
    </row>
    <row r="10" spans="2:16">
      <c r="B10" s="4" t="str">
        <f t="shared" si="0"/>
        <v>Sto-CO2_DOO</v>
      </c>
      <c r="C10" t="s">
        <v>185</v>
      </c>
      <c r="E10" s="5">
        <v>0.001</v>
      </c>
      <c r="F10" s="6"/>
      <c r="G10" s="7"/>
      <c r="I10" s="4"/>
      <c r="J10" s="4" t="s">
        <v>199</v>
      </c>
      <c r="K10" t="s">
        <v>200</v>
      </c>
      <c r="L10" s="4"/>
      <c r="M10" s="4" t="s">
        <v>189</v>
      </c>
      <c r="N10" s="4" t="s">
        <v>190</v>
      </c>
      <c r="O10" s="4"/>
      <c r="P10" s="4"/>
    </row>
    <row r="11" spans="2:16">
      <c r="B11" s="4" t="str">
        <f t="shared" si="0"/>
        <v>Sto-CO2_DSA</v>
      </c>
      <c r="C11" t="s">
        <v>185</v>
      </c>
      <c r="E11" s="5">
        <v>0.001</v>
      </c>
      <c r="F11" s="6"/>
      <c r="G11" s="7"/>
      <c r="I11" s="4"/>
      <c r="J11" s="4" t="s">
        <v>201</v>
      </c>
      <c r="K11" t="s">
        <v>202</v>
      </c>
      <c r="L11" s="4"/>
      <c r="M11" s="4" t="s">
        <v>189</v>
      </c>
      <c r="N11" s="4" t="s">
        <v>190</v>
      </c>
      <c r="O11" s="4"/>
      <c r="P11" s="4"/>
    </row>
    <row r="12" spans="2:16">
      <c r="B12" s="4" t="str">
        <f t="shared" si="0"/>
        <v>Sto-CO2_DSO</v>
      </c>
      <c r="C12" t="s">
        <v>185</v>
      </c>
      <c r="E12" s="5">
        <v>0.001</v>
      </c>
      <c r="F12" s="6"/>
      <c r="G12" s="7"/>
      <c r="I12" s="4"/>
      <c r="J12" s="4" t="s">
        <v>203</v>
      </c>
      <c r="K12" t="s">
        <v>204</v>
      </c>
      <c r="L12" s="4"/>
      <c r="M12" s="4" t="s">
        <v>189</v>
      </c>
      <c r="N12" s="4" t="s">
        <v>190</v>
      </c>
      <c r="O12" s="4"/>
      <c r="P12" s="4"/>
    </row>
    <row r="13" spans="2:16">
      <c r="B13" s="4" t="str">
        <f t="shared" si="0"/>
        <v>Sto-CO2_EOF</v>
      </c>
      <c r="C13" t="s">
        <v>185</v>
      </c>
      <c r="E13" s="5">
        <v>0.001</v>
      </c>
      <c r="F13" s="6"/>
      <c r="G13" s="7"/>
      <c r="I13" s="4"/>
      <c r="J13" s="4" t="s">
        <v>205</v>
      </c>
      <c r="K13" t="s">
        <v>206</v>
      </c>
      <c r="L13" s="4"/>
      <c r="M13" s="4" t="s">
        <v>189</v>
      </c>
      <c r="N13" s="4" t="s">
        <v>190</v>
      </c>
      <c r="O13" s="4"/>
      <c r="P13" s="4"/>
    </row>
    <row r="14" spans="2:16">
      <c r="B14" s="4" t="str">
        <f t="shared" si="0"/>
        <v>Sto-CO2_EOR</v>
      </c>
      <c r="C14" t="s">
        <v>185</v>
      </c>
      <c r="E14" s="5">
        <v>0.001</v>
      </c>
      <c r="F14" s="6"/>
      <c r="G14" s="7"/>
      <c r="I14" s="4"/>
      <c r="J14" s="4" t="s">
        <v>207</v>
      </c>
      <c r="K14" t="s">
        <v>208</v>
      </c>
      <c r="L14" s="4"/>
      <c r="M14" s="4" t="s">
        <v>189</v>
      </c>
      <c r="N14" s="4" t="s">
        <v>190</v>
      </c>
      <c r="O14" s="4"/>
      <c r="P14" s="4"/>
    </row>
    <row r="15" spans="2:9">
      <c r="B15" t="s">
        <v>209</v>
      </c>
      <c r="G15" s="7"/>
      <c r="I15" t="s">
        <v>209</v>
      </c>
    </row>
    <row r="16" spans="2:14">
      <c r="B16" s="4" t="str">
        <f>J16</f>
        <v>Pipeline-CO2</v>
      </c>
      <c r="C16" t="s">
        <v>210</v>
      </c>
      <c r="D16" t="str">
        <f>C8</f>
        <v>CO2ForStorage</v>
      </c>
      <c r="F16">
        <v>1</v>
      </c>
      <c r="G16" s="7"/>
      <c r="I16" t="s">
        <v>186</v>
      </c>
      <c r="J16" s="4" t="s">
        <v>211</v>
      </c>
      <c r="K16" s="4" t="s">
        <v>212</v>
      </c>
      <c r="M16" s="4" t="s">
        <v>189</v>
      </c>
      <c r="N16" s="4" t="s">
        <v>190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2026-04-23T19:49:41Z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