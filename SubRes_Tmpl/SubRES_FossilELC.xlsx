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1" activeTab="1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<sst xmlns="http://schemas.openxmlformats.org/spreadsheetml/2006/main" count="539" uniqueCount="192">
  <si>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</si>
  <si>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</si>
  <si>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</si>
  <si>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</si>
  <si>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</si>
  <si>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</si>
  <si>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</si>
  <si>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</si>
  <si>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</si>
  <si>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</si>
  <si>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</si>
  <si>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</si>
  <si>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</si>
  <si>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</si>
  <si>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</si>
  <si>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</si>
  <si>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</si>
  <si>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</si>
  <si>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</si>
  <si>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</si>
  <si>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</si>
  <si>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</si>
  <si>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</si>
  <si>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</si>
  <si>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</si>
  <si>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</si>
  <si>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</si>
  <si>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</si>
  <si>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</si>
  <si>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</si>
  <si>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</si>
  <si>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</si>
  <si>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</si>
  <si>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</si>
  <si>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</si>
  <si>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</si>
  <si>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</si>
  <si>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</si>
  <si>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</si>
  <si>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</si>
  <si>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</si>
  <si>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</si>
  <si>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</si>
  <si>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</si>
  <si>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</si>
  <si>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</si>
  <si>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</si>
  <si>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</si>
  <si>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</si>
  <si>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</si>
  <si>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</si>
  <si>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</si>
  <si>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</si>
  <si>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</si>
  <si>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</si>
  <si>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</si>
  <si>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</si>
  <si>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</si>
  <si>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</si>
  <si>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</si>
  <si>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</si>
  <si>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</si>
  <si>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</si>
  <si>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</si>
  <si>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</si>
  <si>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</si>
  <si>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</si>
  <si>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</si>
  <si>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</si>
  <si>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</si>
  <si>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</si>
  <si>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</si>
  <si>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</si>
  <si>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</si>
  <si>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</si>
  <si>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</si>
  <si>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</si>
  <si>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</si>
  <si>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</si>
  <si>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</si>
  <si>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</si>
  <si>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</si>
  <si>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</si>
  <si>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</si>
  <si>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</si>
  <si>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</si>
  <si>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</si>
  <si>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</si>
  <si>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</si>
  <si>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</si>
  <si>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</si>
  <si>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</si>
  <si>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</si>
  <si>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</si>
  <si>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</si>
  <si>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</si>
  <si>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</si>
  <si>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</si>
  <si>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</si>
  <si>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</si>
  <si>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</si>
  <si>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</si>
  <si>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</si>
  <si>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</si>
  <si>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</si>
  <si>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</si>
  <si>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</si>
  <si>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</si>
  <si>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</si>
  <si>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</si>
  <si>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</si>
  <si>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</si>
  <si>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</si>
  <si>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</si>
  <si>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</si>
  <si>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</si>
  <si>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</si>
  <si>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</si>
  <si>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</si>
  <si>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</si>
  <si>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</si>
  <si>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</si>
  <si>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</si>
  <si>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</si>
  <si>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</si>
  <si>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</si>
  <si>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</si>
  <si>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</si>
  <si>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</si>
  <si>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INDELC</t>
  </si>
  <si>
    <t>INDCOA</t>
  </si>
  <si>
    <t>INDNGA</t>
  </si>
  <si>
    <t>INDOIL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</si>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</sst>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9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10" borderId="10" applyNumberFormat="0" applyAlignment="0" applyProtection="0">
      <alignment vertical="center"/>
    </xf>
    <xf numFmtId="0" fontId="27" fillId="10" borderId="2" applyNumberFormat="0" applyAlignment="0" applyProtection="0">
      <alignment vertical="center"/>
    </xf>
    <xf numFmtId="0" fontId="28" fillId="11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3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5" applyNumberFormat="0" applyProtection="0">
      <alignment vertical="top" wrapText="1"/>
    </xf>
    <xf numFmtId="0" fontId="37" fillId="0" borderId="16" applyNumberFormat="0" applyProtection="0">
      <alignment wrapText="1"/>
    </xf>
    <xf numFmtId="0" fontId="37" fillId="0" borderId="17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8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9" applyNumberFormat="0" applyFont="0" applyFill="0" applyProtection="0">
      <alignment wrapText="1"/>
    </xf>
    <xf numFmtId="0" fontId="37" fillId="0" borderId="20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7" borderId="3" xfId="0" applyFill="1" applyBorder="1"/>
    <xf numFmtId="0" fontId="11" fillId="7" borderId="0" xfId="0" applyFont="1" applyFill="1" applyAlignment="1"/>
    <xf numFmtId="0" fontId="13" fillId="7" borderId="3" xfId="0" applyNumberFormat="1" applyFont="1" applyFill="1" applyBorder="1" applyAlignment="1" applyProtection="1"/>
    <xf numFmtId="183" fontId="0" fillId="7" borderId="0" xfId="0" applyNumberFormat="1" applyFill="1"/>
    <xf numFmtId="2" fontId="13" fillId="7" borderId="3" xfId="0" applyNumberFormat="1" applyFont="1" applyFill="1" applyBorder="1" applyAlignment="1" applyProtection="1"/>
    <xf numFmtId="185" fontId="0" fillId="7" borderId="3" xfId="0" applyNumberFormat="1" applyFill="1" applyBorder="1"/>
    <xf numFmtId="0" fontId="14" fillId="7" borderId="0" xfId="0" applyFont="1" applyFill="1"/>
    <xf numFmtId="2" fontId="0" fillId="6" borderId="0" xfId="0" applyNumberFormat="1" applyFill="1"/>
    <xf numFmtId="0" fontId="11" fillId="8" borderId="0" xfId="0" applyFont="1" applyFill="1"/>
    <xf numFmtId="0" fontId="15" fillId="8" borderId="0" xfId="0" applyFont="1" applyFill="1" applyAlignment="1">
      <alignment horizontal="left"/>
    </xf>
    <xf numFmtId="0" fontId="15" fillId="8" borderId="0" xfId="0" applyFont="1" applyFill="1" applyAlignment="1">
      <alignment vertical="center"/>
    </xf>
    <xf numFmtId="0" fontId="11" fillId="8" borderId="3" xfId="0" applyFont="1" applyFill="1" applyBorder="1"/>
    <xf numFmtId="0" fontId="11" fillId="8" borderId="4" xfId="0" applyFont="1" applyFill="1" applyBorder="1"/>
    <xf numFmtId="0" fontId="15" fillId="6" borderId="0" xfId="0" applyFont="1" applyFill="1"/>
    <xf numFmtId="0" fontId="0" fillId="0" borderId="0" xfId="0" applyFill="1"/>
    <xf numFmtId="0" fontId="11" fillId="0" borderId="3" xfId="0" applyFont="1" applyFill="1" applyBorder="1"/>
    <xf numFmtId="0" fontId="11" fillId="0" borderId="4" xfId="0" applyFont="1" applyFill="1" applyBorder="1"/>
    <xf numFmtId="0" fontId="15" fillId="0" borderId="0" xfId="0" applyFont="1" applyFill="1"/>
    <xf numFmtId="0" fontId="11" fillId="0" borderId="0" xfId="0" applyFont="1" applyFill="1" applyBorder="1"/>
    <xf numFmtId="0" fontId="0" fillId="0" borderId="0" xfId="0" applyFill="1" applyBorder="1"/>
    <xf numFmtId="0" fontId="11" fillId="8" borderId="5" xfId="0" applyFont="1" applyFill="1" applyBorder="1"/>
    <xf numFmtId="0" fontId="11" fillId="8" borderId="6" xfId="0" applyFont="1" applyFill="1" applyBorder="1"/>
    <xf numFmtId="0" fontId="11" fillId="0" borderId="5" xfId="0" applyFont="1" applyFill="1" applyBorder="1"/>
    <xf numFmtId="0" fontId="11" fillId="0" borderId="6" xfId="0" applyFont="1" applyFill="1" applyBorder="1"/>
    <xf numFmtId="0" fontId="16" fillId="0" borderId="0" xfId="0" applyFont="1"/>
    <xf numFmtId="1" fontId="17" fillId="5" borderId="0" xfId="0" applyNumberFormat="1" applyFont="1" applyFill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3">
        <v>9999</v>
      </c>
      <c r="H16" s="53">
        <v>500</v>
      </c>
      <c r="I16" s="53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4">
        <f>C25*1.3</f>
        <v>1032.7713706979</v>
      </c>
      <c r="D31" s="54">
        <f t="shared" ref="D31:Z31" si="3">D25*1.3</f>
        <v>1022.36993905354</v>
      </c>
      <c r="E31" s="54">
        <f t="shared" si="3"/>
        <v>998.534499282983</v>
      </c>
      <c r="F31" s="54">
        <f t="shared" si="3"/>
        <v>984.137117590822</v>
      </c>
      <c r="G31" s="54">
        <f t="shared" si="3"/>
        <v>951.767551386233</v>
      </c>
      <c r="H31" s="54">
        <f t="shared" si="3"/>
        <v>937.251788957935</v>
      </c>
      <c r="I31" s="54">
        <f t="shared" si="3"/>
        <v>923.928065248566</v>
      </c>
      <c r="J31" s="54">
        <f t="shared" si="3"/>
        <v>909.133239722753</v>
      </c>
      <c r="K31" s="54">
        <f t="shared" si="3"/>
        <v>893.279343929254</v>
      </c>
      <c r="L31" s="54">
        <f t="shared" si="3"/>
        <v>879.656205783939</v>
      </c>
      <c r="M31" s="54">
        <f t="shared" si="3"/>
        <v>865.801853489484</v>
      </c>
      <c r="N31" s="54">
        <f t="shared" si="3"/>
        <v>855.151407743786</v>
      </c>
      <c r="O31" s="54">
        <f t="shared" si="3"/>
        <v>844.967552581262</v>
      </c>
      <c r="P31" s="54">
        <f t="shared" si="3"/>
        <v>833.772838193117</v>
      </c>
      <c r="Q31" s="54">
        <f t="shared" si="3"/>
        <v>823.968628107075</v>
      </c>
      <c r="R31" s="54">
        <f t="shared" si="3"/>
        <v>813.635904636711</v>
      </c>
      <c r="S31" s="54">
        <f t="shared" si="3"/>
        <v>803.619588910134</v>
      </c>
      <c r="T31" s="54">
        <f t="shared" si="3"/>
        <v>793.622894359465</v>
      </c>
      <c r="U31" s="54">
        <f t="shared" si="3"/>
        <v>784.799054732314</v>
      </c>
      <c r="V31" s="54">
        <f t="shared" si="3"/>
        <v>777.260687141491</v>
      </c>
      <c r="W31" s="54">
        <f t="shared" si="3"/>
        <v>769.60802581262</v>
      </c>
      <c r="X31" s="54">
        <f t="shared" si="3"/>
        <v>762.253537284895</v>
      </c>
      <c r="Y31" s="54">
        <f t="shared" si="3"/>
        <v>755.095327437858</v>
      </c>
      <c r="Z31" s="54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F30"/>
  <sheetViews>
    <sheetView tabSelected="1" zoomScale="80" zoomScaleNormal="80" workbookViewId="0">
      <selection activeCell="U17" sqref="U17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1</v>
      </c>
      <c r="W2" s="37"/>
      <c r="X2" s="37"/>
      <c r="Y2" s="37" t="s">
        <v>78</v>
      </c>
      <c r="Z2" s="37"/>
      <c r="AA2" s="37"/>
      <c r="AB2" s="37"/>
      <c r="AC2" s="37"/>
      <c r="AD2" s="37"/>
      <c r="AE2" s="37"/>
      <c r="AF2" s="37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 t="s">
        <v>79</v>
      </c>
      <c r="X3" s="38" t="s">
        <v>80</v>
      </c>
      <c r="Y3" s="37" t="s">
        <v>81</v>
      </c>
      <c r="Z3" s="37" t="s">
        <v>82</v>
      </c>
      <c r="AA3" s="37" t="s">
        <v>83</v>
      </c>
      <c r="AB3" s="37" t="s">
        <v>84</v>
      </c>
      <c r="AC3" s="37" t="s">
        <v>85</v>
      </c>
      <c r="AD3" s="37" t="s">
        <v>86</v>
      </c>
      <c r="AE3" s="37" t="s">
        <v>87</v>
      </c>
      <c r="AF3" s="37" t="s">
        <v>88</v>
      </c>
    </row>
    <row r="4" spans="2:32"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42</v>
      </c>
      <c r="H4" s="4"/>
      <c r="W4" s="37">
        <v>2020</v>
      </c>
      <c r="X4" s="37" t="s">
        <v>94</v>
      </c>
      <c r="Y4" s="37" t="s">
        <v>90</v>
      </c>
      <c r="Z4" s="37">
        <v>0.095</v>
      </c>
      <c r="AA4" s="37">
        <v>0</v>
      </c>
      <c r="AB4" s="37">
        <v>0</v>
      </c>
      <c r="AC4" s="37">
        <v>0</v>
      </c>
      <c r="AD4" s="37">
        <v>3.528</v>
      </c>
      <c r="AE4" s="37">
        <v>0.946</v>
      </c>
      <c r="AF4" s="37">
        <v>1.085</v>
      </c>
    </row>
    <row r="5" spans="2:32">
      <c r="B5" s="4" t="s">
        <v>23</v>
      </c>
      <c r="C5" s="4" t="s">
        <v>95</v>
      </c>
      <c r="D5" s="4" t="s">
        <v>96</v>
      </c>
      <c r="E5" s="4" t="s">
        <v>92</v>
      </c>
      <c r="F5" s="4" t="s">
        <v>27</v>
      </c>
      <c r="G5" s="4" t="s">
        <v>42</v>
      </c>
      <c r="H5" s="4"/>
      <c r="W5" s="37"/>
      <c r="X5" s="39"/>
      <c r="Y5" s="37"/>
      <c r="Z5" s="37"/>
      <c r="AA5" s="37"/>
      <c r="AB5" s="37"/>
      <c r="AC5" s="37"/>
      <c r="AD5" s="37"/>
      <c r="AE5" s="37"/>
      <c r="AF5" s="37"/>
    </row>
    <row r="6" spans="2:32">
      <c r="B6" s="4"/>
      <c r="E6" s="4"/>
      <c r="F6" s="4"/>
      <c r="G6" s="4"/>
      <c r="W6" s="37"/>
      <c r="X6" s="39"/>
      <c r="Y6" s="37"/>
      <c r="Z6" s="37"/>
      <c r="AA6" s="37"/>
      <c r="AB6" s="37"/>
      <c r="AC6" s="37"/>
      <c r="AD6" s="37"/>
      <c r="AE6" s="37"/>
      <c r="AF6" s="37"/>
    </row>
    <row r="7" spans="23:32">
      <c r="W7" s="37"/>
      <c r="X7" s="39"/>
      <c r="Y7" s="37"/>
      <c r="Z7" s="37"/>
      <c r="AA7" s="37"/>
      <c r="AB7" s="37"/>
      <c r="AC7" s="37"/>
      <c r="AD7" s="37"/>
      <c r="AE7" s="37"/>
      <c r="AF7" s="37"/>
    </row>
    <row r="8" spans="7:32">
      <c r="G8" t="s">
        <v>97</v>
      </c>
      <c r="W8" s="37"/>
      <c r="X8" s="39"/>
      <c r="Y8" s="37"/>
      <c r="Z8" s="37"/>
      <c r="AA8" s="37"/>
      <c r="AB8" s="37"/>
      <c r="AC8" s="37"/>
      <c r="AD8" s="37"/>
      <c r="AE8" s="37"/>
      <c r="AF8" s="37"/>
    </row>
    <row r="9" spans="2:32">
      <c r="B9" t="s">
        <v>2</v>
      </c>
      <c r="C9" t="s">
        <v>3</v>
      </c>
      <c r="D9" t="s">
        <v>98</v>
      </c>
      <c r="E9" t="s">
        <v>4</v>
      </c>
      <c r="F9" t="s">
        <v>80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W9" s="37"/>
      <c r="X9" s="40" t="s">
        <v>108</v>
      </c>
      <c r="Y9" s="49"/>
      <c r="Z9" s="49"/>
      <c r="AA9" s="37"/>
      <c r="AB9" s="37"/>
      <c r="AC9" s="37"/>
      <c r="AD9" s="37"/>
      <c r="AE9" s="37"/>
      <c r="AF9" s="37"/>
    </row>
    <row r="10" spans="2:32">
      <c r="B10" t="s">
        <v>90</v>
      </c>
      <c r="C10" t="s">
        <v>22</v>
      </c>
      <c r="E10" t="s">
        <v>22</v>
      </c>
      <c r="G10" t="s">
        <v>109</v>
      </c>
      <c r="H10">
        <v>0.92</v>
      </c>
      <c r="I10" s="19">
        <v>29.89194313</v>
      </c>
      <c r="J10">
        <v>1</v>
      </c>
      <c r="L10" s="24">
        <v>20</v>
      </c>
      <c r="N10">
        <v>24.8</v>
      </c>
      <c r="Q10">
        <v>1</v>
      </c>
      <c r="W10" s="37"/>
      <c r="X10" s="41" t="s">
        <v>81</v>
      </c>
      <c r="Y10" s="50" t="s">
        <v>110</v>
      </c>
      <c r="Z10" s="50" t="s">
        <v>111</v>
      </c>
      <c r="AA10" s="37"/>
      <c r="AB10" s="37"/>
      <c r="AC10" s="37"/>
      <c r="AD10" s="37"/>
      <c r="AE10" s="37"/>
      <c r="AF10" s="37"/>
    </row>
    <row r="11" s="27" customFormat="1" spans="4:26">
      <c r="D11" s="28"/>
      <c r="F11" s="27" t="s">
        <v>112</v>
      </c>
      <c r="G11" s="27" t="str">
        <f>F11</f>
        <v>AuxStoOUT</v>
      </c>
      <c r="I11" s="36"/>
      <c r="K11" s="36">
        <f>1/H10</f>
        <v>1.08695652173913</v>
      </c>
      <c r="X11" s="42" t="s">
        <v>90</v>
      </c>
      <c r="Y11" s="42" t="s">
        <v>113</v>
      </c>
      <c r="Z11" s="42">
        <v>1</v>
      </c>
    </row>
    <row r="12" spans="4:26">
      <c r="D12" s="4"/>
      <c r="F12" s="4" t="str">
        <f>C19</f>
        <v>AuxStoIN</v>
      </c>
      <c r="G12" t="s">
        <v>22</v>
      </c>
      <c r="I12" s="19"/>
      <c r="O12">
        <v>1</v>
      </c>
      <c r="W12" s="43"/>
      <c r="X12" s="43"/>
      <c r="Y12" s="43"/>
      <c r="Z12" s="43"/>
    </row>
    <row r="13" spans="2:26">
      <c r="B13" t="s">
        <v>95</v>
      </c>
      <c r="E13" t="s">
        <v>114</v>
      </c>
      <c r="I13" s="19">
        <v>29.89194313</v>
      </c>
      <c r="L13">
        <v>1</v>
      </c>
      <c r="M13">
        <v>0</v>
      </c>
      <c r="P13">
        <v>3</v>
      </c>
      <c r="W13" s="43"/>
      <c r="X13" s="43"/>
      <c r="Y13" s="43"/>
      <c r="Z13" s="43"/>
    </row>
    <row r="14" spans="23:26">
      <c r="W14" s="43"/>
      <c r="X14" s="43"/>
      <c r="Y14" s="43"/>
      <c r="Z14" s="43"/>
    </row>
    <row r="15" spans="23:27">
      <c r="W15" s="43"/>
      <c r="X15" s="43"/>
      <c r="Y15" s="43"/>
      <c r="Z15" s="43"/>
      <c r="AA15" s="43"/>
    </row>
    <row r="16" spans="23:27">
      <c r="W16" s="43"/>
      <c r="X16" s="44"/>
      <c r="Y16" s="51"/>
      <c r="Z16" s="51"/>
      <c r="AA16" s="43"/>
    </row>
    <row r="17" spans="2:27">
      <c r="B17" s="4" t="s">
        <v>115</v>
      </c>
      <c r="C17" s="4"/>
      <c r="D17" s="4"/>
      <c r="E17" s="4"/>
      <c r="F17" s="4"/>
      <c r="G17" s="4"/>
      <c r="H17" s="4"/>
      <c r="I17" s="4"/>
      <c r="X17" s="45"/>
      <c r="Y17" s="52"/>
      <c r="Z17" s="52"/>
      <c r="AA17" s="43"/>
    </row>
    <row r="18" spans="2:27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X18" s="46"/>
      <c r="Y18" s="46"/>
      <c r="Z18" s="46"/>
      <c r="AA18" s="43"/>
    </row>
    <row r="19" spans="2:27">
      <c r="B19" s="4" t="s">
        <v>124</v>
      </c>
      <c r="C19" s="4" t="s">
        <v>94</v>
      </c>
      <c r="D19" s="4" t="s">
        <v>125</v>
      </c>
      <c r="E19" s="4" t="s">
        <v>92</v>
      </c>
      <c r="F19" s="4"/>
      <c r="G19" s="4" t="s">
        <v>42</v>
      </c>
      <c r="H19" s="4"/>
      <c r="I19" s="4"/>
      <c r="X19" s="43"/>
      <c r="Y19" s="43"/>
      <c r="Z19" s="43"/>
      <c r="AA19" s="43"/>
    </row>
    <row r="20" spans="3:27">
      <c r="C20" s="4" t="s">
        <v>112</v>
      </c>
      <c r="D20" s="4" t="s">
        <v>126</v>
      </c>
      <c r="E20" s="4" t="s">
        <v>92</v>
      </c>
      <c r="F20" s="4"/>
      <c r="G20" s="4" t="s">
        <v>42</v>
      </c>
      <c r="W20" s="47"/>
      <c r="X20" s="47"/>
      <c r="Y20" s="47"/>
      <c r="Z20" s="43"/>
      <c r="AA20" s="43"/>
    </row>
    <row r="21" spans="23:27">
      <c r="W21" s="47"/>
      <c r="X21" s="47"/>
      <c r="Y21" s="47"/>
      <c r="Z21" s="43"/>
      <c r="AA21" s="43"/>
    </row>
    <row r="22" spans="23:27">
      <c r="W22" s="47"/>
      <c r="X22" s="47"/>
      <c r="Y22" s="47"/>
      <c r="Z22" s="43"/>
      <c r="AA22" s="43"/>
    </row>
    <row r="23" spans="23:27">
      <c r="W23" s="47"/>
      <c r="X23" s="47"/>
      <c r="Y23" s="47"/>
      <c r="Z23" s="43"/>
      <c r="AA23" s="43"/>
    </row>
    <row r="24" spans="23:27">
      <c r="W24" s="47"/>
      <c r="X24" s="47"/>
      <c r="Y24" s="47"/>
      <c r="Z24" s="43"/>
      <c r="AA24" s="43"/>
    </row>
    <row r="25" spans="2:27">
      <c r="B25" s="29"/>
      <c r="C25" s="29"/>
      <c r="D25" s="29" t="s">
        <v>78</v>
      </c>
      <c r="E25" s="29"/>
      <c r="W25" s="47"/>
      <c r="X25" s="47"/>
      <c r="Y25" s="47"/>
      <c r="Z25" s="43"/>
      <c r="AA25" s="43"/>
    </row>
    <row r="26" spans="2:27">
      <c r="B26" s="30" t="s">
        <v>127</v>
      </c>
      <c r="C26" s="29" t="s">
        <v>2</v>
      </c>
      <c r="D26" s="29" t="s">
        <v>3</v>
      </c>
      <c r="E26" s="29">
        <v>2019</v>
      </c>
      <c r="W26" s="48"/>
      <c r="X26" s="48"/>
      <c r="Y26" s="48"/>
      <c r="Z26" s="43"/>
      <c r="AA26" s="43"/>
    </row>
    <row r="27" spans="2:27">
      <c r="B27" s="31" t="s">
        <v>128</v>
      </c>
      <c r="C27" s="32" t="s">
        <v>90</v>
      </c>
      <c r="D27" s="33" t="s">
        <v>129</v>
      </c>
      <c r="E27" s="34">
        <f>[2]EnergyUseFromEverBatt_Min_!$AW$6</f>
        <v>0.0473</v>
      </c>
      <c r="W27" s="43"/>
      <c r="X27" s="43"/>
      <c r="Y27" s="43"/>
      <c r="Z27" s="43"/>
      <c r="AA27" s="43"/>
    </row>
    <row r="28" ht="16" spans="2:27">
      <c r="B28" s="31" t="s">
        <v>128</v>
      </c>
      <c r="C28" s="35" t="str">
        <f t="shared" ref="C28:C30" si="0">C27</f>
        <v>EN_STG_4hBatt</v>
      </c>
      <c r="D28" s="33" t="s">
        <v>130</v>
      </c>
      <c r="E28" s="34">
        <f>[2]EnergyUseFromEverBatt_Min_!$AW$7</f>
        <v>0.171166666666667</v>
      </c>
      <c r="W28" s="43"/>
      <c r="X28" s="43"/>
      <c r="Y28" s="43"/>
      <c r="Z28" s="43"/>
      <c r="AA28" s="43"/>
    </row>
    <row r="29" ht="16" spans="2:5">
      <c r="B29" s="31" t="s">
        <v>128</v>
      </c>
      <c r="C29" s="35" t="str">
        <f t="shared" si="0"/>
        <v>EN_STG_4hBatt</v>
      </c>
      <c r="D29" s="33" t="s">
        <v>131</v>
      </c>
      <c r="E29" s="34">
        <f>[2]EnergyUseFromEverBatt_Min_!$AW$8</f>
        <v>0.466366666666667</v>
      </c>
    </row>
    <row r="30" ht="16" spans="2:5">
      <c r="B30" s="31" t="s">
        <v>128</v>
      </c>
      <c r="C30" s="35" t="str">
        <f t="shared" si="0"/>
        <v>EN_STG_4hBatt</v>
      </c>
      <c r="D30" s="33" t="s">
        <v>132</v>
      </c>
      <c r="E30" s="34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133</v>
      </c>
    </row>
    <row r="2" spans="1:1">
      <c r="A2" t="s">
        <v>134</v>
      </c>
    </row>
    <row r="4" spans="1:1">
      <c r="A4" s="15" t="s">
        <v>135</v>
      </c>
    </row>
    <row r="5" spans="1:1">
      <c r="A5" t="s">
        <v>136</v>
      </c>
    </row>
    <row r="7" spans="1:1">
      <c r="A7" s="15" t="s">
        <v>137</v>
      </c>
    </row>
    <row r="8" spans="1:1">
      <c r="A8" t="s">
        <v>138</v>
      </c>
    </row>
    <row r="9" spans="1:1">
      <c r="A9" t="s">
        <v>139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140</v>
      </c>
      <c r="B1" t="s">
        <v>141</v>
      </c>
    </row>
    <row r="2" spans="1:2">
      <c r="A2" s="26">
        <v>43598</v>
      </c>
      <c r="B2" t="s">
        <v>142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143</v>
      </c>
      <c r="E2" s="2"/>
      <c r="F2" s="2"/>
      <c r="G2" s="2"/>
      <c r="P2" s="4" t="s">
        <v>144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145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146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147</v>
      </c>
    </row>
    <row r="2" spans="1:1">
      <c r="A2" t="s">
        <v>148</v>
      </c>
    </row>
    <row r="4" ht="43.5" spans="1:23">
      <c r="A4" s="10" t="s">
        <v>149</v>
      </c>
      <c r="B4" s="10" t="s">
        <v>43</v>
      </c>
      <c r="C4" s="10" t="s">
        <v>48</v>
      </c>
      <c r="D4" s="10" t="s">
        <v>150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151</v>
      </c>
      <c r="K4" s="10" t="s">
        <v>75</v>
      </c>
      <c r="L4" s="10" t="s">
        <v>69</v>
      </c>
      <c r="M4" s="10" t="s">
        <v>152</v>
      </c>
      <c r="N4" s="10" t="s">
        <v>153</v>
      </c>
      <c r="O4" s="10" t="s">
        <v>74</v>
      </c>
      <c r="P4" s="10" t="s">
        <v>154</v>
      </c>
      <c r="Q4" s="10" t="s">
        <v>34</v>
      </c>
      <c r="R4" s="10" t="s">
        <v>38</v>
      </c>
      <c r="S4" s="10" t="s">
        <v>155</v>
      </c>
      <c r="T4" s="10" t="s">
        <v>156</v>
      </c>
      <c r="U4" s="10" t="s">
        <v>30</v>
      </c>
      <c r="V4" s="10" t="s">
        <v>157</v>
      </c>
      <c r="W4" s="10" t="s">
        <v>158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159</v>
      </c>
    </row>
    <row r="2" spans="1:1">
      <c r="A2" s="2" t="s">
        <v>160</v>
      </c>
    </row>
    <row r="3" spans="12:12">
      <c r="L3" s="14">
        <f>3.6/1.055</f>
        <v>3.41232227488152</v>
      </c>
    </row>
    <row r="4" ht="43.5" spans="1:20">
      <c r="A4" s="10" t="s">
        <v>149</v>
      </c>
      <c r="B4" s="10" t="s">
        <v>43</v>
      </c>
      <c r="C4" s="11" t="s">
        <v>48</v>
      </c>
      <c r="D4" s="11" t="s">
        <v>150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151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161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162</v>
      </c>
      <c r="G4" s="2" t="s">
        <v>163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164</v>
      </c>
      <c r="E5" s="5">
        <v>0.001</v>
      </c>
      <c r="F5" s="6"/>
      <c r="G5" s="7"/>
      <c r="I5" s="4" t="s">
        <v>165</v>
      </c>
      <c r="J5" s="4" t="s">
        <v>166</v>
      </c>
      <c r="K5" t="s">
        <v>167</v>
      </c>
      <c r="L5" s="4"/>
      <c r="M5" s="4" t="s">
        <v>168</v>
      </c>
      <c r="N5" s="4" t="s">
        <v>169</v>
      </c>
      <c r="O5" s="4"/>
      <c r="P5" s="4"/>
    </row>
    <row r="6" spans="2:16">
      <c r="B6" s="4" t="str">
        <f t="shared" ref="B6:B14" si="0">J6</f>
        <v>Sto-CO2_CB2</v>
      </c>
      <c r="C6" t="s">
        <v>164</v>
      </c>
      <c r="E6" s="5">
        <v>0.001</v>
      </c>
      <c r="F6" s="6"/>
      <c r="G6" s="7"/>
      <c r="I6" s="4"/>
      <c r="J6" s="4" t="s">
        <v>170</v>
      </c>
      <c r="K6" t="s">
        <v>171</v>
      </c>
      <c r="L6" s="4"/>
      <c r="M6" s="4" t="s">
        <v>168</v>
      </c>
      <c r="N6" s="4" t="s">
        <v>169</v>
      </c>
      <c r="O6" s="4"/>
      <c r="P6" s="4"/>
    </row>
    <row r="7" spans="2:16">
      <c r="B7" s="4" t="str">
        <f t="shared" si="0"/>
        <v>Sto-CO2_DGF</v>
      </c>
      <c r="C7" t="s">
        <v>164</v>
      </c>
      <c r="E7" s="5">
        <v>0.001</v>
      </c>
      <c r="F7" s="6"/>
      <c r="G7" s="7"/>
      <c r="I7" s="4"/>
      <c r="J7" s="4" t="s">
        <v>172</v>
      </c>
      <c r="K7" t="s">
        <v>173</v>
      </c>
      <c r="L7" s="4"/>
      <c r="M7" s="4" t="s">
        <v>168</v>
      </c>
      <c r="N7" s="4" t="s">
        <v>169</v>
      </c>
      <c r="O7" s="4"/>
      <c r="P7" s="4"/>
    </row>
    <row r="8" spans="2:16">
      <c r="B8" s="4" t="str">
        <f t="shared" si="0"/>
        <v>Sto-CO2_DGO</v>
      </c>
      <c r="C8" t="s">
        <v>164</v>
      </c>
      <c r="E8" s="5">
        <v>0.001</v>
      </c>
      <c r="F8" s="6"/>
      <c r="G8" s="7"/>
      <c r="I8" s="4"/>
      <c r="J8" s="4" t="s">
        <v>174</v>
      </c>
      <c r="K8" t="s">
        <v>175</v>
      </c>
      <c r="L8" s="4"/>
      <c r="M8" s="4" t="s">
        <v>168</v>
      </c>
      <c r="N8" s="4" t="s">
        <v>169</v>
      </c>
      <c r="O8" s="4"/>
      <c r="P8" s="4"/>
    </row>
    <row r="9" spans="2:16">
      <c r="B9" s="4" t="str">
        <f t="shared" si="0"/>
        <v>Sto-CO2_DOF</v>
      </c>
      <c r="C9" t="s">
        <v>164</v>
      </c>
      <c r="E9" s="5">
        <v>0.001</v>
      </c>
      <c r="F9" s="6"/>
      <c r="G9" s="7"/>
      <c r="I9" s="4"/>
      <c r="J9" s="4" t="s">
        <v>176</v>
      </c>
      <c r="K9" t="s">
        <v>177</v>
      </c>
      <c r="L9" s="4"/>
      <c r="M9" s="4" t="s">
        <v>168</v>
      </c>
      <c r="N9" s="4" t="s">
        <v>169</v>
      </c>
      <c r="O9" s="4"/>
      <c r="P9" s="4"/>
    </row>
    <row r="10" spans="2:16">
      <c r="B10" s="4" t="str">
        <f t="shared" si="0"/>
        <v>Sto-CO2_DOO</v>
      </c>
      <c r="C10" t="s">
        <v>164</v>
      </c>
      <c r="E10" s="5">
        <v>0.001</v>
      </c>
      <c r="F10" s="6"/>
      <c r="G10" s="7"/>
      <c r="I10" s="4"/>
      <c r="J10" s="4" t="s">
        <v>178</v>
      </c>
      <c r="K10" t="s">
        <v>179</v>
      </c>
      <c r="L10" s="4"/>
      <c r="M10" s="4" t="s">
        <v>168</v>
      </c>
      <c r="N10" s="4" t="s">
        <v>169</v>
      </c>
      <c r="O10" s="4"/>
      <c r="P10" s="4"/>
    </row>
    <row r="11" spans="2:16">
      <c r="B11" s="4" t="str">
        <f t="shared" si="0"/>
        <v>Sto-CO2_DSA</v>
      </c>
      <c r="C11" t="s">
        <v>164</v>
      </c>
      <c r="E11" s="5">
        <v>0.001</v>
      </c>
      <c r="F11" s="6"/>
      <c r="G11" s="7"/>
      <c r="I11" s="4"/>
      <c r="J11" s="4" t="s">
        <v>180</v>
      </c>
      <c r="K11" t="s">
        <v>181</v>
      </c>
      <c r="L11" s="4"/>
      <c r="M11" s="4" t="s">
        <v>168</v>
      </c>
      <c r="N11" s="4" t="s">
        <v>169</v>
      </c>
      <c r="O11" s="4"/>
      <c r="P11" s="4"/>
    </row>
    <row r="12" spans="2:16">
      <c r="B12" s="4" t="str">
        <f t="shared" si="0"/>
        <v>Sto-CO2_DSO</v>
      </c>
      <c r="C12" t="s">
        <v>164</v>
      </c>
      <c r="E12" s="5">
        <v>0.001</v>
      </c>
      <c r="F12" s="6"/>
      <c r="G12" s="7"/>
      <c r="I12" s="4"/>
      <c r="J12" s="4" t="s">
        <v>182</v>
      </c>
      <c r="K12" t="s">
        <v>183</v>
      </c>
      <c r="L12" s="4"/>
      <c r="M12" s="4" t="s">
        <v>168</v>
      </c>
      <c r="N12" s="4" t="s">
        <v>169</v>
      </c>
      <c r="O12" s="4"/>
      <c r="P12" s="4"/>
    </row>
    <row r="13" spans="2:16">
      <c r="B13" s="4" t="str">
        <f t="shared" si="0"/>
        <v>Sto-CO2_EOF</v>
      </c>
      <c r="C13" t="s">
        <v>164</v>
      </c>
      <c r="E13" s="5">
        <v>0.001</v>
      </c>
      <c r="F13" s="6"/>
      <c r="G13" s="7"/>
      <c r="I13" s="4"/>
      <c r="J13" s="4" t="s">
        <v>184</v>
      </c>
      <c r="K13" t="s">
        <v>185</v>
      </c>
      <c r="L13" s="4"/>
      <c r="M13" s="4" t="s">
        <v>168</v>
      </c>
      <c r="N13" s="4" t="s">
        <v>169</v>
      </c>
      <c r="O13" s="4"/>
      <c r="P13" s="4"/>
    </row>
    <row r="14" spans="2:16">
      <c r="B14" s="4" t="str">
        <f t="shared" si="0"/>
        <v>Sto-CO2_EOR</v>
      </c>
      <c r="C14" t="s">
        <v>164</v>
      </c>
      <c r="E14" s="5">
        <v>0.001</v>
      </c>
      <c r="F14" s="6"/>
      <c r="G14" s="7"/>
      <c r="I14" s="4"/>
      <c r="J14" s="4" t="s">
        <v>186</v>
      </c>
      <c r="K14" t="s">
        <v>187</v>
      </c>
      <c r="L14" s="4"/>
      <c r="M14" s="4" t="s">
        <v>168</v>
      </c>
      <c r="N14" s="4" t="s">
        <v>169</v>
      </c>
      <c r="O14" s="4"/>
      <c r="P14" s="4"/>
    </row>
    <row r="15" spans="2:9">
      <c r="B15" t="s">
        <v>188</v>
      </c>
      <c r="G15" s="7"/>
      <c r="I15" t="s">
        <v>188</v>
      </c>
    </row>
    <row r="16" spans="2:14">
      <c r="B16" s="4" t="str">
        <f>J16</f>
        <v>Pipeline-CO2</v>
      </c>
      <c r="C16" t="s">
        <v>189</v>
      </c>
      <c r="D16" t="str">
        <f>C8</f>
        <v>CO2ForStorage</v>
      </c>
      <c r="F16">
        <v>1</v>
      </c>
      <c r="G16" s="7"/>
      <c r="I16" t="s">
        <v>165</v>
      </c>
      <c r="J16" s="4" t="s">
        <v>190</v>
      </c>
      <c r="K16" s="4" t="s">
        <v>191</v>
      </c>
      <c r="M16" s="4" t="s">
        <v>168</v>
      </c>
      <c r="N16" s="4" t="s">
        <v>169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2026-02-21T02:42:58Z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