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60" windowHeight="597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<sst xmlns="http://schemas.openxmlformats.org/spreadsheetml/2006/main" count="1053" uniqueCount="507">
  <si>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</si>
  <si>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</si>
  <si>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</si>
  <si>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</si>
  <si>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</si>
  <si>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</si>
  <si>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</si>
  <si>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</si>
  <si>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</si>
  <si>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</si>
  <si>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</si>
  <si>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</si>
  <si>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</si>
  <si>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</si>
  <si>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</si>
  <si>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</si>
  <si>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</si>
  <si>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</si>
  <si>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</si>
  <si>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</si>
  <si>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</si>
  <si>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</si>
  <si>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</si>
  <si>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</si>
  <si>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</si>
  <si>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</si>
  <si>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</si>
  <si>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</si>
  <si>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</si>
  <si>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</si>
  <si>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</si>
  <si>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</si>
  <si>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</si>
  <si>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</si>
  <si>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</si>
  <si>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</si>
  <si>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</si>
  <si>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</si>
  <si>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</si>
  <si>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</si>
  <si>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</si>
  <si>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</si>
  <si>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</si>
  <si>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</si>
  <si>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</si>
  <si>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</si>
  <si>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</si>
  <si>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</si>
  <si>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</si>
  <si>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</si>
  <si>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</si>
  <si>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</si>
  <si>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</si>
  <si>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</si>
  <si>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</si>
  <si>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</si>
  <si>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</si>
  <si>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</si>
  <si>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</si>
  <si>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</si>
  <si>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</si>
  <si>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</si>
  <si>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</si>
  <si>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</si>
  <si>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</si>
  <si>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</si>
  <si>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</si>
  <si>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</si>
  <si>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</si>
  <si>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</si>
  <si>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</si>
  <si>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</si>
  <si>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</si>
  <si>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</si>
  <si>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</si>
  <si>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</si>
  <si>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</si>
  <si>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</si>
  <si>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</si>
  <si>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</si>
  <si>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</si>
  <si>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</si>
  <si>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</si>
  <si>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</si>
  <si>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</si>
  <si>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</si>
  <si>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</si>
  <si>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</si>
  <si>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</si>
  <si>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</si>
  <si>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</si>
  <si>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</si>
  <si>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</si>
  <si>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</si>
  <si>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</si>
  <si>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</si>
  <si>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</si>
  <si>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</si>
  <si>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</si>
  <si>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</si>
  <si>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</si>
  <si>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</si>
  <si>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</si>
  <si>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</si>
  <si>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</si>
  <si>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</si>
  <si>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</si>
  <si>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</si>
  <si>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</si>
  <si>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</si>
  <si>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</si>
  <si>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</si>
  <si>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</si>
  <si>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</si>
  <si>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</si>
  <si>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</si>
  <si>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</si>
  <si>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</si>
  <si>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</si>
  <si>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</si>
  <si>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</si>
  <si>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</si>
  <si>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</si>
  <si>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</si>
  <si>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</si>
  <si>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</si>
  <si>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</si>
  <si>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</si>
  <si>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</si>
  <si>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</si>
  <si>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</si>
  <si>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</si>
  <si>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</si>
  <si>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</si>
  <si>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</si>
  <si>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</si>
  <si>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</si>
  <si>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</si>
  <si>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</si>
  <si>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</si>
  <si>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</si>
  <si>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</si>
  <si>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</si>
  <si>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</si>
  <si>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</si>
  <si>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</si>
  <si>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</si>
  <si>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</si>
  <si>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</si>
  <si>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</si>
  <si>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</si>
  <si>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</si>
  <si>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</si>
  <si>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</si>
  <si>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</si>
  <si>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</si>
  <si>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</si>
  <si>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</si>
  <si>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</si>
  <si>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</si>
  <si>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</si>
  <si>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</si>
  <si>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</si>
  <si>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</si>
  <si>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</si>
  <si>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</si>
  <si>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</si>
  <si>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</si>
  <si>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</si>
  <si>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</si>
  <si>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</si>
  <si>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</si>
  <si>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</si>
  <si>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</si>
  <si>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</si>
  <si>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</si>
  <si>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</si>
  <si>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</si>
  <si>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</si>
  <si>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</si>
  <si>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</si>
  <si>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</si>
  <si>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</si>
  <si>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</si>
  <si>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</si>
  <si>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</si>
  <si>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</si>
  <si>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</si>
  <si>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</si>
  <si>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</si>
  <si>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</si>
  <si>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</si>
  <si>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</si>
  <si>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</si>
  <si>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</si>
  <si>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</si>
  <si>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</si>
  <si>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</si>
  <si>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</si>
  <si>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</si>
  <si>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</si>
  <si>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</si>
  <si>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</si>
  <si>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</si>
  <si>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</si>
  <si>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</si>
  <si>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</si>
  <si>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</si>
  <si>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</si>
  <si>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</si>
  <si>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</si>
  <si>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</si>
  <si>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</si>
  <si>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</si>
  <si>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</si>
  <si>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</si>
  <si>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</si>
  <si>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</si>
  <si>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</si>
  <si>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</si>
  <si>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</si>
  <si>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</si>
  <si>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</si>
  <si>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</si>
  <si>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</si>
  <si>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</si>
  <si>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</si>
  <si>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</si>
  <si>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</si>
  <si>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</si>
  <si>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</si>
  <si>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</si>
  <si>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</si>
  <si>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</si>
  <si>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</si>
  <si>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</si>
  <si>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</si>
  <si>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</si>
  <si>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</si>
  <si>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</si>
  <si>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</si>
  <si>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</si>
  <si>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</si>
  <si>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</si>
  <si>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</si>
  <si>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</si>
  <si>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</si>
  <si>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</si>
  <si>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</si>
  <si>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</si>
  <si>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</si>
  <si>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</si>
  <si>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</si>
  <si>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</si>
  <si>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</si>
  <si>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</si>
  <si>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</si>
  <si>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</si>
  <si>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</si>
  <si>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</si>
  <si>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</si>
  <si>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</si>
  <si>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</si>
  <si>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</si>
  <si>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</si>
  <si>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</si>
  <si>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</si>
  <si>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</si>
  <si>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</si>
  <si>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</si>
  <si>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</si>
  <si>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</si>
  <si>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</si>
  <si>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</si>
  <si>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</si>
  <si>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</si>
  <si>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</si>
  <si>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</si>
  <si>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</si>
  <si>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</si>
  <si>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</si>
  <si>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</si>
  <si>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</si>
  <si>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</si>
  <si>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</si>
  <si>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</si>
  <si>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</si>
  <si>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</si>
  <si>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</si>
  <si>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</si>
  <si>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</si>
  <si>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</si>
  <si>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</si>
  <si>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</si>
  <si>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</si>
  <si>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</si>
  <si>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</si>
  <si>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</si>
  <si>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</si>
  <si>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</si>
  <si>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</si>
  <si>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</si>
  <si>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</si>
  <si>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</si>
  <si>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</si>
  <si>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</si>
  <si>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</si>
  <si>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</si>
  <si>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</si>
  <si>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</si>
  <si>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</si>
  <si>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</si>
  <si>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</si>
  <si>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</si>
  <si>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</si>
  <si>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</si>
  <si>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</si>
  <si>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</si>
  <si>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</si>
  <si>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</si>
  <si>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</si>
  <si>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</si>
  <si>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</si>
  <si>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</si>
  <si>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</si>
  <si>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</si>
  <si>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</si>
  <si>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</si>
  <si>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</si>
  <si>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</si>
  <si>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</si>
  <si>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</si>
  <si>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</si>
  <si>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</si>
  <si>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</si>
  <si>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</si>
  <si>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</si>
  <si>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</si>
  <si>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</si>
  <si>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</si>
  <si>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</si>
  <si>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</si>
  <si>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</si>
  <si>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</si>
  <si>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</si>
  <si>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</si>
  <si>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</si>
  <si>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</si>
  <si>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</si>
  <si>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</si>
  <si>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</si>
  <si>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</si>
  <si>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</si>
  <si>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</si>
  <si>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</si>
  <si>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</si>
  <si>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</si>
  <si>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</si>
  <si>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</si>
  <si>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</si>
  <si>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</si>
  <si>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</si>
  <si>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</si>
  <si>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</si>
  <si>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</si>
  <si>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</si>
  <si>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</si>
  <si>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</si>
  <si>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</si>
  <si>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</si>
  <si>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</si>
  <si>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</si>
  <si>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</si>
  <si>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</si>
  <si>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</si>
  <si>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</si>
  <si>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</si>
  <si>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</si>
  <si>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</si>
  <si>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</si>
  <si>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</si>
  <si>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</si>
  <si>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</si>
  <si>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</si>
  <si>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</si>
  <si>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</si>
  <si>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</si>
  <si>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</si>
  <si>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</si>
  <si>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</si>
  <si>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</si>
  <si>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</si>
  <si>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</si>
  <si>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</si>
  <si>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</si>
  <si>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</si>
  <si>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</si>
  <si>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</si>
  <si>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</si>
  <si>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</si>
  <si>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</si>
  <si>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</si>
  <si>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</si>
  <si>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</si>
  <si>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</si>
  <si>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</si>
  <si>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</si>
  <si>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</si>
  <si>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</si>
  <si>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</si>
  <si>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</si>
  <si>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</si>
  <si>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</si>
  <si>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</si>
  <si>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</si>
  <si>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</si>
  <si>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</si>
  <si>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</si>
  <si>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</si>
  <si>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</si>
  <si>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</si>
  <si>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</si>
  <si>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</si>
  <si>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</si>
  <si>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</si>
  <si>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</si>
  <si>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</si>
  <si>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</si>
  <si>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</si>
  <si>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</si>
  <si>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</si>
  <si>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</si>
  <si>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</si>
  <si>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</si>
  <si>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</si>
  <si>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</si>
  <si>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</si>
  <si>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</si>
  <si>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</si>
  <si>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</si>
  <si>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</si>
  <si>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</si>
  <si>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</si>
  <si>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</si>
  <si>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</si>
  <si>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</si>
  <si>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</si>
  <si>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</si>
  <si>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</si>
  <si>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</si>
  <si>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</si>
  <si>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</si>
  <si>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</si>
  <si>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</si>
  <si>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</si>
  <si>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</si>
  <si>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</si>
  <si>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</si>
  <si>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</si>
  <si>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</si>
  <si>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</si>
  <si>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</si>
  <si>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</si>
  <si>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</si>
  <si>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</si>
  <si>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</si>
  <si>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</si>
  <si>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</si>
  <si>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</si>
  <si>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</si>
  <si>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</si>
  <si>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</si>
  <si>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</si>
  <si>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</si>
  <si>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</si>
  <si>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</si>
  <si>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</si>
  <si>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</si>
  <si>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</si>
  <si>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</si>
  <si>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</si>
  <si>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</si>
  <si>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</si>
  <si>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</si>
  <si>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</si>
  <si>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</si>
  <si>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</si>
  <si>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</si>
  <si>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</si>
  <si>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</si>
  <si>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attribute=INVCOST~2023</t>
  </si>
  <si>
    <t>~TFM_INS: attribute=INVCOST~2025</t>
  </si>
  <si>
    <t>~TFM_INS: attribute=INVCOST~2030</t>
  </si>
  <si>
    <t>~TFM_INS: attribute=INVCOST~2035</t>
  </si>
  <si>
    <t>~TFM_INS: attribute=INVCOST~2040</t>
  </si>
  <si>
    <t>~TFM_INS: attribute=INVCOST~2045</t>
  </si>
  <si>
    <t>~TFM_INS: attribute=INVCOST~2050</t>
  </si>
  <si>
    <t>~TFM_INS: attribute=INVCOST~2100</t>
  </si>
  <si>
    <t>~TFM_INS: attribute=INVCOST~0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</si>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</sst>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H27" sqref="H27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F17"/>
  <sheetViews>
    <sheetView tabSelected="1" zoomScale="46" zoomScaleNormal="46" workbookViewId="0">
      <selection activeCell="AP30" sqref="AP30"/>
    </sheetView>
  </sheetViews>
  <sheetFormatPr defaultColWidth="8.72727272727273" defaultRowHeight="14.5"/>
  <cols>
    <col min="6" max="6" width="15.0909090909091" customWidth="1"/>
    <col min="15" max="15" width="34.1818181818182" customWidth="1"/>
    <col min="20" max="20" width="34.1818181818182" customWidth="1"/>
  </cols>
  <sheetData>
    <row r="3" spans="5:55">
      <c r="E3" s="1"/>
      <c r="F3" s="1"/>
      <c r="G3" s="2" t="s">
        <v>489</v>
      </c>
      <c r="H3" s="1"/>
      <c r="O3" t="s">
        <v>490</v>
      </c>
      <c r="T3" t="s">
        <v>491</v>
      </c>
      <c r="Y3" t="s">
        <v>492</v>
      </c>
      <c r="AD3" t="s">
        <v>493</v>
      </c>
      <c r="AI3" t="s">
        <v>494</v>
      </c>
      <c r="AN3" t="s">
        <v>495</v>
      </c>
      <c r="AS3" t="s">
        <v>496</v>
      </c>
      <c r="AX3" t="s">
        <v>497</v>
      </c>
      <c r="BC3" t="s">
        <v>498</v>
      </c>
    </row>
    <row r="4" spans="5:58">
      <c r="E4" s="2" t="s">
        <v>499</v>
      </c>
      <c r="F4" s="2" t="s">
        <v>500</v>
      </c>
      <c r="G4" s="2" t="s">
        <v>501</v>
      </c>
      <c r="H4" s="2" t="s">
        <v>296</v>
      </c>
      <c r="O4" t="s">
        <v>500</v>
      </c>
      <c r="P4" t="s">
        <v>10</v>
      </c>
      <c r="Q4" t="s">
        <v>149</v>
      </c>
      <c r="R4" t="s">
        <v>296</v>
      </c>
      <c r="T4" t="s">
        <v>500</v>
      </c>
      <c r="U4" t="s">
        <v>10</v>
      </c>
      <c r="V4" t="s">
        <v>149</v>
      </c>
      <c r="W4" t="s">
        <v>296</v>
      </c>
      <c r="Y4" t="s">
        <v>500</v>
      </c>
      <c r="Z4" t="s">
        <v>10</v>
      </c>
      <c r="AA4" t="s">
        <v>149</v>
      </c>
      <c r="AB4" t="s">
        <v>296</v>
      </c>
      <c r="AD4" t="s">
        <v>500</v>
      </c>
      <c r="AE4" t="s">
        <v>10</v>
      </c>
      <c r="AF4" t="s">
        <v>149</v>
      </c>
      <c r="AG4" t="s">
        <v>296</v>
      </c>
      <c r="AI4" t="s">
        <v>500</v>
      </c>
      <c r="AJ4" t="s">
        <v>10</v>
      </c>
      <c r="AK4" t="s">
        <v>149</v>
      </c>
      <c r="AL4" t="s">
        <v>296</v>
      </c>
      <c r="AN4" t="s">
        <v>500</v>
      </c>
      <c r="AO4" t="s">
        <v>10</v>
      </c>
      <c r="AP4" t="s">
        <v>149</v>
      </c>
      <c r="AQ4" t="s">
        <v>296</v>
      </c>
      <c r="AS4" t="s">
        <v>500</v>
      </c>
      <c r="AT4" t="s">
        <v>10</v>
      </c>
      <c r="AU4" t="s">
        <v>149</v>
      </c>
      <c r="AV4" t="s">
        <v>296</v>
      </c>
      <c r="AX4" t="s">
        <v>500</v>
      </c>
      <c r="AY4" t="s">
        <v>10</v>
      </c>
      <c r="AZ4" t="s">
        <v>149</v>
      </c>
      <c r="BA4" t="s">
        <v>296</v>
      </c>
      <c r="BC4" t="s">
        <v>500</v>
      </c>
      <c r="BD4" t="s">
        <v>10</v>
      </c>
      <c r="BE4" t="s">
        <v>149</v>
      </c>
      <c r="BF4" t="s">
        <v>296</v>
      </c>
    </row>
    <row r="5" spans="5:58">
      <c r="E5" s="3" t="s">
        <v>502</v>
      </c>
      <c r="F5" s="4" t="s">
        <v>465</v>
      </c>
      <c r="G5" s="5" t="s">
        <v>503</v>
      </c>
      <c r="H5" s="6">
        <f>[1]added_EnergyUse_for_Manu!$AW$6</f>
        <v>0.0472</v>
      </c>
      <c r="O5" t="s">
        <v>465</v>
      </c>
      <c r="P5">
        <v>80.3831766666667</v>
      </c>
      <c r="Q5">
        <v>55.48673</v>
      </c>
      <c r="R5">
        <v>106.82505</v>
      </c>
      <c r="T5" t="s">
        <v>465</v>
      </c>
      <c r="U5">
        <v>72.9190245476188</v>
      </c>
      <c r="V5">
        <v>50.3343907857141</v>
      </c>
      <c r="W5">
        <v>96.9055810714282</v>
      </c>
      <c r="Y5" t="s">
        <v>465</v>
      </c>
      <c r="Z5">
        <v>63.1582102380952</v>
      </c>
      <c r="AA5">
        <v>43.5967164285714</v>
      </c>
      <c r="AB5">
        <v>83.9339678571427</v>
      </c>
      <c r="AD5" t="s">
        <v>465</v>
      </c>
      <c r="AE5">
        <v>57.4165547619049</v>
      </c>
      <c r="AF5">
        <v>39.6333785714287</v>
      </c>
      <c r="AG5">
        <v>76.3036071428573</v>
      </c>
      <c r="AI5" t="s">
        <v>465</v>
      </c>
      <c r="AJ5">
        <v>55.6940581190478</v>
      </c>
      <c r="AK5">
        <v>38.4443772142858</v>
      </c>
      <c r="AL5">
        <v>74.0144989285716</v>
      </c>
      <c r="AN5" t="s">
        <v>465</v>
      </c>
      <c r="AO5">
        <v>53.4662957942859</v>
      </c>
      <c r="AP5">
        <v>36.9066021257144</v>
      </c>
      <c r="AQ5">
        <v>71.0539189714287</v>
      </c>
      <c r="AS5" t="s">
        <v>465</v>
      </c>
      <c r="AT5">
        <v>51.3276439625144</v>
      </c>
      <c r="AU5">
        <v>35.4303380406858</v>
      </c>
      <c r="AV5">
        <v>68.2117622125716</v>
      </c>
      <c r="AX5" t="s">
        <v>465</v>
      </c>
      <c r="AY5">
        <v>51.3276439625144</v>
      </c>
      <c r="AZ5">
        <v>35.4303380406858</v>
      </c>
      <c r="BA5">
        <v>68.2117622125716</v>
      </c>
      <c r="BC5" t="s">
        <v>465</v>
      </c>
      <c r="BD5">
        <v>3</v>
      </c>
      <c r="BE5">
        <v>3</v>
      </c>
      <c r="BF5">
        <v>3</v>
      </c>
    </row>
    <row r="6" ht="16" spans="5:8">
      <c r="E6" s="3" t="s">
        <v>502</v>
      </c>
      <c r="F6" s="7" t="str">
        <f t="shared" ref="F6:F8" si="0">F5</f>
        <v>EN_STG_4hBatt</v>
      </c>
      <c r="G6" s="5" t="s">
        <v>504</v>
      </c>
      <c r="H6" s="6">
        <f>[1]added_EnergyUse_for_Manu!$AW$7</f>
        <v>0.1555</v>
      </c>
    </row>
    <row r="7" ht="16" spans="5:8">
      <c r="E7" s="3" t="s">
        <v>502</v>
      </c>
      <c r="F7" s="7" t="str">
        <f t="shared" si="0"/>
        <v>EN_STG_4hBatt</v>
      </c>
      <c r="G7" s="5" t="s">
        <v>505</v>
      </c>
      <c r="H7" s="6">
        <f>[1]added_EnergyUse_for_Manu!$AW$8</f>
        <v>0.477</v>
      </c>
    </row>
    <row r="8" ht="16" spans="5:8">
      <c r="E8" s="3" t="s">
        <v>502</v>
      </c>
      <c r="F8" s="7" t="str">
        <f t="shared" si="0"/>
        <v>EN_STG_4hBatt</v>
      </c>
      <c r="G8" s="5" t="s">
        <v>506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499</v>
      </c>
      <c r="F13" s="2" t="s">
        <v>500</v>
      </c>
      <c r="G13" s="2" t="s">
        <v>501</v>
      </c>
      <c r="H13" s="2" t="s">
        <v>149</v>
      </c>
    </row>
    <row r="14" ht="16" spans="5:8">
      <c r="E14" s="3" t="s">
        <v>502</v>
      </c>
      <c r="F14" s="7" t="str">
        <f>Stationary_storage_EnergyNeeds!F5</f>
        <v>EN_STG_4hBatt</v>
      </c>
      <c r="G14" s="5" t="s">
        <v>503</v>
      </c>
      <c r="H14" s="6">
        <f>[1]added_EnergyUse_for_Manu!$AW$26</f>
        <v>0.0478</v>
      </c>
    </row>
    <row r="15" ht="16" spans="5:8">
      <c r="E15" s="3" t="s">
        <v>502</v>
      </c>
      <c r="F15" s="7" t="str">
        <f>Stationary_storage_EnergyNeeds!F6</f>
        <v>EN_STG_4hBatt</v>
      </c>
      <c r="G15" s="5" t="s">
        <v>504</v>
      </c>
      <c r="H15" s="6">
        <f>[1]added_EnergyUse_for_Manu!$AW$27</f>
        <v>0.1895</v>
      </c>
    </row>
    <row r="16" ht="16" spans="5:8">
      <c r="E16" s="3" t="s">
        <v>502</v>
      </c>
      <c r="F16" s="7" t="str">
        <f>Stationary_storage_EnergyNeeds!F7</f>
        <v>EN_STG_4hBatt</v>
      </c>
      <c r="G16" s="5" t="s">
        <v>505</v>
      </c>
      <c r="H16" s="6">
        <f>[1]added_EnergyUse_for_Manu!$AW$28</f>
        <v>0.453</v>
      </c>
    </row>
    <row r="17" ht="16" spans="5:8">
      <c r="E17" s="3" t="s">
        <v>502</v>
      </c>
      <c r="F17" s="7" t="str">
        <f>Stationary_storage_EnergyNeeds!F8</f>
        <v>EN_STG_4hBatt</v>
      </c>
      <c r="G17" s="5" t="s">
        <v>506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2026-02-15T00:53:08Z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