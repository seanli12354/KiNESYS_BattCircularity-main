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1" activeTab="5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<sst xmlns="http://schemas.openxmlformats.org/spreadsheetml/2006/main" count="999" uniqueCount="498">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</sst>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topLeftCell="A27"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tabSelected="1" zoomScale="65" zoomScaleNormal="65" workbookViewId="0">
      <selection activeCell="H17" sqref="H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4.2636363636364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482</v>
      </c>
      <c r="G5" t="s">
        <v>483</v>
      </c>
      <c r="H5" t="s">
        <v>479</v>
      </c>
      <c r="K5" t="s">
        <v>480</v>
      </c>
    </row>
    <row r="6" spans="3:11">
      <c r="C6" t="s">
        <v>475</v>
      </c>
      <c r="D6" t="s">
        <v>484</v>
      </c>
      <c r="E6">
        <v>0.9</v>
      </c>
      <c r="F6" s="8" t="s">
        <v>482</v>
      </c>
      <c r="G6" t="s">
        <v>485</v>
      </c>
      <c r="H6" t="s">
        <v>479</v>
      </c>
      <c r="K6" t="s">
        <v>480</v>
      </c>
    </row>
    <row r="7" spans="3:6">
      <c r="C7" t="s">
        <v>486</v>
      </c>
      <c r="D7" t="s">
        <v>487</v>
      </c>
      <c r="E7">
        <v>1</v>
      </c>
      <c r="F7" s="9" t="s">
        <v>488</v>
      </c>
    </row>
    <row r="8" spans="3:6">
      <c r="C8" t="s">
        <v>486</v>
      </c>
      <c r="D8" t="s">
        <v>487</v>
      </c>
      <c r="E8">
        <v>-1</v>
      </c>
      <c r="F8" s="8" t="s">
        <v>489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workbookViewId="0">
      <selection activeCell="F24" sqref="F24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490</v>
      </c>
      <c r="H3" s="1"/>
    </row>
    <row r="4" spans="5:8">
      <c r="E4" s="2" t="s">
        <v>491</v>
      </c>
      <c r="F4" s="2" t="s">
        <v>492</v>
      </c>
      <c r="G4" s="2" t="s">
        <v>493</v>
      </c>
      <c r="H4" s="2" t="s">
        <v>296</v>
      </c>
    </row>
    <row r="5" spans="5:8">
      <c r="E5" s="3" t="s">
        <v>494</v>
      </c>
      <c r="F5" s="4" t="s">
        <v>465</v>
      </c>
      <c r="G5" s="5" t="s">
        <v>472</v>
      </c>
      <c r="H5" s="6">
        <f>[1]added_EnergyUse_for_Manu!$AW$6</f>
        <v>0.0472</v>
      </c>
    </row>
    <row r="6" ht="16" spans="5:8">
      <c r="E6" s="3" t="s">
        <v>494</v>
      </c>
      <c r="F6" s="7" t="str">
        <f t="shared" ref="F6:F8" si="0">F5</f>
        <v>EN_STG_4hBatt</v>
      </c>
      <c r="G6" s="5" t="s">
        <v>495</v>
      </c>
      <c r="H6" s="6">
        <f>[1]added_EnergyUse_for_Manu!$AW$7</f>
        <v>0.1555</v>
      </c>
    </row>
    <row r="7" ht="16" spans="5:8">
      <c r="E7" s="3" t="s">
        <v>494</v>
      </c>
      <c r="F7" s="7" t="str">
        <f t="shared" si="0"/>
        <v>EN_STG_4hBatt</v>
      </c>
      <c r="G7" s="5" t="s">
        <v>496</v>
      </c>
      <c r="H7" s="6">
        <f>[1]added_EnergyUse_for_Manu!$AW$8</f>
        <v>0.477</v>
      </c>
    </row>
    <row r="8" ht="16" spans="5:8">
      <c r="E8" s="3" t="s">
        <v>494</v>
      </c>
      <c r="F8" s="7" t="str">
        <f t="shared" si="0"/>
        <v>EN_STG_4hBatt</v>
      </c>
      <c r="G8" s="5" t="s">
        <v>497</v>
      </c>
      <c r="H8" s="6">
        <f>[1]added_EnergyUse_for_Manu!$AW$9</f>
        <v>0.0952</v>
      </c>
    </row>
    <row r="12" spans="5:8">
      <c r="E12" s="1"/>
      <c r="F12" s="1"/>
      <c r="G12" s="2" t="s">
        <v>490</v>
      </c>
      <c r="H12" s="1"/>
    </row>
    <row r="13" spans="5:8">
      <c r="E13" s="2" t="s">
        <v>491</v>
      </c>
      <c r="F13" s="2" t="s">
        <v>492</v>
      </c>
      <c r="G13" s="2" t="s">
        <v>493</v>
      </c>
      <c r="H13" s="2" t="s">
        <v>149</v>
      </c>
    </row>
    <row r="14" ht="16" spans="5:8">
      <c r="E14" s="3" t="s">
        <v>494</v>
      </c>
      <c r="F14" s="7" t="str">
        <f>Stationary_storage_EnergyNeeds!F5</f>
        <v>EN_STG_4hBatt</v>
      </c>
      <c r="G14" s="5" t="s">
        <v>472</v>
      </c>
      <c r="H14" s="6">
        <f>[1]added_EnergyUse_for_Manu!$AW$26</f>
        <v>0.0478</v>
      </c>
    </row>
    <row r="15" ht="16" spans="5:8">
      <c r="E15" s="3" t="s">
        <v>494</v>
      </c>
      <c r="F15" s="7" t="str">
        <f>Stationary_storage_EnergyNeeds!F6</f>
        <v>EN_STG_4hBatt</v>
      </c>
      <c r="G15" s="5" t="s">
        <v>495</v>
      </c>
      <c r="H15" s="6">
        <f>[1]added_EnergyUse_for_Manu!$AW$27</f>
        <v>0.1895</v>
      </c>
    </row>
    <row r="16" ht="16" spans="5:8">
      <c r="E16" s="3" t="s">
        <v>494</v>
      </c>
      <c r="F16" s="7" t="str">
        <f>Stationary_storage_EnergyNeeds!F7</f>
        <v>EN_STG_4hBatt</v>
      </c>
      <c r="G16" s="5" t="s">
        <v>496</v>
      </c>
      <c r="H16" s="6">
        <f>[1]added_EnergyUse_for_Manu!$AW$28</f>
        <v>0.453</v>
      </c>
    </row>
    <row r="17" ht="16" spans="5:8">
      <c r="E17" s="3" t="s">
        <v>494</v>
      </c>
      <c r="F17" s="7" t="str">
        <f>Stationary_storage_EnergyNeeds!F8</f>
        <v>EN_STG_4hBatt</v>
      </c>
      <c r="G17" s="5" t="s">
        <v>497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2026-02-12T18:53:47Z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