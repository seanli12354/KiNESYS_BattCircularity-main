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<sst xmlns="http://schemas.openxmlformats.org/spreadsheetml/2006/main" count="1174" uniqueCount="500">
  <si>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</si>
  <si>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</si>
  <si>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</si>
  <si>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</si>
  <si>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</si>
  <si>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</si>
  <si>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</si>
  <si>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</si>
  <si>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</si>
  <si>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</si>
  <si>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</si>
  <si>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</si>
  <si>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</si>
  <si>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</si>
  <si>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</si>
  <si>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</si>
  <si>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</si>
  <si>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</si>
  <si>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</si>
  <si>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</si>
  <si>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</si>
  <si>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</si>
  <si>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</si>
  <si>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</si>
  <si>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</si>
  <si>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</si>
  <si>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</si>
  <si>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</si>
  <si>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</si>
  <si>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</si>
  <si>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</si>
  <si>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</si>
  <si>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</si>
  <si>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</si>
  <si>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</si>
  <si>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</si>
  <si>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</si>
  <si>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</si>
  <si>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</si>
  <si>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</si>
  <si>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</si>
  <si>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</si>
  <si>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</si>
  <si>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</si>
  <si>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</si>
  <si>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</si>
  <si>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</si>
  <si>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</si>
  <si>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</si>
  <si>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</si>
  <si>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</si>
  <si>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</si>
  <si>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</si>
  <si>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</si>
  <si>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</si>
  <si>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</si>
  <si>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</si>
  <si>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</si>
  <si>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</si>
  <si>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</si>
  <si>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</si>
  <si>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</si>
  <si>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</si>
  <si>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</si>
  <si>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</si>
  <si>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</si>
  <si>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</si>
  <si>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</si>
  <si>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</si>
  <si>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</si>
  <si>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</si>
  <si>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</si>
  <si>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</si>
  <si>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</si>
  <si>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</si>
  <si>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</si>
  <si>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</si>
  <si>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</si>
  <si>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</si>
  <si>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</si>
  <si>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</si>
  <si>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</si>
  <si>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</si>
  <si>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</si>
  <si>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</si>
  <si>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</si>
  <si>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</si>
  <si>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</si>
  <si>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</si>
  <si>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</si>
  <si>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</si>
  <si>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</si>
  <si>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</si>
  <si>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</si>
  <si>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</si>
  <si>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</si>
  <si>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</si>
  <si>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</si>
  <si>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</si>
  <si>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</si>
  <si>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</si>
  <si>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</si>
  <si>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</si>
  <si>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</si>
  <si>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</si>
  <si>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</si>
  <si>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</si>
  <si>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</si>
  <si>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</si>
  <si>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</si>
  <si>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</si>
  <si>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</si>
  <si>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</si>
  <si>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</si>
  <si>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</si>
  <si>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</si>
  <si>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</si>
  <si>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</si>
  <si>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</si>
  <si>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</si>
  <si>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</si>
  <si>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</si>
  <si>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</si>
  <si>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</si>
  <si>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</si>
  <si>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</si>
  <si>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</si>
  <si>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</si>
  <si>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</si>
  <si>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</si>
  <si>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</si>
  <si>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</si>
  <si>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</si>
  <si>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</si>
  <si>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</si>
  <si>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</si>
  <si>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</si>
  <si>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</si>
  <si>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</si>
  <si>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</si>
  <si>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</si>
  <si>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</si>
  <si>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</si>
  <si>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</si>
  <si>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</si>
  <si>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</si>
  <si>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</si>
  <si>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</si>
  <si>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</si>
  <si>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</si>
  <si>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</si>
  <si>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</si>
  <si>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</si>
  <si>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</si>
  <si>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</si>
  <si>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</si>
  <si>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</si>
  <si>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</si>
  <si>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</si>
  <si>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</si>
  <si>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</si>
  <si>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</si>
  <si>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</si>
  <si>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</si>
  <si>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</si>
  <si>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</si>
  <si>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</si>
  <si>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</si>
  <si>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</si>
  <si>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</si>
  <si>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</si>
  <si>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</si>
  <si>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</si>
  <si>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</si>
  <si>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</si>
  <si>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</si>
  <si>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</si>
  <si>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</si>
  <si>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</si>
  <si>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</si>
  <si>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</si>
  <si>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</si>
  <si>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</si>
  <si>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</si>
  <si>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</si>
  <si>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</si>
  <si>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</si>
  <si>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</si>
  <si>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</si>
  <si>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</si>
  <si>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</si>
  <si>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</si>
  <si>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</si>
  <si>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</si>
  <si>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</si>
  <si>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</si>
  <si>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</si>
  <si>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</si>
  <si>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</si>
  <si>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</si>
  <si>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</si>
  <si>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</si>
  <si>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</si>
  <si>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</si>
  <si>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</si>
  <si>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</si>
  <si>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</si>
  <si>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</si>
  <si>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</si>
  <si>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</si>
  <si>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</si>
  <si>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</si>
  <si>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</si>
  <si>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</si>
  <si>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</si>
  <si>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</si>
  <si>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</si>
  <si>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</si>
  <si>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</si>
  <si>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</si>
  <si>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</si>
  <si>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</si>
  <si>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</si>
  <si>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</si>
  <si>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</si>
  <si>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</si>
  <si>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</si>
  <si>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</si>
  <si>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</si>
  <si>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</si>
  <si>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</si>
  <si>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</si>
  <si>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</si>
  <si>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</si>
  <si>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</si>
  <si>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</si>
  <si>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</si>
  <si>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</si>
  <si>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</si>
  <si>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</si>
  <si>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</si>
  <si>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</si>
  <si>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</si>
  <si>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</si>
  <si>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</si>
  <si>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</si>
  <si>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</si>
  <si>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</si>
  <si>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</si>
  <si>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</si>
  <si>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</si>
  <si>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</si>
  <si>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</si>
  <si>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</si>
  <si>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</si>
  <si>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</si>
  <si>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</si>
  <si>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</si>
  <si>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</si>
  <si>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</si>
  <si>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</si>
  <si>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</si>
  <si>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</si>
  <si>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</si>
  <si>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</si>
  <si>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</si>
  <si>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</si>
  <si>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</si>
  <si>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</si>
  <si>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</si>
  <si>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</si>
  <si>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</si>
  <si>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</si>
  <si>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</si>
  <si>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</si>
  <si>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</si>
  <si>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</si>
  <si>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</si>
  <si>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</si>
  <si>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</si>
  <si>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</si>
  <si>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</si>
  <si>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</si>
  <si>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</si>
  <si>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</si>
  <si>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</si>
  <si>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</si>
  <si>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</si>
  <si>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</si>
  <si>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</si>
  <si>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</si>
  <si>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</si>
  <si>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</si>
  <si>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</si>
  <si>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</si>
  <si>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</si>
  <si>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</si>
  <si>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</si>
  <si>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</si>
  <si>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</si>
  <si>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</si>
  <si>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</si>
  <si>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</si>
  <si>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</si>
  <si>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</si>
  <si>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</si>
  <si>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</si>
  <si>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</si>
  <si>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</si>
  <si>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</si>
  <si>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</si>
  <si>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</si>
  <si>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</si>
  <si>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</si>
  <si>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</si>
  <si>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</si>
  <si>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</si>
  <si>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</si>
  <si>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</si>
  <si>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</si>
  <si>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</si>
  <si>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</si>
  <si>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</si>
  <si>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</si>
  <si>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</si>
  <si>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</si>
  <si>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</si>
  <si>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</si>
  <si>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</si>
  <si>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</si>
  <si>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</si>
  <si>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</si>
  <si>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</si>
  <si>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</si>
  <si>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</si>
  <si>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</si>
  <si>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</si>
  <si>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</si>
  <si>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</si>
  <si>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</si>
  <si>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</si>
  <si>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</si>
  <si>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</si>
  <si>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</si>
  <si>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</si>
  <si>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</si>
  <si>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</si>
  <si>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</si>
  <si>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</si>
  <si>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</si>
  <si>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</si>
  <si>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</si>
  <si>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</si>
  <si>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</si>
  <si>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</si>
  <si>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</si>
  <si>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</si>
  <si>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</si>
  <si>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</si>
  <si>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</si>
  <si>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</si>
  <si>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</si>
  <si>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</si>
  <si>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</si>
  <si>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</si>
  <si>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</si>
  <si>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</si>
  <si>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</si>
  <si>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</si>
  <si>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</si>
  <si>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</si>
  <si>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</si>
  <si>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</si>
  <si>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</si>
  <si>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</si>
  <si>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</si>
  <si>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</si>
  <si>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</si>
  <si>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</si>
  <si>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</si>
  <si>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</si>
  <si>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</si>
  <si>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</si>
  <si>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</si>
  <si>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</si>
  <si>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</si>
  <si>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</si>
  <si>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</si>
  <si>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</si>
  <si>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</si>
  <si>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</si>
  <si>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</si>
  <si>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</si>
  <si>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</si>
  <si>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</si>
  <si>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</si>
  <si>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</si>
  <si>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</si>
  <si>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</si>
  <si>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</si>
  <si>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</si>
  <si>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</si>
  <si>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</si>
  <si>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</si>
  <si>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</si>
  <si>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</si>
  <si>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</si>
  <si>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</si>
  <si>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</si>
  <si>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</si>
  <si>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</si>
  <si>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</si>
  <si>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</si>
  <si>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</si>
  <si>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</si>
  <si>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</si>
  <si>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</si>
  <si>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</si>
  <si>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</si>
  <si>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</si>
  <si>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</si>
  <si>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</si>
  <si>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</si>
  <si>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</si>
  <si>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</si>
  <si>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</si>
  <si>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</si>
  <si>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</si>
  <si>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</si>
  <si>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</si>
  <si>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</si>
  <si>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</si>
  <si>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</si>
  <si>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</si>
  <si>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</si>
  <si>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</si>
  <si>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</si>
  <si>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</si>
  <si>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</si>
  <si>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</si>
  <si>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</si>
  <si>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</si>
  <si>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</si>
  <si>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</si>
  <si>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</si>
  <si>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</si>
  <si>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</si>
  <si>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</si>
  <si>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</si>
  <si>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</si>
  <si>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</si>
  <si>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</si>
  <si>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</si>
  <si>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</si>
  <si>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</si>
  <si>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</si>
  <si>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</si>
  <si>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</si>
  <si>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</si>
  <si>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</si>
  <si>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</si>
  <si>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</si>
  <si>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</si>
  <si>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</si>
  <si>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</si>
  <si>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</si>
  <si>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</si>
  <si>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</si>
  <si>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</si>
  <si>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</si>
  <si>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</si>
  <si>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</si>
  <si>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</si>
  <si>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</si>
  <si>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</si>
  <si>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</si>
  <si>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</si>
  <si>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</si>
  <si>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</si>
  <si>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</si>
  <si>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</si>
  <si>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</si>
  <si>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</si>
  <si>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</si>
  <si>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</si>
  <si>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</si>
  <si>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</si>
  <si>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</si>
  <si>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</si>
  <si>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</si>
  <si>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</si>
  <si>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</si>
  <si>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</si>
  <si>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</si>
  <si>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</si>
  <si>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</si>
  <si>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</si>
  <si>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</si>
  <si>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</si>
  <si>
    <t>EN_STG_4hBatt_LMO, EN_STG_4hBatt_NCA, EN_STG_4hBatt_NMC111, EN_STG_4hBatt_NMC532, EN_STG_4hBatt_NMC622, EN_STG_4hBatt_NMC811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</si>
</sst>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19" sqref="J19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I15" sqref="I15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24"/>
  <sheetViews>
    <sheetView tabSelected="1" zoomScale="50" zoomScaleNormal="50" workbookViewId="0">
      <selection activeCell="AA43" sqref="AA43"/>
    </sheetView>
  </sheetViews>
  <sheetFormatPr defaultColWidth="8.72727272727273" defaultRowHeight="14.5"/>
  <cols>
    <col min="6" max="6" width="15.0909090909091" customWidth="1"/>
    <col min="14" max="14" width="131.909090909091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  <col min="56" max="56" width="139.818181818182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2" spans="14:62">
      <c r="N22" t="s">
        <v>498</v>
      </c>
      <c r="T22" t="s">
        <v>498</v>
      </c>
      <c r="Z22" t="s">
        <v>498</v>
      </c>
      <c r="AF22" t="s">
        <v>498</v>
      </c>
      <c r="AL22" t="s">
        <v>498</v>
      </c>
      <c r="AR22" t="s">
        <v>498</v>
      </c>
      <c r="AX22" t="s">
        <v>498</v>
      </c>
      <c r="BD22" t="s">
        <v>498</v>
      </c>
      <c r="BJ22" t="s">
        <v>498</v>
      </c>
    </row>
    <row r="23" spans="14:66">
      <c r="N23" t="s">
        <v>491</v>
      </c>
      <c r="O23" t="s">
        <v>456</v>
      </c>
      <c r="P23" t="s">
        <v>10</v>
      </c>
      <c r="Q23" t="s">
        <v>149</v>
      </c>
      <c r="R23" t="s">
        <v>296</v>
      </c>
      <c r="T23" t="s">
        <v>491</v>
      </c>
      <c r="U23" t="s">
        <v>456</v>
      </c>
      <c r="V23" t="s">
        <v>10</v>
      </c>
      <c r="W23" t="s">
        <v>149</v>
      </c>
      <c r="X23" t="s">
        <v>296</v>
      </c>
      <c r="Z23" t="s">
        <v>491</v>
      </c>
      <c r="AA23" t="s">
        <v>456</v>
      </c>
      <c r="AB23" t="s">
        <v>10</v>
      </c>
      <c r="AC23" t="s">
        <v>149</v>
      </c>
      <c r="AD23" t="s">
        <v>296</v>
      </c>
      <c r="AF23" t="s">
        <v>491</v>
      </c>
      <c r="AG23" t="s">
        <v>456</v>
      </c>
      <c r="AH23" t="s">
        <v>10</v>
      </c>
      <c r="AI23" t="s">
        <v>149</v>
      </c>
      <c r="AJ23" t="s">
        <v>296</v>
      </c>
      <c r="AL23" t="s">
        <v>491</v>
      </c>
      <c r="AM23" t="s">
        <v>456</v>
      </c>
      <c r="AN23" t="s">
        <v>10</v>
      </c>
      <c r="AO23" t="s">
        <v>149</v>
      </c>
      <c r="AP23" t="s">
        <v>296</v>
      </c>
      <c r="AR23" t="s">
        <v>491</v>
      </c>
      <c r="AS23" t="s">
        <v>456</v>
      </c>
      <c r="AT23" t="s">
        <v>10</v>
      </c>
      <c r="AU23" t="s">
        <v>149</v>
      </c>
      <c r="AV23" t="s">
        <v>296</v>
      </c>
      <c r="AX23" t="s">
        <v>491</v>
      </c>
      <c r="AY23" t="s">
        <v>456</v>
      </c>
      <c r="AZ23" t="s">
        <v>10</v>
      </c>
      <c r="BA23" t="s">
        <v>149</v>
      </c>
      <c r="BB23" t="s">
        <v>296</v>
      </c>
      <c r="BD23" t="s">
        <v>491</v>
      </c>
      <c r="BE23" t="s">
        <v>456</v>
      </c>
      <c r="BF23" t="s">
        <v>10</v>
      </c>
      <c r="BG23" t="s">
        <v>149</v>
      </c>
      <c r="BH23" t="s">
        <v>296</v>
      </c>
      <c r="BJ23" t="s">
        <v>491</v>
      </c>
      <c r="BK23" t="s">
        <v>456</v>
      </c>
      <c r="BL23" t="s">
        <v>10</v>
      </c>
      <c r="BM23" t="s">
        <v>149</v>
      </c>
      <c r="BN23" t="s">
        <v>296</v>
      </c>
    </row>
    <row r="24" ht="16" spans="14:66">
      <c r="N24" s="9" t="s">
        <v>499</v>
      </c>
      <c r="O24">
        <v>2023</v>
      </c>
      <c r="P24">
        <v>40.1915883333333</v>
      </c>
      <c r="Q24">
        <v>27.743365</v>
      </c>
      <c r="R24">
        <v>53.412525</v>
      </c>
      <c r="T24" t="str">
        <f>N24</f>
        <v>EN_STG_4hBatt_LMO, EN_STG_4hBatt_NCA, EN_STG_4hBatt_NMC111, EN_STG_4hBatt_NMC532, EN_STG_4hBatt_NMC622, EN_STG_4hBatt_NMC811</v>
      </c>
      <c r="U24">
        <v>2025</v>
      </c>
      <c r="V24">
        <v>36.4595122738094</v>
      </c>
      <c r="W24">
        <v>25.167195392857</v>
      </c>
      <c r="X24">
        <v>48.4527905357141</v>
      </c>
      <c r="Z24" t="str">
        <f>T24</f>
        <v>EN_STG_4hBatt_LMO, EN_STG_4hBatt_NCA, EN_STG_4hBatt_NMC111, EN_STG_4hBatt_NMC532, EN_STG_4hBatt_NMC622, EN_STG_4hBatt_NMC811</v>
      </c>
      <c r="AA24">
        <v>2030</v>
      </c>
      <c r="AB24">
        <v>31.5791051190476</v>
      </c>
      <c r="AC24">
        <v>21.7983582142857</v>
      </c>
      <c r="AD24">
        <v>41.9669839285714</v>
      </c>
      <c r="AF24" t="str">
        <f>T24</f>
        <v>EN_STG_4hBatt_LMO, EN_STG_4hBatt_NCA, EN_STG_4hBatt_NMC111, EN_STG_4hBatt_NMC532, EN_STG_4hBatt_NMC622, EN_STG_4hBatt_NMC811</v>
      </c>
      <c r="AG24">
        <v>2035</v>
      </c>
      <c r="AH24">
        <v>28.7082773809524</v>
      </c>
      <c r="AI24">
        <v>19.8166892857144</v>
      </c>
      <c r="AJ24">
        <v>38.1518035714287</v>
      </c>
      <c r="AL24" t="str">
        <f>AF24</f>
        <v>EN_STG_4hBatt_LMO, EN_STG_4hBatt_NCA, EN_STG_4hBatt_NMC111, EN_STG_4hBatt_NMC532, EN_STG_4hBatt_NMC622, EN_STG_4hBatt_NMC811</v>
      </c>
      <c r="AM24">
        <v>2040</v>
      </c>
      <c r="AN24">
        <v>27.8470290595239</v>
      </c>
      <c r="AO24">
        <v>19.2221886071429</v>
      </c>
      <c r="AP24">
        <v>37.0072494642858</v>
      </c>
      <c r="AR24" t="str">
        <f>AL24</f>
        <v>EN_STG_4hBatt_LMO, EN_STG_4hBatt_NCA, EN_STG_4hBatt_NMC111, EN_STG_4hBatt_NMC532, EN_STG_4hBatt_NMC622, EN_STG_4hBatt_NMC811</v>
      </c>
      <c r="AS24">
        <v>2045</v>
      </c>
      <c r="AT24">
        <v>26.7331478971429</v>
      </c>
      <c r="AU24">
        <v>18.4533010628572</v>
      </c>
      <c r="AV24">
        <v>35.5269594857144</v>
      </c>
      <c r="AX24" t="str">
        <f>AL24</f>
        <v>EN_STG_4hBatt_LMO, EN_STG_4hBatt_NCA, EN_STG_4hBatt_NMC111, EN_STG_4hBatt_NMC532, EN_STG_4hBatt_NMC622, EN_STG_4hBatt_NMC811</v>
      </c>
      <c r="AY24">
        <v>2050</v>
      </c>
      <c r="AZ24">
        <v>25.6638219812572</v>
      </c>
      <c r="BA24">
        <v>17.7151690203429</v>
      </c>
      <c r="BB24">
        <v>34.1058811062858</v>
      </c>
      <c r="BD24" t="str">
        <f>AX24</f>
        <v>EN_STG_4hBatt_LMO, EN_STG_4hBatt_NCA, EN_STG_4hBatt_NMC111, EN_STG_4hBatt_NMC532, EN_STG_4hBatt_NMC622, EN_STG_4hBatt_NMC811</v>
      </c>
      <c r="BE24">
        <v>2100</v>
      </c>
      <c r="BF24">
        <v>25.6638219812572</v>
      </c>
      <c r="BG24">
        <v>17.7151690203429</v>
      </c>
      <c r="BH24">
        <v>34.1058811062858</v>
      </c>
      <c r="BJ24" t="str">
        <f>BD24</f>
        <v>EN_STG_4hBatt_LMO, EN_STG_4hBatt_NCA, EN_STG_4hBatt_NMC111, EN_STG_4hBatt_NMC532, EN_STG_4hBatt_NMC622, EN_STG_4hBatt_NMC811</v>
      </c>
      <c r="BK24">
        <v>0</v>
      </c>
      <c r="BL24">
        <v>3</v>
      </c>
      <c r="BM24">
        <v>3</v>
      </c>
      <c r="BN24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2026-04-23T19:14:09Z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