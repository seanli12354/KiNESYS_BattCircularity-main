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60" windowHeight="552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<sst xmlns="http://schemas.openxmlformats.org/spreadsheetml/2006/main" count="1062" uniqueCount="499">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</sst>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H27" sqref="H27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7" zoomScaleNormal="57" topLeftCell="U1" workbookViewId="0">
      <selection activeCell="BK12" sqref="BK12"/>
    </sheetView>
  </sheetViews>
  <sheetFormatPr defaultColWidth="8.72727272727273" defaultRowHeight="14.5"/>
  <cols>
    <col min="6" max="6" width="15.0909090909091" customWidth="1"/>
    <col min="15" max="15" width="34.1818181818182" customWidth="1"/>
    <col min="20" max="21" width="34.1818181818182" customWidth="1"/>
  </cols>
  <sheetData>
    <row r="3" spans="5:62">
      <c r="E3" s="1"/>
      <c r="F3" s="1"/>
      <c r="G3" s="2" t="s">
        <v>489</v>
      </c>
      <c r="H3" s="1"/>
      <c r="N3" t="s">
        <v>490</v>
      </c>
      <c r="T3" t="s">
        <v>490</v>
      </c>
      <c r="Z3" t="s">
        <v>490</v>
      </c>
      <c r="AF3" t="s">
        <v>490</v>
      </c>
      <c r="AL3" t="s">
        <v>490</v>
      </c>
      <c r="AR3" t="s">
        <v>490</v>
      </c>
      <c r="AX3" t="s">
        <v>490</v>
      </c>
      <c r="BD3" t="s">
        <v>490</v>
      </c>
      <c r="BJ3" t="s">
        <v>490</v>
      </c>
    </row>
    <row r="4" spans="5:66">
      <c r="E4" s="2" t="s">
        <v>491</v>
      </c>
      <c r="F4" s="2" t="s">
        <v>492</v>
      </c>
      <c r="G4" s="2" t="s">
        <v>493</v>
      </c>
      <c r="H4" s="2" t="s">
        <v>296</v>
      </c>
      <c r="N4" t="s">
        <v>492</v>
      </c>
      <c r="O4" t="s">
        <v>456</v>
      </c>
      <c r="P4" t="s">
        <v>10</v>
      </c>
      <c r="Q4" t="s">
        <v>149</v>
      </c>
      <c r="R4" t="s">
        <v>296</v>
      </c>
      <c r="T4" t="s">
        <v>492</v>
      </c>
      <c r="U4" t="s">
        <v>456</v>
      </c>
      <c r="V4" t="s">
        <v>10</v>
      </c>
      <c r="W4" t="s">
        <v>149</v>
      </c>
      <c r="X4" t="s">
        <v>296</v>
      </c>
      <c r="Z4" t="s">
        <v>492</v>
      </c>
      <c r="AA4" t="s">
        <v>456</v>
      </c>
      <c r="AB4" t="s">
        <v>10</v>
      </c>
      <c r="AC4" t="s">
        <v>149</v>
      </c>
      <c r="AD4" t="s">
        <v>296</v>
      </c>
      <c r="AF4" t="s">
        <v>492</v>
      </c>
      <c r="AG4" t="s">
        <v>456</v>
      </c>
      <c r="AH4" t="s">
        <v>10</v>
      </c>
      <c r="AI4" t="s">
        <v>149</v>
      </c>
      <c r="AJ4" t="s">
        <v>296</v>
      </c>
      <c r="AL4" t="s">
        <v>492</v>
      </c>
      <c r="AM4" t="s">
        <v>456</v>
      </c>
      <c r="AN4" t="s">
        <v>10</v>
      </c>
      <c r="AO4" t="s">
        <v>149</v>
      </c>
      <c r="AP4" t="s">
        <v>296</v>
      </c>
      <c r="AR4" t="s">
        <v>492</v>
      </c>
      <c r="AS4" t="s">
        <v>456</v>
      </c>
      <c r="AT4" t="s">
        <v>10</v>
      </c>
      <c r="AU4" t="s">
        <v>149</v>
      </c>
      <c r="AV4" t="s">
        <v>296</v>
      </c>
      <c r="AX4" t="s">
        <v>492</v>
      </c>
      <c r="AY4" t="s">
        <v>456</v>
      </c>
      <c r="AZ4" t="s">
        <v>10</v>
      </c>
      <c r="BA4" t="s">
        <v>149</v>
      </c>
      <c r="BB4" t="s">
        <v>296</v>
      </c>
      <c r="BD4" t="s">
        <v>492</v>
      </c>
      <c r="BE4" t="s">
        <v>456</v>
      </c>
      <c r="BF4" t="s">
        <v>10</v>
      </c>
      <c r="BG4" t="s">
        <v>149</v>
      </c>
      <c r="BH4" t="s">
        <v>296</v>
      </c>
      <c r="BJ4" t="s">
        <v>492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494</v>
      </c>
      <c r="F5" s="4" t="s">
        <v>465</v>
      </c>
      <c r="G5" s="5" t="s">
        <v>495</v>
      </c>
      <c r="H5" s="6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494</v>
      </c>
      <c r="F6" s="7" t="str">
        <f t="shared" ref="F6:F8" si="0">F5</f>
        <v>EN_STG_4hBatt</v>
      </c>
      <c r="G6" s="5" t="s">
        <v>496</v>
      </c>
      <c r="H6" s="6">
        <f>[1]added_EnergyUse_for_Manu!$AW$7</f>
        <v>0.1555</v>
      </c>
    </row>
    <row r="7" ht="16" spans="5:8">
      <c r="E7" s="3" t="s">
        <v>494</v>
      </c>
      <c r="F7" s="7" t="str">
        <f t="shared" si="0"/>
        <v>EN_STG_4hBatt</v>
      </c>
      <c r="G7" s="5" t="s">
        <v>497</v>
      </c>
      <c r="H7" s="6">
        <f>[1]added_EnergyUse_for_Manu!$AW$8</f>
        <v>0.477</v>
      </c>
    </row>
    <row r="8" ht="16" spans="5:8">
      <c r="E8" s="3" t="s">
        <v>494</v>
      </c>
      <c r="F8" s="7" t="str">
        <f t="shared" si="0"/>
        <v>EN_STG_4hBatt</v>
      </c>
      <c r="G8" s="5" t="s">
        <v>498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491</v>
      </c>
      <c r="F13" s="2" t="s">
        <v>492</v>
      </c>
      <c r="G13" s="2" t="s">
        <v>493</v>
      </c>
      <c r="H13" s="2" t="s">
        <v>149</v>
      </c>
    </row>
    <row r="14" ht="16" spans="5:8">
      <c r="E14" s="3" t="s">
        <v>494</v>
      </c>
      <c r="F14" s="7" t="str">
        <f>Stationary_storage_EnergyNeeds!F5</f>
        <v>EN_STG_4hBatt</v>
      </c>
      <c r="G14" s="5" t="s">
        <v>495</v>
      </c>
      <c r="H14" s="6">
        <f>[1]added_EnergyUse_for_Manu!$AW$26</f>
        <v>0.0478</v>
      </c>
    </row>
    <row r="15" ht="16" spans="5:8">
      <c r="E15" s="3" t="s">
        <v>494</v>
      </c>
      <c r="F15" s="7" t="str">
        <f>Stationary_storage_EnergyNeeds!F6</f>
        <v>EN_STG_4hBatt</v>
      </c>
      <c r="G15" s="5" t="s">
        <v>496</v>
      </c>
      <c r="H15" s="6">
        <f>[1]added_EnergyUse_for_Manu!$AW$27</f>
        <v>0.1895</v>
      </c>
    </row>
    <row r="16" ht="16" spans="5:8">
      <c r="E16" s="3" t="s">
        <v>494</v>
      </c>
      <c r="F16" s="7" t="str">
        <f>Stationary_storage_EnergyNeeds!F7</f>
        <v>EN_STG_4hBatt</v>
      </c>
      <c r="G16" s="5" t="s">
        <v>497</v>
      </c>
      <c r="H16" s="6">
        <f>[1]added_EnergyUse_for_Manu!$AW$28</f>
        <v>0.453</v>
      </c>
    </row>
    <row r="17" ht="16" spans="5:8">
      <c r="E17" s="3" t="s">
        <v>494</v>
      </c>
      <c r="F17" s="7" t="str">
        <f>Stationary_storage_EnergyNeeds!F8</f>
        <v>EN_STG_4hBatt</v>
      </c>
      <c r="G17" s="5" t="s">
        <v>498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2026-02-15T01:08:17Z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